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kmuttsit-my.sharepoint.com/personal/65130500119_ad_sit_kmutt_ac_th/Documents/Microsoft Teams Chat Files/"/>
    </mc:Choice>
  </mc:AlternateContent>
  <xr:revisionPtr revIDLastSave="0" documentId="8_{27130C56-A39F-4BE7-8DC7-AE53B0DEA551}" xr6:coauthVersionLast="47" xr6:coauthVersionMax="47" xr10:uidLastSave="{00000000-0000-0000-0000-000000000000}"/>
  <bookViews>
    <workbookView xWindow="-108" yWindow="-108" windowWidth="23256" windowHeight="12456" firstSheet="3" activeTab="3" xr2:uid="{9B8F51A5-EDBC-49F3-9676-E72ED9325D4C}"/>
  </bookViews>
  <sheets>
    <sheet name="Sheet1" sheetId="1" r:id="rId1"/>
    <sheet name="Sheet2_password_list" sheetId="5" r:id="rId2"/>
    <sheet name="Hashing_JTR" sheetId="2" r:id="rId3"/>
    <sheet name="Hashing_HashCat" sheetId="6" r:id="rId4"/>
    <sheet name="Sheet4" sheetId="8" r:id="rId5"/>
    <sheet name="Sheet2" sheetId="3" r:id="rId6"/>
  </sheets>
  <definedNames>
    <definedName name="_xlnm._FilterDatabase" localSheetId="4" hidden="1">Sheet4!$AT$1:$AT$1038</definedName>
    <definedName name="_xlnm._FilterDatabase" localSheetId="3" hidden="1">Hashing_HashCat!$J$1:$J$1039</definedName>
    <definedName name="Entropy">"LAMBDA(txt;   LET(     n; LEN(txt);     chars; MID(txt; SEQUENCE(n); 1);     uniq; UNIQUE(chars);     bins; SEQUENCE(ROWS(uniq));     freq; FREQUENCY(MATCH(chars; uniq; 0); bins) / n;     -SUM(IF(freq; freq * LOG(freq; 2); 0))   ) )"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001" i="6" l="1"/>
  <c r="BK1000" i="6"/>
  <c r="BK999" i="6"/>
  <c r="BK998" i="6"/>
  <c r="BK997" i="6"/>
  <c r="BK996" i="6"/>
  <c r="BK995" i="6"/>
  <c r="BK994" i="6"/>
  <c r="BK993" i="6"/>
  <c r="BK992" i="6"/>
  <c r="BK991" i="6"/>
  <c r="BK990" i="6"/>
  <c r="BK989" i="6"/>
  <c r="BK988" i="6"/>
  <c r="BK987" i="6"/>
  <c r="BK986" i="6"/>
  <c r="BK985" i="6"/>
  <c r="BK984" i="6"/>
  <c r="BK983" i="6"/>
  <c r="BK982" i="6"/>
  <c r="BK981" i="6"/>
  <c r="BK980" i="6"/>
  <c r="BK979" i="6"/>
  <c r="BK978" i="6"/>
  <c r="BK977" i="6"/>
  <c r="BK976" i="6"/>
  <c r="BK975" i="6"/>
  <c r="BK974" i="6"/>
  <c r="BK973" i="6"/>
  <c r="BK972" i="6"/>
  <c r="BK971" i="6"/>
  <c r="BK970" i="6"/>
  <c r="BK969" i="6"/>
  <c r="BK968" i="6"/>
  <c r="BK967" i="6"/>
  <c r="BK966" i="6"/>
  <c r="BK965" i="6"/>
  <c r="BK964" i="6"/>
  <c r="BK963" i="6"/>
  <c r="BK962" i="6"/>
  <c r="BK961" i="6"/>
  <c r="BK960" i="6"/>
  <c r="BK959" i="6"/>
  <c r="BK958" i="6"/>
  <c r="BK957" i="6"/>
  <c r="BK956" i="6"/>
  <c r="BK955" i="6"/>
  <c r="BK954" i="6"/>
  <c r="BK953" i="6"/>
  <c r="BK952" i="6"/>
  <c r="BK951" i="6"/>
  <c r="BK950" i="6"/>
  <c r="BK949" i="6"/>
  <c r="BK948" i="6"/>
  <c r="BK947" i="6"/>
  <c r="BK946" i="6"/>
  <c r="BK945" i="6"/>
  <c r="BK944" i="6"/>
  <c r="BK943" i="6"/>
  <c r="BK942" i="6"/>
  <c r="BK941" i="6"/>
  <c r="BK940" i="6"/>
  <c r="BK939" i="6"/>
  <c r="BK938" i="6"/>
  <c r="BK937" i="6"/>
  <c r="BK936" i="6"/>
  <c r="BK935" i="6"/>
  <c r="BK934" i="6"/>
  <c r="BK933" i="6"/>
  <c r="BK932" i="6"/>
  <c r="BK931" i="6"/>
  <c r="BK930" i="6"/>
  <c r="BK929" i="6"/>
  <c r="BK928" i="6"/>
  <c r="BK927" i="6"/>
  <c r="BK926" i="6"/>
  <c r="BK925" i="6"/>
  <c r="BK924" i="6"/>
  <c r="BK923" i="6"/>
  <c r="BK922" i="6"/>
  <c r="BK921" i="6"/>
  <c r="BK920" i="6"/>
  <c r="BK919" i="6"/>
  <c r="BK918" i="6"/>
  <c r="BK917" i="6"/>
  <c r="BK916" i="6"/>
  <c r="BK915" i="6"/>
  <c r="BK914" i="6"/>
  <c r="BK913" i="6"/>
  <c r="BK912" i="6"/>
  <c r="BK911" i="6"/>
  <c r="BK910" i="6"/>
  <c r="BK909" i="6"/>
  <c r="BK908" i="6"/>
  <c r="BK907" i="6"/>
  <c r="BK906" i="6"/>
  <c r="BK905" i="6"/>
  <c r="BK904" i="6"/>
  <c r="BK903" i="6"/>
  <c r="BK902" i="6"/>
  <c r="BK901" i="6"/>
  <c r="BK900" i="6"/>
  <c r="BK899" i="6"/>
  <c r="BK898" i="6"/>
  <c r="BK897" i="6"/>
  <c r="BK896" i="6"/>
  <c r="BK895" i="6"/>
  <c r="BK894" i="6"/>
  <c r="BK893" i="6"/>
  <c r="BK892" i="6"/>
  <c r="BK891" i="6"/>
  <c r="BK890" i="6"/>
  <c r="BK889" i="6"/>
  <c r="BK888" i="6"/>
  <c r="BK887" i="6"/>
  <c r="BK886" i="6"/>
  <c r="BK885" i="6"/>
  <c r="BK884" i="6"/>
  <c r="BK883" i="6"/>
  <c r="BK882" i="6"/>
  <c r="BK881" i="6"/>
  <c r="BK880" i="6"/>
  <c r="BK879" i="6"/>
  <c r="BK878" i="6"/>
  <c r="BK877" i="6"/>
  <c r="BK876" i="6"/>
  <c r="BK875" i="6"/>
  <c r="BK874" i="6"/>
  <c r="BK873" i="6"/>
  <c r="BK872" i="6"/>
  <c r="BK871" i="6"/>
  <c r="BK870" i="6"/>
  <c r="BK869" i="6"/>
  <c r="BK868" i="6"/>
  <c r="BK867" i="6"/>
  <c r="BK866" i="6"/>
  <c r="BK865" i="6"/>
  <c r="BK864" i="6"/>
  <c r="BK863" i="6"/>
  <c r="BK862" i="6"/>
  <c r="BK861" i="6"/>
  <c r="BK860" i="6"/>
  <c r="BK859" i="6"/>
  <c r="BK858" i="6"/>
  <c r="BK857" i="6"/>
  <c r="BK856" i="6"/>
  <c r="BK855" i="6"/>
  <c r="BK854" i="6"/>
  <c r="BK853" i="6"/>
  <c r="BK852" i="6"/>
  <c r="BK851" i="6"/>
  <c r="BK850" i="6"/>
  <c r="BK849" i="6"/>
  <c r="BK848" i="6"/>
  <c r="BK847" i="6"/>
  <c r="BK846" i="6"/>
  <c r="BK845" i="6"/>
  <c r="BK844" i="6"/>
  <c r="BK843" i="6"/>
  <c r="BK842" i="6"/>
  <c r="BK841" i="6"/>
  <c r="BK840" i="6"/>
  <c r="BK839" i="6"/>
  <c r="BK838" i="6"/>
  <c r="BK837" i="6"/>
  <c r="BK836" i="6"/>
  <c r="BK835" i="6"/>
  <c r="BK834" i="6"/>
  <c r="BK833" i="6"/>
  <c r="BK832" i="6"/>
  <c r="BK831" i="6"/>
  <c r="BK830" i="6"/>
  <c r="BK829" i="6"/>
  <c r="BK828" i="6"/>
  <c r="BK827" i="6"/>
  <c r="BK826" i="6"/>
  <c r="BK825" i="6"/>
  <c r="BK824" i="6"/>
  <c r="BK823" i="6"/>
  <c r="BK822" i="6"/>
  <c r="BK821" i="6"/>
  <c r="BK820" i="6"/>
  <c r="BK819" i="6"/>
  <c r="BK818" i="6"/>
  <c r="BK817" i="6"/>
  <c r="BK816" i="6"/>
  <c r="BK815" i="6"/>
  <c r="BK814" i="6"/>
  <c r="BK813" i="6"/>
  <c r="BK812" i="6"/>
  <c r="BK811" i="6"/>
  <c r="BK810" i="6"/>
  <c r="BK809" i="6"/>
  <c r="BK808" i="6"/>
  <c r="BK807" i="6"/>
  <c r="BK806" i="6"/>
  <c r="BK805" i="6"/>
  <c r="BK804" i="6"/>
  <c r="BK803" i="6"/>
  <c r="BK802" i="6"/>
  <c r="BK801" i="6"/>
  <c r="BK800" i="6"/>
  <c r="BK799" i="6"/>
  <c r="BK798" i="6"/>
  <c r="BK797" i="6"/>
  <c r="BK796" i="6"/>
  <c r="BK795" i="6"/>
  <c r="BK794" i="6"/>
  <c r="BK793" i="6"/>
  <c r="BK792" i="6"/>
  <c r="BK791" i="6"/>
  <c r="BK790" i="6"/>
  <c r="BK789" i="6"/>
  <c r="BK788" i="6"/>
  <c r="BK787" i="6"/>
  <c r="BK786" i="6"/>
  <c r="BK785" i="6"/>
  <c r="BK784" i="6"/>
  <c r="BK783" i="6"/>
  <c r="BK782" i="6"/>
  <c r="BK781" i="6"/>
  <c r="BK780" i="6"/>
  <c r="BK779" i="6"/>
  <c r="BK778" i="6"/>
  <c r="BK777" i="6"/>
  <c r="BK776" i="6"/>
  <c r="BK775" i="6"/>
  <c r="BK774" i="6"/>
  <c r="BK773" i="6"/>
  <c r="BK772" i="6"/>
  <c r="BK771" i="6"/>
  <c r="BK770" i="6"/>
  <c r="BK769" i="6"/>
  <c r="BK768" i="6"/>
  <c r="BK767" i="6"/>
  <c r="BK766" i="6"/>
  <c r="BK765" i="6"/>
  <c r="BK764" i="6"/>
  <c r="BK763" i="6"/>
  <c r="BK762" i="6"/>
  <c r="BK761" i="6"/>
  <c r="BK760" i="6"/>
  <c r="BK759" i="6"/>
  <c r="BK758" i="6"/>
  <c r="BK757" i="6"/>
  <c r="BK756" i="6"/>
  <c r="BK755" i="6"/>
  <c r="BK754" i="6"/>
  <c r="BK753" i="6"/>
  <c r="BK752" i="6"/>
  <c r="BK751" i="6"/>
  <c r="BK750" i="6"/>
  <c r="BK749" i="6"/>
  <c r="BK748" i="6"/>
  <c r="BK747" i="6"/>
  <c r="BK746" i="6"/>
  <c r="BK745" i="6"/>
  <c r="BK744" i="6"/>
  <c r="BK743" i="6"/>
  <c r="BK742" i="6"/>
  <c r="BK741" i="6"/>
  <c r="BK740" i="6"/>
  <c r="BK739" i="6"/>
  <c r="BK738" i="6"/>
  <c r="BK737" i="6"/>
  <c r="BK736" i="6"/>
  <c r="BK735" i="6"/>
  <c r="BK734" i="6"/>
  <c r="BK733" i="6"/>
  <c r="BK732" i="6"/>
  <c r="BK731" i="6"/>
  <c r="BK730" i="6"/>
  <c r="BK729" i="6"/>
  <c r="BK728" i="6"/>
  <c r="BK727" i="6"/>
  <c r="BK726" i="6"/>
  <c r="BK725" i="6"/>
  <c r="BK724" i="6"/>
  <c r="BK723" i="6"/>
  <c r="BK722" i="6"/>
  <c r="BK721" i="6"/>
  <c r="BK720" i="6"/>
  <c r="BK719" i="6"/>
  <c r="BK718" i="6"/>
  <c r="BK717" i="6"/>
  <c r="BK716" i="6"/>
  <c r="BK715" i="6"/>
  <c r="BK714" i="6"/>
  <c r="BK713" i="6"/>
  <c r="BK712" i="6"/>
  <c r="BK711" i="6"/>
  <c r="BK710" i="6"/>
  <c r="BK709" i="6"/>
  <c r="BK708" i="6"/>
  <c r="BK707" i="6"/>
  <c r="BK706" i="6"/>
  <c r="BK705" i="6"/>
  <c r="BK704" i="6"/>
  <c r="BK703" i="6"/>
  <c r="BK702" i="6"/>
  <c r="BK701" i="6"/>
  <c r="BK700" i="6"/>
  <c r="BK699" i="6"/>
  <c r="BK698" i="6"/>
  <c r="BK697" i="6"/>
  <c r="BK696" i="6"/>
  <c r="BK695" i="6"/>
  <c r="BK694" i="6"/>
  <c r="BK693" i="6"/>
  <c r="BK692" i="6"/>
  <c r="BK691" i="6"/>
  <c r="BK690" i="6"/>
  <c r="BK689" i="6"/>
  <c r="BK688" i="6"/>
  <c r="BK687" i="6"/>
  <c r="BK686" i="6"/>
  <c r="BK685" i="6"/>
  <c r="BK684" i="6"/>
  <c r="BK683" i="6"/>
  <c r="BK682" i="6"/>
  <c r="BK681" i="6"/>
  <c r="BK680" i="6"/>
  <c r="BK679" i="6"/>
  <c r="BK678" i="6"/>
  <c r="BK677" i="6"/>
  <c r="BK676" i="6"/>
  <c r="BK675" i="6"/>
  <c r="BK674" i="6"/>
  <c r="BK673" i="6"/>
  <c r="BK672" i="6"/>
  <c r="BK671" i="6"/>
  <c r="BK670" i="6"/>
  <c r="BK669" i="6"/>
  <c r="BK668" i="6"/>
  <c r="BK667" i="6"/>
  <c r="BK666" i="6"/>
  <c r="BK665" i="6"/>
  <c r="BK664" i="6"/>
  <c r="BK663" i="6"/>
  <c r="BK662" i="6"/>
  <c r="BK661" i="6"/>
  <c r="BK660" i="6"/>
  <c r="BK659" i="6"/>
  <c r="BK658" i="6"/>
  <c r="BK657" i="6"/>
  <c r="BK656" i="6"/>
  <c r="BK655" i="6"/>
  <c r="BK654" i="6"/>
  <c r="BK653" i="6"/>
  <c r="BK652" i="6"/>
  <c r="BK651" i="6"/>
  <c r="BK650" i="6"/>
  <c r="BK649" i="6"/>
  <c r="BK648" i="6"/>
  <c r="BK647" i="6"/>
  <c r="BK646" i="6"/>
  <c r="BK645" i="6"/>
  <c r="BK644" i="6"/>
  <c r="BK643" i="6"/>
  <c r="BK642" i="6"/>
  <c r="BK641" i="6"/>
  <c r="BK640" i="6"/>
  <c r="BK639" i="6"/>
  <c r="BK638" i="6"/>
  <c r="BK637" i="6"/>
  <c r="BK636" i="6"/>
  <c r="BK635" i="6"/>
  <c r="BK634" i="6"/>
  <c r="BK633" i="6"/>
  <c r="BK632" i="6"/>
  <c r="BK631" i="6"/>
  <c r="BK630" i="6"/>
  <c r="BK629" i="6"/>
  <c r="BK628" i="6"/>
  <c r="BK627" i="6"/>
  <c r="BK626" i="6"/>
  <c r="BK625" i="6"/>
  <c r="BK624" i="6"/>
  <c r="BK623" i="6"/>
  <c r="BK622" i="6"/>
  <c r="BK621" i="6"/>
  <c r="BK620" i="6"/>
  <c r="BK619" i="6"/>
  <c r="BK618" i="6"/>
  <c r="BK617" i="6"/>
  <c r="BK616" i="6"/>
  <c r="BK615" i="6"/>
  <c r="BK614" i="6"/>
  <c r="BK613" i="6"/>
  <c r="BK612" i="6"/>
  <c r="BK611" i="6"/>
  <c r="BK610" i="6"/>
  <c r="BK609" i="6"/>
  <c r="BK608" i="6"/>
  <c r="BK607" i="6"/>
  <c r="BK606" i="6"/>
  <c r="BK605" i="6"/>
  <c r="BK604" i="6"/>
  <c r="BK603" i="6"/>
  <c r="BK602" i="6"/>
  <c r="BK601" i="6"/>
  <c r="BK600" i="6"/>
  <c r="BK599" i="6"/>
  <c r="BK598" i="6"/>
  <c r="BK597" i="6"/>
  <c r="BK596" i="6"/>
  <c r="BK595" i="6"/>
  <c r="BK594" i="6"/>
  <c r="BK593" i="6"/>
  <c r="BK592" i="6"/>
  <c r="BK591" i="6"/>
  <c r="BK590" i="6"/>
  <c r="BK589" i="6"/>
  <c r="BK588" i="6"/>
  <c r="BK587" i="6"/>
  <c r="BK586" i="6"/>
  <c r="BK585" i="6"/>
  <c r="BK584" i="6"/>
  <c r="BK583" i="6"/>
  <c r="BK582" i="6"/>
  <c r="BK581" i="6"/>
  <c r="BK580" i="6"/>
  <c r="BK579" i="6"/>
  <c r="BK578" i="6"/>
  <c r="BK577" i="6"/>
  <c r="BK576" i="6"/>
  <c r="BK575" i="6"/>
  <c r="BK574" i="6"/>
  <c r="BK573" i="6"/>
  <c r="BK572" i="6"/>
  <c r="BK571" i="6"/>
  <c r="BK570" i="6"/>
  <c r="BK569" i="6"/>
  <c r="BK568" i="6"/>
  <c r="BK567" i="6"/>
  <c r="BK566" i="6"/>
  <c r="BK565" i="6"/>
  <c r="BK564" i="6"/>
  <c r="BK563" i="6"/>
  <c r="BK562" i="6"/>
  <c r="BK561" i="6"/>
  <c r="BK560" i="6"/>
  <c r="BK559" i="6"/>
  <c r="BK558" i="6"/>
  <c r="BK557" i="6"/>
  <c r="BK556" i="6"/>
  <c r="BK555" i="6"/>
  <c r="BK554" i="6"/>
  <c r="BK553" i="6"/>
  <c r="BK552" i="6"/>
  <c r="BK551" i="6"/>
  <c r="BK550" i="6"/>
  <c r="BK549" i="6"/>
  <c r="BK548" i="6"/>
  <c r="BK547" i="6"/>
  <c r="BK546" i="6"/>
  <c r="BK545" i="6"/>
  <c r="BK544" i="6"/>
  <c r="BK543" i="6"/>
  <c r="BK542" i="6"/>
  <c r="BK541" i="6"/>
  <c r="BK540" i="6"/>
  <c r="BK539" i="6"/>
  <c r="BK538" i="6"/>
  <c r="BK537" i="6"/>
  <c r="BK536" i="6"/>
  <c r="BK535" i="6"/>
  <c r="BK534" i="6"/>
  <c r="BK533" i="6"/>
  <c r="BK532" i="6"/>
  <c r="BK531" i="6"/>
  <c r="BK530" i="6"/>
  <c r="BK529" i="6"/>
  <c r="BK528" i="6"/>
  <c r="BK527" i="6"/>
  <c r="BK526" i="6"/>
  <c r="BK525" i="6"/>
  <c r="BK524" i="6"/>
  <c r="BK523" i="6"/>
  <c r="BK522" i="6"/>
  <c r="BK521" i="6"/>
  <c r="BK520" i="6"/>
  <c r="BK519" i="6"/>
  <c r="BK518" i="6"/>
  <c r="BK517" i="6"/>
  <c r="BK516" i="6"/>
  <c r="BK515" i="6"/>
  <c r="BK514" i="6"/>
  <c r="BK513" i="6"/>
  <c r="BK512" i="6"/>
  <c r="BK511" i="6"/>
  <c r="BK510" i="6"/>
  <c r="BK509" i="6"/>
  <c r="BK508" i="6"/>
  <c r="BK507" i="6"/>
  <c r="BK506" i="6"/>
  <c r="BK505" i="6"/>
  <c r="BK504" i="6"/>
  <c r="BK503" i="6"/>
  <c r="BK502" i="6"/>
  <c r="BK501" i="6"/>
  <c r="BK500" i="6"/>
  <c r="BK499" i="6"/>
  <c r="BK498" i="6"/>
  <c r="BK497" i="6"/>
  <c r="BK496" i="6"/>
  <c r="BK495" i="6"/>
  <c r="BK494" i="6"/>
  <c r="BK493" i="6"/>
  <c r="BK492" i="6"/>
  <c r="BK491" i="6"/>
  <c r="BK490" i="6"/>
  <c r="BK489" i="6"/>
  <c r="BK488" i="6"/>
  <c r="BK487" i="6"/>
  <c r="BK486" i="6"/>
  <c r="BK485" i="6"/>
  <c r="BK484" i="6"/>
  <c r="BK483" i="6"/>
  <c r="BK482" i="6"/>
  <c r="BK481" i="6"/>
  <c r="BK480" i="6"/>
  <c r="BK479" i="6"/>
  <c r="BK478" i="6"/>
  <c r="BK477" i="6"/>
  <c r="BK476" i="6"/>
  <c r="BK475" i="6"/>
  <c r="BK474" i="6"/>
  <c r="BK473" i="6"/>
  <c r="BK472" i="6"/>
  <c r="BK471" i="6"/>
  <c r="BK470" i="6"/>
  <c r="BK469" i="6"/>
  <c r="BK468" i="6"/>
  <c r="BK467" i="6"/>
  <c r="BK466" i="6"/>
  <c r="BK465" i="6"/>
  <c r="BK464" i="6"/>
  <c r="BK463" i="6"/>
  <c r="BK462" i="6"/>
  <c r="BK461" i="6"/>
  <c r="BK460" i="6"/>
  <c r="BK459" i="6"/>
  <c r="BK458" i="6"/>
  <c r="BK457" i="6"/>
  <c r="BK456" i="6"/>
  <c r="BK455" i="6"/>
  <c r="BK454" i="6"/>
  <c r="BK453" i="6"/>
  <c r="BK452" i="6"/>
  <c r="BK451" i="6"/>
  <c r="BK450" i="6"/>
  <c r="BK449" i="6"/>
  <c r="BK448" i="6"/>
  <c r="BK447" i="6"/>
  <c r="BK446" i="6"/>
  <c r="BK445" i="6"/>
  <c r="BK444" i="6"/>
  <c r="BK443" i="6"/>
  <c r="BK442" i="6"/>
  <c r="BK441" i="6"/>
  <c r="BK440" i="6"/>
  <c r="BK439" i="6"/>
  <c r="BK438" i="6"/>
  <c r="BK437" i="6"/>
  <c r="BK436" i="6"/>
  <c r="BK435" i="6"/>
  <c r="BK434" i="6"/>
  <c r="BK433" i="6"/>
  <c r="BK432" i="6"/>
  <c r="BK431" i="6"/>
  <c r="BK430" i="6"/>
  <c r="BK429" i="6"/>
  <c r="BK428" i="6"/>
  <c r="BK427" i="6"/>
  <c r="BK426" i="6"/>
  <c r="BK425" i="6"/>
  <c r="BK424" i="6"/>
  <c r="BK423" i="6"/>
  <c r="BK422" i="6"/>
  <c r="BK421" i="6"/>
  <c r="BK420" i="6"/>
  <c r="BK419" i="6"/>
  <c r="BK418" i="6"/>
  <c r="BK417" i="6"/>
  <c r="BK416" i="6"/>
  <c r="BK415" i="6"/>
  <c r="BK414" i="6"/>
  <c r="BK413" i="6"/>
  <c r="BK412" i="6"/>
  <c r="BK411" i="6"/>
  <c r="BK410" i="6"/>
  <c r="BK409" i="6"/>
  <c r="BK408" i="6"/>
  <c r="BK407" i="6"/>
  <c r="BK406" i="6"/>
  <c r="BK405" i="6"/>
  <c r="BK404" i="6"/>
  <c r="BK403" i="6"/>
  <c r="BK402" i="6"/>
  <c r="BK401" i="6"/>
  <c r="BK400" i="6"/>
  <c r="BK399" i="6"/>
  <c r="BK398" i="6"/>
  <c r="BK397" i="6"/>
  <c r="BK396" i="6"/>
  <c r="BK395" i="6"/>
  <c r="BK394" i="6"/>
  <c r="BK393" i="6"/>
  <c r="BK392" i="6"/>
  <c r="BK391" i="6"/>
  <c r="BK390" i="6"/>
  <c r="BK389" i="6"/>
  <c r="BK388" i="6"/>
  <c r="BK387" i="6"/>
  <c r="BK386" i="6"/>
  <c r="BK385" i="6"/>
  <c r="BK384" i="6"/>
  <c r="BK383" i="6"/>
  <c r="BK382" i="6"/>
  <c r="BK381" i="6"/>
  <c r="BK380" i="6"/>
  <c r="BK379" i="6"/>
  <c r="BK378" i="6"/>
  <c r="BK377" i="6"/>
  <c r="BK376" i="6"/>
  <c r="BK375" i="6"/>
  <c r="BK374" i="6"/>
  <c r="BK373" i="6"/>
  <c r="BK372" i="6"/>
  <c r="BK371" i="6"/>
  <c r="BK370" i="6"/>
  <c r="BK369" i="6"/>
  <c r="BK368" i="6"/>
  <c r="BK367" i="6"/>
  <c r="BK366" i="6"/>
  <c r="BK365" i="6"/>
  <c r="BK364" i="6"/>
  <c r="BK363" i="6"/>
  <c r="BK362" i="6"/>
  <c r="BK361" i="6"/>
  <c r="BK360" i="6"/>
  <c r="BK359" i="6"/>
  <c r="BK358" i="6"/>
  <c r="BK357" i="6"/>
  <c r="BK356" i="6"/>
  <c r="BK355" i="6"/>
  <c r="BK354" i="6"/>
  <c r="BK353" i="6"/>
  <c r="BK352" i="6"/>
  <c r="BK351" i="6"/>
  <c r="BK350" i="6"/>
  <c r="BK349" i="6"/>
  <c r="BK348" i="6"/>
  <c r="BK347" i="6"/>
  <c r="BK346" i="6"/>
  <c r="BK345" i="6"/>
  <c r="BK344" i="6"/>
  <c r="BK343" i="6"/>
  <c r="BK342" i="6"/>
  <c r="BK341" i="6"/>
  <c r="BK340" i="6"/>
  <c r="BK339" i="6"/>
  <c r="BK338" i="6"/>
  <c r="BK337" i="6"/>
  <c r="BK336" i="6"/>
  <c r="BK335" i="6"/>
  <c r="BK334" i="6"/>
  <c r="BK333" i="6"/>
  <c r="BK332" i="6"/>
  <c r="BK331" i="6"/>
  <c r="BK330" i="6"/>
  <c r="BK329" i="6"/>
  <c r="BK328" i="6"/>
  <c r="BK327" i="6"/>
  <c r="BK326" i="6"/>
  <c r="BK325" i="6"/>
  <c r="BK324" i="6"/>
  <c r="BK323" i="6"/>
  <c r="BK322" i="6"/>
  <c r="BK321" i="6"/>
  <c r="BK320" i="6"/>
  <c r="BK319" i="6"/>
  <c r="BK318" i="6"/>
  <c r="BK317" i="6"/>
  <c r="BK316" i="6"/>
  <c r="BK315" i="6"/>
  <c r="BK314" i="6"/>
  <c r="BK313" i="6"/>
  <c r="BK312" i="6"/>
  <c r="BK311" i="6"/>
  <c r="BK310" i="6"/>
  <c r="BK309" i="6"/>
  <c r="BK308" i="6"/>
  <c r="BK307" i="6"/>
  <c r="BK306" i="6"/>
  <c r="BK305" i="6"/>
  <c r="BK304" i="6"/>
  <c r="BK303" i="6"/>
  <c r="BK302" i="6"/>
  <c r="BK301" i="6"/>
  <c r="BK300" i="6"/>
  <c r="BK299" i="6"/>
  <c r="BK298" i="6"/>
  <c r="BK297" i="6"/>
  <c r="BK296" i="6"/>
  <c r="BK295" i="6"/>
  <c r="BK294" i="6"/>
  <c r="BK293" i="6"/>
  <c r="BK292" i="6"/>
  <c r="BK291" i="6"/>
  <c r="BK290" i="6"/>
  <c r="BK289" i="6"/>
  <c r="BK288" i="6"/>
  <c r="BK287" i="6"/>
  <c r="BK286" i="6"/>
  <c r="BK285" i="6"/>
  <c r="BK284" i="6"/>
  <c r="BK283" i="6"/>
  <c r="BK282" i="6"/>
  <c r="BK281" i="6"/>
  <c r="BK280" i="6"/>
  <c r="BK279" i="6"/>
  <c r="BK278" i="6"/>
  <c r="BK277" i="6"/>
  <c r="BK276" i="6"/>
  <c r="BK275" i="6"/>
  <c r="BK274" i="6"/>
  <c r="BK273" i="6"/>
  <c r="BK272" i="6"/>
  <c r="BK271" i="6"/>
  <c r="BK270" i="6"/>
  <c r="BK269" i="6"/>
  <c r="BK268" i="6"/>
  <c r="BK267" i="6"/>
  <c r="BK266" i="6"/>
  <c r="BK265" i="6"/>
  <c r="BK264" i="6"/>
  <c r="BK263" i="6"/>
  <c r="BK262" i="6"/>
  <c r="BK261" i="6"/>
  <c r="BK260" i="6"/>
  <c r="BK259" i="6"/>
  <c r="BK258" i="6"/>
  <c r="BK257" i="6"/>
  <c r="BK256" i="6"/>
  <c r="BK255" i="6"/>
  <c r="BK254" i="6"/>
  <c r="BK253" i="6"/>
  <c r="BK252" i="6"/>
  <c r="BK251" i="6"/>
  <c r="BK250" i="6"/>
  <c r="BK249" i="6"/>
  <c r="BK248" i="6"/>
  <c r="BK247" i="6"/>
  <c r="BK246" i="6"/>
  <c r="BK245" i="6"/>
  <c r="BK244" i="6"/>
  <c r="BK243" i="6"/>
  <c r="BK242" i="6"/>
  <c r="BK241" i="6"/>
  <c r="BK240" i="6"/>
  <c r="BK239" i="6"/>
  <c r="BK238" i="6"/>
  <c r="BK237" i="6"/>
  <c r="BK236" i="6"/>
  <c r="BK235" i="6"/>
  <c r="BK234" i="6"/>
  <c r="BK233" i="6"/>
  <c r="BK232" i="6"/>
  <c r="BK231" i="6"/>
  <c r="BK230" i="6"/>
  <c r="BK229" i="6"/>
  <c r="BK228" i="6"/>
  <c r="BK227" i="6"/>
  <c r="BK226" i="6"/>
  <c r="BK225" i="6"/>
  <c r="BK224" i="6"/>
  <c r="BK223" i="6"/>
  <c r="BK222" i="6"/>
  <c r="BK221" i="6"/>
  <c r="BK220" i="6"/>
  <c r="BK219" i="6"/>
  <c r="BK218" i="6"/>
  <c r="BK217" i="6"/>
  <c r="BK216" i="6"/>
  <c r="BK215" i="6"/>
  <c r="BK214" i="6"/>
  <c r="BK213" i="6"/>
  <c r="BK212" i="6"/>
  <c r="BK211" i="6"/>
  <c r="BK210" i="6"/>
  <c r="BK209" i="6"/>
  <c r="BK208" i="6"/>
  <c r="BK207" i="6"/>
  <c r="BK206" i="6"/>
  <c r="BK205" i="6"/>
  <c r="BK204" i="6"/>
  <c r="BK203" i="6"/>
  <c r="BK202" i="6"/>
  <c r="BK201" i="6"/>
  <c r="BK200" i="6"/>
  <c r="BK199" i="6"/>
  <c r="BK198" i="6"/>
  <c r="BK197" i="6"/>
  <c r="BK196" i="6"/>
  <c r="BK195" i="6"/>
  <c r="BK194" i="6"/>
  <c r="BK193" i="6"/>
  <c r="BK192" i="6"/>
  <c r="BK191" i="6"/>
  <c r="BK190" i="6"/>
  <c r="BK189" i="6"/>
  <c r="BK188" i="6"/>
  <c r="BK187" i="6"/>
  <c r="BK186" i="6"/>
  <c r="BK185" i="6"/>
  <c r="BK184" i="6"/>
  <c r="BK183" i="6"/>
  <c r="BK182" i="6"/>
  <c r="BK181" i="6"/>
  <c r="BK180" i="6"/>
  <c r="BK179" i="6"/>
  <c r="BK178" i="6"/>
  <c r="BK177" i="6"/>
  <c r="BK176" i="6"/>
  <c r="BK175" i="6"/>
  <c r="BK174" i="6"/>
  <c r="BK173" i="6"/>
  <c r="BK172" i="6"/>
  <c r="BK171" i="6"/>
  <c r="BK170" i="6"/>
  <c r="BK169" i="6"/>
  <c r="BK168" i="6"/>
  <c r="BK167" i="6"/>
  <c r="BK166" i="6"/>
  <c r="BK165" i="6"/>
  <c r="BK164" i="6"/>
  <c r="BK163" i="6"/>
  <c r="BK162" i="6"/>
  <c r="BK161" i="6"/>
  <c r="BK160" i="6"/>
  <c r="BK159" i="6"/>
  <c r="BK158" i="6"/>
  <c r="BK157" i="6"/>
  <c r="BK156" i="6"/>
  <c r="BK155" i="6"/>
  <c r="BK154" i="6"/>
  <c r="BK153" i="6"/>
  <c r="BK152" i="6"/>
  <c r="BK151" i="6"/>
  <c r="BK150" i="6"/>
  <c r="BK149" i="6"/>
  <c r="BK148" i="6"/>
  <c r="BK147" i="6"/>
  <c r="BK146" i="6"/>
  <c r="BK145" i="6"/>
  <c r="BK144" i="6"/>
  <c r="BK143" i="6"/>
  <c r="BK142" i="6"/>
  <c r="BK141" i="6"/>
  <c r="BK140" i="6"/>
  <c r="BK139" i="6"/>
  <c r="BK138" i="6"/>
  <c r="BK137" i="6"/>
  <c r="BK136" i="6"/>
  <c r="BK135" i="6"/>
  <c r="BK134" i="6"/>
  <c r="BK133" i="6"/>
  <c r="BK132" i="6"/>
  <c r="BK131" i="6"/>
  <c r="BK130" i="6"/>
  <c r="BK129" i="6"/>
  <c r="BK128" i="6"/>
  <c r="BK127" i="6"/>
  <c r="BK126" i="6"/>
  <c r="BK125" i="6"/>
  <c r="BK124" i="6"/>
  <c r="BK123" i="6"/>
  <c r="BK122" i="6"/>
  <c r="BK121" i="6"/>
  <c r="BK120" i="6"/>
  <c r="BK119" i="6"/>
  <c r="BK118" i="6"/>
  <c r="BK117" i="6"/>
  <c r="BK116" i="6"/>
  <c r="BK115" i="6"/>
  <c r="BK114" i="6"/>
  <c r="BK113" i="6"/>
  <c r="BK112" i="6"/>
  <c r="BK111" i="6"/>
  <c r="BK110" i="6"/>
  <c r="BK109" i="6"/>
  <c r="BK108" i="6"/>
  <c r="BK107" i="6"/>
  <c r="BK106" i="6"/>
  <c r="BK105" i="6"/>
  <c r="BK104" i="6"/>
  <c r="BK103" i="6"/>
  <c r="BK102" i="6"/>
  <c r="BK101" i="6"/>
  <c r="BK100" i="6"/>
  <c r="BK99" i="6"/>
  <c r="BK98" i="6"/>
  <c r="BK97" i="6"/>
  <c r="BK96" i="6"/>
  <c r="BK95" i="6"/>
  <c r="BK94" i="6"/>
  <c r="BK93" i="6"/>
  <c r="BK92" i="6"/>
  <c r="BK91" i="6"/>
  <c r="BK90" i="6"/>
  <c r="BK89" i="6"/>
  <c r="BK88" i="6"/>
  <c r="BK87" i="6"/>
  <c r="BK86" i="6"/>
  <c r="BK85" i="6"/>
  <c r="BK84" i="6"/>
  <c r="BK83" i="6"/>
  <c r="BK82" i="6"/>
  <c r="BK81" i="6"/>
  <c r="BK80" i="6"/>
  <c r="BK79" i="6"/>
  <c r="BK78" i="6"/>
  <c r="BK77" i="6"/>
  <c r="BK76" i="6"/>
  <c r="BK75" i="6"/>
  <c r="BK74" i="6"/>
  <c r="BK73" i="6"/>
  <c r="BK72" i="6"/>
  <c r="BK71" i="6"/>
  <c r="BK70" i="6"/>
  <c r="BK69" i="6"/>
  <c r="BK68" i="6"/>
  <c r="BK67" i="6"/>
  <c r="BK66" i="6"/>
  <c r="BK65" i="6"/>
  <c r="BK64" i="6"/>
  <c r="BK63" i="6"/>
  <c r="BK62" i="6"/>
  <c r="BK61" i="6"/>
  <c r="BK60" i="6"/>
  <c r="BK59" i="6"/>
  <c r="BK58" i="6"/>
  <c r="BK57" i="6"/>
  <c r="BK56" i="6"/>
  <c r="BK55" i="6"/>
  <c r="BK54" i="6"/>
  <c r="BK53" i="6"/>
  <c r="BK52" i="6"/>
  <c r="BK51" i="6"/>
  <c r="BK50" i="6"/>
  <c r="BK49" i="6"/>
  <c r="BK48" i="6"/>
  <c r="BK47" i="6"/>
  <c r="BK46" i="6"/>
  <c r="BK45" i="6"/>
  <c r="BK44" i="6"/>
  <c r="BK43" i="6"/>
  <c r="BK42" i="6"/>
  <c r="BK41" i="6"/>
  <c r="BK40" i="6"/>
  <c r="BK39" i="6"/>
  <c r="BK38" i="6"/>
  <c r="BK37" i="6"/>
  <c r="BK36" i="6"/>
  <c r="BK35" i="6"/>
  <c r="BK34" i="6"/>
  <c r="BK33" i="6"/>
  <c r="BK32" i="6"/>
  <c r="BK31" i="6"/>
  <c r="BK30" i="6"/>
  <c r="BK29" i="6"/>
  <c r="BK28" i="6"/>
  <c r="BK27" i="6"/>
  <c r="BK26" i="6"/>
  <c r="BK25" i="6"/>
  <c r="BK24" i="6"/>
  <c r="BK23" i="6"/>
  <c r="BK22" i="6"/>
  <c r="BK21" i="6"/>
  <c r="BK20" i="6"/>
  <c r="BK19" i="6"/>
  <c r="BK18" i="6"/>
  <c r="BK17" i="6"/>
  <c r="BK16" i="6"/>
  <c r="BK15" i="6"/>
  <c r="BK14" i="6"/>
  <c r="BK13" i="6"/>
  <c r="BK12" i="6"/>
  <c r="BK11" i="6"/>
  <c r="BK10" i="6"/>
  <c r="BK9" i="6"/>
  <c r="BK8" i="6"/>
  <c r="BK7" i="6"/>
  <c r="BK6" i="6"/>
  <c r="BK5" i="6"/>
  <c r="BK4" i="6"/>
  <c r="BK3" i="6"/>
  <c r="BK2" i="6"/>
  <c r="D32" i="6"/>
  <c r="C32" i="6"/>
  <c r="D19" i="6"/>
  <c r="C19" i="6"/>
  <c r="D6" i="6"/>
  <c r="C6" i="6"/>
  <c r="AV3" i="8"/>
  <c r="AV4" i="8"/>
  <c r="AV5" i="8"/>
  <c r="AV6" i="8"/>
  <c r="AV7" i="8"/>
  <c r="AV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69" i="8"/>
  <c r="AV70" i="8"/>
  <c r="AV71" i="8"/>
  <c r="AV72" i="8"/>
  <c r="AV73" i="8"/>
  <c r="AV74" i="8"/>
  <c r="AV75" i="8"/>
  <c r="AV76" i="8"/>
  <c r="AV77" i="8"/>
  <c r="AV78" i="8"/>
  <c r="AV79" i="8"/>
  <c r="AV80" i="8"/>
  <c r="AV81" i="8"/>
  <c r="AV82" i="8"/>
  <c r="AV83" i="8"/>
  <c r="AV84" i="8"/>
  <c r="AV85" i="8"/>
  <c r="AV86" i="8"/>
  <c r="AV87" i="8"/>
  <c r="AV88" i="8"/>
  <c r="AV89" i="8"/>
  <c r="AV90" i="8"/>
  <c r="AV91" i="8"/>
  <c r="AV92" i="8"/>
  <c r="AV93" i="8"/>
  <c r="AV94" i="8"/>
  <c r="AV95" i="8"/>
  <c r="AV96" i="8"/>
  <c r="AV97" i="8"/>
  <c r="AV98" i="8"/>
  <c r="AV99" i="8"/>
  <c r="AV100" i="8"/>
  <c r="AV101" i="8"/>
  <c r="AV102" i="8"/>
  <c r="AV103" i="8"/>
  <c r="AV104" i="8"/>
  <c r="AV105" i="8"/>
  <c r="AV106" i="8"/>
  <c r="AV107" i="8"/>
  <c r="AV108" i="8"/>
  <c r="AV109" i="8"/>
  <c r="AV110" i="8"/>
  <c r="AV111" i="8"/>
  <c r="AV112" i="8"/>
  <c r="AV113" i="8"/>
  <c r="AV114" i="8"/>
  <c r="AV115" i="8"/>
  <c r="AV116" i="8"/>
  <c r="AV117" i="8"/>
  <c r="AV118" i="8"/>
  <c r="AV119" i="8"/>
  <c r="AV120" i="8"/>
  <c r="AV121" i="8"/>
  <c r="AV122" i="8"/>
  <c r="AV123" i="8"/>
  <c r="AV124" i="8"/>
  <c r="AV125" i="8"/>
  <c r="AV126" i="8"/>
  <c r="AV127" i="8"/>
  <c r="AV128" i="8"/>
  <c r="AV129" i="8"/>
  <c r="AV130" i="8"/>
  <c r="AV131" i="8"/>
  <c r="AV132" i="8"/>
  <c r="AV133" i="8"/>
  <c r="AV134" i="8"/>
  <c r="AV135" i="8"/>
  <c r="AV136" i="8"/>
  <c r="AV137" i="8"/>
  <c r="AV138" i="8"/>
  <c r="AV139" i="8"/>
  <c r="AV140" i="8"/>
  <c r="AV141" i="8"/>
  <c r="AV142" i="8"/>
  <c r="AV143" i="8"/>
  <c r="AV144" i="8"/>
  <c r="AV145" i="8"/>
  <c r="AV146" i="8"/>
  <c r="AV147" i="8"/>
  <c r="AV148" i="8"/>
  <c r="AV149" i="8"/>
  <c r="AV150" i="8"/>
  <c r="AV151" i="8"/>
  <c r="AV152" i="8"/>
  <c r="AV153" i="8"/>
  <c r="AV154" i="8"/>
  <c r="AV155" i="8"/>
  <c r="AV156" i="8"/>
  <c r="AV157" i="8"/>
  <c r="AV158" i="8"/>
  <c r="AV159" i="8"/>
  <c r="AV160" i="8"/>
  <c r="AV161" i="8"/>
  <c r="AV162" i="8"/>
  <c r="AV163" i="8"/>
  <c r="AV164" i="8"/>
  <c r="AV165" i="8"/>
  <c r="AV166" i="8"/>
  <c r="AV167" i="8"/>
  <c r="AV168" i="8"/>
  <c r="AV169" i="8"/>
  <c r="AV170" i="8"/>
  <c r="AV171" i="8"/>
  <c r="AV172" i="8"/>
  <c r="AV173" i="8"/>
  <c r="AV174" i="8"/>
  <c r="AV175" i="8"/>
  <c r="AV176" i="8"/>
  <c r="AV177" i="8"/>
  <c r="AV178" i="8"/>
  <c r="AV179" i="8"/>
  <c r="AV180" i="8"/>
  <c r="AV181" i="8"/>
  <c r="AV182" i="8"/>
  <c r="AV183" i="8"/>
  <c r="AV184" i="8"/>
  <c r="AV185" i="8"/>
  <c r="AV186" i="8"/>
  <c r="AV187" i="8"/>
  <c r="AV188" i="8"/>
  <c r="AV189" i="8"/>
  <c r="AV190" i="8"/>
  <c r="AV191" i="8"/>
  <c r="AV192" i="8"/>
  <c r="AV193" i="8"/>
  <c r="AV194" i="8"/>
  <c r="AV195" i="8"/>
  <c r="AV196" i="8"/>
  <c r="AV197" i="8"/>
  <c r="AV198" i="8"/>
  <c r="AV199" i="8"/>
  <c r="AV200" i="8"/>
  <c r="AV201" i="8"/>
  <c r="AV202" i="8"/>
  <c r="AV203" i="8"/>
  <c r="AV204" i="8"/>
  <c r="AV205" i="8"/>
  <c r="AV206" i="8"/>
  <c r="AV207" i="8"/>
  <c r="AV208" i="8"/>
  <c r="AV209" i="8"/>
  <c r="AV210" i="8"/>
  <c r="AV211" i="8"/>
  <c r="AV212" i="8"/>
  <c r="AV213" i="8"/>
  <c r="AV214" i="8"/>
  <c r="AV215" i="8"/>
  <c r="AV216" i="8"/>
  <c r="AV217" i="8"/>
  <c r="AV218" i="8"/>
  <c r="AV219" i="8"/>
  <c r="AV220" i="8"/>
  <c r="AV221" i="8"/>
  <c r="AV222" i="8"/>
  <c r="AV223" i="8"/>
  <c r="AV224" i="8"/>
  <c r="AV225" i="8"/>
  <c r="AV226" i="8"/>
  <c r="AV227" i="8"/>
  <c r="AV228" i="8"/>
  <c r="AV2" i="8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3" i="6"/>
  <c r="W4" i="6"/>
  <c r="W5" i="6"/>
  <c r="W6" i="6"/>
  <c r="W7" i="6"/>
  <c r="W8" i="6"/>
  <c r="W9" i="6"/>
  <c r="W10" i="6"/>
  <c r="W11" i="6"/>
  <c r="W12" i="6"/>
  <c r="W13" i="6"/>
  <c r="W14" i="6"/>
  <c r="W2" i="6"/>
  <c r="D31" i="6"/>
  <c r="C31" i="6"/>
  <c r="D30" i="6"/>
  <c r="C30" i="6"/>
  <c r="C17" i="6"/>
  <c r="D17" i="6"/>
  <c r="D16" i="6"/>
  <c r="D11" i="6"/>
  <c r="C11" i="6"/>
  <c r="D10" i="6"/>
  <c r="C10" i="6"/>
  <c r="D9" i="6"/>
  <c r="C9" i="6"/>
  <c r="D8" i="6"/>
  <c r="C8" i="6"/>
  <c r="D7" i="6"/>
  <c r="C7" i="6"/>
  <c r="D5" i="6"/>
  <c r="C5" i="6"/>
  <c r="AT3" i="8"/>
  <c r="AT4" i="8"/>
  <c r="AT2" i="8"/>
  <c r="AR4" i="8"/>
  <c r="AR3" i="8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34" i="8"/>
  <c r="AR35" i="8"/>
  <c r="AR36" i="8"/>
  <c r="AR37" i="8"/>
  <c r="AR38" i="8"/>
  <c r="AR39" i="8"/>
  <c r="AR40" i="8"/>
  <c r="AR41" i="8"/>
  <c r="AR42" i="8"/>
  <c r="AR43" i="8"/>
  <c r="AR44" i="8"/>
  <c r="AR45" i="8"/>
  <c r="AR46" i="8"/>
  <c r="AR47" i="8"/>
  <c r="AR48" i="8"/>
  <c r="AR49" i="8"/>
  <c r="AR50" i="8"/>
  <c r="AR51" i="8"/>
  <c r="AR52" i="8"/>
  <c r="AR53" i="8"/>
  <c r="AR54" i="8"/>
  <c r="AR55" i="8"/>
  <c r="AR56" i="8"/>
  <c r="AR57" i="8"/>
  <c r="AR58" i="8"/>
  <c r="AR59" i="8"/>
  <c r="AR60" i="8"/>
  <c r="AR61" i="8"/>
  <c r="AR62" i="8"/>
  <c r="AR63" i="8"/>
  <c r="AR64" i="8"/>
  <c r="AR65" i="8"/>
  <c r="AR66" i="8"/>
  <c r="AR67" i="8"/>
  <c r="AR68" i="8"/>
  <c r="AR69" i="8"/>
  <c r="AR70" i="8"/>
  <c r="AR71" i="8"/>
  <c r="AR72" i="8"/>
  <c r="AR73" i="8"/>
  <c r="AR74" i="8"/>
  <c r="AR75" i="8"/>
  <c r="AR76" i="8"/>
  <c r="AR77" i="8"/>
  <c r="AR78" i="8"/>
  <c r="AR79" i="8"/>
  <c r="AR80" i="8"/>
  <c r="AR81" i="8"/>
  <c r="AR82" i="8"/>
  <c r="AR83" i="8"/>
  <c r="AR84" i="8"/>
  <c r="AR2" i="8"/>
  <c r="AX1004" i="6"/>
  <c r="AX1003" i="6"/>
  <c r="AX1002" i="6"/>
  <c r="AX1001" i="6"/>
  <c r="AX1000" i="6"/>
  <c r="AX999" i="6"/>
  <c r="AX998" i="6"/>
  <c r="AX997" i="6"/>
  <c r="AX996" i="6"/>
  <c r="AX995" i="6"/>
  <c r="AX994" i="6"/>
  <c r="AX993" i="6"/>
  <c r="AX992" i="6"/>
  <c r="AX991" i="6"/>
  <c r="AX990" i="6"/>
  <c r="AX989" i="6"/>
  <c r="AX988" i="6"/>
  <c r="AX987" i="6"/>
  <c r="AX986" i="6"/>
  <c r="AX985" i="6"/>
  <c r="AX984" i="6"/>
  <c r="AX983" i="6"/>
  <c r="AX982" i="6"/>
  <c r="AX981" i="6"/>
  <c r="AX980" i="6"/>
  <c r="AX979" i="6"/>
  <c r="AX978" i="6"/>
  <c r="AX977" i="6"/>
  <c r="AX976" i="6"/>
  <c r="AX975" i="6"/>
  <c r="AX974" i="6"/>
  <c r="AX973" i="6"/>
  <c r="AX972" i="6"/>
  <c r="AX971" i="6"/>
  <c r="AX970" i="6"/>
  <c r="AX969" i="6"/>
  <c r="AX968" i="6"/>
  <c r="AX967" i="6"/>
  <c r="AX966" i="6"/>
  <c r="AX965" i="6"/>
  <c r="AX964" i="6"/>
  <c r="AX963" i="6"/>
  <c r="AX962" i="6"/>
  <c r="AX961" i="6"/>
  <c r="AX960" i="6"/>
  <c r="AX959" i="6"/>
  <c r="AX958" i="6"/>
  <c r="AX957" i="6"/>
  <c r="AX956" i="6"/>
  <c r="AX955" i="6"/>
  <c r="AX954" i="6"/>
  <c r="AX953" i="6"/>
  <c r="AX952" i="6"/>
  <c r="AX951" i="6"/>
  <c r="AX950" i="6"/>
  <c r="AX949" i="6"/>
  <c r="AX948" i="6"/>
  <c r="AX947" i="6"/>
  <c r="AX946" i="6"/>
  <c r="AX945" i="6"/>
  <c r="AX944" i="6"/>
  <c r="AX943" i="6"/>
  <c r="AX942" i="6"/>
  <c r="AX941" i="6"/>
  <c r="AX940" i="6"/>
  <c r="AX939" i="6"/>
  <c r="AX938" i="6"/>
  <c r="AX937" i="6"/>
  <c r="AX936" i="6"/>
  <c r="AX935" i="6"/>
  <c r="AX934" i="6"/>
  <c r="AX933" i="6"/>
  <c r="AX932" i="6"/>
  <c r="AX931" i="6"/>
  <c r="AX930" i="6"/>
  <c r="AX929" i="6"/>
  <c r="AX928" i="6"/>
  <c r="AX927" i="6"/>
  <c r="AX926" i="6"/>
  <c r="AX925" i="6"/>
  <c r="AX924" i="6"/>
  <c r="AX923" i="6"/>
  <c r="AX922" i="6"/>
  <c r="AX921" i="6"/>
  <c r="AX920" i="6"/>
  <c r="AX919" i="6"/>
  <c r="AX918" i="6"/>
  <c r="AX917" i="6"/>
  <c r="AX916" i="6"/>
  <c r="AX915" i="6"/>
  <c r="AX914" i="6"/>
  <c r="AX913" i="6"/>
  <c r="AX912" i="6"/>
  <c r="AX911" i="6"/>
  <c r="AX910" i="6"/>
  <c r="AX909" i="6"/>
  <c r="AX908" i="6"/>
  <c r="AX907" i="6"/>
  <c r="AX906" i="6"/>
  <c r="AX905" i="6"/>
  <c r="AX904" i="6"/>
  <c r="AX903" i="6"/>
  <c r="AX902" i="6"/>
  <c r="AX901" i="6"/>
  <c r="AX900" i="6"/>
  <c r="AX899" i="6"/>
  <c r="AX898" i="6"/>
  <c r="AX897" i="6"/>
  <c r="AX896" i="6"/>
  <c r="AX895" i="6"/>
  <c r="AX894" i="6"/>
  <c r="AX893" i="6"/>
  <c r="AX892" i="6"/>
  <c r="AX891" i="6"/>
  <c r="AX890" i="6"/>
  <c r="AX889" i="6"/>
  <c r="AX888" i="6"/>
  <c r="AX887" i="6"/>
  <c r="AX886" i="6"/>
  <c r="AX885" i="6"/>
  <c r="AX884" i="6"/>
  <c r="AX883" i="6"/>
  <c r="AX882" i="6"/>
  <c r="AX881" i="6"/>
  <c r="AX880" i="6"/>
  <c r="AX879" i="6"/>
  <c r="AX878" i="6"/>
  <c r="AX877" i="6"/>
  <c r="AX876" i="6"/>
  <c r="AX875" i="6"/>
  <c r="AX874" i="6"/>
  <c r="AX873" i="6"/>
  <c r="AX872" i="6"/>
  <c r="AX871" i="6"/>
  <c r="AX870" i="6"/>
  <c r="AX869" i="6"/>
  <c r="AX868" i="6"/>
  <c r="AX867" i="6"/>
  <c r="AX866" i="6"/>
  <c r="AX865" i="6"/>
  <c r="AX864" i="6"/>
  <c r="AX863" i="6"/>
  <c r="AX862" i="6"/>
  <c r="AX861" i="6"/>
  <c r="AX860" i="6"/>
  <c r="AX859" i="6"/>
  <c r="AX858" i="6"/>
  <c r="AX857" i="6"/>
  <c r="AX856" i="6"/>
  <c r="AX855" i="6"/>
  <c r="AX854" i="6"/>
  <c r="AX853" i="6"/>
  <c r="AX852" i="6"/>
  <c r="AX851" i="6"/>
  <c r="AX850" i="6"/>
  <c r="AX849" i="6"/>
  <c r="AX848" i="6"/>
  <c r="AX847" i="6"/>
  <c r="AX846" i="6"/>
  <c r="AX845" i="6"/>
  <c r="AX844" i="6"/>
  <c r="AX843" i="6"/>
  <c r="AX842" i="6"/>
  <c r="AX841" i="6"/>
  <c r="AX840" i="6"/>
  <c r="AX839" i="6"/>
  <c r="AX838" i="6"/>
  <c r="AX837" i="6"/>
  <c r="AX836" i="6"/>
  <c r="AX835" i="6"/>
  <c r="AX834" i="6"/>
  <c r="AX833" i="6"/>
  <c r="AX832" i="6"/>
  <c r="AX831" i="6"/>
  <c r="AX830" i="6"/>
  <c r="AX829" i="6"/>
  <c r="AX828" i="6"/>
  <c r="AX827" i="6"/>
  <c r="AX826" i="6"/>
  <c r="AX825" i="6"/>
  <c r="AX824" i="6"/>
  <c r="AX823" i="6"/>
  <c r="AX822" i="6"/>
  <c r="AX821" i="6"/>
  <c r="AX820" i="6"/>
  <c r="AX819" i="6"/>
  <c r="AX818" i="6"/>
  <c r="AX817" i="6"/>
  <c r="AX816" i="6"/>
  <c r="AX815" i="6"/>
  <c r="AX814" i="6"/>
  <c r="AX813" i="6"/>
  <c r="AX812" i="6"/>
  <c r="AX811" i="6"/>
  <c r="AX810" i="6"/>
  <c r="AX809" i="6"/>
  <c r="AX808" i="6"/>
  <c r="AX807" i="6"/>
  <c r="AX806" i="6"/>
  <c r="AX805" i="6"/>
  <c r="AX804" i="6"/>
  <c r="AX803" i="6"/>
  <c r="AX802" i="6"/>
  <c r="AX801" i="6"/>
  <c r="AX800" i="6"/>
  <c r="AX799" i="6"/>
  <c r="AX798" i="6"/>
  <c r="AX797" i="6"/>
  <c r="AX796" i="6"/>
  <c r="AX795" i="6"/>
  <c r="AX794" i="6"/>
  <c r="AX793" i="6"/>
  <c r="AX792" i="6"/>
  <c r="AX791" i="6"/>
  <c r="AX790" i="6"/>
  <c r="AX789" i="6"/>
  <c r="AX788" i="6"/>
  <c r="AX787" i="6"/>
  <c r="AX786" i="6"/>
  <c r="AX785" i="6"/>
  <c r="AX784" i="6"/>
  <c r="AX783" i="6"/>
  <c r="AX782" i="6"/>
  <c r="AX781" i="6"/>
  <c r="AX780" i="6"/>
  <c r="AX779" i="6"/>
  <c r="AX778" i="6"/>
  <c r="AX777" i="6"/>
  <c r="AX776" i="6"/>
  <c r="AX775" i="6"/>
  <c r="AX774" i="6"/>
  <c r="AX773" i="6"/>
  <c r="AX772" i="6"/>
  <c r="AX771" i="6"/>
  <c r="AX770" i="6"/>
  <c r="AX769" i="6"/>
  <c r="AX768" i="6"/>
  <c r="AX767" i="6"/>
  <c r="AX766" i="6"/>
  <c r="AX765" i="6"/>
  <c r="AX764" i="6"/>
  <c r="AX763" i="6"/>
  <c r="AX762" i="6"/>
  <c r="AX761" i="6"/>
  <c r="AX760" i="6"/>
  <c r="AX759" i="6"/>
  <c r="AX758" i="6"/>
  <c r="AX757" i="6"/>
  <c r="AX756" i="6"/>
  <c r="AX755" i="6"/>
  <c r="AX754" i="6"/>
  <c r="AX753" i="6"/>
  <c r="AX752" i="6"/>
  <c r="AX751" i="6"/>
  <c r="AX750" i="6"/>
  <c r="AX749" i="6"/>
  <c r="AX748" i="6"/>
  <c r="AX747" i="6"/>
  <c r="AX746" i="6"/>
  <c r="AX745" i="6"/>
  <c r="AX744" i="6"/>
  <c r="AX743" i="6"/>
  <c r="AX742" i="6"/>
  <c r="AX741" i="6"/>
  <c r="AX740" i="6"/>
  <c r="AX739" i="6"/>
  <c r="AX738" i="6"/>
  <c r="AX737" i="6"/>
  <c r="AX736" i="6"/>
  <c r="AX735" i="6"/>
  <c r="AX734" i="6"/>
  <c r="AX733" i="6"/>
  <c r="AX732" i="6"/>
  <c r="AX731" i="6"/>
  <c r="AX730" i="6"/>
  <c r="AX729" i="6"/>
  <c r="AX728" i="6"/>
  <c r="AX727" i="6"/>
  <c r="AX726" i="6"/>
  <c r="AX725" i="6"/>
  <c r="AX724" i="6"/>
  <c r="AX723" i="6"/>
  <c r="AX722" i="6"/>
  <c r="AX721" i="6"/>
  <c r="AX720" i="6"/>
  <c r="AX719" i="6"/>
  <c r="AX718" i="6"/>
  <c r="AX717" i="6"/>
  <c r="AX716" i="6"/>
  <c r="AX715" i="6"/>
  <c r="AX714" i="6"/>
  <c r="AX713" i="6"/>
  <c r="AX712" i="6"/>
  <c r="AX711" i="6"/>
  <c r="AX710" i="6"/>
  <c r="AX709" i="6"/>
  <c r="AX708" i="6"/>
  <c r="AX707" i="6"/>
  <c r="AX706" i="6"/>
  <c r="AX705" i="6"/>
  <c r="AX704" i="6"/>
  <c r="AX703" i="6"/>
  <c r="AX702" i="6"/>
  <c r="AX701" i="6"/>
  <c r="AX700" i="6"/>
  <c r="AX699" i="6"/>
  <c r="AX698" i="6"/>
  <c r="AX697" i="6"/>
  <c r="AX696" i="6"/>
  <c r="AX695" i="6"/>
  <c r="AX694" i="6"/>
  <c r="AX693" i="6"/>
  <c r="AX692" i="6"/>
  <c r="AX691" i="6"/>
  <c r="AX690" i="6"/>
  <c r="AX689" i="6"/>
  <c r="AX688" i="6"/>
  <c r="AX687" i="6"/>
  <c r="AX686" i="6"/>
  <c r="AX685" i="6"/>
  <c r="AX684" i="6"/>
  <c r="AX683" i="6"/>
  <c r="AX682" i="6"/>
  <c r="AX681" i="6"/>
  <c r="AX680" i="6"/>
  <c r="AX679" i="6"/>
  <c r="AX678" i="6"/>
  <c r="AX677" i="6"/>
  <c r="AX676" i="6"/>
  <c r="AX675" i="6"/>
  <c r="AX674" i="6"/>
  <c r="AX673" i="6"/>
  <c r="AX672" i="6"/>
  <c r="AX671" i="6"/>
  <c r="AX670" i="6"/>
  <c r="AX669" i="6"/>
  <c r="AX668" i="6"/>
  <c r="AX667" i="6"/>
  <c r="AX666" i="6"/>
  <c r="AX665" i="6"/>
  <c r="AX664" i="6"/>
  <c r="AX663" i="6"/>
  <c r="AX662" i="6"/>
  <c r="AX661" i="6"/>
  <c r="AX660" i="6"/>
  <c r="AX659" i="6"/>
  <c r="AX658" i="6"/>
  <c r="AX657" i="6"/>
  <c r="AX656" i="6"/>
  <c r="AX655" i="6"/>
  <c r="AX654" i="6"/>
  <c r="AX653" i="6"/>
  <c r="AX652" i="6"/>
  <c r="AX651" i="6"/>
  <c r="AX650" i="6"/>
  <c r="AX649" i="6"/>
  <c r="AX648" i="6"/>
  <c r="AX647" i="6"/>
  <c r="AX646" i="6"/>
  <c r="AX645" i="6"/>
  <c r="AX644" i="6"/>
  <c r="AX643" i="6"/>
  <c r="AX642" i="6"/>
  <c r="AX641" i="6"/>
  <c r="AX640" i="6"/>
  <c r="AX639" i="6"/>
  <c r="AX638" i="6"/>
  <c r="AX637" i="6"/>
  <c r="AX636" i="6"/>
  <c r="AX635" i="6"/>
  <c r="AX634" i="6"/>
  <c r="AX633" i="6"/>
  <c r="AX632" i="6"/>
  <c r="AX631" i="6"/>
  <c r="AX630" i="6"/>
  <c r="AX629" i="6"/>
  <c r="AX628" i="6"/>
  <c r="AX627" i="6"/>
  <c r="AX626" i="6"/>
  <c r="AX625" i="6"/>
  <c r="AX624" i="6"/>
  <c r="AX623" i="6"/>
  <c r="AX622" i="6"/>
  <c r="AX621" i="6"/>
  <c r="AX620" i="6"/>
  <c r="AX619" i="6"/>
  <c r="AX618" i="6"/>
  <c r="AX617" i="6"/>
  <c r="AX616" i="6"/>
  <c r="AX615" i="6"/>
  <c r="AX614" i="6"/>
  <c r="AX613" i="6"/>
  <c r="AX612" i="6"/>
  <c r="AX611" i="6"/>
  <c r="AX610" i="6"/>
  <c r="AX609" i="6"/>
  <c r="AX608" i="6"/>
  <c r="AX607" i="6"/>
  <c r="AX606" i="6"/>
  <c r="AX605" i="6"/>
  <c r="AX604" i="6"/>
  <c r="AX603" i="6"/>
  <c r="AX602" i="6"/>
  <c r="AX601" i="6"/>
  <c r="AX600" i="6"/>
  <c r="AX599" i="6"/>
  <c r="AX598" i="6"/>
  <c r="AX597" i="6"/>
  <c r="AX596" i="6"/>
  <c r="AX595" i="6"/>
  <c r="AX594" i="6"/>
  <c r="AX593" i="6"/>
  <c r="AX592" i="6"/>
  <c r="AX591" i="6"/>
  <c r="AX590" i="6"/>
  <c r="AX589" i="6"/>
  <c r="AX588" i="6"/>
  <c r="AX587" i="6"/>
  <c r="AX586" i="6"/>
  <c r="AX585" i="6"/>
  <c r="AX584" i="6"/>
  <c r="AX583" i="6"/>
  <c r="AX582" i="6"/>
  <c r="AX581" i="6"/>
  <c r="AX580" i="6"/>
  <c r="AX579" i="6"/>
  <c r="AX578" i="6"/>
  <c r="AX577" i="6"/>
  <c r="AX576" i="6"/>
  <c r="AX575" i="6"/>
  <c r="AX574" i="6"/>
  <c r="AX573" i="6"/>
  <c r="AX572" i="6"/>
  <c r="AX571" i="6"/>
  <c r="AX570" i="6"/>
  <c r="AX569" i="6"/>
  <c r="AX568" i="6"/>
  <c r="AX567" i="6"/>
  <c r="AX566" i="6"/>
  <c r="AX565" i="6"/>
  <c r="AX564" i="6"/>
  <c r="AX563" i="6"/>
  <c r="AX562" i="6"/>
  <c r="AX561" i="6"/>
  <c r="AX560" i="6"/>
  <c r="AX559" i="6"/>
  <c r="AX558" i="6"/>
  <c r="AX557" i="6"/>
  <c r="AX556" i="6"/>
  <c r="AX555" i="6"/>
  <c r="AX554" i="6"/>
  <c r="AX553" i="6"/>
  <c r="AX552" i="6"/>
  <c r="AX551" i="6"/>
  <c r="AX550" i="6"/>
  <c r="AX549" i="6"/>
  <c r="AX548" i="6"/>
  <c r="AX547" i="6"/>
  <c r="AX546" i="6"/>
  <c r="AX545" i="6"/>
  <c r="AX544" i="6"/>
  <c r="AX543" i="6"/>
  <c r="AX542" i="6"/>
  <c r="AX541" i="6"/>
  <c r="AX540" i="6"/>
  <c r="AX539" i="6"/>
  <c r="AX538" i="6"/>
  <c r="AX537" i="6"/>
  <c r="AX536" i="6"/>
  <c r="AX535" i="6"/>
  <c r="AX534" i="6"/>
  <c r="AX533" i="6"/>
  <c r="AX532" i="6"/>
  <c r="AX531" i="6"/>
  <c r="AX530" i="6"/>
  <c r="AX529" i="6"/>
  <c r="AX528" i="6"/>
  <c r="AX527" i="6"/>
  <c r="AX526" i="6"/>
  <c r="AX525" i="6"/>
  <c r="AX524" i="6"/>
  <c r="AX523" i="6"/>
  <c r="AX522" i="6"/>
  <c r="AX521" i="6"/>
  <c r="AX520" i="6"/>
  <c r="AX519" i="6"/>
  <c r="AX518" i="6"/>
  <c r="AX517" i="6"/>
  <c r="AX516" i="6"/>
  <c r="AX515" i="6"/>
  <c r="AX514" i="6"/>
  <c r="AX513" i="6"/>
  <c r="AX512" i="6"/>
  <c r="AX511" i="6"/>
  <c r="AX510" i="6"/>
  <c r="AX509" i="6"/>
  <c r="AX508" i="6"/>
  <c r="AX507" i="6"/>
  <c r="AX506" i="6"/>
  <c r="AX505" i="6"/>
  <c r="AX504" i="6"/>
  <c r="AX503" i="6"/>
  <c r="AX502" i="6"/>
  <c r="AX501" i="6"/>
  <c r="AX500" i="6"/>
  <c r="AX499" i="6"/>
  <c r="AX498" i="6"/>
  <c r="AX497" i="6"/>
  <c r="AX496" i="6"/>
  <c r="AX495" i="6"/>
  <c r="AX494" i="6"/>
  <c r="AX493" i="6"/>
  <c r="AX492" i="6"/>
  <c r="AX491" i="6"/>
  <c r="AX490" i="6"/>
  <c r="AX489" i="6"/>
  <c r="AX488" i="6"/>
  <c r="AX487" i="6"/>
  <c r="AX486" i="6"/>
  <c r="AX485" i="6"/>
  <c r="AX484" i="6"/>
  <c r="AX483" i="6"/>
  <c r="AX482" i="6"/>
  <c r="AX481" i="6"/>
  <c r="AX480" i="6"/>
  <c r="AX479" i="6"/>
  <c r="AX478" i="6"/>
  <c r="AX477" i="6"/>
  <c r="AX476" i="6"/>
  <c r="AX475" i="6"/>
  <c r="AX474" i="6"/>
  <c r="AX473" i="6"/>
  <c r="AX472" i="6"/>
  <c r="AX471" i="6"/>
  <c r="AX470" i="6"/>
  <c r="AX469" i="6"/>
  <c r="AX468" i="6"/>
  <c r="AX467" i="6"/>
  <c r="AX466" i="6"/>
  <c r="AX465" i="6"/>
  <c r="AX464" i="6"/>
  <c r="AX463" i="6"/>
  <c r="AX462" i="6"/>
  <c r="AX461" i="6"/>
  <c r="AX460" i="6"/>
  <c r="AX459" i="6"/>
  <c r="AX458" i="6"/>
  <c r="AX457" i="6"/>
  <c r="AX456" i="6"/>
  <c r="AX455" i="6"/>
  <c r="AX454" i="6"/>
  <c r="AX453" i="6"/>
  <c r="AX452" i="6"/>
  <c r="AX451" i="6"/>
  <c r="AX450" i="6"/>
  <c r="AX449" i="6"/>
  <c r="AX448" i="6"/>
  <c r="AX447" i="6"/>
  <c r="AX446" i="6"/>
  <c r="AX445" i="6"/>
  <c r="AX444" i="6"/>
  <c r="AX443" i="6"/>
  <c r="AX442" i="6"/>
  <c r="AX441" i="6"/>
  <c r="AX440" i="6"/>
  <c r="AX439" i="6"/>
  <c r="AX438" i="6"/>
  <c r="AX437" i="6"/>
  <c r="AX436" i="6"/>
  <c r="AX435" i="6"/>
  <c r="AX434" i="6"/>
  <c r="AX433" i="6"/>
  <c r="AX432" i="6"/>
  <c r="AX431" i="6"/>
  <c r="AX430" i="6"/>
  <c r="AX429" i="6"/>
  <c r="AX428" i="6"/>
  <c r="AX427" i="6"/>
  <c r="AX426" i="6"/>
  <c r="AX425" i="6"/>
  <c r="AX424" i="6"/>
  <c r="AX423" i="6"/>
  <c r="AX422" i="6"/>
  <c r="AX421" i="6"/>
  <c r="AX420" i="6"/>
  <c r="AX419" i="6"/>
  <c r="AX418" i="6"/>
  <c r="AX417" i="6"/>
  <c r="AX416" i="6"/>
  <c r="AX415" i="6"/>
  <c r="AX414" i="6"/>
  <c r="AX413" i="6"/>
  <c r="AX412" i="6"/>
  <c r="AX411" i="6"/>
  <c r="AX410" i="6"/>
  <c r="AX409" i="6"/>
  <c r="AX408" i="6"/>
  <c r="AX407" i="6"/>
  <c r="AX406" i="6"/>
  <c r="AX405" i="6"/>
  <c r="AX404" i="6"/>
  <c r="AX403" i="6"/>
  <c r="AX402" i="6"/>
  <c r="AX401" i="6"/>
  <c r="AX400" i="6"/>
  <c r="AX399" i="6"/>
  <c r="AX398" i="6"/>
  <c r="AX397" i="6"/>
  <c r="AX396" i="6"/>
  <c r="AX395" i="6"/>
  <c r="AX394" i="6"/>
  <c r="AX393" i="6"/>
  <c r="AX392" i="6"/>
  <c r="AX391" i="6"/>
  <c r="AX390" i="6"/>
  <c r="AX389" i="6"/>
  <c r="AX388" i="6"/>
  <c r="AX387" i="6"/>
  <c r="AX386" i="6"/>
  <c r="AX385" i="6"/>
  <c r="AX384" i="6"/>
  <c r="AX383" i="6"/>
  <c r="AX382" i="6"/>
  <c r="AX381" i="6"/>
  <c r="AX380" i="6"/>
  <c r="AX379" i="6"/>
  <c r="AX378" i="6"/>
  <c r="AX377" i="6"/>
  <c r="AX376" i="6"/>
  <c r="AX375" i="6"/>
  <c r="AX374" i="6"/>
  <c r="AX373" i="6"/>
  <c r="AX372" i="6"/>
  <c r="AX371" i="6"/>
  <c r="AX370" i="6"/>
  <c r="AX369" i="6"/>
  <c r="AX368" i="6"/>
  <c r="AX367" i="6"/>
  <c r="AX366" i="6"/>
  <c r="AX365" i="6"/>
  <c r="AX364" i="6"/>
  <c r="AX363" i="6"/>
  <c r="AX362" i="6"/>
  <c r="AX361" i="6"/>
  <c r="AX360" i="6"/>
  <c r="AX359" i="6"/>
  <c r="AX358" i="6"/>
  <c r="AX357" i="6"/>
  <c r="AX356" i="6"/>
  <c r="AX355" i="6"/>
  <c r="AX354" i="6"/>
  <c r="AX353" i="6"/>
  <c r="AX352" i="6"/>
  <c r="AX351" i="6"/>
  <c r="AX350" i="6"/>
  <c r="AX349" i="6"/>
  <c r="AX348" i="6"/>
  <c r="AX347" i="6"/>
  <c r="AX346" i="6"/>
  <c r="AX345" i="6"/>
  <c r="AX344" i="6"/>
  <c r="AX343" i="6"/>
  <c r="AX342" i="6"/>
  <c r="AX341" i="6"/>
  <c r="AX340" i="6"/>
  <c r="AX339" i="6"/>
  <c r="AX338" i="6"/>
  <c r="AX337" i="6"/>
  <c r="AX336" i="6"/>
  <c r="AX335" i="6"/>
  <c r="AX334" i="6"/>
  <c r="AX333" i="6"/>
  <c r="AX332" i="6"/>
  <c r="AX331" i="6"/>
  <c r="AX330" i="6"/>
  <c r="AX329" i="6"/>
  <c r="AX328" i="6"/>
  <c r="AX327" i="6"/>
  <c r="AX326" i="6"/>
  <c r="AX325" i="6"/>
  <c r="AX324" i="6"/>
  <c r="AX323" i="6"/>
  <c r="AX322" i="6"/>
  <c r="AX321" i="6"/>
  <c r="AX320" i="6"/>
  <c r="AX319" i="6"/>
  <c r="AX318" i="6"/>
  <c r="AX317" i="6"/>
  <c r="AX316" i="6"/>
  <c r="AX315" i="6"/>
  <c r="AX314" i="6"/>
  <c r="AX313" i="6"/>
  <c r="AX312" i="6"/>
  <c r="AX311" i="6"/>
  <c r="AX310" i="6"/>
  <c r="AX309" i="6"/>
  <c r="AX308" i="6"/>
  <c r="AX307" i="6"/>
  <c r="AX306" i="6"/>
  <c r="AX305" i="6"/>
  <c r="AX304" i="6"/>
  <c r="AX303" i="6"/>
  <c r="AX302" i="6"/>
  <c r="AX301" i="6"/>
  <c r="AX300" i="6"/>
  <c r="AX299" i="6"/>
  <c r="AX298" i="6"/>
  <c r="AX297" i="6"/>
  <c r="AX296" i="6"/>
  <c r="AX295" i="6"/>
  <c r="AX294" i="6"/>
  <c r="AX293" i="6"/>
  <c r="AX292" i="6"/>
  <c r="AX291" i="6"/>
  <c r="AX290" i="6"/>
  <c r="AX289" i="6"/>
  <c r="AX288" i="6"/>
  <c r="AX287" i="6"/>
  <c r="AX286" i="6"/>
  <c r="AX285" i="6"/>
  <c r="AX284" i="6"/>
  <c r="AX283" i="6"/>
  <c r="AX282" i="6"/>
  <c r="AX281" i="6"/>
  <c r="AX280" i="6"/>
  <c r="AX279" i="6"/>
  <c r="AX278" i="6"/>
  <c r="AX277" i="6"/>
  <c r="AX276" i="6"/>
  <c r="AX275" i="6"/>
  <c r="AX274" i="6"/>
  <c r="AX273" i="6"/>
  <c r="AX272" i="6"/>
  <c r="AX271" i="6"/>
  <c r="AX270" i="6"/>
  <c r="AX269" i="6"/>
  <c r="AX268" i="6"/>
  <c r="AX267" i="6"/>
  <c r="AX266" i="6"/>
  <c r="AX265" i="6"/>
  <c r="AX264" i="6"/>
  <c r="AX263" i="6"/>
  <c r="AX262" i="6"/>
  <c r="AX261" i="6"/>
  <c r="AX260" i="6"/>
  <c r="AX259" i="6"/>
  <c r="AX258" i="6"/>
  <c r="AX257" i="6"/>
  <c r="AX256" i="6"/>
  <c r="AX255" i="6"/>
  <c r="AX254" i="6"/>
  <c r="AX253" i="6"/>
  <c r="AX252" i="6"/>
  <c r="AX251" i="6"/>
  <c r="AX250" i="6"/>
  <c r="AX249" i="6"/>
  <c r="AX248" i="6"/>
  <c r="AX247" i="6"/>
  <c r="AX246" i="6"/>
  <c r="AX245" i="6"/>
  <c r="AX244" i="6"/>
  <c r="AX243" i="6"/>
  <c r="AX242" i="6"/>
  <c r="AX241" i="6"/>
  <c r="AX240" i="6"/>
  <c r="AX239" i="6"/>
  <c r="AX238" i="6"/>
  <c r="AX237" i="6"/>
  <c r="AX236" i="6"/>
  <c r="AX235" i="6"/>
  <c r="AX234" i="6"/>
  <c r="AX233" i="6"/>
  <c r="AX232" i="6"/>
  <c r="AX231" i="6"/>
  <c r="AX230" i="6"/>
  <c r="AX229" i="6"/>
  <c r="AX228" i="6"/>
  <c r="AX227" i="6"/>
  <c r="AX226" i="6"/>
  <c r="AX225" i="6"/>
  <c r="AX224" i="6"/>
  <c r="AX223" i="6"/>
  <c r="AX222" i="6"/>
  <c r="AX221" i="6"/>
  <c r="AX220" i="6"/>
  <c r="AX219" i="6"/>
  <c r="AX218" i="6"/>
  <c r="AX217" i="6"/>
  <c r="AX216" i="6"/>
  <c r="AX215" i="6"/>
  <c r="AX214" i="6"/>
  <c r="AX213" i="6"/>
  <c r="AX212" i="6"/>
  <c r="AX211" i="6"/>
  <c r="AX210" i="6"/>
  <c r="AX209" i="6"/>
  <c r="AX208" i="6"/>
  <c r="AX207" i="6"/>
  <c r="AX206" i="6"/>
  <c r="AX205" i="6"/>
  <c r="AX204" i="6"/>
  <c r="AX203" i="6"/>
  <c r="AX202" i="6"/>
  <c r="AX201" i="6"/>
  <c r="AX200" i="6"/>
  <c r="AX199" i="6"/>
  <c r="AX198" i="6"/>
  <c r="AX197" i="6"/>
  <c r="AX196" i="6"/>
  <c r="AX195" i="6"/>
  <c r="AX194" i="6"/>
  <c r="AX193" i="6"/>
  <c r="AX192" i="6"/>
  <c r="AX191" i="6"/>
  <c r="AX190" i="6"/>
  <c r="AX189" i="6"/>
  <c r="AX188" i="6"/>
  <c r="AX187" i="6"/>
  <c r="AX186" i="6"/>
  <c r="AX185" i="6"/>
  <c r="AX184" i="6"/>
  <c r="AX183" i="6"/>
  <c r="AX182" i="6"/>
  <c r="AX181" i="6"/>
  <c r="AX180" i="6"/>
  <c r="AX179" i="6"/>
  <c r="AX178" i="6"/>
  <c r="AX177" i="6"/>
  <c r="AX176" i="6"/>
  <c r="AX175" i="6"/>
  <c r="AX174" i="6"/>
  <c r="AX173" i="6"/>
  <c r="AX172" i="6"/>
  <c r="AX171" i="6"/>
  <c r="AX170" i="6"/>
  <c r="AX169" i="6"/>
  <c r="AX168" i="6"/>
  <c r="AX167" i="6"/>
  <c r="AX166" i="6"/>
  <c r="AX165" i="6"/>
  <c r="AX164" i="6"/>
  <c r="AX163" i="6"/>
  <c r="AX162" i="6"/>
  <c r="AX161" i="6"/>
  <c r="AX160" i="6"/>
  <c r="AX159" i="6"/>
  <c r="AX158" i="6"/>
  <c r="AX157" i="6"/>
  <c r="AX156" i="6"/>
  <c r="AX155" i="6"/>
  <c r="AX154" i="6"/>
  <c r="AX153" i="6"/>
  <c r="AX152" i="6"/>
  <c r="AX151" i="6"/>
  <c r="AX150" i="6"/>
  <c r="AX149" i="6"/>
  <c r="AX148" i="6"/>
  <c r="AX147" i="6"/>
  <c r="AX146" i="6"/>
  <c r="AX145" i="6"/>
  <c r="AX144" i="6"/>
  <c r="AX143" i="6"/>
  <c r="AX142" i="6"/>
  <c r="AX141" i="6"/>
  <c r="AX140" i="6"/>
  <c r="AX139" i="6"/>
  <c r="AX138" i="6"/>
  <c r="AX137" i="6"/>
  <c r="AX136" i="6"/>
  <c r="AX135" i="6"/>
  <c r="AX134" i="6"/>
  <c r="AX133" i="6"/>
  <c r="AX132" i="6"/>
  <c r="AX131" i="6"/>
  <c r="AX130" i="6"/>
  <c r="AX129" i="6"/>
  <c r="AX128" i="6"/>
  <c r="AX127" i="6"/>
  <c r="AX126" i="6"/>
  <c r="AX125" i="6"/>
  <c r="AX124" i="6"/>
  <c r="AX123" i="6"/>
  <c r="AX122" i="6"/>
  <c r="AX121" i="6"/>
  <c r="AX120" i="6"/>
  <c r="AX119" i="6"/>
  <c r="AX118" i="6"/>
  <c r="AX117" i="6"/>
  <c r="AX116" i="6"/>
  <c r="AX115" i="6"/>
  <c r="AX114" i="6"/>
  <c r="AX113" i="6"/>
  <c r="AX112" i="6"/>
  <c r="AX111" i="6"/>
  <c r="AX110" i="6"/>
  <c r="AX109" i="6"/>
  <c r="AX108" i="6"/>
  <c r="AX107" i="6"/>
  <c r="AX106" i="6"/>
  <c r="AX105" i="6"/>
  <c r="AX104" i="6"/>
  <c r="AX103" i="6"/>
  <c r="AX102" i="6"/>
  <c r="AX101" i="6"/>
  <c r="AX100" i="6"/>
  <c r="AX99" i="6"/>
  <c r="AX98" i="6"/>
  <c r="AX97" i="6"/>
  <c r="AX96" i="6"/>
  <c r="AX95" i="6"/>
  <c r="AX94" i="6"/>
  <c r="AX93" i="6"/>
  <c r="AX92" i="6"/>
  <c r="AX91" i="6"/>
  <c r="AX90" i="6"/>
  <c r="AX89" i="6"/>
  <c r="AX88" i="6"/>
  <c r="AX87" i="6"/>
  <c r="AX86" i="6"/>
  <c r="AX85" i="6"/>
  <c r="AX84" i="6"/>
  <c r="AX83" i="6"/>
  <c r="AX82" i="6"/>
  <c r="AX81" i="6"/>
  <c r="AX80" i="6"/>
  <c r="AX79" i="6"/>
  <c r="AX78" i="6"/>
  <c r="AX77" i="6"/>
  <c r="AX76" i="6"/>
  <c r="AX75" i="6"/>
  <c r="AX74" i="6"/>
  <c r="AX73" i="6"/>
  <c r="AX72" i="6"/>
  <c r="AX71" i="6"/>
  <c r="AX70" i="6"/>
  <c r="AX69" i="6"/>
  <c r="AX68" i="6"/>
  <c r="AX67" i="6"/>
  <c r="AX66" i="6"/>
  <c r="AX65" i="6"/>
  <c r="AX64" i="6"/>
  <c r="AX63" i="6"/>
  <c r="AX62" i="6"/>
  <c r="AX61" i="6"/>
  <c r="AX60" i="6"/>
  <c r="AX59" i="6"/>
  <c r="AX58" i="6"/>
  <c r="AX57" i="6"/>
  <c r="AX56" i="6"/>
  <c r="AX55" i="6"/>
  <c r="AX54" i="6"/>
  <c r="AX53" i="6"/>
  <c r="AX52" i="6"/>
  <c r="AX51" i="6"/>
  <c r="AX50" i="6"/>
  <c r="AX49" i="6"/>
  <c r="AX48" i="6"/>
  <c r="AX47" i="6"/>
  <c r="AX46" i="6"/>
  <c r="AX45" i="6"/>
  <c r="AX44" i="6"/>
  <c r="AX43" i="6"/>
  <c r="AX42" i="6"/>
  <c r="AX41" i="6"/>
  <c r="AX40" i="6"/>
  <c r="AX39" i="6"/>
  <c r="AX38" i="6"/>
  <c r="AX37" i="6"/>
  <c r="AX36" i="6"/>
  <c r="AX35" i="6"/>
  <c r="AX34" i="6"/>
  <c r="AX33" i="6"/>
  <c r="AX32" i="6"/>
  <c r="AX31" i="6"/>
  <c r="AX30" i="6"/>
  <c r="AX29" i="6"/>
  <c r="AX28" i="6"/>
  <c r="AX27" i="6"/>
  <c r="AX26" i="6"/>
  <c r="AX25" i="6"/>
  <c r="AX24" i="6"/>
  <c r="AX23" i="6"/>
  <c r="AX22" i="6"/>
  <c r="AX21" i="6"/>
  <c r="AX20" i="6"/>
  <c r="AX19" i="6"/>
  <c r="AX18" i="6"/>
  <c r="AX17" i="6"/>
  <c r="AX16" i="6"/>
  <c r="AX15" i="6"/>
  <c r="AX14" i="6"/>
  <c r="AX13" i="6"/>
  <c r="AX12" i="6"/>
  <c r="AX11" i="6"/>
  <c r="AX10" i="6"/>
  <c r="AX9" i="6"/>
  <c r="AX8" i="6"/>
  <c r="AX7" i="6"/>
  <c r="AX6" i="6"/>
  <c r="AX5" i="6"/>
  <c r="AX4" i="6"/>
  <c r="AX3" i="6"/>
  <c r="AX2" i="6"/>
  <c r="U1004" i="5"/>
  <c r="U1003" i="5"/>
  <c r="U1002" i="5"/>
  <c r="U1001" i="5"/>
  <c r="U1000" i="5"/>
  <c r="U999" i="5"/>
  <c r="U998" i="5"/>
  <c r="U997" i="5"/>
  <c r="U996" i="5"/>
  <c r="U995" i="5"/>
  <c r="U994" i="5"/>
  <c r="U993" i="5"/>
  <c r="U992" i="5"/>
  <c r="U991" i="5"/>
  <c r="U990" i="5"/>
  <c r="U989" i="5"/>
  <c r="U988" i="5"/>
  <c r="U987" i="5"/>
  <c r="U986" i="5"/>
  <c r="U985" i="5"/>
  <c r="U984" i="5"/>
  <c r="U983" i="5"/>
  <c r="U982" i="5"/>
  <c r="U981" i="5"/>
  <c r="U980" i="5"/>
  <c r="U979" i="5"/>
  <c r="U978" i="5"/>
  <c r="U977" i="5"/>
  <c r="U976" i="5"/>
  <c r="U975" i="5"/>
  <c r="U974" i="5"/>
  <c r="U973" i="5"/>
  <c r="U972" i="5"/>
  <c r="U971" i="5"/>
  <c r="U970" i="5"/>
  <c r="U969" i="5"/>
  <c r="U968" i="5"/>
  <c r="U967" i="5"/>
  <c r="U966" i="5"/>
  <c r="U965" i="5"/>
  <c r="U964" i="5"/>
  <c r="U963" i="5"/>
  <c r="U962" i="5"/>
  <c r="U961" i="5"/>
  <c r="U960" i="5"/>
  <c r="U959" i="5"/>
  <c r="U958" i="5"/>
  <c r="U957" i="5"/>
  <c r="U956" i="5"/>
  <c r="U955" i="5"/>
  <c r="U954" i="5"/>
  <c r="U953" i="5"/>
  <c r="U952" i="5"/>
  <c r="U951" i="5"/>
  <c r="U950" i="5"/>
  <c r="U949" i="5"/>
  <c r="U948" i="5"/>
  <c r="U947" i="5"/>
  <c r="U946" i="5"/>
  <c r="U945" i="5"/>
  <c r="U944" i="5"/>
  <c r="U943" i="5"/>
  <c r="U942" i="5"/>
  <c r="U941" i="5"/>
  <c r="U940" i="5"/>
  <c r="U939" i="5"/>
  <c r="U938" i="5"/>
  <c r="U937" i="5"/>
  <c r="U936" i="5"/>
  <c r="U935" i="5"/>
  <c r="U934" i="5"/>
  <c r="U933" i="5"/>
  <c r="U932" i="5"/>
  <c r="U931" i="5"/>
  <c r="U930" i="5"/>
  <c r="U929" i="5"/>
  <c r="U928" i="5"/>
  <c r="U927" i="5"/>
  <c r="U926" i="5"/>
  <c r="U925" i="5"/>
  <c r="U924" i="5"/>
  <c r="U923" i="5"/>
  <c r="U922" i="5"/>
  <c r="U921" i="5"/>
  <c r="U920" i="5"/>
  <c r="U919" i="5"/>
  <c r="U918" i="5"/>
  <c r="U917" i="5"/>
  <c r="U916" i="5"/>
  <c r="U915" i="5"/>
  <c r="U914" i="5"/>
  <c r="U913" i="5"/>
  <c r="U912" i="5"/>
  <c r="U911" i="5"/>
  <c r="U910" i="5"/>
  <c r="U909" i="5"/>
  <c r="U908" i="5"/>
  <c r="U907" i="5"/>
  <c r="U906" i="5"/>
  <c r="U905" i="5"/>
  <c r="U904" i="5"/>
  <c r="U903" i="5"/>
  <c r="U902" i="5"/>
  <c r="U901" i="5"/>
  <c r="U900" i="5"/>
  <c r="U899" i="5"/>
  <c r="U898" i="5"/>
  <c r="U897" i="5"/>
  <c r="U896" i="5"/>
  <c r="U895" i="5"/>
  <c r="U894" i="5"/>
  <c r="U893" i="5"/>
  <c r="U892" i="5"/>
  <c r="U891" i="5"/>
  <c r="U890" i="5"/>
  <c r="U889" i="5"/>
  <c r="U888" i="5"/>
  <c r="U887" i="5"/>
  <c r="U886" i="5"/>
  <c r="U885" i="5"/>
  <c r="U884" i="5"/>
  <c r="U883" i="5"/>
  <c r="U882" i="5"/>
  <c r="U881" i="5"/>
  <c r="U880" i="5"/>
  <c r="U879" i="5"/>
  <c r="U878" i="5"/>
  <c r="U877" i="5"/>
  <c r="U876" i="5"/>
  <c r="U875" i="5"/>
  <c r="U874" i="5"/>
  <c r="U873" i="5"/>
  <c r="U872" i="5"/>
  <c r="U871" i="5"/>
  <c r="U870" i="5"/>
  <c r="U869" i="5"/>
  <c r="U868" i="5"/>
  <c r="U867" i="5"/>
  <c r="U866" i="5"/>
  <c r="U865" i="5"/>
  <c r="U864" i="5"/>
  <c r="U863" i="5"/>
  <c r="U862" i="5"/>
  <c r="U861" i="5"/>
  <c r="U860" i="5"/>
  <c r="U859" i="5"/>
  <c r="U858" i="5"/>
  <c r="U857" i="5"/>
  <c r="U856" i="5"/>
  <c r="U855" i="5"/>
  <c r="U854" i="5"/>
  <c r="U853" i="5"/>
  <c r="U852" i="5"/>
  <c r="U851" i="5"/>
  <c r="U850" i="5"/>
  <c r="U849" i="5"/>
  <c r="U848" i="5"/>
  <c r="U847" i="5"/>
  <c r="U846" i="5"/>
  <c r="U845" i="5"/>
  <c r="U844" i="5"/>
  <c r="U843" i="5"/>
  <c r="U842" i="5"/>
  <c r="U841" i="5"/>
  <c r="U840" i="5"/>
  <c r="U839" i="5"/>
  <c r="U838" i="5"/>
  <c r="U837" i="5"/>
  <c r="U836" i="5"/>
  <c r="U835" i="5"/>
  <c r="U834" i="5"/>
  <c r="U833" i="5"/>
  <c r="U832" i="5"/>
  <c r="U831" i="5"/>
  <c r="U830" i="5"/>
  <c r="U829" i="5"/>
  <c r="U828" i="5"/>
  <c r="U827" i="5"/>
  <c r="U826" i="5"/>
  <c r="U825" i="5"/>
  <c r="U824" i="5"/>
  <c r="U823" i="5"/>
  <c r="U822" i="5"/>
  <c r="U821" i="5"/>
  <c r="U820" i="5"/>
  <c r="U819" i="5"/>
  <c r="U818" i="5"/>
  <c r="U817" i="5"/>
  <c r="U816" i="5"/>
  <c r="U815" i="5"/>
  <c r="U814" i="5"/>
  <c r="U813" i="5"/>
  <c r="U812" i="5"/>
  <c r="U811" i="5"/>
  <c r="U810" i="5"/>
  <c r="U809" i="5"/>
  <c r="U808" i="5"/>
  <c r="U807" i="5"/>
  <c r="U806" i="5"/>
  <c r="U805" i="5"/>
  <c r="U804" i="5"/>
  <c r="U803" i="5"/>
  <c r="U802" i="5"/>
  <c r="U801" i="5"/>
  <c r="U800" i="5"/>
  <c r="U799" i="5"/>
  <c r="U798" i="5"/>
  <c r="U797" i="5"/>
  <c r="U796" i="5"/>
  <c r="U795" i="5"/>
  <c r="U794" i="5"/>
  <c r="U793" i="5"/>
  <c r="U792" i="5"/>
  <c r="U791" i="5"/>
  <c r="U790" i="5"/>
  <c r="U789" i="5"/>
  <c r="U788" i="5"/>
  <c r="U787" i="5"/>
  <c r="U786" i="5"/>
  <c r="U785" i="5"/>
  <c r="U784" i="5"/>
  <c r="U783" i="5"/>
  <c r="U782" i="5"/>
  <c r="U781" i="5"/>
  <c r="U780" i="5"/>
  <c r="U779" i="5"/>
  <c r="U778" i="5"/>
  <c r="U777" i="5"/>
  <c r="U776" i="5"/>
  <c r="U775" i="5"/>
  <c r="U774" i="5"/>
  <c r="U773" i="5"/>
  <c r="U772" i="5"/>
  <c r="U771" i="5"/>
  <c r="U770" i="5"/>
  <c r="U769" i="5"/>
  <c r="U768" i="5"/>
  <c r="U767" i="5"/>
  <c r="U766" i="5"/>
  <c r="U765" i="5"/>
  <c r="U764" i="5"/>
  <c r="U763" i="5"/>
  <c r="U762" i="5"/>
  <c r="U761" i="5"/>
  <c r="U760" i="5"/>
  <c r="U759" i="5"/>
  <c r="U758" i="5"/>
  <c r="U757" i="5"/>
  <c r="U756" i="5"/>
  <c r="U755" i="5"/>
  <c r="U754" i="5"/>
  <c r="U753" i="5"/>
  <c r="U752" i="5"/>
  <c r="U751" i="5"/>
  <c r="U750" i="5"/>
  <c r="U749" i="5"/>
  <c r="U748" i="5"/>
  <c r="U747" i="5"/>
  <c r="U746" i="5"/>
  <c r="U745" i="5"/>
  <c r="U744" i="5"/>
  <c r="U743" i="5"/>
  <c r="U742" i="5"/>
  <c r="U741" i="5"/>
  <c r="U740" i="5"/>
  <c r="U739" i="5"/>
  <c r="U738" i="5"/>
  <c r="U737" i="5"/>
  <c r="U736" i="5"/>
  <c r="U735" i="5"/>
  <c r="U734" i="5"/>
  <c r="U733" i="5"/>
  <c r="U732" i="5"/>
  <c r="U731" i="5"/>
  <c r="U730" i="5"/>
  <c r="U729" i="5"/>
  <c r="U728" i="5"/>
  <c r="U727" i="5"/>
  <c r="U726" i="5"/>
  <c r="U725" i="5"/>
  <c r="U724" i="5"/>
  <c r="U723" i="5"/>
  <c r="U722" i="5"/>
  <c r="U721" i="5"/>
  <c r="U720" i="5"/>
  <c r="U719" i="5"/>
  <c r="U718" i="5"/>
  <c r="U717" i="5"/>
  <c r="U716" i="5"/>
  <c r="U715" i="5"/>
  <c r="U714" i="5"/>
  <c r="U713" i="5"/>
  <c r="U712" i="5"/>
  <c r="U711" i="5"/>
  <c r="U710" i="5"/>
  <c r="U709" i="5"/>
  <c r="U708" i="5"/>
  <c r="U707" i="5"/>
  <c r="U706" i="5"/>
  <c r="U705" i="5"/>
  <c r="U704" i="5"/>
  <c r="U703" i="5"/>
  <c r="U702" i="5"/>
  <c r="U701" i="5"/>
  <c r="U700" i="5"/>
  <c r="U699" i="5"/>
  <c r="U698" i="5"/>
  <c r="U697" i="5"/>
  <c r="U696" i="5"/>
  <c r="U695" i="5"/>
  <c r="U694" i="5"/>
  <c r="U693" i="5"/>
  <c r="U692" i="5"/>
  <c r="U691" i="5"/>
  <c r="U690" i="5"/>
  <c r="U689" i="5"/>
  <c r="U688" i="5"/>
  <c r="U687" i="5"/>
  <c r="U686" i="5"/>
  <c r="U685" i="5"/>
  <c r="U684" i="5"/>
  <c r="U683" i="5"/>
  <c r="U682" i="5"/>
  <c r="U681" i="5"/>
  <c r="U680" i="5"/>
  <c r="U679" i="5"/>
  <c r="U678" i="5"/>
  <c r="U677" i="5"/>
  <c r="U676" i="5"/>
  <c r="U675" i="5"/>
  <c r="U674" i="5"/>
  <c r="U673" i="5"/>
  <c r="U672" i="5"/>
  <c r="U671" i="5"/>
  <c r="U670" i="5"/>
  <c r="U669" i="5"/>
  <c r="U668" i="5"/>
  <c r="U667" i="5"/>
  <c r="U666" i="5"/>
  <c r="U665" i="5"/>
  <c r="U664" i="5"/>
  <c r="U663" i="5"/>
  <c r="U662" i="5"/>
  <c r="U661" i="5"/>
  <c r="U660" i="5"/>
  <c r="U659" i="5"/>
  <c r="U658" i="5"/>
  <c r="U657" i="5"/>
  <c r="U656" i="5"/>
  <c r="U655" i="5"/>
  <c r="U654" i="5"/>
  <c r="U653" i="5"/>
  <c r="U652" i="5"/>
  <c r="U651" i="5"/>
  <c r="U650" i="5"/>
  <c r="U649" i="5"/>
  <c r="U648" i="5"/>
  <c r="U647" i="5"/>
  <c r="U646" i="5"/>
  <c r="U645" i="5"/>
  <c r="U644" i="5"/>
  <c r="U643" i="5"/>
  <c r="U642" i="5"/>
  <c r="U641" i="5"/>
  <c r="U640" i="5"/>
  <c r="U639" i="5"/>
  <c r="U638" i="5"/>
  <c r="U637" i="5"/>
  <c r="U636" i="5"/>
  <c r="U635" i="5"/>
  <c r="U634" i="5"/>
  <c r="U633" i="5"/>
  <c r="U632" i="5"/>
  <c r="U631" i="5"/>
  <c r="U630" i="5"/>
  <c r="U629" i="5"/>
  <c r="U628" i="5"/>
  <c r="U627" i="5"/>
  <c r="U626" i="5"/>
  <c r="U625" i="5"/>
  <c r="U624" i="5"/>
  <c r="U623" i="5"/>
  <c r="U622" i="5"/>
  <c r="U621" i="5"/>
  <c r="U620" i="5"/>
  <c r="U619" i="5"/>
  <c r="U618" i="5"/>
  <c r="U617" i="5"/>
  <c r="U616" i="5"/>
  <c r="U615" i="5"/>
  <c r="U614" i="5"/>
  <c r="U613" i="5"/>
  <c r="U612" i="5"/>
  <c r="U611" i="5"/>
  <c r="U610" i="5"/>
  <c r="U609" i="5"/>
  <c r="U608" i="5"/>
  <c r="U607" i="5"/>
  <c r="U606" i="5"/>
  <c r="U605" i="5"/>
  <c r="U604" i="5"/>
  <c r="U603" i="5"/>
  <c r="U602" i="5"/>
  <c r="U601" i="5"/>
  <c r="U600" i="5"/>
  <c r="U599" i="5"/>
  <c r="U598" i="5"/>
  <c r="U597" i="5"/>
  <c r="U596" i="5"/>
  <c r="U595" i="5"/>
  <c r="U594" i="5"/>
  <c r="U593" i="5"/>
  <c r="U592" i="5"/>
  <c r="U591" i="5"/>
  <c r="U590" i="5"/>
  <c r="U589" i="5"/>
  <c r="U588" i="5"/>
  <c r="U587" i="5"/>
  <c r="U586" i="5"/>
  <c r="U585" i="5"/>
  <c r="U584" i="5"/>
  <c r="U583" i="5"/>
  <c r="U582" i="5"/>
  <c r="U581" i="5"/>
  <c r="U580" i="5"/>
  <c r="U579" i="5"/>
  <c r="U578" i="5"/>
  <c r="U577" i="5"/>
  <c r="U576" i="5"/>
  <c r="U575" i="5"/>
  <c r="U574" i="5"/>
  <c r="U573" i="5"/>
  <c r="U572" i="5"/>
  <c r="U571" i="5"/>
  <c r="U570" i="5"/>
  <c r="U569" i="5"/>
  <c r="U568" i="5"/>
  <c r="U567" i="5"/>
  <c r="U566" i="5"/>
  <c r="U565" i="5"/>
  <c r="U564" i="5"/>
  <c r="U563" i="5"/>
  <c r="U562" i="5"/>
  <c r="U561" i="5"/>
  <c r="U560" i="5"/>
  <c r="U559" i="5"/>
  <c r="U558" i="5"/>
  <c r="U557" i="5"/>
  <c r="U556" i="5"/>
  <c r="U555" i="5"/>
  <c r="U554" i="5"/>
  <c r="U553" i="5"/>
  <c r="U552" i="5"/>
  <c r="U551" i="5"/>
  <c r="U550" i="5"/>
  <c r="U549" i="5"/>
  <c r="U548" i="5"/>
  <c r="U547" i="5"/>
  <c r="U546" i="5"/>
  <c r="U545" i="5"/>
  <c r="U544" i="5"/>
  <c r="U543" i="5"/>
  <c r="U542" i="5"/>
  <c r="U541" i="5"/>
  <c r="U540" i="5"/>
  <c r="U539" i="5"/>
  <c r="U538" i="5"/>
  <c r="U537" i="5"/>
  <c r="U536" i="5"/>
  <c r="U535" i="5"/>
  <c r="U534" i="5"/>
  <c r="U533" i="5"/>
  <c r="U532" i="5"/>
  <c r="U531" i="5"/>
  <c r="U530" i="5"/>
  <c r="U529" i="5"/>
  <c r="U528" i="5"/>
  <c r="U527" i="5"/>
  <c r="U526" i="5"/>
  <c r="U525" i="5"/>
  <c r="U524" i="5"/>
  <c r="U523" i="5"/>
  <c r="U522" i="5"/>
  <c r="U521" i="5"/>
  <c r="U520" i="5"/>
  <c r="U519" i="5"/>
  <c r="U518" i="5"/>
  <c r="U517" i="5"/>
  <c r="U516" i="5"/>
  <c r="U515" i="5"/>
  <c r="U514" i="5"/>
  <c r="U513" i="5"/>
  <c r="U512" i="5"/>
  <c r="U511" i="5"/>
  <c r="U510" i="5"/>
  <c r="U509" i="5"/>
  <c r="U508" i="5"/>
  <c r="U507" i="5"/>
  <c r="U506" i="5"/>
  <c r="U505" i="5"/>
  <c r="U504" i="5"/>
  <c r="U503" i="5"/>
  <c r="U502" i="5"/>
  <c r="U501" i="5"/>
  <c r="U500" i="5"/>
  <c r="U499" i="5"/>
  <c r="U498" i="5"/>
  <c r="U497" i="5"/>
  <c r="U496" i="5"/>
  <c r="U495" i="5"/>
  <c r="U494" i="5"/>
  <c r="U493" i="5"/>
  <c r="U492" i="5"/>
  <c r="U491" i="5"/>
  <c r="U490" i="5"/>
  <c r="U489" i="5"/>
  <c r="U488" i="5"/>
  <c r="U487" i="5"/>
  <c r="U486" i="5"/>
  <c r="U485" i="5"/>
  <c r="U484" i="5"/>
  <c r="U483" i="5"/>
  <c r="U482" i="5"/>
  <c r="U481" i="5"/>
  <c r="U480" i="5"/>
  <c r="U479" i="5"/>
  <c r="U478" i="5"/>
  <c r="U477" i="5"/>
  <c r="U476" i="5"/>
  <c r="U475" i="5"/>
  <c r="U474" i="5"/>
  <c r="U473" i="5"/>
  <c r="U472" i="5"/>
  <c r="U471" i="5"/>
  <c r="U470" i="5"/>
  <c r="U469" i="5"/>
  <c r="U468" i="5"/>
  <c r="U467" i="5"/>
  <c r="U466" i="5"/>
  <c r="U465" i="5"/>
  <c r="U464" i="5"/>
  <c r="U463" i="5"/>
  <c r="U462" i="5"/>
  <c r="U461" i="5"/>
  <c r="U460" i="5"/>
  <c r="U459" i="5"/>
  <c r="U458" i="5"/>
  <c r="U457" i="5"/>
  <c r="U456" i="5"/>
  <c r="U455" i="5"/>
  <c r="U454" i="5"/>
  <c r="U453" i="5"/>
  <c r="U452" i="5"/>
  <c r="U451" i="5"/>
  <c r="U450" i="5"/>
  <c r="U449" i="5"/>
  <c r="U448" i="5"/>
  <c r="U447" i="5"/>
  <c r="U446" i="5"/>
  <c r="U445" i="5"/>
  <c r="U444" i="5"/>
  <c r="U443" i="5"/>
  <c r="U442" i="5"/>
  <c r="U441" i="5"/>
  <c r="U440" i="5"/>
  <c r="U439" i="5"/>
  <c r="U438" i="5"/>
  <c r="U437" i="5"/>
  <c r="U436" i="5"/>
  <c r="U435" i="5"/>
  <c r="U434" i="5"/>
  <c r="U433" i="5"/>
  <c r="U432" i="5"/>
  <c r="U431" i="5"/>
  <c r="U430" i="5"/>
  <c r="U429" i="5"/>
  <c r="U428" i="5"/>
  <c r="U427" i="5"/>
  <c r="U426" i="5"/>
  <c r="U425" i="5"/>
  <c r="U424" i="5"/>
  <c r="U423" i="5"/>
  <c r="U422" i="5"/>
  <c r="U421" i="5"/>
  <c r="U420" i="5"/>
  <c r="U419" i="5"/>
  <c r="U418" i="5"/>
  <c r="U417" i="5"/>
  <c r="U416" i="5"/>
  <c r="U415" i="5"/>
  <c r="U414" i="5"/>
  <c r="U413" i="5"/>
  <c r="U412" i="5"/>
  <c r="U411" i="5"/>
  <c r="U410" i="5"/>
  <c r="U409" i="5"/>
  <c r="U408" i="5"/>
  <c r="U407" i="5"/>
  <c r="U406" i="5"/>
  <c r="U405" i="5"/>
  <c r="U404" i="5"/>
  <c r="U403" i="5"/>
  <c r="U402" i="5"/>
  <c r="U401" i="5"/>
  <c r="U400" i="5"/>
  <c r="U399" i="5"/>
  <c r="U398" i="5"/>
  <c r="U397" i="5"/>
  <c r="U396" i="5"/>
  <c r="U395" i="5"/>
  <c r="U394" i="5"/>
  <c r="U393" i="5"/>
  <c r="U392" i="5"/>
  <c r="U391" i="5"/>
  <c r="U390" i="5"/>
  <c r="U389" i="5"/>
  <c r="U388" i="5"/>
  <c r="U387" i="5"/>
  <c r="U386" i="5"/>
  <c r="U385" i="5"/>
  <c r="U384" i="5"/>
  <c r="U383" i="5"/>
  <c r="U382" i="5"/>
  <c r="U381" i="5"/>
  <c r="U380" i="5"/>
  <c r="U379" i="5"/>
  <c r="U378" i="5"/>
  <c r="U377" i="5"/>
  <c r="U376" i="5"/>
  <c r="U375" i="5"/>
  <c r="U374" i="5"/>
  <c r="U373" i="5"/>
  <c r="U372" i="5"/>
  <c r="U371" i="5"/>
  <c r="U370" i="5"/>
  <c r="U369" i="5"/>
  <c r="U368" i="5"/>
  <c r="U367" i="5"/>
  <c r="U366" i="5"/>
  <c r="U365" i="5"/>
  <c r="U364" i="5"/>
  <c r="U363" i="5"/>
  <c r="U362" i="5"/>
  <c r="U361" i="5"/>
  <c r="U360" i="5"/>
  <c r="U359" i="5"/>
  <c r="U358" i="5"/>
  <c r="U357" i="5"/>
  <c r="U356" i="5"/>
  <c r="U355" i="5"/>
  <c r="U354" i="5"/>
  <c r="U353" i="5"/>
  <c r="U352" i="5"/>
  <c r="U351" i="5"/>
  <c r="U350" i="5"/>
  <c r="U349" i="5"/>
  <c r="U348" i="5"/>
  <c r="U347" i="5"/>
  <c r="U346" i="5"/>
  <c r="U345" i="5"/>
  <c r="U344" i="5"/>
  <c r="U343" i="5"/>
  <c r="U342" i="5"/>
  <c r="U341" i="5"/>
  <c r="U340" i="5"/>
  <c r="U339" i="5"/>
  <c r="U338" i="5"/>
  <c r="U337" i="5"/>
  <c r="U336" i="5"/>
  <c r="U335" i="5"/>
  <c r="U334" i="5"/>
  <c r="U333" i="5"/>
  <c r="U332" i="5"/>
  <c r="U331" i="5"/>
  <c r="U330" i="5"/>
  <c r="U329" i="5"/>
  <c r="U328" i="5"/>
  <c r="U327" i="5"/>
  <c r="U326" i="5"/>
  <c r="U325" i="5"/>
  <c r="U324" i="5"/>
  <c r="U323" i="5"/>
  <c r="U322" i="5"/>
  <c r="U321" i="5"/>
  <c r="U320" i="5"/>
  <c r="U319" i="5"/>
  <c r="U318" i="5"/>
  <c r="U317" i="5"/>
  <c r="U316" i="5"/>
  <c r="U315" i="5"/>
  <c r="U314" i="5"/>
  <c r="U313" i="5"/>
  <c r="U312" i="5"/>
  <c r="U311" i="5"/>
  <c r="U310" i="5"/>
  <c r="U309" i="5"/>
  <c r="U308" i="5"/>
  <c r="U307" i="5"/>
  <c r="U306" i="5"/>
  <c r="U305" i="5"/>
  <c r="U304" i="5"/>
  <c r="U303" i="5"/>
  <c r="U302" i="5"/>
  <c r="U301" i="5"/>
  <c r="U300" i="5"/>
  <c r="U299" i="5"/>
  <c r="U298" i="5"/>
  <c r="U297" i="5"/>
  <c r="U296" i="5"/>
  <c r="U295" i="5"/>
  <c r="U294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2" i="6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N3" i="8"/>
  <c r="N4" i="8"/>
  <c r="N5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2" i="8"/>
  <c r="L2" i="8"/>
  <c r="N2" i="8"/>
  <c r="P2" i="8"/>
  <c r="R2" i="8"/>
  <c r="AC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504" i="6"/>
  <c r="AC505" i="6"/>
  <c r="AC506" i="6"/>
  <c r="AC507" i="6"/>
  <c r="AC508" i="6"/>
  <c r="AC509" i="6"/>
  <c r="AC510" i="6"/>
  <c r="AC511" i="6"/>
  <c r="AC512" i="6"/>
  <c r="AC513" i="6"/>
  <c r="AC514" i="6"/>
  <c r="AC515" i="6"/>
  <c r="AC516" i="6"/>
  <c r="AC517" i="6"/>
  <c r="AC518" i="6"/>
  <c r="AC519" i="6"/>
  <c r="AC520" i="6"/>
  <c r="AC521" i="6"/>
  <c r="AC522" i="6"/>
  <c r="AC523" i="6"/>
  <c r="AC524" i="6"/>
  <c r="AC525" i="6"/>
  <c r="AC526" i="6"/>
  <c r="AC527" i="6"/>
  <c r="AC528" i="6"/>
  <c r="AC529" i="6"/>
  <c r="AC530" i="6"/>
  <c r="AC531" i="6"/>
  <c r="AC532" i="6"/>
  <c r="AC533" i="6"/>
  <c r="AC534" i="6"/>
  <c r="AC535" i="6"/>
  <c r="AC536" i="6"/>
  <c r="AC537" i="6"/>
  <c r="AC538" i="6"/>
  <c r="AC539" i="6"/>
  <c r="AC540" i="6"/>
  <c r="AC541" i="6"/>
  <c r="AC542" i="6"/>
  <c r="AC543" i="6"/>
  <c r="AC544" i="6"/>
  <c r="AC545" i="6"/>
  <c r="AC546" i="6"/>
  <c r="AC547" i="6"/>
  <c r="AC548" i="6"/>
  <c r="AC549" i="6"/>
  <c r="AC550" i="6"/>
  <c r="AC551" i="6"/>
  <c r="AC552" i="6"/>
  <c r="AC553" i="6"/>
  <c r="AC554" i="6"/>
  <c r="AC555" i="6"/>
  <c r="AC556" i="6"/>
  <c r="AC557" i="6"/>
  <c r="AC558" i="6"/>
  <c r="AC559" i="6"/>
  <c r="AC560" i="6"/>
  <c r="AC561" i="6"/>
  <c r="AC562" i="6"/>
  <c r="AC563" i="6"/>
  <c r="AC564" i="6"/>
  <c r="AC565" i="6"/>
  <c r="AC566" i="6"/>
  <c r="AC567" i="6"/>
  <c r="AC568" i="6"/>
  <c r="AC569" i="6"/>
  <c r="AC570" i="6"/>
  <c r="AC571" i="6"/>
  <c r="AC572" i="6"/>
  <c r="AC573" i="6"/>
  <c r="AC574" i="6"/>
  <c r="AC575" i="6"/>
  <c r="AC576" i="6"/>
  <c r="AC577" i="6"/>
  <c r="AC578" i="6"/>
  <c r="AC579" i="6"/>
  <c r="AC580" i="6"/>
  <c r="AC581" i="6"/>
  <c r="AC582" i="6"/>
  <c r="AC583" i="6"/>
  <c r="AC584" i="6"/>
  <c r="AC585" i="6"/>
  <c r="AC586" i="6"/>
  <c r="AC587" i="6"/>
  <c r="AC588" i="6"/>
  <c r="AC589" i="6"/>
  <c r="AC590" i="6"/>
  <c r="AC591" i="6"/>
  <c r="AC592" i="6"/>
  <c r="AC593" i="6"/>
  <c r="AC594" i="6"/>
  <c r="AC595" i="6"/>
  <c r="AC596" i="6"/>
  <c r="AC597" i="6"/>
  <c r="AC598" i="6"/>
  <c r="AC599" i="6"/>
  <c r="AC600" i="6"/>
  <c r="AC601" i="6"/>
  <c r="AC602" i="6"/>
  <c r="AC603" i="6"/>
  <c r="AC604" i="6"/>
  <c r="AC605" i="6"/>
  <c r="AC606" i="6"/>
  <c r="AC607" i="6"/>
  <c r="AC608" i="6"/>
  <c r="AC609" i="6"/>
  <c r="AC610" i="6"/>
  <c r="AC611" i="6"/>
  <c r="AC612" i="6"/>
  <c r="AC613" i="6"/>
  <c r="AC614" i="6"/>
  <c r="AC615" i="6"/>
  <c r="AC616" i="6"/>
  <c r="AC617" i="6"/>
  <c r="AC618" i="6"/>
  <c r="AC619" i="6"/>
  <c r="AC620" i="6"/>
  <c r="AC621" i="6"/>
  <c r="AC622" i="6"/>
  <c r="AC623" i="6"/>
  <c r="AC624" i="6"/>
  <c r="AC625" i="6"/>
  <c r="AC626" i="6"/>
  <c r="AC627" i="6"/>
  <c r="AC628" i="6"/>
  <c r="AC629" i="6"/>
  <c r="AC630" i="6"/>
  <c r="AC631" i="6"/>
  <c r="AC632" i="6"/>
  <c r="AC633" i="6"/>
  <c r="AC634" i="6"/>
  <c r="AC635" i="6"/>
  <c r="AC636" i="6"/>
  <c r="AC637" i="6"/>
  <c r="AC638" i="6"/>
  <c r="AC639" i="6"/>
  <c r="AC640" i="6"/>
  <c r="AC641" i="6"/>
  <c r="AC642" i="6"/>
  <c r="AC643" i="6"/>
  <c r="AC644" i="6"/>
  <c r="AC645" i="6"/>
  <c r="AC646" i="6"/>
  <c r="AC647" i="6"/>
  <c r="AC648" i="6"/>
  <c r="AC649" i="6"/>
  <c r="AC650" i="6"/>
  <c r="AC651" i="6"/>
  <c r="AC652" i="6"/>
  <c r="AC653" i="6"/>
  <c r="AC654" i="6"/>
  <c r="AC655" i="6"/>
  <c r="AC656" i="6"/>
  <c r="AC657" i="6"/>
  <c r="AC658" i="6"/>
  <c r="AC659" i="6"/>
  <c r="AC660" i="6"/>
  <c r="AC661" i="6"/>
  <c r="AC662" i="6"/>
  <c r="AC663" i="6"/>
  <c r="AC664" i="6"/>
  <c r="AC665" i="6"/>
  <c r="AC666" i="6"/>
  <c r="AC667" i="6"/>
  <c r="AC668" i="6"/>
  <c r="AC669" i="6"/>
  <c r="AC670" i="6"/>
  <c r="AC671" i="6"/>
  <c r="AC672" i="6"/>
  <c r="AC673" i="6"/>
  <c r="AC674" i="6"/>
  <c r="AC675" i="6"/>
  <c r="AC676" i="6"/>
  <c r="AC677" i="6"/>
  <c r="AC678" i="6"/>
  <c r="AC679" i="6"/>
  <c r="AC680" i="6"/>
  <c r="AC681" i="6"/>
  <c r="AC682" i="6"/>
  <c r="AC683" i="6"/>
  <c r="AC684" i="6"/>
  <c r="AC685" i="6"/>
  <c r="AC686" i="6"/>
  <c r="AC687" i="6"/>
  <c r="AC688" i="6"/>
  <c r="AC689" i="6"/>
  <c r="AC690" i="6"/>
  <c r="AC691" i="6"/>
  <c r="AC692" i="6"/>
  <c r="AC693" i="6"/>
  <c r="AC694" i="6"/>
  <c r="AC695" i="6"/>
  <c r="AC696" i="6"/>
  <c r="AC697" i="6"/>
  <c r="AC698" i="6"/>
  <c r="AC699" i="6"/>
  <c r="AC700" i="6"/>
  <c r="AC701" i="6"/>
  <c r="AC702" i="6"/>
  <c r="AC703" i="6"/>
  <c r="AC704" i="6"/>
  <c r="AC705" i="6"/>
  <c r="AC706" i="6"/>
  <c r="AC707" i="6"/>
  <c r="AC708" i="6"/>
  <c r="AC709" i="6"/>
  <c r="AC710" i="6"/>
  <c r="AC711" i="6"/>
  <c r="AC712" i="6"/>
  <c r="AC713" i="6"/>
  <c r="AC714" i="6"/>
  <c r="AC715" i="6"/>
  <c r="AC716" i="6"/>
  <c r="AC717" i="6"/>
  <c r="AC718" i="6"/>
  <c r="AC719" i="6"/>
  <c r="AC720" i="6"/>
  <c r="AC721" i="6"/>
  <c r="AC722" i="6"/>
  <c r="AC723" i="6"/>
  <c r="AC724" i="6"/>
  <c r="AC725" i="6"/>
  <c r="AC726" i="6"/>
  <c r="AC727" i="6"/>
  <c r="AC728" i="6"/>
  <c r="AC729" i="6"/>
  <c r="AC730" i="6"/>
  <c r="AC731" i="6"/>
  <c r="AC732" i="6"/>
  <c r="AC733" i="6"/>
  <c r="AC734" i="6"/>
  <c r="AC735" i="6"/>
  <c r="AC736" i="6"/>
  <c r="AC737" i="6"/>
  <c r="AC738" i="6"/>
  <c r="AC739" i="6"/>
  <c r="AC740" i="6"/>
  <c r="AC741" i="6"/>
  <c r="AC742" i="6"/>
  <c r="AC743" i="6"/>
  <c r="AC744" i="6"/>
  <c r="AC745" i="6"/>
  <c r="AC746" i="6"/>
  <c r="AC747" i="6"/>
  <c r="AC748" i="6"/>
  <c r="AC749" i="6"/>
  <c r="AC750" i="6"/>
  <c r="AC751" i="6"/>
  <c r="AC752" i="6"/>
  <c r="AC753" i="6"/>
  <c r="AC754" i="6"/>
  <c r="AC755" i="6"/>
  <c r="AC756" i="6"/>
  <c r="AC757" i="6"/>
  <c r="AC758" i="6"/>
  <c r="AC759" i="6"/>
  <c r="AC760" i="6"/>
  <c r="AC761" i="6"/>
  <c r="AC762" i="6"/>
  <c r="AC763" i="6"/>
  <c r="AC764" i="6"/>
  <c r="AC765" i="6"/>
  <c r="AC766" i="6"/>
  <c r="AC767" i="6"/>
  <c r="AC768" i="6"/>
  <c r="AC769" i="6"/>
  <c r="AC770" i="6"/>
  <c r="AC771" i="6"/>
  <c r="AC772" i="6"/>
  <c r="AC773" i="6"/>
  <c r="AC774" i="6"/>
  <c r="AC775" i="6"/>
  <c r="AC776" i="6"/>
  <c r="AC777" i="6"/>
  <c r="AC778" i="6"/>
  <c r="AC779" i="6"/>
  <c r="AC780" i="6"/>
  <c r="AC781" i="6"/>
  <c r="AC782" i="6"/>
  <c r="AC783" i="6"/>
  <c r="AC784" i="6"/>
  <c r="AC785" i="6"/>
  <c r="AC786" i="6"/>
  <c r="AC787" i="6"/>
  <c r="AC788" i="6"/>
  <c r="AC789" i="6"/>
  <c r="AC790" i="6"/>
  <c r="AC791" i="6"/>
  <c r="AC792" i="6"/>
  <c r="AC793" i="6"/>
  <c r="AC794" i="6"/>
  <c r="AC795" i="6"/>
  <c r="AC796" i="6"/>
  <c r="AC797" i="6"/>
  <c r="AC798" i="6"/>
  <c r="AC799" i="6"/>
  <c r="AC800" i="6"/>
  <c r="AC801" i="6"/>
  <c r="AC802" i="6"/>
  <c r="AC803" i="6"/>
  <c r="AC804" i="6"/>
  <c r="AC805" i="6"/>
  <c r="AC806" i="6"/>
  <c r="AC807" i="6"/>
  <c r="AC808" i="6"/>
  <c r="AC809" i="6"/>
  <c r="AC810" i="6"/>
  <c r="AC811" i="6"/>
  <c r="AC812" i="6"/>
  <c r="AC813" i="6"/>
  <c r="AC814" i="6"/>
  <c r="AC815" i="6"/>
  <c r="AC816" i="6"/>
  <c r="AC817" i="6"/>
  <c r="AC818" i="6"/>
  <c r="AC819" i="6"/>
  <c r="AC820" i="6"/>
  <c r="AC821" i="6"/>
  <c r="AC822" i="6"/>
  <c r="AC823" i="6"/>
  <c r="AC824" i="6"/>
  <c r="AC825" i="6"/>
  <c r="AC826" i="6"/>
  <c r="AC827" i="6"/>
  <c r="AC828" i="6"/>
  <c r="AC829" i="6"/>
  <c r="AC830" i="6"/>
  <c r="AC831" i="6"/>
  <c r="AC832" i="6"/>
  <c r="AC833" i="6"/>
  <c r="AC834" i="6"/>
  <c r="AC835" i="6"/>
  <c r="AC836" i="6"/>
  <c r="AC837" i="6"/>
  <c r="AC838" i="6"/>
  <c r="AC839" i="6"/>
  <c r="AC840" i="6"/>
  <c r="AC841" i="6"/>
  <c r="AC842" i="6"/>
  <c r="AC843" i="6"/>
  <c r="AC844" i="6"/>
  <c r="AC845" i="6"/>
  <c r="AC846" i="6"/>
  <c r="AC847" i="6"/>
  <c r="AC848" i="6"/>
  <c r="AC849" i="6"/>
  <c r="AC850" i="6"/>
  <c r="AC851" i="6"/>
  <c r="AC852" i="6"/>
  <c r="AC853" i="6"/>
  <c r="AC854" i="6"/>
  <c r="AC855" i="6"/>
  <c r="AC856" i="6"/>
  <c r="AC857" i="6"/>
  <c r="AC858" i="6"/>
  <c r="AC859" i="6"/>
  <c r="AC860" i="6"/>
  <c r="AC861" i="6"/>
  <c r="AC862" i="6"/>
  <c r="AC863" i="6"/>
  <c r="AC864" i="6"/>
  <c r="AC865" i="6"/>
  <c r="AC866" i="6"/>
  <c r="AC867" i="6"/>
  <c r="AC868" i="6"/>
  <c r="AC869" i="6"/>
  <c r="AC870" i="6"/>
  <c r="AC871" i="6"/>
  <c r="AC872" i="6"/>
  <c r="AC873" i="6"/>
  <c r="AC874" i="6"/>
  <c r="AC875" i="6"/>
  <c r="AC876" i="6"/>
  <c r="AC877" i="6"/>
  <c r="AC878" i="6"/>
  <c r="AC879" i="6"/>
  <c r="AC880" i="6"/>
  <c r="AC881" i="6"/>
  <c r="AC882" i="6"/>
  <c r="AC883" i="6"/>
  <c r="AC884" i="6"/>
  <c r="AC885" i="6"/>
  <c r="AC886" i="6"/>
  <c r="AC887" i="6"/>
  <c r="AC888" i="6"/>
  <c r="AC889" i="6"/>
  <c r="AC890" i="6"/>
  <c r="AC891" i="6"/>
  <c r="AC892" i="6"/>
  <c r="AC893" i="6"/>
  <c r="AC894" i="6"/>
  <c r="AC895" i="6"/>
  <c r="AC896" i="6"/>
  <c r="AC897" i="6"/>
  <c r="AC898" i="6"/>
  <c r="AC899" i="6"/>
  <c r="AC900" i="6"/>
  <c r="AC901" i="6"/>
  <c r="AC902" i="6"/>
  <c r="AC903" i="6"/>
  <c r="AC904" i="6"/>
  <c r="AC905" i="6"/>
  <c r="AC906" i="6"/>
  <c r="AC907" i="6"/>
  <c r="AC908" i="6"/>
  <c r="AC909" i="6"/>
  <c r="AC910" i="6"/>
  <c r="AC911" i="6"/>
  <c r="AC912" i="6"/>
  <c r="AC913" i="6"/>
  <c r="AC914" i="6"/>
  <c r="AC915" i="6"/>
  <c r="AC916" i="6"/>
  <c r="AC917" i="6"/>
  <c r="AC918" i="6"/>
  <c r="AC919" i="6"/>
  <c r="AC920" i="6"/>
  <c r="AC921" i="6"/>
  <c r="AC922" i="6"/>
  <c r="AC923" i="6"/>
  <c r="AC924" i="6"/>
  <c r="AC925" i="6"/>
  <c r="AC926" i="6"/>
  <c r="AC927" i="6"/>
  <c r="AC928" i="6"/>
  <c r="AC929" i="6"/>
  <c r="AC930" i="6"/>
  <c r="AC931" i="6"/>
  <c r="AC932" i="6"/>
  <c r="AC933" i="6"/>
  <c r="AC934" i="6"/>
  <c r="AC935" i="6"/>
  <c r="AC936" i="6"/>
  <c r="AC937" i="6"/>
  <c r="AC938" i="6"/>
  <c r="AC939" i="6"/>
  <c r="AC940" i="6"/>
  <c r="AC941" i="6"/>
  <c r="AC942" i="6"/>
  <c r="AC943" i="6"/>
  <c r="AC944" i="6"/>
  <c r="AC945" i="6"/>
  <c r="AC946" i="6"/>
  <c r="AC947" i="6"/>
  <c r="AC948" i="6"/>
  <c r="AC949" i="6"/>
  <c r="AC950" i="6"/>
  <c r="AC951" i="6"/>
  <c r="AC952" i="6"/>
  <c r="AC953" i="6"/>
  <c r="AC954" i="6"/>
  <c r="AC955" i="6"/>
  <c r="AC956" i="6"/>
  <c r="AC957" i="6"/>
  <c r="AC958" i="6"/>
  <c r="AC959" i="6"/>
  <c r="AC960" i="6"/>
  <c r="AC961" i="6"/>
  <c r="AC962" i="6"/>
  <c r="AC963" i="6"/>
  <c r="AC964" i="6"/>
  <c r="AC965" i="6"/>
  <c r="AC966" i="6"/>
  <c r="AC967" i="6"/>
  <c r="AC968" i="6"/>
  <c r="AC969" i="6"/>
  <c r="AC970" i="6"/>
  <c r="AC971" i="6"/>
  <c r="AC972" i="6"/>
  <c r="AC973" i="6"/>
  <c r="AC974" i="6"/>
  <c r="AC975" i="6"/>
  <c r="AC976" i="6"/>
  <c r="AC977" i="6"/>
  <c r="AC978" i="6"/>
  <c r="AC979" i="6"/>
  <c r="AC980" i="6"/>
  <c r="AC981" i="6"/>
  <c r="AC982" i="6"/>
  <c r="AC983" i="6"/>
  <c r="AC984" i="6"/>
  <c r="AC985" i="6"/>
  <c r="AC986" i="6"/>
  <c r="AC987" i="6"/>
  <c r="AC988" i="6"/>
  <c r="AC989" i="6"/>
  <c r="AC990" i="6"/>
  <c r="AC991" i="6"/>
  <c r="AC992" i="6"/>
  <c r="AC993" i="6"/>
  <c r="AC994" i="6"/>
  <c r="AC995" i="6"/>
  <c r="AC996" i="6"/>
  <c r="AC997" i="6"/>
  <c r="AC998" i="6"/>
  <c r="AC999" i="6"/>
  <c r="AC1000" i="6"/>
  <c r="AC1001" i="6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2" i="5"/>
  <c r="D1298" i="1"/>
  <c r="D1299" i="1"/>
  <c r="D1300" i="1"/>
  <c r="D1301" i="1"/>
  <c r="D1302" i="1"/>
  <c r="D1303" i="1"/>
  <c r="D1304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190" i="1"/>
  <c r="D91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04" i="1"/>
  <c r="D605" i="1"/>
  <c r="D606" i="1"/>
  <c r="D607" i="1"/>
  <c r="C7" i="2"/>
  <c r="C6" i="2"/>
  <c r="B7" i="2"/>
  <c r="B6" i="2"/>
  <c r="C5" i="2"/>
  <c r="B5" i="2"/>
  <c r="C4" i="2"/>
  <c r="B4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M21" i="1"/>
  <c r="M2" i="1"/>
  <c r="M27" i="1"/>
  <c r="M11" i="1"/>
  <c r="M10" i="1"/>
  <c r="M3" i="1"/>
  <c r="P603" i="1" a="1"/>
  <c r="P603" i="1" s="1"/>
  <c r="Q603" i="1" a="1"/>
  <c r="Q603" i="1" s="1"/>
  <c r="R603" i="1" a="1"/>
  <c r="R603" i="1"/>
  <c r="S603" i="1" a="1"/>
  <c r="S603" i="1" s="1"/>
  <c r="D603" i="1"/>
  <c r="G603" i="1" s="1"/>
  <c r="P3" i="1" a="1"/>
  <c r="P3" i="1" s="1"/>
  <c r="Q3" i="1" a="1"/>
  <c r="Q3" i="1" s="1"/>
  <c r="R3" i="1" a="1"/>
  <c r="R3" i="1" s="1"/>
  <c r="S3" i="1" a="1"/>
  <c r="S3" i="1" s="1"/>
  <c r="P4" i="1" a="1"/>
  <c r="P4" i="1" s="1"/>
  <c r="Q4" i="1" a="1"/>
  <c r="Q4" i="1" s="1"/>
  <c r="R4" i="1" a="1"/>
  <c r="R4" i="1" s="1"/>
  <c r="S4" i="1" a="1"/>
  <c r="S4" i="1"/>
  <c r="P5" i="1" a="1"/>
  <c r="P5" i="1" s="1"/>
  <c r="Q5" i="1" a="1"/>
  <c r="Q5" i="1"/>
  <c r="R5" i="1" a="1"/>
  <c r="R5" i="1"/>
  <c r="S5" i="1" a="1"/>
  <c r="S5" i="1" s="1"/>
  <c r="P6" i="1" a="1"/>
  <c r="P6" i="1" s="1"/>
  <c r="Q6" i="1" a="1"/>
  <c r="Q6" i="1" s="1"/>
  <c r="R6" i="1" a="1"/>
  <c r="R6" i="1" s="1"/>
  <c r="S6" i="1" a="1"/>
  <c r="S6" i="1" s="1"/>
  <c r="P7" i="1" a="1"/>
  <c r="P7" i="1" s="1"/>
  <c r="Q7" i="1" a="1"/>
  <c r="Q7" i="1" s="1"/>
  <c r="R7" i="1" a="1"/>
  <c r="R7" i="1" s="1"/>
  <c r="S7" i="1" a="1"/>
  <c r="S7" i="1" s="1"/>
  <c r="P8" i="1" a="1"/>
  <c r="P8" i="1" s="1"/>
  <c r="Q8" i="1" a="1"/>
  <c r="Q8" i="1"/>
  <c r="R8" i="1" a="1"/>
  <c r="R8" i="1" s="1"/>
  <c r="S8" i="1" a="1"/>
  <c r="S8" i="1"/>
  <c r="P9" i="1" a="1"/>
  <c r="P9" i="1" s="1"/>
  <c r="Q9" i="1" a="1"/>
  <c r="Q9" i="1" s="1"/>
  <c r="R9" i="1" a="1"/>
  <c r="R9" i="1" s="1"/>
  <c r="S9" i="1" a="1"/>
  <c r="S9" i="1" s="1"/>
  <c r="P10" i="1" a="1"/>
  <c r="P10" i="1" s="1"/>
  <c r="Q10" i="1" a="1"/>
  <c r="Q10" i="1" s="1"/>
  <c r="R10" i="1" a="1"/>
  <c r="R10" i="1" s="1"/>
  <c r="S10" i="1" a="1"/>
  <c r="S10" i="1" s="1"/>
  <c r="P11" i="1" a="1"/>
  <c r="P11" i="1" s="1"/>
  <c r="Q11" i="1" a="1"/>
  <c r="Q11" i="1" s="1"/>
  <c r="R11" i="1" a="1"/>
  <c r="R11" i="1" s="1"/>
  <c r="S11" i="1" a="1"/>
  <c r="S11" i="1" s="1"/>
  <c r="P12" i="1" a="1"/>
  <c r="P12" i="1" s="1"/>
  <c r="Q12" i="1" a="1"/>
  <c r="Q12" i="1" s="1"/>
  <c r="R12" i="1" a="1"/>
  <c r="R12" i="1" s="1"/>
  <c r="S12" i="1" a="1"/>
  <c r="S12" i="1"/>
  <c r="P13" i="1" a="1"/>
  <c r="P13" i="1" s="1"/>
  <c r="Q13" i="1" a="1"/>
  <c r="Q13" i="1" s="1"/>
  <c r="R13" i="1" a="1"/>
  <c r="R13" i="1" s="1"/>
  <c r="S13" i="1" a="1"/>
  <c r="S13" i="1" s="1"/>
  <c r="P14" i="1" a="1"/>
  <c r="P14" i="1" s="1"/>
  <c r="Q14" i="1" a="1"/>
  <c r="Q14" i="1" s="1"/>
  <c r="R14" i="1" a="1"/>
  <c r="R14" i="1" s="1"/>
  <c r="S14" i="1" a="1"/>
  <c r="S14" i="1"/>
  <c r="P15" i="1" a="1"/>
  <c r="P15" i="1" s="1"/>
  <c r="Q15" i="1" a="1"/>
  <c r="Q15" i="1" s="1"/>
  <c r="R15" i="1" a="1"/>
  <c r="R15" i="1" s="1"/>
  <c r="S15" i="1" a="1"/>
  <c r="S15" i="1" s="1"/>
  <c r="P16" i="1" a="1"/>
  <c r="P16" i="1" s="1"/>
  <c r="Q16" i="1" a="1"/>
  <c r="Q16" i="1" s="1"/>
  <c r="R16" i="1" a="1"/>
  <c r="R16" i="1" s="1"/>
  <c r="S16" i="1" a="1"/>
  <c r="S16" i="1" s="1"/>
  <c r="P17" i="1" a="1"/>
  <c r="P17" i="1" s="1"/>
  <c r="Q17" i="1" a="1"/>
  <c r="Q17" i="1" s="1"/>
  <c r="R17" i="1" a="1"/>
  <c r="R17" i="1" s="1"/>
  <c r="S17" i="1" a="1"/>
  <c r="S17" i="1" s="1"/>
  <c r="P18" i="1" a="1"/>
  <c r="P18" i="1" s="1"/>
  <c r="Q18" i="1" a="1"/>
  <c r="Q18" i="1" s="1"/>
  <c r="R18" i="1" a="1"/>
  <c r="R18" i="1" s="1"/>
  <c r="S18" i="1" a="1"/>
  <c r="S18" i="1" s="1"/>
  <c r="P19" i="1" a="1"/>
  <c r="P19" i="1" s="1"/>
  <c r="Q19" i="1" a="1"/>
  <c r="Q19" i="1" s="1"/>
  <c r="R19" i="1" a="1"/>
  <c r="R19" i="1" s="1"/>
  <c r="S19" i="1" a="1"/>
  <c r="S19" i="1" s="1"/>
  <c r="P20" i="1" a="1"/>
  <c r="P20" i="1" s="1"/>
  <c r="Q20" i="1" a="1"/>
  <c r="Q20" i="1" s="1"/>
  <c r="R20" i="1" a="1"/>
  <c r="R20" i="1" s="1"/>
  <c r="S20" i="1" a="1"/>
  <c r="S20" i="1" s="1"/>
  <c r="P21" i="1" a="1"/>
  <c r="P21" i="1" s="1"/>
  <c r="Q21" i="1" a="1"/>
  <c r="Q21" i="1" s="1"/>
  <c r="R21" i="1" a="1"/>
  <c r="R21" i="1"/>
  <c r="S21" i="1" a="1"/>
  <c r="S21" i="1" s="1"/>
  <c r="P22" i="1" a="1"/>
  <c r="P22" i="1" s="1"/>
  <c r="Q22" i="1" a="1"/>
  <c r="Q22" i="1" s="1"/>
  <c r="R22" i="1" a="1"/>
  <c r="R22" i="1" s="1"/>
  <c r="S22" i="1" a="1"/>
  <c r="S22" i="1" s="1"/>
  <c r="P23" i="1" a="1"/>
  <c r="P23" i="1" s="1"/>
  <c r="Q23" i="1" a="1"/>
  <c r="Q23" i="1" s="1"/>
  <c r="R23" i="1" a="1"/>
  <c r="R23" i="1" s="1"/>
  <c r="S23" i="1" a="1"/>
  <c r="S23" i="1" s="1"/>
  <c r="P24" i="1" a="1"/>
  <c r="P24" i="1" s="1"/>
  <c r="Q24" i="1" a="1"/>
  <c r="Q24" i="1" s="1"/>
  <c r="R24" i="1" a="1"/>
  <c r="R24" i="1" s="1"/>
  <c r="S24" i="1" a="1"/>
  <c r="S24" i="1"/>
  <c r="P25" i="1" a="1"/>
  <c r="P25" i="1" s="1"/>
  <c r="Q25" i="1" a="1"/>
  <c r="Q25" i="1" s="1"/>
  <c r="R25" i="1" a="1"/>
  <c r="R25" i="1" s="1"/>
  <c r="S25" i="1" a="1"/>
  <c r="S25" i="1" s="1"/>
  <c r="P26" i="1" a="1"/>
  <c r="P26" i="1" s="1"/>
  <c r="Q26" i="1" a="1"/>
  <c r="Q26" i="1" s="1"/>
  <c r="R26" i="1" a="1"/>
  <c r="R26" i="1" s="1"/>
  <c r="S26" i="1" a="1"/>
  <c r="S26" i="1" s="1"/>
  <c r="P27" i="1" a="1"/>
  <c r="P27" i="1" s="1"/>
  <c r="Q27" i="1" a="1"/>
  <c r="Q27" i="1" s="1"/>
  <c r="R27" i="1" a="1"/>
  <c r="R27" i="1" s="1"/>
  <c r="S27" i="1" a="1"/>
  <c r="S27" i="1" s="1"/>
  <c r="P28" i="1" a="1"/>
  <c r="P28" i="1" s="1"/>
  <c r="Q28" i="1" a="1"/>
  <c r="Q28" i="1" s="1"/>
  <c r="R28" i="1" a="1"/>
  <c r="R28" i="1" s="1"/>
  <c r="S28" i="1" a="1"/>
  <c r="S28" i="1"/>
  <c r="P29" i="1" a="1"/>
  <c r="P29" i="1" s="1"/>
  <c r="Q29" i="1" a="1"/>
  <c r="Q29" i="1" s="1"/>
  <c r="R29" i="1" a="1"/>
  <c r="R29" i="1"/>
  <c r="S29" i="1" a="1"/>
  <c r="S29" i="1" s="1"/>
  <c r="P30" i="1" a="1"/>
  <c r="P30" i="1" s="1"/>
  <c r="Q30" i="1" a="1"/>
  <c r="Q30" i="1" s="1"/>
  <c r="R30" i="1" a="1"/>
  <c r="R30" i="1" s="1"/>
  <c r="S30" i="1" a="1"/>
  <c r="S30" i="1" s="1"/>
  <c r="P31" i="1" a="1"/>
  <c r="P31" i="1" s="1"/>
  <c r="Q31" i="1" a="1"/>
  <c r="Q31" i="1" s="1"/>
  <c r="R31" i="1" a="1"/>
  <c r="R31" i="1" s="1"/>
  <c r="S31" i="1" a="1"/>
  <c r="S31" i="1" s="1"/>
  <c r="P32" i="1" a="1"/>
  <c r="P32" i="1" s="1"/>
  <c r="Q32" i="1" a="1"/>
  <c r="Q32" i="1"/>
  <c r="R32" i="1" a="1"/>
  <c r="R32" i="1" s="1"/>
  <c r="S32" i="1" a="1"/>
  <c r="S32" i="1"/>
  <c r="P33" i="1" a="1"/>
  <c r="P33" i="1" s="1"/>
  <c r="Q33" i="1" a="1"/>
  <c r="Q33" i="1" s="1"/>
  <c r="R33" i="1" a="1"/>
  <c r="R33" i="1" s="1"/>
  <c r="S33" i="1" a="1"/>
  <c r="S33" i="1" s="1"/>
  <c r="P34" i="1" a="1"/>
  <c r="P34" i="1" s="1"/>
  <c r="Q34" i="1" a="1"/>
  <c r="Q34" i="1" s="1"/>
  <c r="R34" i="1" a="1"/>
  <c r="R34" i="1" s="1"/>
  <c r="S34" i="1" a="1"/>
  <c r="S34" i="1" s="1"/>
  <c r="P35" i="1" a="1"/>
  <c r="P35" i="1" s="1"/>
  <c r="Q35" i="1" a="1"/>
  <c r="Q35" i="1" s="1"/>
  <c r="R35" i="1" a="1"/>
  <c r="R35" i="1" s="1"/>
  <c r="S35" i="1" a="1"/>
  <c r="S35" i="1" s="1"/>
  <c r="P36" i="1" a="1"/>
  <c r="P36" i="1" s="1"/>
  <c r="Q36" i="1" a="1"/>
  <c r="Q36" i="1" s="1"/>
  <c r="R36" i="1" a="1"/>
  <c r="R36" i="1" s="1"/>
  <c r="S36" i="1" a="1"/>
  <c r="S36" i="1"/>
  <c r="P37" i="1" a="1"/>
  <c r="P37" i="1" s="1"/>
  <c r="Q37" i="1" a="1"/>
  <c r="Q37" i="1" s="1"/>
  <c r="R37" i="1" a="1"/>
  <c r="R37" i="1" s="1"/>
  <c r="S37" i="1" a="1"/>
  <c r="S37" i="1" s="1"/>
  <c r="P38" i="1" a="1"/>
  <c r="P38" i="1" s="1"/>
  <c r="Q38" i="1" a="1"/>
  <c r="Q38" i="1" s="1"/>
  <c r="R38" i="1" a="1"/>
  <c r="R38" i="1" s="1"/>
  <c r="S38" i="1" a="1"/>
  <c r="S38" i="1" s="1"/>
  <c r="P39" i="1" a="1"/>
  <c r="P39" i="1" s="1"/>
  <c r="Q39" i="1" a="1"/>
  <c r="Q39" i="1" s="1"/>
  <c r="R39" i="1" a="1"/>
  <c r="R39" i="1" s="1"/>
  <c r="S39" i="1" a="1"/>
  <c r="S39" i="1" s="1"/>
  <c r="P40" i="1" a="1"/>
  <c r="P40" i="1" s="1"/>
  <c r="Q40" i="1" a="1"/>
  <c r="Q40" i="1" s="1"/>
  <c r="R40" i="1" a="1"/>
  <c r="R40" i="1" s="1"/>
  <c r="S40" i="1" a="1"/>
  <c r="S40" i="1" s="1"/>
  <c r="P41" i="1" a="1"/>
  <c r="P41" i="1" s="1"/>
  <c r="Q41" i="1" a="1"/>
  <c r="Q41" i="1" s="1"/>
  <c r="R41" i="1" a="1"/>
  <c r="R41" i="1" s="1"/>
  <c r="S41" i="1" a="1"/>
  <c r="S41" i="1" s="1"/>
  <c r="P42" i="1" a="1"/>
  <c r="P42" i="1" s="1"/>
  <c r="Q42" i="1" a="1"/>
  <c r="Q42" i="1" s="1"/>
  <c r="R42" i="1" a="1"/>
  <c r="R42" i="1" s="1"/>
  <c r="S42" i="1" a="1"/>
  <c r="S42" i="1" s="1"/>
  <c r="P43" i="1" a="1"/>
  <c r="P43" i="1" s="1"/>
  <c r="Q43" i="1" a="1"/>
  <c r="Q43" i="1" s="1"/>
  <c r="R43" i="1" a="1"/>
  <c r="R43" i="1" s="1"/>
  <c r="S43" i="1" a="1"/>
  <c r="S43" i="1" s="1"/>
  <c r="P44" i="1" a="1"/>
  <c r="P44" i="1" s="1"/>
  <c r="Q44" i="1" a="1"/>
  <c r="Q44" i="1" s="1"/>
  <c r="R44" i="1" a="1"/>
  <c r="R44" i="1" s="1"/>
  <c r="S44" i="1" a="1"/>
  <c r="S44" i="1"/>
  <c r="P45" i="1" a="1"/>
  <c r="P45" i="1" s="1"/>
  <c r="Q45" i="1" a="1"/>
  <c r="Q45" i="1" s="1"/>
  <c r="R45" i="1" a="1"/>
  <c r="R45" i="1"/>
  <c r="S45" i="1" a="1"/>
  <c r="S45" i="1" s="1"/>
  <c r="P46" i="1" a="1"/>
  <c r="P46" i="1" s="1"/>
  <c r="Q46" i="1" a="1"/>
  <c r="Q46" i="1" s="1"/>
  <c r="R46" i="1" a="1"/>
  <c r="R46" i="1" s="1"/>
  <c r="S46" i="1" a="1"/>
  <c r="S46" i="1" s="1"/>
  <c r="P47" i="1" a="1"/>
  <c r="P47" i="1" s="1"/>
  <c r="Q47" i="1" a="1"/>
  <c r="Q47" i="1" s="1"/>
  <c r="R47" i="1" a="1"/>
  <c r="R47" i="1" s="1"/>
  <c r="S47" i="1" a="1"/>
  <c r="S47" i="1" s="1"/>
  <c r="P48" i="1" a="1"/>
  <c r="P48" i="1" s="1"/>
  <c r="Q48" i="1" a="1"/>
  <c r="Q48" i="1"/>
  <c r="R48" i="1" a="1"/>
  <c r="R48" i="1" s="1"/>
  <c r="S48" i="1" a="1"/>
  <c r="S48" i="1" s="1"/>
  <c r="P49" i="1" a="1"/>
  <c r="P49" i="1" s="1"/>
  <c r="Q49" i="1" a="1"/>
  <c r="Q49" i="1"/>
  <c r="R49" i="1" a="1"/>
  <c r="R49" i="1" s="1"/>
  <c r="S49" i="1" a="1"/>
  <c r="S49" i="1" s="1"/>
  <c r="P50" i="1" a="1"/>
  <c r="P50" i="1" s="1"/>
  <c r="Q50" i="1" a="1"/>
  <c r="Q50" i="1" s="1"/>
  <c r="R50" i="1" a="1"/>
  <c r="R50" i="1" s="1"/>
  <c r="S50" i="1" a="1"/>
  <c r="S50" i="1" s="1"/>
  <c r="P51" i="1" a="1"/>
  <c r="P51" i="1" s="1"/>
  <c r="Q51" i="1" a="1"/>
  <c r="Q51" i="1" s="1"/>
  <c r="R51" i="1" a="1"/>
  <c r="R51" i="1" s="1"/>
  <c r="S51" i="1" a="1"/>
  <c r="S51" i="1" s="1"/>
  <c r="P52" i="1" a="1"/>
  <c r="P52" i="1" s="1"/>
  <c r="Q52" i="1" a="1"/>
  <c r="Q52" i="1" s="1"/>
  <c r="R52" i="1" a="1"/>
  <c r="R52" i="1" s="1"/>
  <c r="S52" i="1" a="1"/>
  <c r="S52" i="1"/>
  <c r="P53" i="1" a="1"/>
  <c r="P53" i="1" s="1"/>
  <c r="Q53" i="1" a="1"/>
  <c r="Q53" i="1"/>
  <c r="R53" i="1" a="1"/>
  <c r="R53" i="1"/>
  <c r="S53" i="1" a="1"/>
  <c r="S53" i="1" s="1"/>
  <c r="P54" i="1" a="1"/>
  <c r="P54" i="1" s="1"/>
  <c r="Q54" i="1" a="1"/>
  <c r="Q54" i="1" s="1"/>
  <c r="R54" i="1" a="1"/>
  <c r="R54" i="1" s="1"/>
  <c r="S54" i="1" a="1"/>
  <c r="S54" i="1"/>
  <c r="P55" i="1" a="1"/>
  <c r="P55" i="1" s="1"/>
  <c r="Q55" i="1" a="1"/>
  <c r="Q55" i="1" s="1"/>
  <c r="R55" i="1" a="1"/>
  <c r="R55" i="1" s="1"/>
  <c r="S55" i="1" a="1"/>
  <c r="S55" i="1" s="1"/>
  <c r="P56" i="1" a="1"/>
  <c r="P56" i="1" s="1"/>
  <c r="Q56" i="1" a="1"/>
  <c r="Q56" i="1" s="1"/>
  <c r="R56" i="1" a="1"/>
  <c r="R56" i="1" s="1"/>
  <c r="S56" i="1" a="1"/>
  <c r="S56" i="1" s="1"/>
  <c r="P57" i="1" a="1"/>
  <c r="P57" i="1" s="1"/>
  <c r="Q57" i="1" a="1"/>
  <c r="Q57" i="1" s="1"/>
  <c r="R57" i="1" a="1"/>
  <c r="R57" i="1" s="1"/>
  <c r="S57" i="1" a="1"/>
  <c r="S57" i="1" s="1"/>
  <c r="P58" i="1" a="1"/>
  <c r="P58" i="1" s="1"/>
  <c r="Q58" i="1" a="1"/>
  <c r="Q58" i="1" s="1"/>
  <c r="R58" i="1" a="1"/>
  <c r="R58" i="1" s="1"/>
  <c r="S58" i="1" a="1"/>
  <c r="S58" i="1" s="1"/>
  <c r="P59" i="1" a="1"/>
  <c r="P59" i="1" s="1"/>
  <c r="Q59" i="1" a="1"/>
  <c r="Q59" i="1" s="1"/>
  <c r="R59" i="1" a="1"/>
  <c r="R59" i="1" s="1"/>
  <c r="S59" i="1" a="1"/>
  <c r="S59" i="1" s="1"/>
  <c r="P60" i="1" a="1"/>
  <c r="P60" i="1" s="1"/>
  <c r="Q60" i="1" a="1"/>
  <c r="Q60" i="1" s="1"/>
  <c r="R60" i="1" a="1"/>
  <c r="R60" i="1" s="1"/>
  <c r="S60" i="1" a="1"/>
  <c r="S60" i="1"/>
  <c r="P61" i="1" a="1"/>
  <c r="P61" i="1" s="1"/>
  <c r="Q61" i="1" a="1"/>
  <c r="Q61" i="1" s="1"/>
  <c r="R61" i="1" a="1"/>
  <c r="R61" i="1" s="1"/>
  <c r="S61" i="1" a="1"/>
  <c r="S61" i="1" s="1"/>
  <c r="P62" i="1" a="1"/>
  <c r="P62" i="1" s="1"/>
  <c r="Q62" i="1" a="1"/>
  <c r="Q62" i="1" s="1"/>
  <c r="R62" i="1" a="1"/>
  <c r="R62" i="1" s="1"/>
  <c r="S62" i="1" a="1"/>
  <c r="S62" i="1" s="1"/>
  <c r="P63" i="1" a="1"/>
  <c r="P63" i="1" s="1"/>
  <c r="Q63" i="1" a="1"/>
  <c r="Q63" i="1" s="1"/>
  <c r="R63" i="1" a="1"/>
  <c r="R63" i="1" s="1"/>
  <c r="S63" i="1" a="1"/>
  <c r="S63" i="1" s="1"/>
  <c r="P64" i="1" a="1"/>
  <c r="P64" i="1" s="1"/>
  <c r="Q64" i="1" a="1"/>
  <c r="Q64" i="1" s="1"/>
  <c r="R64" i="1" a="1"/>
  <c r="R64" i="1" s="1"/>
  <c r="S64" i="1" a="1"/>
  <c r="S64" i="1" s="1"/>
  <c r="P65" i="1" a="1"/>
  <c r="P65" i="1" s="1"/>
  <c r="Q65" i="1" a="1"/>
  <c r="Q65" i="1" s="1"/>
  <c r="R65" i="1" a="1"/>
  <c r="R65" i="1" s="1"/>
  <c r="S65" i="1" a="1"/>
  <c r="S65" i="1" s="1"/>
  <c r="P66" i="1" a="1"/>
  <c r="P66" i="1" s="1"/>
  <c r="Q66" i="1" a="1"/>
  <c r="Q66" i="1" s="1"/>
  <c r="R66" i="1" a="1"/>
  <c r="R66" i="1" s="1"/>
  <c r="S66" i="1" a="1"/>
  <c r="S66" i="1" s="1"/>
  <c r="P67" i="1" a="1"/>
  <c r="P67" i="1" s="1"/>
  <c r="Q67" i="1" a="1"/>
  <c r="Q67" i="1" s="1"/>
  <c r="R67" i="1" a="1"/>
  <c r="R67" i="1" s="1"/>
  <c r="S67" i="1" a="1"/>
  <c r="S67" i="1" s="1"/>
  <c r="P68" i="1" a="1"/>
  <c r="P68" i="1" s="1"/>
  <c r="Q68" i="1" a="1"/>
  <c r="Q68" i="1" s="1"/>
  <c r="R68" i="1" a="1"/>
  <c r="R68" i="1" s="1"/>
  <c r="S68" i="1" a="1"/>
  <c r="S68" i="1"/>
  <c r="P69" i="1" a="1"/>
  <c r="P69" i="1" s="1"/>
  <c r="Q69" i="1" a="1"/>
  <c r="Q69" i="1" s="1"/>
  <c r="R69" i="1" a="1"/>
  <c r="R69" i="1" s="1"/>
  <c r="S69" i="1" a="1"/>
  <c r="S69" i="1" s="1"/>
  <c r="P70" i="1" a="1"/>
  <c r="P70" i="1" s="1"/>
  <c r="Q70" i="1" a="1"/>
  <c r="Q70" i="1" s="1"/>
  <c r="R70" i="1" a="1"/>
  <c r="R70" i="1" s="1"/>
  <c r="S70" i="1" a="1"/>
  <c r="S70" i="1"/>
  <c r="P71" i="1" a="1"/>
  <c r="P71" i="1" s="1"/>
  <c r="Q71" i="1" a="1"/>
  <c r="Q71" i="1" s="1"/>
  <c r="R71" i="1" a="1"/>
  <c r="R71" i="1" s="1"/>
  <c r="S71" i="1" a="1"/>
  <c r="S71" i="1" s="1"/>
  <c r="P72" i="1" a="1"/>
  <c r="P72" i="1" s="1"/>
  <c r="Q72" i="1" a="1"/>
  <c r="Q72" i="1" s="1"/>
  <c r="R72" i="1" a="1"/>
  <c r="R72" i="1" s="1"/>
  <c r="S72" i="1" a="1"/>
  <c r="S72" i="1" s="1"/>
  <c r="P73" i="1" a="1"/>
  <c r="P73" i="1" s="1"/>
  <c r="Q73" i="1" a="1"/>
  <c r="Q73" i="1"/>
  <c r="R73" i="1" a="1"/>
  <c r="R73" i="1" s="1"/>
  <c r="S73" i="1" a="1"/>
  <c r="S73" i="1" s="1"/>
  <c r="P74" i="1" a="1"/>
  <c r="P74" i="1" s="1"/>
  <c r="Q74" i="1" a="1"/>
  <c r="Q74" i="1" s="1"/>
  <c r="R74" i="1" a="1"/>
  <c r="R74" i="1" s="1"/>
  <c r="S74" i="1" a="1"/>
  <c r="S74" i="1" s="1"/>
  <c r="P75" i="1" a="1"/>
  <c r="P75" i="1" s="1"/>
  <c r="Q75" i="1" a="1"/>
  <c r="Q75" i="1" s="1"/>
  <c r="R75" i="1" a="1"/>
  <c r="R75" i="1" s="1"/>
  <c r="S75" i="1" a="1"/>
  <c r="S75" i="1" s="1"/>
  <c r="P76" i="1" a="1"/>
  <c r="P76" i="1" s="1"/>
  <c r="Q76" i="1" a="1"/>
  <c r="Q76" i="1" s="1"/>
  <c r="R76" i="1" a="1"/>
  <c r="R76" i="1" s="1"/>
  <c r="S76" i="1" a="1"/>
  <c r="S76" i="1"/>
  <c r="P77" i="1" a="1"/>
  <c r="P77" i="1" s="1"/>
  <c r="Q77" i="1" a="1"/>
  <c r="Q77" i="1" s="1"/>
  <c r="R77" i="1" a="1"/>
  <c r="R77" i="1" s="1"/>
  <c r="S77" i="1" a="1"/>
  <c r="S77" i="1" s="1"/>
  <c r="P78" i="1" a="1"/>
  <c r="P78" i="1" s="1"/>
  <c r="Q78" i="1" a="1"/>
  <c r="Q78" i="1" s="1"/>
  <c r="R78" i="1" a="1"/>
  <c r="R78" i="1" s="1"/>
  <c r="S78" i="1" a="1"/>
  <c r="S78" i="1" s="1"/>
  <c r="P79" i="1" a="1"/>
  <c r="P79" i="1" s="1"/>
  <c r="Q79" i="1" a="1"/>
  <c r="Q79" i="1" s="1"/>
  <c r="R79" i="1" a="1"/>
  <c r="R79" i="1" s="1"/>
  <c r="S79" i="1" a="1"/>
  <c r="S79" i="1" s="1"/>
  <c r="P80" i="1" a="1"/>
  <c r="P80" i="1" s="1"/>
  <c r="Q80" i="1" a="1"/>
  <c r="Q80" i="1" s="1"/>
  <c r="R80" i="1" a="1"/>
  <c r="R80" i="1" s="1"/>
  <c r="S80" i="1" a="1"/>
  <c r="S80" i="1" s="1"/>
  <c r="P81" i="1" a="1"/>
  <c r="P81" i="1" s="1"/>
  <c r="Q81" i="1" a="1"/>
  <c r="Q81" i="1"/>
  <c r="R81" i="1" a="1"/>
  <c r="R81" i="1" s="1"/>
  <c r="S81" i="1" a="1"/>
  <c r="S81" i="1" s="1"/>
  <c r="P82" i="1" a="1"/>
  <c r="P82" i="1" s="1"/>
  <c r="Q82" i="1" a="1"/>
  <c r="Q82" i="1" s="1"/>
  <c r="R82" i="1" a="1"/>
  <c r="R82" i="1" s="1"/>
  <c r="S82" i="1" a="1"/>
  <c r="S82" i="1" s="1"/>
  <c r="P83" i="1" a="1"/>
  <c r="P83" i="1" s="1"/>
  <c r="Q83" i="1" a="1"/>
  <c r="Q83" i="1" s="1"/>
  <c r="R83" i="1" a="1"/>
  <c r="R83" i="1" s="1"/>
  <c r="S83" i="1" a="1"/>
  <c r="S83" i="1" s="1"/>
  <c r="P84" i="1" a="1"/>
  <c r="P84" i="1" s="1"/>
  <c r="Q84" i="1" a="1"/>
  <c r="Q84" i="1" s="1"/>
  <c r="R84" i="1" a="1"/>
  <c r="R84" i="1" s="1"/>
  <c r="S84" i="1" a="1"/>
  <c r="S84" i="1" s="1"/>
  <c r="P85" i="1" a="1"/>
  <c r="P85" i="1" s="1"/>
  <c r="Q85" i="1" a="1"/>
  <c r="Q85" i="1" s="1"/>
  <c r="R85" i="1" a="1"/>
  <c r="R85" i="1" s="1"/>
  <c r="S85" i="1" a="1"/>
  <c r="S85" i="1" s="1"/>
  <c r="P86" i="1" a="1"/>
  <c r="P86" i="1" s="1"/>
  <c r="Q86" i="1" a="1"/>
  <c r="Q86" i="1" s="1"/>
  <c r="R86" i="1" a="1"/>
  <c r="R86" i="1" s="1"/>
  <c r="S86" i="1" a="1"/>
  <c r="S86" i="1" s="1"/>
  <c r="P87" i="1" a="1"/>
  <c r="P87" i="1" s="1"/>
  <c r="Q87" i="1" a="1"/>
  <c r="Q87" i="1" s="1"/>
  <c r="R87" i="1" a="1"/>
  <c r="R87" i="1" s="1"/>
  <c r="S87" i="1" a="1"/>
  <c r="S87" i="1" s="1"/>
  <c r="P88" i="1" a="1"/>
  <c r="P88" i="1" s="1"/>
  <c r="Q88" i="1" a="1"/>
  <c r="Q88" i="1" s="1"/>
  <c r="R88" i="1" a="1"/>
  <c r="R88" i="1" s="1"/>
  <c r="S88" i="1" a="1"/>
  <c r="S88" i="1" s="1"/>
  <c r="P89" i="1" a="1"/>
  <c r="P89" i="1" s="1"/>
  <c r="Q89" i="1" a="1"/>
  <c r="Q89" i="1" s="1"/>
  <c r="R89" i="1" a="1"/>
  <c r="R89" i="1" s="1"/>
  <c r="S89" i="1" a="1"/>
  <c r="S89" i="1" s="1"/>
  <c r="P90" i="1" a="1"/>
  <c r="P90" i="1" s="1"/>
  <c r="Q90" i="1" a="1"/>
  <c r="Q90" i="1" s="1"/>
  <c r="R90" i="1" a="1"/>
  <c r="R90" i="1" s="1"/>
  <c r="S90" i="1" a="1"/>
  <c r="S90" i="1" s="1"/>
  <c r="P91" i="1" a="1"/>
  <c r="P91" i="1" s="1"/>
  <c r="Q91" i="1" a="1"/>
  <c r="Q91" i="1" s="1"/>
  <c r="R91" i="1" a="1"/>
  <c r="R91" i="1" s="1"/>
  <c r="S91" i="1" a="1"/>
  <c r="S91" i="1" s="1"/>
  <c r="P92" i="1" a="1"/>
  <c r="P92" i="1" s="1"/>
  <c r="Q92" i="1" a="1"/>
  <c r="Q92" i="1" s="1"/>
  <c r="R92" i="1" a="1"/>
  <c r="R92" i="1" s="1"/>
  <c r="S92" i="1" a="1"/>
  <c r="S92" i="1" s="1"/>
  <c r="P93" i="1" a="1"/>
  <c r="P93" i="1" s="1"/>
  <c r="Q93" i="1" a="1"/>
  <c r="Q93" i="1" s="1"/>
  <c r="R93" i="1" a="1"/>
  <c r="R93" i="1" s="1"/>
  <c r="S93" i="1" a="1"/>
  <c r="S93" i="1" s="1"/>
  <c r="P94" i="1" a="1"/>
  <c r="P94" i="1" s="1"/>
  <c r="Q94" i="1" a="1"/>
  <c r="Q94" i="1" s="1"/>
  <c r="R94" i="1" a="1"/>
  <c r="R94" i="1" s="1"/>
  <c r="S94" i="1" a="1"/>
  <c r="S94" i="1" s="1"/>
  <c r="P95" i="1" a="1"/>
  <c r="P95" i="1" s="1"/>
  <c r="Q95" i="1" a="1"/>
  <c r="Q95" i="1" s="1"/>
  <c r="R95" i="1" a="1"/>
  <c r="R95" i="1" s="1"/>
  <c r="S95" i="1" a="1"/>
  <c r="S95" i="1" s="1"/>
  <c r="P96" i="1" a="1"/>
  <c r="P96" i="1" s="1"/>
  <c r="Q96" i="1" a="1"/>
  <c r="Q96" i="1" s="1"/>
  <c r="R96" i="1" a="1"/>
  <c r="R96" i="1" s="1"/>
  <c r="S96" i="1" a="1"/>
  <c r="S96" i="1" s="1"/>
  <c r="P97" i="1" a="1"/>
  <c r="P97" i="1" s="1"/>
  <c r="Q97" i="1" a="1"/>
  <c r="Q97" i="1" s="1"/>
  <c r="R97" i="1" a="1"/>
  <c r="R97" i="1" s="1"/>
  <c r="S97" i="1" a="1"/>
  <c r="S97" i="1" s="1"/>
  <c r="P98" i="1" a="1"/>
  <c r="P98" i="1" s="1"/>
  <c r="Q98" i="1" a="1"/>
  <c r="Q98" i="1" s="1"/>
  <c r="R98" i="1" a="1"/>
  <c r="R98" i="1" s="1"/>
  <c r="S98" i="1" a="1"/>
  <c r="S98" i="1" s="1"/>
  <c r="P99" i="1" a="1"/>
  <c r="P99" i="1" s="1"/>
  <c r="Q99" i="1" a="1"/>
  <c r="Q99" i="1" s="1"/>
  <c r="R99" i="1" a="1"/>
  <c r="R99" i="1" s="1"/>
  <c r="S99" i="1" a="1"/>
  <c r="S99" i="1" s="1"/>
  <c r="P100" i="1" a="1"/>
  <c r="P100" i="1" s="1"/>
  <c r="Q100" i="1" a="1"/>
  <c r="Q100" i="1" s="1"/>
  <c r="R100" i="1" a="1"/>
  <c r="R100" i="1" s="1"/>
  <c r="S100" i="1" a="1"/>
  <c r="S100" i="1" s="1"/>
  <c r="P101" i="1" a="1"/>
  <c r="P101" i="1" s="1"/>
  <c r="Q101" i="1" a="1"/>
  <c r="Q101" i="1" s="1"/>
  <c r="R101" i="1" a="1"/>
  <c r="R101" i="1" s="1"/>
  <c r="S101" i="1" a="1"/>
  <c r="S101" i="1" s="1"/>
  <c r="P102" i="1" a="1"/>
  <c r="P102" i="1" s="1"/>
  <c r="Q102" i="1" a="1"/>
  <c r="Q102" i="1" s="1"/>
  <c r="R102" i="1" a="1"/>
  <c r="R102" i="1" s="1"/>
  <c r="S102" i="1" a="1"/>
  <c r="S102" i="1" s="1"/>
  <c r="P103" i="1" a="1"/>
  <c r="P103" i="1" s="1"/>
  <c r="Q103" i="1" a="1"/>
  <c r="Q103" i="1" s="1"/>
  <c r="R103" i="1" a="1"/>
  <c r="R103" i="1" s="1"/>
  <c r="S103" i="1" a="1"/>
  <c r="S103" i="1" s="1"/>
  <c r="P104" i="1" a="1"/>
  <c r="P104" i="1" s="1"/>
  <c r="Q104" i="1" a="1"/>
  <c r="Q104" i="1" s="1"/>
  <c r="R104" i="1" a="1"/>
  <c r="R104" i="1" s="1"/>
  <c r="S104" i="1" a="1"/>
  <c r="S104" i="1"/>
  <c r="P105" i="1" a="1"/>
  <c r="P105" i="1" s="1"/>
  <c r="Q105" i="1" a="1"/>
  <c r="Q105" i="1" s="1"/>
  <c r="R105" i="1" a="1"/>
  <c r="R105" i="1" s="1"/>
  <c r="S105" i="1" a="1"/>
  <c r="S105" i="1" s="1"/>
  <c r="P106" i="1" a="1"/>
  <c r="P106" i="1" s="1"/>
  <c r="Q106" i="1" a="1"/>
  <c r="Q106" i="1" s="1"/>
  <c r="R106" i="1" a="1"/>
  <c r="R106" i="1" s="1"/>
  <c r="S106" i="1" a="1"/>
  <c r="S106" i="1" s="1"/>
  <c r="P107" i="1" a="1"/>
  <c r="P107" i="1" s="1"/>
  <c r="Q107" i="1" a="1"/>
  <c r="Q107" i="1"/>
  <c r="R107" i="1" a="1"/>
  <c r="R107" i="1" s="1"/>
  <c r="S107" i="1" a="1"/>
  <c r="S107" i="1" s="1"/>
  <c r="P108" i="1" a="1"/>
  <c r="P108" i="1" s="1"/>
  <c r="Q108" i="1" a="1"/>
  <c r="Q108" i="1" s="1"/>
  <c r="R108" i="1" a="1"/>
  <c r="R108" i="1" s="1"/>
  <c r="S108" i="1" a="1"/>
  <c r="S108" i="1" s="1"/>
  <c r="P109" i="1" a="1"/>
  <c r="P109" i="1" s="1"/>
  <c r="Q109" i="1" a="1"/>
  <c r="Q109" i="1" s="1"/>
  <c r="R109" i="1" a="1"/>
  <c r="R109" i="1" s="1"/>
  <c r="S109" i="1" a="1"/>
  <c r="S109" i="1" s="1"/>
  <c r="P110" i="1" a="1"/>
  <c r="P110" i="1" s="1"/>
  <c r="Q110" i="1" a="1"/>
  <c r="Q110" i="1" s="1"/>
  <c r="R110" i="1" a="1"/>
  <c r="R110" i="1" s="1"/>
  <c r="S110" i="1" a="1"/>
  <c r="S110" i="1"/>
  <c r="P111" i="1" a="1"/>
  <c r="P111" i="1" s="1"/>
  <c r="Q111" i="1" a="1"/>
  <c r="Q111" i="1"/>
  <c r="R111" i="1" a="1"/>
  <c r="R111" i="1" s="1"/>
  <c r="S111" i="1" a="1"/>
  <c r="S111" i="1" s="1"/>
  <c r="P112" i="1" a="1"/>
  <c r="P112" i="1" s="1"/>
  <c r="Q112" i="1" a="1"/>
  <c r="Q112" i="1" s="1"/>
  <c r="R112" i="1" a="1"/>
  <c r="R112" i="1" s="1"/>
  <c r="S112" i="1" a="1"/>
  <c r="S112" i="1" s="1"/>
  <c r="P113" i="1" a="1"/>
  <c r="P113" i="1"/>
  <c r="Q113" i="1" a="1"/>
  <c r="Q113" i="1" s="1"/>
  <c r="R113" i="1" a="1"/>
  <c r="R113" i="1"/>
  <c r="S113" i="1" a="1"/>
  <c r="S113" i="1" s="1"/>
  <c r="P114" i="1" a="1"/>
  <c r="P114" i="1" s="1"/>
  <c r="Q114" i="1" a="1"/>
  <c r="Q114" i="1" s="1"/>
  <c r="R114" i="1" a="1"/>
  <c r="R114" i="1" s="1"/>
  <c r="S114" i="1" a="1"/>
  <c r="S114" i="1" s="1"/>
  <c r="P115" i="1" a="1"/>
  <c r="P115" i="1" s="1"/>
  <c r="Q115" i="1" a="1"/>
  <c r="Q115" i="1" s="1"/>
  <c r="R115" i="1" a="1"/>
  <c r="R115" i="1" s="1"/>
  <c r="S115" i="1" a="1"/>
  <c r="S115" i="1" s="1"/>
  <c r="P116" i="1" a="1"/>
  <c r="P116" i="1" s="1"/>
  <c r="Q116" i="1" a="1"/>
  <c r="Q116" i="1" s="1"/>
  <c r="R116" i="1" a="1"/>
  <c r="R116" i="1" s="1"/>
  <c r="S116" i="1" a="1"/>
  <c r="S116" i="1" s="1"/>
  <c r="P117" i="1" a="1"/>
  <c r="P117" i="1" s="1"/>
  <c r="Q117" i="1" a="1"/>
  <c r="Q117" i="1"/>
  <c r="R117" i="1" a="1"/>
  <c r="R117" i="1" s="1"/>
  <c r="S117" i="1" a="1"/>
  <c r="S117" i="1" s="1"/>
  <c r="P118" i="1" a="1"/>
  <c r="P118" i="1" s="1"/>
  <c r="Q118" i="1" a="1"/>
  <c r="Q118" i="1" s="1"/>
  <c r="R118" i="1" a="1"/>
  <c r="R118" i="1" s="1"/>
  <c r="S118" i="1" a="1"/>
  <c r="S118" i="1" s="1"/>
  <c r="P119" i="1" a="1"/>
  <c r="P119" i="1" s="1"/>
  <c r="Q119" i="1" a="1"/>
  <c r="Q119" i="1" s="1"/>
  <c r="R119" i="1" a="1"/>
  <c r="R119" i="1" s="1"/>
  <c r="S119" i="1" a="1"/>
  <c r="S119" i="1" s="1"/>
  <c r="P120" i="1" a="1"/>
  <c r="P120" i="1" s="1"/>
  <c r="Q120" i="1" a="1"/>
  <c r="Q120" i="1" s="1"/>
  <c r="R120" i="1" a="1"/>
  <c r="R120" i="1" s="1"/>
  <c r="S120" i="1" a="1"/>
  <c r="S120" i="1" s="1"/>
  <c r="P121" i="1" a="1"/>
  <c r="P121" i="1"/>
  <c r="Q121" i="1" a="1"/>
  <c r="Q121" i="1" s="1"/>
  <c r="R121" i="1" a="1"/>
  <c r="R121" i="1" s="1"/>
  <c r="S121" i="1" a="1"/>
  <c r="S121" i="1" s="1"/>
  <c r="P122" i="1" a="1"/>
  <c r="P122" i="1" s="1"/>
  <c r="Q122" i="1" a="1"/>
  <c r="Q122" i="1"/>
  <c r="R122" i="1" a="1"/>
  <c r="R122" i="1" s="1"/>
  <c r="S122" i="1" a="1"/>
  <c r="S122" i="1" s="1"/>
  <c r="P123" i="1" a="1"/>
  <c r="P123" i="1" s="1"/>
  <c r="Q123" i="1" a="1"/>
  <c r="Q123" i="1" s="1"/>
  <c r="R123" i="1" a="1"/>
  <c r="R123" i="1" s="1"/>
  <c r="S123" i="1" a="1"/>
  <c r="S123" i="1" s="1"/>
  <c r="P124" i="1" a="1"/>
  <c r="P124" i="1" s="1"/>
  <c r="Q124" i="1" a="1"/>
  <c r="Q124" i="1" s="1"/>
  <c r="R124" i="1" a="1"/>
  <c r="R124" i="1" s="1"/>
  <c r="S124" i="1" a="1"/>
  <c r="S124" i="1"/>
  <c r="P125" i="1" a="1"/>
  <c r="P125" i="1" s="1"/>
  <c r="Q125" i="1" a="1"/>
  <c r="Q125" i="1"/>
  <c r="R125" i="1" a="1"/>
  <c r="R125" i="1" s="1"/>
  <c r="S125" i="1" a="1"/>
  <c r="S125" i="1" s="1"/>
  <c r="P126" i="1" a="1"/>
  <c r="P126" i="1" s="1"/>
  <c r="Q126" i="1" a="1"/>
  <c r="Q126" i="1" s="1"/>
  <c r="R126" i="1" a="1"/>
  <c r="R126" i="1" s="1"/>
  <c r="S126" i="1" a="1"/>
  <c r="S126" i="1" s="1"/>
  <c r="P127" i="1" a="1"/>
  <c r="P127" i="1" s="1"/>
  <c r="Q127" i="1" a="1"/>
  <c r="Q127" i="1" s="1"/>
  <c r="R127" i="1" a="1"/>
  <c r="R127" i="1" s="1"/>
  <c r="S127" i="1" a="1"/>
  <c r="S127" i="1" s="1"/>
  <c r="P128" i="1" a="1"/>
  <c r="P128" i="1" s="1"/>
  <c r="Q128" i="1" a="1"/>
  <c r="Q128" i="1" s="1"/>
  <c r="R128" i="1" a="1"/>
  <c r="R128" i="1" s="1"/>
  <c r="S128" i="1" a="1"/>
  <c r="S128" i="1" s="1"/>
  <c r="P129" i="1" a="1"/>
  <c r="P129" i="1" s="1"/>
  <c r="Q129" i="1" a="1"/>
  <c r="Q129" i="1" s="1"/>
  <c r="R129" i="1" a="1"/>
  <c r="R129" i="1" s="1"/>
  <c r="S129" i="1" a="1"/>
  <c r="S129" i="1" s="1"/>
  <c r="P130" i="1" a="1"/>
  <c r="P130" i="1" s="1"/>
  <c r="Q130" i="1" a="1"/>
  <c r="Q130" i="1" s="1"/>
  <c r="R130" i="1" a="1"/>
  <c r="R130" i="1" s="1"/>
  <c r="S130" i="1" a="1"/>
  <c r="S130" i="1" s="1"/>
  <c r="P131" i="1" a="1"/>
  <c r="P131" i="1"/>
  <c r="Q131" i="1" a="1"/>
  <c r="Q131" i="1" s="1"/>
  <c r="R131" i="1" a="1"/>
  <c r="R131" i="1" s="1"/>
  <c r="S131" i="1" a="1"/>
  <c r="S131" i="1" s="1"/>
  <c r="P132" i="1" a="1"/>
  <c r="P132" i="1" s="1"/>
  <c r="Q132" i="1" a="1"/>
  <c r="Q132" i="1"/>
  <c r="R132" i="1" a="1"/>
  <c r="R132" i="1" s="1"/>
  <c r="S132" i="1" a="1"/>
  <c r="S132" i="1" s="1"/>
  <c r="P133" i="1" a="1"/>
  <c r="P133" i="1"/>
  <c r="Q133" i="1" a="1"/>
  <c r="Q133" i="1" s="1"/>
  <c r="R133" i="1" a="1"/>
  <c r="R133" i="1" s="1"/>
  <c r="S133" i="1" a="1"/>
  <c r="S133" i="1" s="1"/>
  <c r="P134" i="1" a="1"/>
  <c r="P134" i="1" s="1"/>
  <c r="Q134" i="1" a="1"/>
  <c r="Q134" i="1" s="1"/>
  <c r="R134" i="1" a="1"/>
  <c r="R134" i="1" s="1"/>
  <c r="S134" i="1" a="1"/>
  <c r="S134" i="1" s="1"/>
  <c r="P135" i="1" a="1"/>
  <c r="P135" i="1" s="1"/>
  <c r="Q135" i="1" a="1"/>
  <c r="Q135" i="1"/>
  <c r="R135" i="1" a="1"/>
  <c r="R135" i="1" s="1"/>
  <c r="S135" i="1" a="1"/>
  <c r="S135" i="1" s="1"/>
  <c r="P136" i="1" a="1"/>
  <c r="P136" i="1" s="1"/>
  <c r="Q136" i="1" a="1"/>
  <c r="Q136" i="1" s="1"/>
  <c r="R136" i="1" a="1"/>
  <c r="R136" i="1" s="1"/>
  <c r="S136" i="1" a="1"/>
  <c r="S136" i="1" s="1"/>
  <c r="P137" i="1" a="1"/>
  <c r="P137" i="1"/>
  <c r="Q137" i="1" a="1"/>
  <c r="Q137" i="1" s="1"/>
  <c r="R137" i="1" a="1"/>
  <c r="R137" i="1"/>
  <c r="S137" i="1" a="1"/>
  <c r="S137" i="1" s="1"/>
  <c r="P138" i="1" a="1"/>
  <c r="P138" i="1" s="1"/>
  <c r="Q138" i="1" a="1"/>
  <c r="Q138" i="1" s="1"/>
  <c r="R138" i="1" a="1"/>
  <c r="R138" i="1" s="1"/>
  <c r="S138" i="1" a="1"/>
  <c r="S138" i="1" s="1"/>
  <c r="P139" i="1" a="1"/>
  <c r="P139" i="1" s="1"/>
  <c r="Q139" i="1" a="1"/>
  <c r="Q139" i="1" s="1"/>
  <c r="R139" i="1" a="1"/>
  <c r="R139" i="1" s="1"/>
  <c r="S139" i="1" a="1"/>
  <c r="S139" i="1" s="1"/>
  <c r="P140" i="1" a="1"/>
  <c r="P140" i="1" s="1"/>
  <c r="Q140" i="1" a="1"/>
  <c r="Q140" i="1" s="1"/>
  <c r="R140" i="1" a="1"/>
  <c r="R140" i="1" s="1"/>
  <c r="S140" i="1" a="1"/>
  <c r="S140" i="1"/>
  <c r="P141" i="1" a="1"/>
  <c r="P141" i="1" s="1"/>
  <c r="Q141" i="1" a="1"/>
  <c r="Q141" i="1" s="1"/>
  <c r="R141" i="1" a="1"/>
  <c r="R141" i="1" s="1"/>
  <c r="S141" i="1" a="1"/>
  <c r="S141" i="1" s="1"/>
  <c r="P142" i="1" a="1"/>
  <c r="P142" i="1" s="1"/>
  <c r="Q142" i="1" a="1"/>
  <c r="Q142" i="1" s="1"/>
  <c r="R142" i="1" a="1"/>
  <c r="R142" i="1" s="1"/>
  <c r="S142" i="1" a="1"/>
  <c r="S142" i="1" s="1"/>
  <c r="P143" i="1" a="1"/>
  <c r="P143" i="1" s="1"/>
  <c r="Q143" i="1" a="1"/>
  <c r="Q143" i="1" s="1"/>
  <c r="R143" i="1" a="1"/>
  <c r="R143" i="1" s="1"/>
  <c r="S143" i="1" a="1"/>
  <c r="S143" i="1" s="1"/>
  <c r="P144" i="1" a="1"/>
  <c r="P144" i="1" s="1"/>
  <c r="Q144" i="1" a="1"/>
  <c r="Q144" i="1" s="1"/>
  <c r="R144" i="1" a="1"/>
  <c r="R144" i="1" s="1"/>
  <c r="S144" i="1" a="1"/>
  <c r="S144" i="1" s="1"/>
  <c r="P145" i="1" a="1"/>
  <c r="P145" i="1" s="1"/>
  <c r="Q145" i="1" a="1"/>
  <c r="Q145" i="1" s="1"/>
  <c r="R145" i="1" a="1"/>
  <c r="R145" i="1" s="1"/>
  <c r="S145" i="1" a="1"/>
  <c r="S145" i="1" s="1"/>
  <c r="P146" i="1" a="1"/>
  <c r="P146" i="1" s="1"/>
  <c r="Q146" i="1" a="1"/>
  <c r="Q146" i="1" s="1"/>
  <c r="R146" i="1" a="1"/>
  <c r="R146" i="1" s="1"/>
  <c r="S146" i="1" a="1"/>
  <c r="S146" i="1" s="1"/>
  <c r="P147" i="1" a="1"/>
  <c r="P147" i="1" s="1"/>
  <c r="Q147" i="1" a="1"/>
  <c r="Q147" i="1" s="1"/>
  <c r="R147" i="1" a="1"/>
  <c r="R147" i="1" s="1"/>
  <c r="S147" i="1" a="1"/>
  <c r="S147" i="1" s="1"/>
  <c r="P148" i="1" a="1"/>
  <c r="P148" i="1" s="1"/>
  <c r="Q148" i="1" a="1"/>
  <c r="Q148" i="1"/>
  <c r="R148" i="1" a="1"/>
  <c r="R148" i="1" s="1"/>
  <c r="S148" i="1" a="1"/>
  <c r="S148" i="1" s="1"/>
  <c r="P149" i="1" a="1"/>
  <c r="P149" i="1" s="1"/>
  <c r="Q149" i="1" a="1"/>
  <c r="Q149" i="1"/>
  <c r="R149" i="1" a="1"/>
  <c r="R149" i="1" s="1"/>
  <c r="S149" i="1" a="1"/>
  <c r="S149" i="1" s="1"/>
  <c r="P150" i="1" a="1"/>
  <c r="P150" i="1" s="1"/>
  <c r="Q150" i="1" a="1"/>
  <c r="Q150" i="1" s="1"/>
  <c r="R150" i="1" a="1"/>
  <c r="R150" i="1" s="1"/>
  <c r="S150" i="1" a="1"/>
  <c r="S150" i="1" s="1"/>
  <c r="P151" i="1" a="1"/>
  <c r="P151" i="1" s="1"/>
  <c r="Q151" i="1" a="1"/>
  <c r="Q151" i="1" s="1"/>
  <c r="R151" i="1" a="1"/>
  <c r="R151" i="1" s="1"/>
  <c r="S151" i="1" a="1"/>
  <c r="S151" i="1" s="1"/>
  <c r="P152" i="1" a="1"/>
  <c r="P152" i="1" s="1"/>
  <c r="Q152" i="1" a="1"/>
  <c r="Q152" i="1" s="1"/>
  <c r="R152" i="1" a="1"/>
  <c r="R152" i="1" s="1"/>
  <c r="S152" i="1" a="1"/>
  <c r="S152" i="1" s="1"/>
  <c r="P153" i="1" a="1"/>
  <c r="P153" i="1" s="1"/>
  <c r="Q153" i="1" a="1"/>
  <c r="Q153" i="1" s="1"/>
  <c r="R153" i="1" a="1"/>
  <c r="R153" i="1" s="1"/>
  <c r="S153" i="1" a="1"/>
  <c r="S153" i="1" s="1"/>
  <c r="P154" i="1" a="1"/>
  <c r="P154" i="1" s="1"/>
  <c r="Q154" i="1" a="1"/>
  <c r="Q154" i="1" s="1"/>
  <c r="R154" i="1" a="1"/>
  <c r="R154" i="1" s="1"/>
  <c r="S154" i="1" a="1"/>
  <c r="S154" i="1" s="1"/>
  <c r="P155" i="1" a="1"/>
  <c r="P155" i="1" s="1"/>
  <c r="Q155" i="1" a="1"/>
  <c r="Q155" i="1" s="1"/>
  <c r="R155" i="1" a="1"/>
  <c r="R155" i="1"/>
  <c r="S155" i="1" a="1"/>
  <c r="S155" i="1" s="1"/>
  <c r="P156" i="1" a="1"/>
  <c r="P156" i="1" s="1"/>
  <c r="Q156" i="1" a="1"/>
  <c r="Q156" i="1" s="1"/>
  <c r="R156" i="1" a="1"/>
  <c r="R156" i="1" s="1"/>
  <c r="S156" i="1" a="1"/>
  <c r="S156" i="1"/>
  <c r="P157" i="1" a="1"/>
  <c r="P157" i="1" s="1"/>
  <c r="Q157" i="1" a="1"/>
  <c r="Q157" i="1"/>
  <c r="R157" i="1" a="1"/>
  <c r="R157" i="1" s="1"/>
  <c r="S157" i="1" a="1"/>
  <c r="S157" i="1" s="1"/>
  <c r="P158" i="1" a="1"/>
  <c r="P158" i="1" s="1"/>
  <c r="Q158" i="1" a="1"/>
  <c r="Q158" i="1" s="1"/>
  <c r="R158" i="1" a="1"/>
  <c r="R158" i="1" s="1"/>
  <c r="S158" i="1" a="1"/>
  <c r="S158" i="1" s="1"/>
  <c r="P159" i="1" a="1"/>
  <c r="P159" i="1" s="1"/>
  <c r="Q159" i="1" a="1"/>
  <c r="Q159" i="1" s="1"/>
  <c r="R159" i="1" a="1"/>
  <c r="R159" i="1" s="1"/>
  <c r="S159" i="1" a="1"/>
  <c r="S159" i="1" s="1"/>
  <c r="P160" i="1" a="1"/>
  <c r="P160" i="1" s="1"/>
  <c r="Q160" i="1" a="1"/>
  <c r="Q160" i="1" s="1"/>
  <c r="R160" i="1" a="1"/>
  <c r="R160" i="1" s="1"/>
  <c r="S160" i="1" a="1"/>
  <c r="S160" i="1" s="1"/>
  <c r="P161" i="1" a="1"/>
  <c r="P161" i="1"/>
  <c r="Q161" i="1" a="1"/>
  <c r="Q161" i="1" s="1"/>
  <c r="R161" i="1" a="1"/>
  <c r="R161" i="1" s="1"/>
  <c r="S161" i="1" a="1"/>
  <c r="S161" i="1" s="1"/>
  <c r="P162" i="1" a="1"/>
  <c r="P162" i="1" s="1"/>
  <c r="Q162" i="1" a="1"/>
  <c r="Q162" i="1"/>
  <c r="R162" i="1" a="1"/>
  <c r="R162" i="1" s="1"/>
  <c r="S162" i="1" a="1"/>
  <c r="S162" i="1" s="1"/>
  <c r="P163" i="1" a="1"/>
  <c r="P163" i="1" s="1"/>
  <c r="Q163" i="1" a="1"/>
  <c r="Q163" i="1" s="1"/>
  <c r="R163" i="1" a="1"/>
  <c r="R163" i="1" s="1"/>
  <c r="S163" i="1" a="1"/>
  <c r="S163" i="1" s="1"/>
  <c r="P164" i="1" a="1"/>
  <c r="P164" i="1" s="1"/>
  <c r="Q164" i="1" a="1"/>
  <c r="Q164" i="1" s="1"/>
  <c r="R164" i="1" a="1"/>
  <c r="R164" i="1" s="1"/>
  <c r="S164" i="1" a="1"/>
  <c r="S164" i="1" s="1"/>
  <c r="P165" i="1" a="1"/>
  <c r="P165" i="1" s="1"/>
  <c r="Q165" i="1" a="1"/>
  <c r="Q165" i="1"/>
  <c r="R165" i="1" a="1"/>
  <c r="R165" i="1" s="1"/>
  <c r="S165" i="1" a="1"/>
  <c r="S165" i="1" s="1"/>
  <c r="P166" i="1" a="1"/>
  <c r="P166" i="1" s="1"/>
  <c r="Q166" i="1" a="1"/>
  <c r="Q166" i="1" s="1"/>
  <c r="R166" i="1" a="1"/>
  <c r="R166" i="1" s="1"/>
  <c r="S166" i="1" a="1"/>
  <c r="S166" i="1" s="1"/>
  <c r="P167" i="1" a="1"/>
  <c r="P167" i="1" s="1"/>
  <c r="Q167" i="1" a="1"/>
  <c r="Q167" i="1" s="1"/>
  <c r="R167" i="1" a="1"/>
  <c r="R167" i="1" s="1"/>
  <c r="S167" i="1" a="1"/>
  <c r="S167" i="1" s="1"/>
  <c r="P168" i="1" a="1"/>
  <c r="P168" i="1" s="1"/>
  <c r="Q168" i="1" a="1"/>
  <c r="Q168" i="1" s="1"/>
  <c r="R168" i="1" a="1"/>
  <c r="R168" i="1" s="1"/>
  <c r="S168" i="1" a="1"/>
  <c r="S168" i="1" s="1"/>
  <c r="P169" i="1" a="1"/>
  <c r="P169" i="1"/>
  <c r="Q169" i="1" a="1"/>
  <c r="Q169" i="1" s="1"/>
  <c r="R169" i="1" a="1"/>
  <c r="R169" i="1" s="1"/>
  <c r="S169" i="1" a="1"/>
  <c r="S169" i="1" s="1"/>
  <c r="P170" i="1" a="1"/>
  <c r="P170" i="1" s="1"/>
  <c r="Q170" i="1" a="1"/>
  <c r="Q170" i="1" s="1"/>
  <c r="R170" i="1" a="1"/>
  <c r="R170" i="1" s="1"/>
  <c r="S170" i="1" a="1"/>
  <c r="S170" i="1" s="1"/>
  <c r="P171" i="1" a="1"/>
  <c r="P171" i="1" s="1"/>
  <c r="Q171" i="1" a="1"/>
  <c r="Q171" i="1" s="1"/>
  <c r="R171" i="1" a="1"/>
  <c r="R171" i="1" s="1"/>
  <c r="S171" i="1" a="1"/>
  <c r="S171" i="1" s="1"/>
  <c r="P172" i="1" a="1"/>
  <c r="P172" i="1"/>
  <c r="Q172" i="1" a="1"/>
  <c r="Q172" i="1" s="1"/>
  <c r="R172" i="1" a="1"/>
  <c r="R172" i="1" s="1"/>
  <c r="S172" i="1" a="1"/>
  <c r="S172" i="1" s="1"/>
  <c r="P173" i="1" a="1"/>
  <c r="P173" i="1" s="1"/>
  <c r="Q173" i="1" a="1"/>
  <c r="Q173" i="1" s="1"/>
  <c r="R173" i="1" a="1"/>
  <c r="R173" i="1" s="1"/>
  <c r="S173" i="1" a="1"/>
  <c r="S173" i="1" s="1"/>
  <c r="P174" i="1" a="1"/>
  <c r="P174" i="1" s="1"/>
  <c r="Q174" i="1" a="1"/>
  <c r="Q174" i="1" s="1"/>
  <c r="R174" i="1" a="1"/>
  <c r="R174" i="1" s="1"/>
  <c r="S174" i="1" a="1"/>
  <c r="S174" i="1" s="1"/>
  <c r="P175" i="1" a="1"/>
  <c r="P175" i="1" s="1"/>
  <c r="Q175" i="1" a="1"/>
  <c r="Q175" i="1" s="1"/>
  <c r="R175" i="1" a="1"/>
  <c r="R175" i="1"/>
  <c r="S175" i="1" a="1"/>
  <c r="S175" i="1"/>
  <c r="P176" i="1" a="1"/>
  <c r="P176" i="1" s="1"/>
  <c r="Q176" i="1" a="1"/>
  <c r="Q176" i="1" s="1"/>
  <c r="R176" i="1" a="1"/>
  <c r="R176" i="1" s="1"/>
  <c r="S176" i="1" a="1"/>
  <c r="S176" i="1" s="1"/>
  <c r="P177" i="1" a="1"/>
  <c r="P177" i="1" s="1"/>
  <c r="Q177" i="1" a="1"/>
  <c r="Q177" i="1" s="1"/>
  <c r="R177" i="1" a="1"/>
  <c r="R177" i="1" s="1"/>
  <c r="S177" i="1" a="1"/>
  <c r="S177" i="1" s="1"/>
  <c r="P178" i="1" a="1"/>
  <c r="P178" i="1" s="1"/>
  <c r="Q178" i="1" a="1"/>
  <c r="Q178" i="1" s="1"/>
  <c r="R178" i="1" a="1"/>
  <c r="R178" i="1" s="1"/>
  <c r="S178" i="1" a="1"/>
  <c r="S178" i="1"/>
  <c r="P179" i="1" a="1"/>
  <c r="P179" i="1" s="1"/>
  <c r="Q179" i="1" a="1"/>
  <c r="Q179" i="1" s="1"/>
  <c r="R179" i="1" a="1"/>
  <c r="R179" i="1" s="1"/>
  <c r="S179" i="1" a="1"/>
  <c r="S179" i="1" s="1"/>
  <c r="P180" i="1" a="1"/>
  <c r="P180" i="1" s="1"/>
  <c r="Q180" i="1" a="1"/>
  <c r="Q180" i="1" s="1"/>
  <c r="R180" i="1" a="1"/>
  <c r="R180" i="1"/>
  <c r="S180" i="1" a="1"/>
  <c r="S180" i="1" s="1"/>
  <c r="P181" i="1" a="1"/>
  <c r="P181" i="1"/>
  <c r="Q181" i="1" a="1"/>
  <c r="Q181" i="1" s="1"/>
  <c r="R181" i="1" a="1"/>
  <c r="R181" i="1" s="1"/>
  <c r="S181" i="1" a="1"/>
  <c r="S181" i="1" s="1"/>
  <c r="P182" i="1" a="1"/>
  <c r="P182" i="1"/>
  <c r="Q182" i="1" a="1"/>
  <c r="Q182" i="1" s="1"/>
  <c r="R182" i="1" a="1"/>
  <c r="R182" i="1" s="1"/>
  <c r="S182" i="1" a="1"/>
  <c r="S182" i="1" s="1"/>
  <c r="P183" i="1" a="1"/>
  <c r="P183" i="1" s="1"/>
  <c r="Q183" i="1" a="1"/>
  <c r="Q183" i="1" s="1"/>
  <c r="R183" i="1" a="1"/>
  <c r="R183" i="1" s="1"/>
  <c r="S183" i="1" a="1"/>
  <c r="S183" i="1"/>
  <c r="P184" i="1" a="1"/>
  <c r="P184" i="1"/>
  <c r="Q184" i="1" a="1"/>
  <c r="Q184" i="1" s="1"/>
  <c r="R184" i="1" a="1"/>
  <c r="R184" i="1" s="1"/>
  <c r="S184" i="1" a="1"/>
  <c r="S184" i="1" s="1"/>
  <c r="P185" i="1" a="1"/>
  <c r="P185" i="1" s="1"/>
  <c r="Q185" i="1" a="1"/>
  <c r="Q185" i="1" s="1"/>
  <c r="R185" i="1" a="1"/>
  <c r="R185" i="1" s="1"/>
  <c r="S185" i="1" a="1"/>
  <c r="S185" i="1" s="1"/>
  <c r="P186" i="1" a="1"/>
  <c r="P186" i="1" s="1"/>
  <c r="Q186" i="1" a="1"/>
  <c r="Q186" i="1" s="1"/>
  <c r="R186" i="1" a="1"/>
  <c r="R186" i="1" s="1"/>
  <c r="S186" i="1" a="1"/>
  <c r="S186" i="1" s="1"/>
  <c r="P187" i="1" a="1"/>
  <c r="P187" i="1" s="1"/>
  <c r="Q187" i="1" a="1"/>
  <c r="Q187" i="1" s="1"/>
  <c r="R187" i="1" a="1"/>
  <c r="R187" i="1" s="1"/>
  <c r="S187" i="1" a="1"/>
  <c r="S187" i="1" s="1"/>
  <c r="P188" i="1" a="1"/>
  <c r="P188" i="1" s="1"/>
  <c r="Q188" i="1" a="1"/>
  <c r="Q188" i="1" s="1"/>
  <c r="R188" i="1" a="1"/>
  <c r="R188" i="1" s="1"/>
  <c r="S188" i="1" a="1"/>
  <c r="S188" i="1" s="1"/>
  <c r="P189" i="1" a="1"/>
  <c r="P189" i="1" s="1"/>
  <c r="Q189" i="1" a="1"/>
  <c r="Q189" i="1" s="1"/>
  <c r="R189" i="1" a="1"/>
  <c r="R189" i="1"/>
  <c r="S189" i="1" a="1"/>
  <c r="S189" i="1" s="1"/>
  <c r="P190" i="1" a="1"/>
  <c r="P190" i="1" s="1"/>
  <c r="Q190" i="1" a="1"/>
  <c r="Q190" i="1" s="1"/>
  <c r="R190" i="1" a="1"/>
  <c r="R190" i="1" s="1"/>
  <c r="S190" i="1" a="1"/>
  <c r="S190" i="1" s="1"/>
  <c r="P191" i="1" a="1"/>
  <c r="P191" i="1" s="1"/>
  <c r="Q191" i="1" a="1"/>
  <c r="Q191" i="1" s="1"/>
  <c r="R191" i="1" a="1"/>
  <c r="R191" i="1" s="1"/>
  <c r="S191" i="1" a="1"/>
  <c r="S191" i="1"/>
  <c r="P192" i="1" a="1"/>
  <c r="P192" i="1" s="1"/>
  <c r="Q192" i="1" a="1"/>
  <c r="Q192" i="1" s="1"/>
  <c r="R192" i="1" a="1"/>
  <c r="R192" i="1"/>
  <c r="S192" i="1" a="1"/>
  <c r="S192" i="1" s="1"/>
  <c r="P193" i="1" a="1"/>
  <c r="P193" i="1" s="1"/>
  <c r="Q193" i="1" a="1"/>
  <c r="Q193" i="1" s="1"/>
  <c r="R193" i="1" a="1"/>
  <c r="R193" i="1" s="1"/>
  <c r="S193" i="1" a="1"/>
  <c r="S193" i="1" s="1"/>
  <c r="P194" i="1" a="1"/>
  <c r="P194" i="1" s="1"/>
  <c r="Q194" i="1" a="1"/>
  <c r="Q194" i="1" s="1"/>
  <c r="R194" i="1" a="1"/>
  <c r="R194" i="1" s="1"/>
  <c r="S194" i="1" a="1"/>
  <c r="S194" i="1"/>
  <c r="P195" i="1" a="1"/>
  <c r="P195" i="1"/>
  <c r="Q195" i="1" a="1"/>
  <c r="Q195" i="1" s="1"/>
  <c r="R195" i="1" a="1"/>
  <c r="R195" i="1"/>
  <c r="S195" i="1" a="1"/>
  <c r="S195" i="1" s="1"/>
  <c r="P196" i="1" a="1"/>
  <c r="P196" i="1" s="1"/>
  <c r="Q196" i="1" a="1"/>
  <c r="Q196" i="1" s="1"/>
  <c r="R196" i="1" a="1"/>
  <c r="R196" i="1" s="1"/>
  <c r="S196" i="1" a="1"/>
  <c r="S196" i="1" s="1"/>
  <c r="P197" i="1" a="1"/>
  <c r="P197" i="1" s="1"/>
  <c r="Q197" i="1" a="1"/>
  <c r="Q197" i="1" s="1"/>
  <c r="R197" i="1" a="1"/>
  <c r="R197" i="1" s="1"/>
  <c r="S197" i="1" a="1"/>
  <c r="S197" i="1"/>
  <c r="P198" i="1" a="1"/>
  <c r="P198" i="1" s="1"/>
  <c r="Q198" i="1" a="1"/>
  <c r="Q198" i="1" s="1"/>
  <c r="R198" i="1" a="1"/>
  <c r="R198" i="1"/>
  <c r="S198" i="1" a="1"/>
  <c r="S198" i="1" s="1"/>
  <c r="P199" i="1" a="1"/>
  <c r="P199" i="1" s="1"/>
  <c r="Q199" i="1" a="1"/>
  <c r="Q199" i="1" s="1"/>
  <c r="R199" i="1" a="1"/>
  <c r="R199" i="1" s="1"/>
  <c r="S199" i="1" a="1"/>
  <c r="S199" i="1" s="1"/>
  <c r="P200" i="1" a="1"/>
  <c r="P200" i="1"/>
  <c r="Q200" i="1" a="1"/>
  <c r="Q200" i="1"/>
  <c r="R200" i="1" a="1"/>
  <c r="R200" i="1"/>
  <c r="S200" i="1" a="1"/>
  <c r="S200" i="1" s="1"/>
  <c r="P201" i="1" a="1"/>
  <c r="P201" i="1" s="1"/>
  <c r="Q201" i="1" a="1"/>
  <c r="Q201" i="1" s="1"/>
  <c r="R201" i="1" a="1"/>
  <c r="R201" i="1"/>
  <c r="S201" i="1" a="1"/>
  <c r="S201" i="1" s="1"/>
  <c r="P202" i="1" a="1"/>
  <c r="P202" i="1" s="1"/>
  <c r="Q202" i="1" a="1"/>
  <c r="Q202" i="1" s="1"/>
  <c r="R202" i="1" a="1"/>
  <c r="R202" i="1" s="1"/>
  <c r="S202" i="1" a="1"/>
  <c r="S202" i="1"/>
  <c r="P203" i="1" a="1"/>
  <c r="P203" i="1"/>
  <c r="Q203" i="1" a="1"/>
  <c r="Q203" i="1" s="1"/>
  <c r="R203" i="1" a="1"/>
  <c r="R203" i="1" s="1"/>
  <c r="S203" i="1" a="1"/>
  <c r="S203" i="1" s="1"/>
  <c r="P204" i="1" a="1"/>
  <c r="P204" i="1" s="1"/>
  <c r="Q204" i="1" a="1"/>
  <c r="Q204" i="1" s="1"/>
  <c r="R204" i="1" a="1"/>
  <c r="R204" i="1"/>
  <c r="S204" i="1" a="1"/>
  <c r="S204" i="1" s="1"/>
  <c r="P205" i="1" a="1"/>
  <c r="P205" i="1" s="1"/>
  <c r="Q205" i="1" a="1"/>
  <c r="Q205" i="1" s="1"/>
  <c r="R205" i="1" a="1"/>
  <c r="R205" i="1" s="1"/>
  <c r="S205" i="1" a="1"/>
  <c r="S205" i="1" s="1"/>
  <c r="P206" i="1" a="1"/>
  <c r="P206" i="1" s="1"/>
  <c r="Q206" i="1" a="1"/>
  <c r="Q206" i="1" s="1"/>
  <c r="R206" i="1" a="1"/>
  <c r="R206" i="1" s="1"/>
  <c r="S206" i="1" a="1"/>
  <c r="S206" i="1" s="1"/>
  <c r="P207" i="1" a="1"/>
  <c r="P207" i="1"/>
  <c r="Q207" i="1" a="1"/>
  <c r="Q207" i="1" s="1"/>
  <c r="R207" i="1" a="1"/>
  <c r="R207" i="1" s="1"/>
  <c r="S207" i="1" a="1"/>
  <c r="S207" i="1" s="1"/>
  <c r="P208" i="1" a="1"/>
  <c r="P208" i="1"/>
  <c r="Q208" i="1" a="1"/>
  <c r="Q208" i="1" s="1"/>
  <c r="R208" i="1" a="1"/>
  <c r="R208" i="1" s="1"/>
  <c r="S208" i="1" a="1"/>
  <c r="S208" i="1"/>
  <c r="P209" i="1" a="1"/>
  <c r="P209" i="1" s="1"/>
  <c r="Q209" i="1" a="1"/>
  <c r="Q209" i="1" s="1"/>
  <c r="R209" i="1" a="1"/>
  <c r="R209" i="1" s="1"/>
  <c r="S209" i="1" a="1"/>
  <c r="S209" i="1" s="1"/>
  <c r="P210" i="1" a="1"/>
  <c r="P210" i="1" s="1"/>
  <c r="Q210" i="1" a="1"/>
  <c r="Q210" i="1" s="1"/>
  <c r="R210" i="1" a="1"/>
  <c r="R210" i="1" s="1"/>
  <c r="S210" i="1" a="1"/>
  <c r="S210" i="1" s="1"/>
  <c r="P211" i="1" a="1"/>
  <c r="P211" i="1" s="1"/>
  <c r="Q211" i="1" a="1"/>
  <c r="Q211" i="1" s="1"/>
  <c r="R211" i="1" a="1"/>
  <c r="R211" i="1" s="1"/>
  <c r="S211" i="1" a="1"/>
  <c r="S211" i="1" s="1"/>
  <c r="P212" i="1" a="1"/>
  <c r="P212" i="1" s="1"/>
  <c r="Q212" i="1" a="1"/>
  <c r="Q212" i="1"/>
  <c r="R212" i="1" a="1"/>
  <c r="R212" i="1" s="1"/>
  <c r="S212" i="1" a="1"/>
  <c r="S212" i="1" s="1"/>
  <c r="P213" i="1" a="1"/>
  <c r="P213" i="1"/>
  <c r="Q213" i="1" a="1"/>
  <c r="Q213" i="1" s="1"/>
  <c r="R213" i="1" a="1"/>
  <c r="R213" i="1"/>
  <c r="S213" i="1" a="1"/>
  <c r="S213" i="1"/>
  <c r="P214" i="1" a="1"/>
  <c r="P214" i="1" s="1"/>
  <c r="Q214" i="1" a="1"/>
  <c r="Q214" i="1" s="1"/>
  <c r="R214" i="1" a="1"/>
  <c r="R214" i="1" s="1"/>
  <c r="S214" i="1" a="1"/>
  <c r="S214" i="1"/>
  <c r="P215" i="1" a="1"/>
  <c r="P215" i="1" s="1"/>
  <c r="Q215" i="1" a="1"/>
  <c r="Q215" i="1" s="1"/>
  <c r="R215" i="1" a="1"/>
  <c r="R215" i="1" s="1"/>
  <c r="S215" i="1" a="1"/>
  <c r="S215" i="1" s="1"/>
  <c r="P216" i="1" a="1"/>
  <c r="P216" i="1" s="1"/>
  <c r="Q216" i="1" a="1"/>
  <c r="Q216" i="1" s="1"/>
  <c r="R216" i="1" a="1"/>
  <c r="R216" i="1" s="1"/>
  <c r="S216" i="1" a="1"/>
  <c r="S216" i="1" s="1"/>
  <c r="P217" i="1" a="1"/>
  <c r="P217" i="1" s="1"/>
  <c r="Q217" i="1" a="1"/>
  <c r="Q217" i="1" s="1"/>
  <c r="R217" i="1" a="1"/>
  <c r="R217" i="1" s="1"/>
  <c r="S217" i="1" a="1"/>
  <c r="S217" i="1" s="1"/>
  <c r="P218" i="1" a="1"/>
  <c r="P218" i="1"/>
  <c r="Q218" i="1" a="1"/>
  <c r="Q218" i="1"/>
  <c r="R218" i="1" a="1"/>
  <c r="R218" i="1" s="1"/>
  <c r="S218" i="1" a="1"/>
  <c r="S218" i="1" s="1"/>
  <c r="P219" i="1" a="1"/>
  <c r="P219" i="1" s="1"/>
  <c r="Q219" i="1" a="1"/>
  <c r="Q219" i="1" s="1"/>
  <c r="R219" i="1" a="1"/>
  <c r="R219" i="1" s="1"/>
  <c r="S219" i="1" a="1"/>
  <c r="S219" i="1" s="1"/>
  <c r="P220" i="1" a="1"/>
  <c r="P220" i="1" s="1"/>
  <c r="Q220" i="1" a="1"/>
  <c r="Q220" i="1" s="1"/>
  <c r="R220" i="1" a="1"/>
  <c r="R220" i="1" s="1"/>
  <c r="S220" i="1" a="1"/>
  <c r="S220" i="1" s="1"/>
  <c r="P221" i="1" a="1"/>
  <c r="P221" i="1" s="1"/>
  <c r="Q221" i="1" a="1"/>
  <c r="Q221" i="1" s="1"/>
  <c r="R221" i="1" a="1"/>
  <c r="R221" i="1" s="1"/>
  <c r="S221" i="1" a="1"/>
  <c r="S221" i="1" s="1"/>
  <c r="P222" i="1" a="1"/>
  <c r="P222" i="1" s="1"/>
  <c r="Q222" i="1" a="1"/>
  <c r="Q222" i="1" s="1"/>
  <c r="R222" i="1" a="1"/>
  <c r="R222" i="1" s="1"/>
  <c r="S222" i="1" a="1"/>
  <c r="S222" i="1" s="1"/>
  <c r="P223" i="1" a="1"/>
  <c r="P223" i="1" s="1"/>
  <c r="Q223" i="1" a="1"/>
  <c r="Q223" i="1" s="1"/>
  <c r="R223" i="1" a="1"/>
  <c r="R223" i="1" s="1"/>
  <c r="S223" i="1" a="1"/>
  <c r="S223" i="1"/>
  <c r="P224" i="1" a="1"/>
  <c r="P224" i="1"/>
  <c r="Q224" i="1" a="1"/>
  <c r="Q224" i="1" s="1"/>
  <c r="R224" i="1" a="1"/>
  <c r="R224" i="1" s="1"/>
  <c r="S224" i="1" a="1"/>
  <c r="S224" i="1" s="1"/>
  <c r="P225" i="1" a="1"/>
  <c r="P225" i="1" s="1"/>
  <c r="Q225" i="1" a="1"/>
  <c r="Q225" i="1" s="1"/>
  <c r="R225" i="1" a="1"/>
  <c r="R225" i="1"/>
  <c r="S225" i="1" a="1"/>
  <c r="S225" i="1" s="1"/>
  <c r="P226" i="1" a="1"/>
  <c r="P226" i="1" s="1"/>
  <c r="Q226" i="1" a="1"/>
  <c r="Q226" i="1" s="1"/>
  <c r="R226" i="1" a="1"/>
  <c r="R226" i="1" s="1"/>
  <c r="S226" i="1" a="1"/>
  <c r="S226" i="1"/>
  <c r="P227" i="1" a="1"/>
  <c r="P227" i="1"/>
  <c r="Q227" i="1" a="1"/>
  <c r="Q227" i="1" s="1"/>
  <c r="R227" i="1" a="1"/>
  <c r="R227" i="1"/>
  <c r="S227" i="1" a="1"/>
  <c r="S227" i="1" s="1"/>
  <c r="P228" i="1" a="1"/>
  <c r="P228" i="1"/>
  <c r="Q228" i="1" a="1"/>
  <c r="Q228" i="1"/>
  <c r="R228" i="1" a="1"/>
  <c r="R228" i="1" s="1"/>
  <c r="S228" i="1" a="1"/>
  <c r="S228" i="1" s="1"/>
  <c r="P229" i="1" a="1"/>
  <c r="P229" i="1" s="1"/>
  <c r="Q229" i="1" a="1"/>
  <c r="Q229" i="1" s="1"/>
  <c r="R229" i="1" a="1"/>
  <c r="R229" i="1" s="1"/>
  <c r="S229" i="1" a="1"/>
  <c r="S229" i="1" s="1"/>
  <c r="P230" i="1" a="1"/>
  <c r="P230" i="1" s="1"/>
  <c r="Q230" i="1" a="1"/>
  <c r="Q230" i="1" s="1"/>
  <c r="R230" i="1" a="1"/>
  <c r="R230" i="1" s="1"/>
  <c r="S230" i="1" a="1"/>
  <c r="S230" i="1" s="1"/>
  <c r="P231" i="1" a="1"/>
  <c r="P231" i="1"/>
  <c r="Q231" i="1" a="1"/>
  <c r="Q231" i="1" s="1"/>
  <c r="R231" i="1" a="1"/>
  <c r="R231" i="1" s="1"/>
  <c r="S231" i="1" a="1"/>
  <c r="S231" i="1"/>
  <c r="P232" i="1" a="1"/>
  <c r="P232" i="1" s="1"/>
  <c r="Q232" i="1" a="1"/>
  <c r="Q232" i="1"/>
  <c r="R232" i="1" a="1"/>
  <c r="R232" i="1"/>
  <c r="S232" i="1" a="1"/>
  <c r="S232" i="1" s="1"/>
  <c r="P233" i="1" a="1"/>
  <c r="P233" i="1" s="1"/>
  <c r="Q233" i="1" a="1"/>
  <c r="Q233" i="1" s="1"/>
  <c r="R233" i="1" a="1"/>
  <c r="R233" i="1" s="1"/>
  <c r="S233" i="1" a="1"/>
  <c r="S233" i="1" s="1"/>
  <c r="P234" i="1" a="1"/>
  <c r="P234" i="1" s="1"/>
  <c r="Q234" i="1" a="1"/>
  <c r="Q234" i="1" s="1"/>
  <c r="R234" i="1" a="1"/>
  <c r="R234" i="1" s="1"/>
  <c r="S234" i="1" a="1"/>
  <c r="S234" i="1" s="1"/>
  <c r="P235" i="1" a="1"/>
  <c r="P235" i="1" s="1"/>
  <c r="Q235" i="1" a="1"/>
  <c r="Q235" i="1" s="1"/>
  <c r="R235" i="1" a="1"/>
  <c r="R235" i="1"/>
  <c r="S235" i="1" a="1"/>
  <c r="S235" i="1"/>
  <c r="P236" i="1" a="1"/>
  <c r="P236" i="1"/>
  <c r="Q236" i="1" a="1"/>
  <c r="Q236" i="1" s="1"/>
  <c r="R236" i="1" a="1"/>
  <c r="R236" i="1" s="1"/>
  <c r="S236" i="1" a="1"/>
  <c r="S236" i="1"/>
  <c r="P237" i="1" a="1"/>
  <c r="P237" i="1" s="1"/>
  <c r="Q237" i="1" a="1"/>
  <c r="Q237" i="1" s="1"/>
  <c r="R237" i="1" a="1"/>
  <c r="R237" i="1"/>
  <c r="S237" i="1" a="1"/>
  <c r="S237" i="1" s="1"/>
  <c r="P238" i="1" a="1"/>
  <c r="P238" i="1" s="1"/>
  <c r="Q238" i="1" a="1"/>
  <c r="Q238" i="1" s="1"/>
  <c r="R238" i="1" a="1"/>
  <c r="R238" i="1" s="1"/>
  <c r="S238" i="1" a="1"/>
  <c r="S238" i="1" s="1"/>
  <c r="P239" i="1" a="1"/>
  <c r="P239" i="1"/>
  <c r="Q239" i="1" a="1"/>
  <c r="Q239" i="1" s="1"/>
  <c r="R239" i="1" a="1"/>
  <c r="R239" i="1" s="1"/>
  <c r="S239" i="1" a="1"/>
  <c r="S239" i="1" s="1"/>
  <c r="P240" i="1" a="1"/>
  <c r="P240" i="1" s="1"/>
  <c r="Q240" i="1" a="1"/>
  <c r="Q240" i="1" s="1"/>
  <c r="R240" i="1" a="1"/>
  <c r="R240" i="1" s="1"/>
  <c r="S240" i="1" a="1"/>
  <c r="S240" i="1" s="1"/>
  <c r="P241" i="1" a="1"/>
  <c r="P241" i="1"/>
  <c r="Q241" i="1" a="1"/>
  <c r="Q241" i="1" s="1"/>
  <c r="R241" i="1" a="1"/>
  <c r="R241" i="1" s="1"/>
  <c r="S241" i="1" a="1"/>
  <c r="S241" i="1"/>
  <c r="P242" i="1" a="1"/>
  <c r="P242" i="1" s="1"/>
  <c r="Q242" i="1" a="1"/>
  <c r="Q242" i="1" s="1"/>
  <c r="R242" i="1" a="1"/>
  <c r="R242" i="1" s="1"/>
  <c r="S242" i="1" a="1"/>
  <c r="S242" i="1" s="1"/>
  <c r="P243" i="1" a="1"/>
  <c r="P243" i="1" s="1"/>
  <c r="Q243" i="1" a="1"/>
  <c r="Q243" i="1" s="1"/>
  <c r="R243" i="1" a="1"/>
  <c r="R243" i="1" s="1"/>
  <c r="S243" i="1" a="1"/>
  <c r="S243" i="1" s="1"/>
  <c r="P244" i="1" a="1"/>
  <c r="P244" i="1" s="1"/>
  <c r="Q244" i="1" a="1"/>
  <c r="Q244" i="1" s="1"/>
  <c r="R244" i="1" a="1"/>
  <c r="R244" i="1"/>
  <c r="S244" i="1" a="1"/>
  <c r="S244" i="1" s="1"/>
  <c r="P245" i="1" a="1"/>
  <c r="P245" i="1" s="1"/>
  <c r="Q245" i="1" a="1"/>
  <c r="Q245" i="1" s="1"/>
  <c r="R245" i="1" a="1"/>
  <c r="R245" i="1" s="1"/>
  <c r="S245" i="1" a="1"/>
  <c r="S245" i="1" s="1"/>
  <c r="P246" i="1" a="1"/>
  <c r="P246" i="1" s="1"/>
  <c r="Q246" i="1" a="1"/>
  <c r="Q246" i="1" s="1"/>
  <c r="R246" i="1" a="1"/>
  <c r="R246" i="1" s="1"/>
  <c r="S246" i="1" a="1"/>
  <c r="S246" i="1"/>
  <c r="P247" i="1" a="1"/>
  <c r="P247" i="1" s="1"/>
  <c r="Q247" i="1" a="1"/>
  <c r="Q247" i="1" s="1"/>
  <c r="R247" i="1" a="1"/>
  <c r="R247" i="1" s="1"/>
  <c r="S247" i="1" a="1"/>
  <c r="S247" i="1" s="1"/>
  <c r="P248" i="1" a="1"/>
  <c r="P248" i="1" s="1"/>
  <c r="Q248" i="1" a="1"/>
  <c r="Q248" i="1" s="1"/>
  <c r="R248" i="1" a="1"/>
  <c r="R248" i="1" s="1"/>
  <c r="S248" i="1" a="1"/>
  <c r="S248" i="1"/>
  <c r="P249" i="1" a="1"/>
  <c r="P249" i="1" s="1"/>
  <c r="Q249" i="1" a="1"/>
  <c r="Q249" i="1" s="1"/>
  <c r="R249" i="1" a="1"/>
  <c r="R249" i="1" s="1"/>
  <c r="S249" i="1" a="1"/>
  <c r="S249" i="1" s="1"/>
  <c r="P250" i="1" a="1"/>
  <c r="P250" i="1"/>
  <c r="Q250" i="1" a="1"/>
  <c r="Q250" i="1" s="1"/>
  <c r="R250" i="1" a="1"/>
  <c r="R250" i="1" s="1"/>
  <c r="S250" i="1" a="1"/>
  <c r="S250" i="1" s="1"/>
  <c r="P251" i="1" a="1"/>
  <c r="P251" i="1" s="1"/>
  <c r="Q251" i="1" a="1"/>
  <c r="Q251" i="1" s="1"/>
  <c r="R251" i="1" a="1"/>
  <c r="R251" i="1" s="1"/>
  <c r="S251" i="1" a="1"/>
  <c r="S251" i="1" s="1"/>
  <c r="P252" i="1" a="1"/>
  <c r="P252" i="1" s="1"/>
  <c r="Q252" i="1" a="1"/>
  <c r="Q252" i="1" s="1"/>
  <c r="R252" i="1" a="1"/>
  <c r="R252" i="1" s="1"/>
  <c r="S252" i="1" a="1"/>
  <c r="S252" i="1" s="1"/>
  <c r="P253" i="1" a="1"/>
  <c r="P253" i="1" s="1"/>
  <c r="Q253" i="1" a="1"/>
  <c r="Q253" i="1" s="1"/>
  <c r="R253" i="1" a="1"/>
  <c r="R253" i="1" s="1"/>
  <c r="S253" i="1" a="1"/>
  <c r="S253" i="1" s="1"/>
  <c r="P254" i="1" a="1"/>
  <c r="P254" i="1" s="1"/>
  <c r="Q254" i="1" a="1"/>
  <c r="Q254" i="1"/>
  <c r="R254" i="1" a="1"/>
  <c r="R254" i="1"/>
  <c r="S254" i="1" a="1"/>
  <c r="S254" i="1" s="1"/>
  <c r="P255" i="1" a="1"/>
  <c r="P255" i="1" s="1"/>
  <c r="Q255" i="1" a="1"/>
  <c r="Q255" i="1" s="1"/>
  <c r="R255" i="1" a="1"/>
  <c r="R255" i="1" s="1"/>
  <c r="S255" i="1" a="1"/>
  <c r="S255" i="1" s="1"/>
  <c r="P256" i="1" a="1"/>
  <c r="P256" i="1"/>
  <c r="Q256" i="1" a="1"/>
  <c r="Q256" i="1" s="1"/>
  <c r="R256" i="1" a="1"/>
  <c r="R256" i="1" s="1"/>
  <c r="S256" i="1" a="1"/>
  <c r="S256" i="1" s="1"/>
  <c r="P257" i="1" a="1"/>
  <c r="P257" i="1"/>
  <c r="Q257" i="1" a="1"/>
  <c r="Q257" i="1" s="1"/>
  <c r="R257" i="1" a="1"/>
  <c r="R257" i="1" s="1"/>
  <c r="S257" i="1" a="1"/>
  <c r="S257" i="1" s="1"/>
  <c r="P258" i="1" a="1"/>
  <c r="P258" i="1" s="1"/>
  <c r="Q258" i="1" a="1"/>
  <c r="Q258" i="1" s="1"/>
  <c r="R258" i="1" a="1"/>
  <c r="R258" i="1" s="1"/>
  <c r="S258" i="1" a="1"/>
  <c r="S258" i="1" s="1"/>
  <c r="P259" i="1" a="1"/>
  <c r="P259" i="1" s="1"/>
  <c r="Q259" i="1" a="1"/>
  <c r="Q259" i="1" s="1"/>
  <c r="R259" i="1" a="1"/>
  <c r="R259" i="1" s="1"/>
  <c r="S259" i="1" a="1"/>
  <c r="S259" i="1"/>
  <c r="P260" i="1" a="1"/>
  <c r="P260" i="1"/>
  <c r="Q260" i="1" a="1"/>
  <c r="Q260" i="1"/>
  <c r="R260" i="1" a="1"/>
  <c r="R260" i="1" s="1"/>
  <c r="S260" i="1" a="1"/>
  <c r="S260" i="1" s="1"/>
  <c r="P261" i="1" a="1"/>
  <c r="P261" i="1"/>
  <c r="Q261" i="1" a="1"/>
  <c r="Q261" i="1" s="1"/>
  <c r="R261" i="1" a="1"/>
  <c r="R261" i="1" s="1"/>
  <c r="S261" i="1" a="1"/>
  <c r="S261" i="1" s="1"/>
  <c r="P262" i="1" a="1"/>
  <c r="P262" i="1" s="1"/>
  <c r="Q262" i="1" a="1"/>
  <c r="Q262" i="1" s="1"/>
  <c r="R262" i="1" a="1"/>
  <c r="R262" i="1" s="1"/>
  <c r="S262" i="1" a="1"/>
  <c r="S262" i="1" s="1"/>
  <c r="P263" i="1" a="1"/>
  <c r="P263" i="1" s="1"/>
  <c r="Q263" i="1" a="1"/>
  <c r="Q263" i="1" s="1"/>
  <c r="R263" i="1" a="1"/>
  <c r="R263" i="1" s="1"/>
  <c r="S263" i="1" a="1"/>
  <c r="S263" i="1" s="1"/>
  <c r="P264" i="1" a="1"/>
  <c r="P264" i="1" s="1"/>
  <c r="Q264" i="1" a="1"/>
  <c r="Q264" i="1" s="1"/>
  <c r="R264" i="1" a="1"/>
  <c r="R264" i="1" s="1"/>
  <c r="S264" i="1" a="1"/>
  <c r="S264" i="1" s="1"/>
  <c r="P265" i="1" a="1"/>
  <c r="P265" i="1" s="1"/>
  <c r="Q265" i="1" a="1"/>
  <c r="Q265" i="1" s="1"/>
  <c r="R265" i="1" a="1"/>
  <c r="R265" i="1" s="1"/>
  <c r="S265" i="1" a="1"/>
  <c r="S265" i="1" s="1"/>
  <c r="P266" i="1" a="1"/>
  <c r="P266" i="1"/>
  <c r="Q266" i="1" a="1"/>
  <c r="Q266" i="1" s="1"/>
  <c r="R266" i="1" a="1"/>
  <c r="R266" i="1" s="1"/>
  <c r="S266" i="1" a="1"/>
  <c r="S266" i="1" s="1"/>
  <c r="P267" i="1" a="1"/>
  <c r="P267" i="1" s="1"/>
  <c r="Q267" i="1" a="1"/>
  <c r="Q267" i="1" s="1"/>
  <c r="R267" i="1" a="1"/>
  <c r="R267" i="1"/>
  <c r="S267" i="1" a="1"/>
  <c r="S267" i="1" s="1"/>
  <c r="P268" i="1" a="1"/>
  <c r="P268" i="1"/>
  <c r="Q268" i="1" a="1"/>
  <c r="Q268" i="1" s="1"/>
  <c r="R268" i="1" a="1"/>
  <c r="R268" i="1" s="1"/>
  <c r="S268" i="1" a="1"/>
  <c r="S268" i="1" s="1"/>
  <c r="P269" i="1" a="1"/>
  <c r="P269" i="1" s="1"/>
  <c r="Q269" i="1" a="1"/>
  <c r="Q269" i="1" s="1"/>
  <c r="R269" i="1" a="1"/>
  <c r="R269" i="1" s="1"/>
  <c r="S269" i="1" a="1"/>
  <c r="S269" i="1" s="1"/>
  <c r="P270" i="1" a="1"/>
  <c r="P270" i="1" s="1"/>
  <c r="Q270" i="1" a="1"/>
  <c r="Q270" i="1" s="1"/>
  <c r="R270" i="1" a="1"/>
  <c r="R270" i="1" s="1"/>
  <c r="S270" i="1" a="1"/>
  <c r="S270" i="1" s="1"/>
  <c r="P271" i="1" a="1"/>
  <c r="P271" i="1"/>
  <c r="Q271" i="1" a="1"/>
  <c r="Q271" i="1" s="1"/>
  <c r="R271" i="1" a="1"/>
  <c r="R271" i="1" s="1"/>
  <c r="S271" i="1" a="1"/>
  <c r="S271" i="1" s="1"/>
  <c r="P272" i="1" a="1"/>
  <c r="P272" i="1" s="1"/>
  <c r="Q272" i="1" a="1"/>
  <c r="Q272" i="1" s="1"/>
  <c r="R272" i="1" a="1"/>
  <c r="R272" i="1" s="1"/>
  <c r="S272" i="1" a="1"/>
  <c r="S272" i="1" s="1"/>
  <c r="P273" i="1" a="1"/>
  <c r="P273" i="1"/>
  <c r="Q273" i="1" a="1"/>
  <c r="Q273" i="1" s="1"/>
  <c r="R273" i="1" a="1"/>
  <c r="R273" i="1" s="1"/>
  <c r="S273" i="1" a="1"/>
  <c r="S273" i="1" s="1"/>
  <c r="P274" i="1" a="1"/>
  <c r="P274" i="1" s="1"/>
  <c r="Q274" i="1" a="1"/>
  <c r="Q274" i="1" s="1"/>
  <c r="R274" i="1" a="1"/>
  <c r="R274" i="1" s="1"/>
  <c r="S274" i="1" a="1"/>
  <c r="S274" i="1" s="1"/>
  <c r="P275" i="1" a="1"/>
  <c r="P275" i="1" s="1"/>
  <c r="Q275" i="1" a="1"/>
  <c r="Q275" i="1" s="1"/>
  <c r="R275" i="1" a="1"/>
  <c r="R275" i="1" s="1"/>
  <c r="S275" i="1" a="1"/>
  <c r="S275" i="1" s="1"/>
  <c r="P276" i="1" a="1"/>
  <c r="P276" i="1" s="1"/>
  <c r="Q276" i="1" a="1"/>
  <c r="Q276" i="1" s="1"/>
  <c r="R276" i="1" a="1"/>
  <c r="R276" i="1" s="1"/>
  <c r="S276" i="1" a="1"/>
  <c r="S276" i="1" s="1"/>
  <c r="P277" i="1" a="1"/>
  <c r="P277" i="1"/>
  <c r="Q277" i="1" a="1"/>
  <c r="Q277" i="1" s="1"/>
  <c r="R277" i="1" a="1"/>
  <c r="R277" i="1"/>
  <c r="S277" i="1" a="1"/>
  <c r="S277" i="1"/>
  <c r="P278" i="1" a="1"/>
  <c r="P278" i="1" s="1"/>
  <c r="Q278" i="1" a="1"/>
  <c r="Q278" i="1" s="1"/>
  <c r="R278" i="1" a="1"/>
  <c r="R278" i="1" s="1"/>
  <c r="S278" i="1" a="1"/>
  <c r="S278" i="1" s="1"/>
  <c r="P279" i="1" a="1"/>
  <c r="P279" i="1" s="1"/>
  <c r="Q279" i="1" a="1"/>
  <c r="Q279" i="1" s="1"/>
  <c r="R279" i="1" a="1"/>
  <c r="R279" i="1" s="1"/>
  <c r="S279" i="1" a="1"/>
  <c r="S279" i="1" s="1"/>
  <c r="P280" i="1" a="1"/>
  <c r="P280" i="1" s="1"/>
  <c r="Q280" i="1" a="1"/>
  <c r="Q280" i="1" s="1"/>
  <c r="R280" i="1" a="1"/>
  <c r="R280" i="1" s="1"/>
  <c r="S280" i="1" a="1"/>
  <c r="S280" i="1" s="1"/>
  <c r="P281" i="1" a="1"/>
  <c r="P281" i="1" s="1"/>
  <c r="Q281" i="1" a="1"/>
  <c r="Q281" i="1" s="1"/>
  <c r="R281" i="1" a="1"/>
  <c r="R281" i="1" s="1"/>
  <c r="S281" i="1" a="1"/>
  <c r="S281" i="1" s="1"/>
  <c r="P282" i="1" a="1"/>
  <c r="P282" i="1"/>
  <c r="Q282" i="1" a="1"/>
  <c r="Q282" i="1"/>
  <c r="R282" i="1" a="1"/>
  <c r="R282" i="1" s="1"/>
  <c r="S282" i="1" a="1"/>
  <c r="S282" i="1" s="1"/>
  <c r="P283" i="1" a="1"/>
  <c r="P283" i="1" s="1"/>
  <c r="Q283" i="1" a="1"/>
  <c r="Q283" i="1" s="1"/>
  <c r="R283" i="1" a="1"/>
  <c r="R283" i="1" s="1"/>
  <c r="S283" i="1" a="1"/>
  <c r="S283" i="1" s="1"/>
  <c r="P284" i="1" a="1"/>
  <c r="P284" i="1" s="1"/>
  <c r="Q284" i="1" a="1"/>
  <c r="Q284" i="1" s="1"/>
  <c r="R284" i="1" a="1"/>
  <c r="R284" i="1" s="1"/>
  <c r="S284" i="1" a="1"/>
  <c r="S284" i="1" s="1"/>
  <c r="P285" i="1" a="1"/>
  <c r="P285" i="1" s="1"/>
  <c r="Q285" i="1" a="1"/>
  <c r="Q285" i="1" s="1"/>
  <c r="R285" i="1" a="1"/>
  <c r="R285" i="1" s="1"/>
  <c r="S285" i="1" a="1"/>
  <c r="S285" i="1" s="1"/>
  <c r="P286" i="1" a="1"/>
  <c r="P286" i="1" s="1"/>
  <c r="Q286" i="1" a="1"/>
  <c r="Q286" i="1" s="1"/>
  <c r="R286" i="1" a="1"/>
  <c r="R286" i="1" s="1"/>
  <c r="S286" i="1" a="1"/>
  <c r="S286" i="1" s="1"/>
  <c r="P287" i="1" a="1"/>
  <c r="P287" i="1" s="1"/>
  <c r="Q287" i="1" a="1"/>
  <c r="Q287" i="1" s="1"/>
  <c r="R287" i="1" a="1"/>
  <c r="R287" i="1" s="1"/>
  <c r="S287" i="1" a="1"/>
  <c r="S287" i="1" s="1"/>
  <c r="P288" i="1" a="1"/>
  <c r="P288" i="1" s="1"/>
  <c r="Q288" i="1" a="1"/>
  <c r="Q288" i="1" s="1"/>
  <c r="R288" i="1" a="1"/>
  <c r="R288" i="1" s="1"/>
  <c r="S288" i="1" a="1"/>
  <c r="S288" i="1"/>
  <c r="P289" i="1" a="1"/>
  <c r="P289" i="1" s="1"/>
  <c r="Q289" i="1" a="1"/>
  <c r="Q289" i="1" s="1"/>
  <c r="R289" i="1" a="1"/>
  <c r="R289" i="1"/>
  <c r="S289" i="1" a="1"/>
  <c r="S289" i="1" s="1"/>
  <c r="P290" i="1" a="1"/>
  <c r="P290" i="1" s="1"/>
  <c r="Q290" i="1" a="1"/>
  <c r="Q290" i="1"/>
  <c r="R290" i="1" a="1"/>
  <c r="R290" i="1" s="1"/>
  <c r="S290" i="1" a="1"/>
  <c r="S290" i="1" s="1"/>
  <c r="P291" i="1" a="1"/>
  <c r="P291" i="1" s="1"/>
  <c r="Q291" i="1" a="1"/>
  <c r="Q291" i="1" s="1"/>
  <c r="R291" i="1" a="1"/>
  <c r="R291" i="1"/>
  <c r="S291" i="1" a="1"/>
  <c r="S291" i="1"/>
  <c r="P292" i="1" a="1"/>
  <c r="P292" i="1" s="1"/>
  <c r="Q292" i="1" a="1"/>
  <c r="Q292" i="1"/>
  <c r="R292" i="1" a="1"/>
  <c r="R292" i="1" s="1"/>
  <c r="S292" i="1" a="1"/>
  <c r="S292" i="1" s="1"/>
  <c r="P293" i="1" a="1"/>
  <c r="P293" i="1" s="1"/>
  <c r="Q293" i="1" a="1"/>
  <c r="Q293" i="1" s="1"/>
  <c r="R293" i="1" a="1"/>
  <c r="R293" i="1" s="1"/>
  <c r="S293" i="1" a="1"/>
  <c r="S293" i="1" s="1"/>
  <c r="P294" i="1" a="1"/>
  <c r="P294" i="1" s="1"/>
  <c r="Q294" i="1" a="1"/>
  <c r="Q294" i="1" s="1"/>
  <c r="R294" i="1" a="1"/>
  <c r="R294" i="1" s="1"/>
  <c r="S294" i="1" a="1"/>
  <c r="S294" i="1"/>
  <c r="P295" i="1" a="1"/>
  <c r="P295" i="1" s="1"/>
  <c r="Q295" i="1" a="1"/>
  <c r="Q295" i="1" s="1"/>
  <c r="R295" i="1" a="1"/>
  <c r="R295" i="1"/>
  <c r="S295" i="1" a="1"/>
  <c r="S295" i="1"/>
  <c r="P296" i="1" a="1"/>
  <c r="P296" i="1" s="1"/>
  <c r="Q296" i="1" a="1"/>
  <c r="Q296" i="1" s="1"/>
  <c r="R296" i="1" a="1"/>
  <c r="R296" i="1" s="1"/>
  <c r="S296" i="1" a="1"/>
  <c r="S296" i="1" s="1"/>
  <c r="P297" i="1" a="1"/>
  <c r="P297" i="1" s="1"/>
  <c r="Q297" i="1" a="1"/>
  <c r="Q297" i="1" s="1"/>
  <c r="R297" i="1" a="1"/>
  <c r="R297" i="1"/>
  <c r="S297" i="1" a="1"/>
  <c r="S297" i="1" s="1"/>
  <c r="P298" i="1" a="1"/>
  <c r="P298" i="1"/>
  <c r="Q298" i="1" a="1"/>
  <c r="Q298" i="1" s="1"/>
  <c r="R298" i="1" a="1"/>
  <c r="R298" i="1" s="1"/>
  <c r="S298" i="1" a="1"/>
  <c r="S298" i="1"/>
  <c r="P299" i="1" a="1"/>
  <c r="P299" i="1" s="1"/>
  <c r="Q299" i="1" a="1"/>
  <c r="Q299" i="1" s="1"/>
  <c r="R299" i="1" a="1"/>
  <c r="R299" i="1"/>
  <c r="S299" i="1" a="1"/>
  <c r="S299" i="1"/>
  <c r="P300" i="1" a="1"/>
  <c r="P300" i="1"/>
  <c r="Q300" i="1" a="1"/>
  <c r="Q300" i="1" s="1"/>
  <c r="R300" i="1" a="1"/>
  <c r="R300" i="1" s="1"/>
  <c r="S300" i="1" a="1"/>
  <c r="S300" i="1" s="1"/>
  <c r="P301" i="1" a="1"/>
  <c r="P301" i="1" s="1"/>
  <c r="Q301" i="1" a="1"/>
  <c r="Q301" i="1" s="1"/>
  <c r="R301" i="1" a="1"/>
  <c r="R301" i="1"/>
  <c r="S301" i="1" a="1"/>
  <c r="S301" i="1" s="1"/>
  <c r="P302" i="1" a="1"/>
  <c r="P302" i="1" s="1"/>
  <c r="Q302" i="1" a="1"/>
  <c r="Q302" i="1"/>
  <c r="R302" i="1" a="1"/>
  <c r="R302" i="1" s="1"/>
  <c r="S302" i="1" a="1"/>
  <c r="S302" i="1" s="1"/>
  <c r="P303" i="1" a="1"/>
  <c r="P303" i="1"/>
  <c r="Q303" i="1" a="1"/>
  <c r="Q303" i="1" s="1"/>
  <c r="R303" i="1" a="1"/>
  <c r="R303" i="1" s="1"/>
  <c r="S303" i="1" a="1"/>
  <c r="S303" i="1" s="1"/>
  <c r="P304" i="1" a="1"/>
  <c r="P304" i="1"/>
  <c r="Q304" i="1" a="1"/>
  <c r="Q304" i="1"/>
  <c r="R304" i="1" a="1"/>
  <c r="R304" i="1"/>
  <c r="S304" i="1" a="1"/>
  <c r="S304" i="1"/>
  <c r="P305" i="1" a="1"/>
  <c r="P305" i="1"/>
  <c r="Q305" i="1" a="1"/>
  <c r="Q305" i="1" s="1"/>
  <c r="R305" i="1" a="1"/>
  <c r="R305" i="1"/>
  <c r="S305" i="1" a="1"/>
  <c r="S305" i="1"/>
  <c r="P306" i="1" a="1"/>
  <c r="P306" i="1"/>
  <c r="Q306" i="1" a="1"/>
  <c r="Q306" i="1" s="1"/>
  <c r="R306" i="1" a="1"/>
  <c r="R306" i="1"/>
  <c r="S306" i="1" a="1"/>
  <c r="S306" i="1" s="1"/>
  <c r="P307" i="1" a="1"/>
  <c r="P307" i="1" s="1"/>
  <c r="Q307" i="1" a="1"/>
  <c r="Q307" i="1" s="1"/>
  <c r="R307" i="1" a="1"/>
  <c r="R307" i="1" s="1"/>
  <c r="S307" i="1" a="1"/>
  <c r="S307" i="1" s="1"/>
  <c r="P308" i="1" a="1"/>
  <c r="P308" i="1"/>
  <c r="Q308" i="1" a="1"/>
  <c r="Q308" i="1"/>
  <c r="R308" i="1" a="1"/>
  <c r="R308" i="1"/>
  <c r="S308" i="1" a="1"/>
  <c r="S308" i="1"/>
  <c r="P309" i="1" a="1"/>
  <c r="P309" i="1" s="1"/>
  <c r="Q309" i="1" a="1"/>
  <c r="Q309" i="1" s="1"/>
  <c r="R309" i="1" a="1"/>
  <c r="R309" i="1"/>
  <c r="S309" i="1" a="1"/>
  <c r="S309" i="1"/>
  <c r="P310" i="1" a="1"/>
  <c r="P310" i="1"/>
  <c r="Q310" i="1" a="1"/>
  <c r="Q310" i="1"/>
  <c r="R310" i="1" a="1"/>
  <c r="R310" i="1" s="1"/>
  <c r="S310" i="1" a="1"/>
  <c r="S310" i="1"/>
  <c r="P311" i="1" a="1"/>
  <c r="P311" i="1" s="1"/>
  <c r="Q311" i="1" a="1"/>
  <c r="Q311" i="1" s="1"/>
  <c r="R311" i="1" a="1"/>
  <c r="R311" i="1" s="1"/>
  <c r="S311" i="1" a="1"/>
  <c r="S311" i="1" s="1"/>
  <c r="P312" i="1" a="1"/>
  <c r="P312" i="1" s="1"/>
  <c r="Q312" i="1" a="1"/>
  <c r="Q312" i="1"/>
  <c r="R312" i="1" a="1"/>
  <c r="R312" i="1" s="1"/>
  <c r="S312" i="1" a="1"/>
  <c r="S312" i="1"/>
  <c r="P313" i="1" a="1"/>
  <c r="P313" i="1"/>
  <c r="Q313" i="1" a="1"/>
  <c r="Q313" i="1" s="1"/>
  <c r="R313" i="1" a="1"/>
  <c r="R313" i="1" s="1"/>
  <c r="S313" i="1" a="1"/>
  <c r="S313" i="1"/>
  <c r="P314" i="1" a="1"/>
  <c r="P314" i="1" s="1"/>
  <c r="Q314" i="1" a="1"/>
  <c r="Q314" i="1" s="1"/>
  <c r="R314" i="1" a="1"/>
  <c r="R314" i="1"/>
  <c r="S314" i="1" a="1"/>
  <c r="S314" i="1" s="1"/>
  <c r="P315" i="1" a="1"/>
  <c r="P315" i="1"/>
  <c r="Q315" i="1" a="1"/>
  <c r="Q315" i="1" s="1"/>
  <c r="R315" i="1" a="1"/>
  <c r="R315" i="1"/>
  <c r="S315" i="1" a="1"/>
  <c r="S315" i="1"/>
  <c r="P316" i="1" a="1"/>
  <c r="P316" i="1" s="1"/>
  <c r="Q316" i="1" a="1"/>
  <c r="Q316" i="1" s="1"/>
  <c r="R316" i="1" a="1"/>
  <c r="R316" i="1" s="1"/>
  <c r="S316" i="1" a="1"/>
  <c r="S316" i="1" s="1"/>
  <c r="P317" i="1" a="1"/>
  <c r="P317" i="1"/>
  <c r="Q317" i="1" a="1"/>
  <c r="Q317" i="1" s="1"/>
  <c r="R317" i="1" a="1"/>
  <c r="R317" i="1" s="1"/>
  <c r="S317" i="1" a="1"/>
  <c r="S317" i="1" s="1"/>
  <c r="P318" i="1" a="1"/>
  <c r="P318" i="1" s="1"/>
  <c r="Q318" i="1" a="1"/>
  <c r="Q318" i="1"/>
  <c r="R318" i="1" a="1"/>
  <c r="R318" i="1" s="1"/>
  <c r="S318" i="1" a="1"/>
  <c r="S318" i="1" s="1"/>
  <c r="P319" i="1" a="1"/>
  <c r="P319" i="1" s="1"/>
  <c r="Q319" i="1" a="1"/>
  <c r="Q319" i="1" s="1"/>
  <c r="R319" i="1" a="1"/>
  <c r="R319" i="1"/>
  <c r="S319" i="1" a="1"/>
  <c r="S319" i="1"/>
  <c r="P320" i="1" a="1"/>
  <c r="P320" i="1"/>
  <c r="Q320" i="1" a="1"/>
  <c r="Q320" i="1" s="1"/>
  <c r="R320" i="1" a="1"/>
  <c r="R320" i="1" s="1"/>
  <c r="S320" i="1" a="1"/>
  <c r="S320" i="1"/>
  <c r="P321" i="1" a="1"/>
  <c r="P321" i="1" s="1"/>
  <c r="Q321" i="1" a="1"/>
  <c r="Q321" i="1" s="1"/>
  <c r="R321" i="1" a="1"/>
  <c r="R321" i="1" s="1"/>
  <c r="S321" i="1" a="1"/>
  <c r="S321" i="1" s="1"/>
  <c r="P322" i="1" a="1"/>
  <c r="P322" i="1" s="1"/>
  <c r="Q322" i="1" a="1"/>
  <c r="Q322" i="1"/>
  <c r="R322" i="1" a="1"/>
  <c r="R322" i="1"/>
  <c r="S322" i="1" a="1"/>
  <c r="S322" i="1"/>
  <c r="P323" i="1" a="1"/>
  <c r="P323" i="1"/>
  <c r="Q323" i="1" a="1"/>
  <c r="Q323" i="1" s="1"/>
  <c r="R323" i="1" a="1"/>
  <c r="R323" i="1"/>
  <c r="S323" i="1" a="1"/>
  <c r="S323" i="1"/>
  <c r="P324" i="1" a="1"/>
  <c r="P324" i="1"/>
  <c r="Q324" i="1" a="1"/>
  <c r="Q324" i="1" s="1"/>
  <c r="R324" i="1" a="1"/>
  <c r="R324" i="1" s="1"/>
  <c r="S324" i="1" a="1"/>
  <c r="S324" i="1" s="1"/>
  <c r="P325" i="1" a="1"/>
  <c r="P325" i="1"/>
  <c r="Q325" i="1" a="1"/>
  <c r="Q325" i="1" s="1"/>
  <c r="R325" i="1" a="1"/>
  <c r="R325" i="1" s="1"/>
  <c r="S325" i="1" a="1"/>
  <c r="S325" i="1"/>
  <c r="P326" i="1" a="1"/>
  <c r="P326" i="1" s="1"/>
  <c r="Q326" i="1" a="1"/>
  <c r="Q326" i="1" s="1"/>
  <c r="R326" i="1" a="1"/>
  <c r="R326" i="1"/>
  <c r="S326" i="1" a="1"/>
  <c r="S326" i="1"/>
  <c r="P327" i="1" a="1"/>
  <c r="P327" i="1" s="1"/>
  <c r="Q327" i="1" a="1"/>
  <c r="Q327" i="1" s="1"/>
  <c r="R327" i="1" a="1"/>
  <c r="R327" i="1" s="1"/>
  <c r="S327" i="1" a="1"/>
  <c r="S327" i="1"/>
  <c r="P328" i="1" a="1"/>
  <c r="P328" i="1"/>
  <c r="Q328" i="1" a="1"/>
  <c r="Q328" i="1"/>
  <c r="R328" i="1" a="1"/>
  <c r="R328" i="1" s="1"/>
  <c r="S328" i="1" a="1"/>
  <c r="S328" i="1" s="1"/>
  <c r="P329" i="1" a="1"/>
  <c r="P329" i="1" s="1"/>
  <c r="Q329" i="1" a="1"/>
  <c r="Q329" i="1" s="1"/>
  <c r="R329" i="1" a="1"/>
  <c r="R329" i="1" s="1"/>
  <c r="S329" i="1" a="1"/>
  <c r="S329" i="1" s="1"/>
  <c r="P330" i="1" a="1"/>
  <c r="P330" i="1" s="1"/>
  <c r="Q330" i="1" a="1"/>
  <c r="Q330" i="1" s="1"/>
  <c r="R330" i="1" a="1"/>
  <c r="R330" i="1" s="1"/>
  <c r="S330" i="1" a="1"/>
  <c r="S330" i="1" s="1"/>
  <c r="P331" i="1" a="1"/>
  <c r="P331" i="1" s="1"/>
  <c r="Q331" i="1" a="1"/>
  <c r="Q331" i="1" s="1"/>
  <c r="R331" i="1" a="1"/>
  <c r="R331" i="1"/>
  <c r="S331" i="1" a="1"/>
  <c r="S331" i="1" s="1"/>
  <c r="P332" i="1" a="1"/>
  <c r="P332" i="1" s="1"/>
  <c r="Q332" i="1" a="1"/>
  <c r="Q332" i="1"/>
  <c r="R332" i="1" a="1"/>
  <c r="R332" i="1"/>
  <c r="S332" i="1" a="1"/>
  <c r="S332" i="1" s="1"/>
  <c r="P333" i="1" a="1"/>
  <c r="P333" i="1" s="1"/>
  <c r="Q333" i="1" a="1"/>
  <c r="Q333" i="1" s="1"/>
  <c r="R333" i="1" a="1"/>
  <c r="R333" i="1"/>
  <c r="S333" i="1" a="1"/>
  <c r="S333" i="1"/>
  <c r="P334" i="1" a="1"/>
  <c r="P334" i="1" s="1"/>
  <c r="Q334" i="1" a="1"/>
  <c r="Q334" i="1"/>
  <c r="R334" i="1" a="1"/>
  <c r="R334" i="1" s="1"/>
  <c r="S334" i="1" a="1"/>
  <c r="S334" i="1" s="1"/>
  <c r="P335" i="1" a="1"/>
  <c r="P335" i="1" s="1"/>
  <c r="Q335" i="1" a="1"/>
  <c r="Q335" i="1" s="1"/>
  <c r="R335" i="1" a="1"/>
  <c r="R335" i="1" s="1"/>
  <c r="S335" i="1" a="1"/>
  <c r="S335" i="1"/>
  <c r="P336" i="1" a="1"/>
  <c r="P336" i="1" s="1"/>
  <c r="Q336" i="1" a="1"/>
  <c r="Q336" i="1"/>
  <c r="R336" i="1" a="1"/>
  <c r="R336" i="1"/>
  <c r="S336" i="1" a="1"/>
  <c r="S336" i="1"/>
  <c r="P337" i="1" a="1"/>
  <c r="P337" i="1"/>
  <c r="Q337" i="1" a="1"/>
  <c r="Q337" i="1" s="1"/>
  <c r="R337" i="1" a="1"/>
  <c r="R337" i="1" s="1"/>
  <c r="S337" i="1" a="1"/>
  <c r="S337" i="1" s="1"/>
  <c r="P338" i="1" a="1"/>
  <c r="P338" i="1" s="1"/>
  <c r="Q338" i="1" a="1"/>
  <c r="Q338" i="1" s="1"/>
  <c r="R338" i="1" a="1"/>
  <c r="R338" i="1" s="1"/>
  <c r="S338" i="1" a="1"/>
  <c r="S338" i="1" s="1"/>
  <c r="P339" i="1" a="1"/>
  <c r="P339" i="1" s="1"/>
  <c r="Q339" i="1" a="1"/>
  <c r="Q339" i="1" s="1"/>
  <c r="R339" i="1" a="1"/>
  <c r="R339" i="1" s="1"/>
  <c r="S339" i="1" a="1"/>
  <c r="S339" i="1" s="1"/>
  <c r="P340" i="1" a="1"/>
  <c r="P340" i="1"/>
  <c r="Q340" i="1" a="1"/>
  <c r="Q340" i="1" s="1"/>
  <c r="R340" i="1" a="1"/>
  <c r="R340" i="1" s="1"/>
  <c r="S340" i="1" a="1"/>
  <c r="S340" i="1"/>
  <c r="P341" i="1" a="1"/>
  <c r="P341" i="1" s="1"/>
  <c r="Q341" i="1" a="1"/>
  <c r="Q341" i="1" s="1"/>
  <c r="R341" i="1" a="1"/>
  <c r="R341" i="1"/>
  <c r="S341" i="1" a="1"/>
  <c r="S341" i="1" s="1"/>
  <c r="P342" i="1" a="1"/>
  <c r="P342" i="1" s="1"/>
  <c r="Q342" i="1" a="1"/>
  <c r="Q342" i="1" s="1"/>
  <c r="R342" i="1" a="1"/>
  <c r="R342" i="1" s="1"/>
  <c r="S342" i="1" a="1"/>
  <c r="S342" i="1"/>
  <c r="P343" i="1" a="1"/>
  <c r="P343" i="1" s="1"/>
  <c r="Q343" i="1" a="1"/>
  <c r="Q343" i="1" s="1"/>
  <c r="R343" i="1" a="1"/>
  <c r="R343" i="1"/>
  <c r="S343" i="1" a="1"/>
  <c r="S343" i="1" s="1"/>
  <c r="P344" i="1" a="1"/>
  <c r="P344" i="1" s="1"/>
  <c r="Q344" i="1" a="1"/>
  <c r="Q344" i="1"/>
  <c r="R344" i="1" a="1"/>
  <c r="R344" i="1" s="1"/>
  <c r="S344" i="1" a="1"/>
  <c r="S344" i="1"/>
  <c r="P345" i="1" a="1"/>
  <c r="P345" i="1"/>
  <c r="Q345" i="1" a="1"/>
  <c r="Q345" i="1" s="1"/>
  <c r="R345" i="1" a="1"/>
  <c r="R345" i="1" s="1"/>
  <c r="S345" i="1" a="1"/>
  <c r="S345" i="1" s="1"/>
  <c r="P346" i="1" a="1"/>
  <c r="P346" i="1"/>
  <c r="Q346" i="1" a="1"/>
  <c r="Q346" i="1" s="1"/>
  <c r="R346" i="1" a="1"/>
  <c r="R346" i="1"/>
  <c r="S346" i="1" a="1"/>
  <c r="S346" i="1" s="1"/>
  <c r="P347" i="1" a="1"/>
  <c r="P347" i="1" s="1"/>
  <c r="Q347" i="1" a="1"/>
  <c r="Q347" i="1" s="1"/>
  <c r="R347" i="1" a="1"/>
  <c r="R347" i="1"/>
  <c r="S347" i="1" a="1"/>
  <c r="S347" i="1" s="1"/>
  <c r="P348" i="1" a="1"/>
  <c r="P348" i="1" s="1"/>
  <c r="Q348" i="1" a="1"/>
  <c r="Q348" i="1" s="1"/>
  <c r="R348" i="1" a="1"/>
  <c r="R348" i="1" s="1"/>
  <c r="S348" i="1" a="1"/>
  <c r="S348" i="1"/>
  <c r="P349" i="1" a="1"/>
  <c r="P349" i="1"/>
  <c r="Q349" i="1" a="1"/>
  <c r="Q349" i="1" s="1"/>
  <c r="R349" i="1" a="1"/>
  <c r="R349" i="1" s="1"/>
  <c r="S349" i="1" a="1"/>
  <c r="S349" i="1" s="1"/>
  <c r="P350" i="1" a="1"/>
  <c r="P350" i="1" s="1"/>
  <c r="Q350" i="1" a="1"/>
  <c r="Q350" i="1" s="1"/>
  <c r="R350" i="1" a="1"/>
  <c r="R350" i="1"/>
  <c r="S350" i="1" a="1"/>
  <c r="S350" i="1" s="1"/>
  <c r="P351" i="1" a="1"/>
  <c r="P351" i="1" s="1"/>
  <c r="Q351" i="1" a="1"/>
  <c r="Q351" i="1" s="1"/>
  <c r="R351" i="1" a="1"/>
  <c r="R351" i="1"/>
  <c r="S351" i="1" a="1"/>
  <c r="S351" i="1" s="1"/>
  <c r="P352" i="1" a="1"/>
  <c r="P352" i="1"/>
  <c r="Q352" i="1" a="1"/>
  <c r="Q352" i="1"/>
  <c r="R352" i="1" a="1"/>
  <c r="R352" i="1" s="1"/>
  <c r="S352" i="1" a="1"/>
  <c r="S352" i="1" s="1"/>
  <c r="P353" i="1" a="1"/>
  <c r="P353" i="1" s="1"/>
  <c r="Q353" i="1" a="1"/>
  <c r="Q353" i="1" s="1"/>
  <c r="R353" i="1" a="1"/>
  <c r="R353" i="1"/>
  <c r="S353" i="1" a="1"/>
  <c r="S353" i="1" s="1"/>
  <c r="P354" i="1" a="1"/>
  <c r="P354" i="1" s="1"/>
  <c r="Q354" i="1" a="1"/>
  <c r="Q354" i="1" s="1"/>
  <c r="R354" i="1" a="1"/>
  <c r="R354" i="1" s="1"/>
  <c r="S354" i="1" a="1"/>
  <c r="S354" i="1"/>
  <c r="P355" i="1" a="1"/>
  <c r="P355" i="1" s="1"/>
  <c r="Q355" i="1" a="1"/>
  <c r="Q355" i="1" s="1"/>
  <c r="R355" i="1" a="1"/>
  <c r="R355" i="1" s="1"/>
  <c r="S355" i="1" a="1"/>
  <c r="S355" i="1" s="1"/>
  <c r="P356" i="1" a="1"/>
  <c r="P356" i="1"/>
  <c r="Q356" i="1" a="1"/>
  <c r="Q356" i="1" s="1"/>
  <c r="R356" i="1" a="1"/>
  <c r="R356" i="1" s="1"/>
  <c r="S356" i="1" a="1"/>
  <c r="S356" i="1" s="1"/>
  <c r="P357" i="1" a="1"/>
  <c r="P357" i="1" s="1"/>
  <c r="Q357" i="1" a="1"/>
  <c r="Q357" i="1" s="1"/>
  <c r="R357" i="1" a="1"/>
  <c r="R357" i="1" s="1"/>
  <c r="S357" i="1" a="1"/>
  <c r="S357" i="1"/>
  <c r="P358" i="1" a="1"/>
  <c r="P358" i="1" s="1"/>
  <c r="Q358" i="1" a="1"/>
  <c r="Q358" i="1" s="1"/>
  <c r="R358" i="1" a="1"/>
  <c r="R358" i="1"/>
  <c r="S358" i="1" a="1"/>
  <c r="S358" i="1"/>
  <c r="P359" i="1" a="1"/>
  <c r="P359" i="1" s="1"/>
  <c r="Q359" i="1" a="1"/>
  <c r="Q359" i="1" s="1"/>
  <c r="R359" i="1" a="1"/>
  <c r="R359" i="1" s="1"/>
  <c r="S359" i="1" a="1"/>
  <c r="S359" i="1"/>
  <c r="P360" i="1" a="1"/>
  <c r="P360" i="1"/>
  <c r="Q360" i="1" a="1"/>
  <c r="Q360" i="1"/>
  <c r="R360" i="1" a="1"/>
  <c r="R360" i="1" s="1"/>
  <c r="S360" i="1" a="1"/>
  <c r="S360" i="1" s="1"/>
  <c r="P361" i="1" a="1"/>
  <c r="P361" i="1" s="1"/>
  <c r="Q361" i="1" a="1"/>
  <c r="Q361" i="1" s="1"/>
  <c r="R361" i="1" a="1"/>
  <c r="R361" i="1"/>
  <c r="S361" i="1" a="1"/>
  <c r="S361" i="1" s="1"/>
  <c r="P362" i="1" a="1"/>
  <c r="P362" i="1" s="1"/>
  <c r="Q362" i="1" a="1"/>
  <c r="Q362" i="1" s="1"/>
  <c r="R362" i="1" a="1"/>
  <c r="R362" i="1" s="1"/>
  <c r="S362" i="1" a="1"/>
  <c r="S362" i="1" s="1"/>
  <c r="P363" i="1" a="1"/>
  <c r="P363" i="1"/>
  <c r="Q363" i="1" a="1"/>
  <c r="Q363" i="1" s="1"/>
  <c r="R363" i="1" a="1"/>
  <c r="R363" i="1" s="1"/>
  <c r="S363" i="1" a="1"/>
  <c r="S363" i="1" s="1"/>
  <c r="P364" i="1" a="1"/>
  <c r="P364" i="1"/>
  <c r="Q364" i="1" a="1"/>
  <c r="Q364" i="1"/>
  <c r="R364" i="1" a="1"/>
  <c r="R364" i="1" s="1"/>
  <c r="S364" i="1" a="1"/>
  <c r="S364" i="1"/>
  <c r="P365" i="1" a="1"/>
  <c r="P365" i="1" s="1"/>
  <c r="Q365" i="1" a="1"/>
  <c r="Q365" i="1" s="1"/>
  <c r="R365" i="1" a="1"/>
  <c r="R365" i="1"/>
  <c r="S365" i="1" a="1"/>
  <c r="S365" i="1" s="1"/>
  <c r="P366" i="1" a="1"/>
  <c r="P366" i="1" s="1"/>
  <c r="Q366" i="1" a="1"/>
  <c r="Q366" i="1"/>
  <c r="R366" i="1" a="1"/>
  <c r="R366" i="1" s="1"/>
  <c r="S366" i="1" a="1"/>
  <c r="S366" i="1" s="1"/>
  <c r="P367" i="1" a="1"/>
  <c r="P367" i="1" s="1"/>
  <c r="Q367" i="1" a="1"/>
  <c r="Q367" i="1" s="1"/>
  <c r="R367" i="1" a="1"/>
  <c r="R367" i="1" s="1"/>
  <c r="S367" i="1" a="1"/>
  <c r="S367" i="1"/>
  <c r="P368" i="1" a="1"/>
  <c r="P368" i="1"/>
  <c r="Q368" i="1" a="1"/>
  <c r="Q368" i="1"/>
  <c r="R368" i="1" a="1"/>
  <c r="R368" i="1" s="1"/>
  <c r="S368" i="1" a="1"/>
  <c r="S368" i="1"/>
  <c r="P369" i="1" a="1"/>
  <c r="P369" i="1"/>
  <c r="Q369" i="1" a="1"/>
  <c r="Q369" i="1" s="1"/>
  <c r="R369" i="1" a="1"/>
  <c r="R369" i="1"/>
  <c r="S369" i="1" a="1"/>
  <c r="S369" i="1" s="1"/>
  <c r="P370" i="1" a="1"/>
  <c r="P370" i="1" s="1"/>
  <c r="Q370" i="1" a="1"/>
  <c r="Q370" i="1" s="1"/>
  <c r="R370" i="1" a="1"/>
  <c r="R370" i="1" s="1"/>
  <c r="S370" i="1" a="1"/>
  <c r="S370" i="1" s="1"/>
  <c r="P371" i="1" a="1"/>
  <c r="P371" i="1" s="1"/>
  <c r="Q371" i="1" a="1"/>
  <c r="Q371" i="1" s="1"/>
  <c r="R371" i="1" a="1"/>
  <c r="R371" i="1" s="1"/>
  <c r="S371" i="1" a="1"/>
  <c r="S371" i="1" s="1"/>
  <c r="P372" i="1" a="1"/>
  <c r="P372" i="1"/>
  <c r="Q372" i="1" a="1"/>
  <c r="Q372" i="1" s="1"/>
  <c r="R372" i="1" a="1"/>
  <c r="R372" i="1"/>
  <c r="S372" i="1" a="1"/>
  <c r="S372" i="1" s="1"/>
  <c r="P373" i="1" a="1"/>
  <c r="P373" i="1"/>
  <c r="Q373" i="1" a="1"/>
  <c r="Q373" i="1" s="1"/>
  <c r="R373" i="1" a="1"/>
  <c r="R373" i="1"/>
  <c r="S373" i="1" a="1"/>
  <c r="S373" i="1" s="1"/>
  <c r="P374" i="1" a="1"/>
  <c r="P374" i="1" s="1"/>
  <c r="Q374" i="1" a="1"/>
  <c r="Q374" i="1"/>
  <c r="R374" i="1" a="1"/>
  <c r="R374" i="1" s="1"/>
  <c r="S374" i="1" a="1"/>
  <c r="S374" i="1" s="1"/>
  <c r="P375" i="1" a="1"/>
  <c r="P375" i="1" s="1"/>
  <c r="Q375" i="1" a="1"/>
  <c r="Q375" i="1" s="1"/>
  <c r="R375" i="1" a="1"/>
  <c r="R375" i="1"/>
  <c r="S375" i="1" a="1"/>
  <c r="S375" i="1"/>
  <c r="P376" i="1" a="1"/>
  <c r="P376" i="1" s="1"/>
  <c r="Q376" i="1" a="1"/>
  <c r="Q376" i="1" s="1"/>
  <c r="R376" i="1" a="1"/>
  <c r="R376" i="1"/>
  <c r="S376" i="1" a="1"/>
  <c r="S376" i="1" s="1"/>
  <c r="P377" i="1" a="1"/>
  <c r="P377" i="1" s="1"/>
  <c r="Q377" i="1" a="1"/>
  <c r="Q377" i="1" s="1"/>
  <c r="R377" i="1" a="1"/>
  <c r="R377" i="1" s="1"/>
  <c r="S377" i="1" a="1"/>
  <c r="S377" i="1" s="1"/>
  <c r="P378" i="1" a="1"/>
  <c r="P378" i="1"/>
  <c r="Q378" i="1" a="1"/>
  <c r="Q378" i="1"/>
  <c r="R378" i="1" a="1"/>
  <c r="R378" i="1" s="1"/>
  <c r="S378" i="1" a="1"/>
  <c r="S378" i="1" s="1"/>
  <c r="P379" i="1" a="1"/>
  <c r="P379" i="1" s="1"/>
  <c r="Q379" i="1" a="1"/>
  <c r="Q379" i="1" s="1"/>
  <c r="R379" i="1" a="1"/>
  <c r="R379" i="1"/>
  <c r="S379" i="1" a="1"/>
  <c r="S379" i="1"/>
  <c r="P380" i="1" a="1"/>
  <c r="P380" i="1"/>
  <c r="Q380" i="1" a="1"/>
  <c r="Q380" i="1" s="1"/>
  <c r="R380" i="1" a="1"/>
  <c r="R380" i="1"/>
  <c r="S380" i="1" a="1"/>
  <c r="S380" i="1" s="1"/>
  <c r="P381" i="1" a="1"/>
  <c r="P381" i="1"/>
  <c r="Q381" i="1" a="1"/>
  <c r="Q381" i="1" s="1"/>
  <c r="R381" i="1" a="1"/>
  <c r="R381" i="1" s="1"/>
  <c r="S381" i="1" a="1"/>
  <c r="S381" i="1" s="1"/>
  <c r="P382" i="1" a="1"/>
  <c r="P382" i="1"/>
  <c r="Q382" i="1" a="1"/>
  <c r="Q382" i="1"/>
  <c r="R382" i="1" a="1"/>
  <c r="R382" i="1" s="1"/>
  <c r="S382" i="1" a="1"/>
  <c r="S382" i="1"/>
  <c r="P383" i="1" a="1"/>
  <c r="P383" i="1" s="1"/>
  <c r="Q383" i="1" a="1"/>
  <c r="Q383" i="1" s="1"/>
  <c r="R383" i="1" a="1"/>
  <c r="R383" i="1" s="1"/>
  <c r="S383" i="1" a="1"/>
  <c r="S383" i="1"/>
  <c r="P384" i="1" a="1"/>
  <c r="P384" i="1"/>
  <c r="Q384" i="1" a="1"/>
  <c r="Q384" i="1"/>
  <c r="R384" i="1" a="1"/>
  <c r="R384" i="1" s="1"/>
  <c r="S384" i="1" a="1"/>
  <c r="S384" i="1" s="1"/>
  <c r="P385" i="1" a="1"/>
  <c r="P385" i="1"/>
  <c r="Q385" i="1" a="1"/>
  <c r="Q385" i="1" s="1"/>
  <c r="R385" i="1" a="1"/>
  <c r="R385" i="1" s="1"/>
  <c r="S385" i="1" a="1"/>
  <c r="S385" i="1" s="1"/>
  <c r="P386" i="1" a="1"/>
  <c r="P386" i="1" s="1"/>
  <c r="Q386" i="1" a="1"/>
  <c r="Q386" i="1"/>
  <c r="R386" i="1" a="1"/>
  <c r="R386" i="1"/>
  <c r="S386" i="1" a="1"/>
  <c r="S386" i="1"/>
  <c r="P387" i="1" a="1"/>
  <c r="P387" i="1" s="1"/>
  <c r="Q387" i="1" a="1"/>
  <c r="Q387" i="1" s="1"/>
  <c r="R387" i="1" a="1"/>
  <c r="R387" i="1" s="1"/>
  <c r="S387" i="1" a="1"/>
  <c r="S387" i="1" s="1"/>
  <c r="P388" i="1" a="1"/>
  <c r="P388" i="1" s="1"/>
  <c r="Q388" i="1" a="1"/>
  <c r="Q388" i="1"/>
  <c r="R388" i="1" a="1"/>
  <c r="R388" i="1" s="1"/>
  <c r="S388" i="1" a="1"/>
  <c r="S388" i="1" s="1"/>
  <c r="P389" i="1" a="1"/>
  <c r="P389" i="1" s="1"/>
  <c r="Q389" i="1" a="1"/>
  <c r="Q389" i="1" s="1"/>
  <c r="R389" i="1" a="1"/>
  <c r="R389" i="1"/>
  <c r="S389" i="1" a="1"/>
  <c r="S389" i="1" s="1"/>
  <c r="P390" i="1" a="1"/>
  <c r="P390" i="1" s="1"/>
  <c r="Q390" i="1" a="1"/>
  <c r="Q390" i="1" s="1"/>
  <c r="R390" i="1" a="1"/>
  <c r="R390" i="1" s="1"/>
  <c r="S390" i="1" a="1"/>
  <c r="S390" i="1" s="1"/>
  <c r="P391" i="1" a="1"/>
  <c r="P391" i="1" s="1"/>
  <c r="Q391" i="1" a="1"/>
  <c r="Q391" i="1" s="1"/>
  <c r="R391" i="1" a="1"/>
  <c r="R391" i="1" s="1"/>
  <c r="S391" i="1" a="1"/>
  <c r="S391" i="1"/>
  <c r="P392" i="1" a="1"/>
  <c r="P392" i="1" s="1"/>
  <c r="Q392" i="1" a="1"/>
  <c r="Q392" i="1"/>
  <c r="R392" i="1" a="1"/>
  <c r="R392" i="1" s="1"/>
  <c r="S392" i="1" a="1"/>
  <c r="S392" i="1"/>
  <c r="P393" i="1" a="1"/>
  <c r="P393" i="1"/>
  <c r="Q393" i="1" a="1"/>
  <c r="Q393" i="1" s="1"/>
  <c r="R393" i="1" a="1"/>
  <c r="R393" i="1" s="1"/>
  <c r="S393" i="1" a="1"/>
  <c r="S393" i="1" s="1"/>
  <c r="P394" i="1" a="1"/>
  <c r="P394" i="1"/>
  <c r="Q394" i="1" a="1"/>
  <c r="Q394" i="1" s="1"/>
  <c r="R394" i="1" a="1"/>
  <c r="R394" i="1" s="1"/>
  <c r="S394" i="1" a="1"/>
  <c r="S394" i="1" s="1"/>
  <c r="P395" i="1" a="1"/>
  <c r="P395" i="1"/>
  <c r="Q395" i="1" a="1"/>
  <c r="Q395" i="1" s="1"/>
  <c r="R395" i="1" a="1"/>
  <c r="R395" i="1" s="1"/>
  <c r="S395" i="1" a="1"/>
  <c r="S395" i="1" s="1"/>
  <c r="P396" i="1" a="1"/>
  <c r="P396" i="1" s="1"/>
  <c r="Q396" i="1" a="1"/>
  <c r="Q396" i="1"/>
  <c r="R396" i="1" a="1"/>
  <c r="R396" i="1"/>
  <c r="S396" i="1" a="1"/>
  <c r="S396" i="1" s="1"/>
  <c r="P397" i="1" a="1"/>
  <c r="P397" i="1" s="1"/>
  <c r="Q397" i="1" a="1"/>
  <c r="Q397" i="1" s="1"/>
  <c r="R397" i="1" a="1"/>
  <c r="R397" i="1"/>
  <c r="S397" i="1" a="1"/>
  <c r="S397" i="1"/>
  <c r="P398" i="1" a="1"/>
  <c r="P398" i="1" s="1"/>
  <c r="Q398" i="1" a="1"/>
  <c r="Q398" i="1"/>
  <c r="R398" i="1" a="1"/>
  <c r="R398" i="1" s="1"/>
  <c r="S398" i="1" a="1"/>
  <c r="S398" i="1" s="1"/>
  <c r="P399" i="1" a="1"/>
  <c r="P399" i="1" s="1"/>
  <c r="Q399" i="1" a="1"/>
  <c r="Q399" i="1" s="1"/>
  <c r="R399" i="1" a="1"/>
  <c r="R399" i="1" s="1"/>
  <c r="S399" i="1" a="1"/>
  <c r="S399" i="1"/>
  <c r="P400" i="1" a="1"/>
  <c r="P400" i="1"/>
  <c r="Q400" i="1" a="1"/>
  <c r="Q400" i="1" s="1"/>
  <c r="R400" i="1" a="1"/>
  <c r="R400" i="1"/>
  <c r="S400" i="1" a="1"/>
  <c r="S400" i="1"/>
  <c r="P401" i="1" a="1"/>
  <c r="P401" i="1" s="1"/>
  <c r="Q401" i="1" a="1"/>
  <c r="Q401" i="1" s="1"/>
  <c r="R401" i="1" a="1"/>
  <c r="R401" i="1" s="1"/>
  <c r="S401" i="1" a="1"/>
  <c r="S401" i="1" s="1"/>
  <c r="P402" i="1" a="1"/>
  <c r="P402" i="1" s="1"/>
  <c r="Q402" i="1" a="1"/>
  <c r="Q402" i="1" s="1"/>
  <c r="R402" i="1" a="1"/>
  <c r="R402" i="1"/>
  <c r="S402" i="1" a="1"/>
  <c r="S402" i="1" s="1"/>
  <c r="P403" i="1" a="1"/>
  <c r="P403" i="1" s="1"/>
  <c r="Q403" i="1" a="1"/>
  <c r="Q403" i="1" s="1"/>
  <c r="R403" i="1" a="1"/>
  <c r="R403" i="1"/>
  <c r="S403" i="1" a="1"/>
  <c r="S403" i="1" s="1"/>
  <c r="P404" i="1" a="1"/>
  <c r="P404" i="1" s="1"/>
  <c r="Q404" i="1" a="1"/>
  <c r="Q404" i="1" s="1"/>
  <c r="R404" i="1" a="1"/>
  <c r="R404" i="1"/>
  <c r="S404" i="1" a="1"/>
  <c r="S404" i="1"/>
  <c r="P405" i="1" a="1"/>
  <c r="P405" i="1" s="1"/>
  <c r="Q405" i="1" a="1"/>
  <c r="Q405" i="1" s="1"/>
  <c r="R405" i="1" a="1"/>
  <c r="R405" i="1" s="1"/>
  <c r="S405" i="1" a="1"/>
  <c r="S405" i="1" s="1"/>
  <c r="P406" i="1" a="1"/>
  <c r="P406" i="1"/>
  <c r="Q406" i="1" a="1"/>
  <c r="Q406" i="1"/>
  <c r="R406" i="1" a="1"/>
  <c r="R406" i="1"/>
  <c r="S406" i="1" a="1"/>
  <c r="S406" i="1" s="1"/>
  <c r="P407" i="1" a="1"/>
  <c r="P407" i="1" s="1"/>
  <c r="Q407" i="1" a="1"/>
  <c r="Q407" i="1" s="1"/>
  <c r="R407" i="1" a="1"/>
  <c r="R407" i="1"/>
  <c r="S407" i="1" a="1"/>
  <c r="S407" i="1" s="1"/>
  <c r="P408" i="1" a="1"/>
  <c r="P408" i="1" s="1"/>
  <c r="Q408" i="1" a="1"/>
  <c r="Q408" i="1"/>
  <c r="R408" i="1" a="1"/>
  <c r="R408" i="1"/>
  <c r="S408" i="1" a="1"/>
  <c r="S408" i="1"/>
  <c r="P409" i="1" a="1"/>
  <c r="P409" i="1" s="1"/>
  <c r="Q409" i="1" a="1"/>
  <c r="Q409" i="1" s="1"/>
  <c r="R409" i="1" a="1"/>
  <c r="R409" i="1" s="1"/>
  <c r="S409" i="1" a="1"/>
  <c r="S409" i="1" s="1"/>
  <c r="P410" i="1" a="1"/>
  <c r="P410" i="1"/>
  <c r="Q410" i="1" a="1"/>
  <c r="Q410" i="1" s="1"/>
  <c r="R410" i="1" a="1"/>
  <c r="R410" i="1" s="1"/>
  <c r="S410" i="1" a="1"/>
  <c r="S410" i="1" s="1"/>
  <c r="P411" i="1" a="1"/>
  <c r="P411" i="1"/>
  <c r="Q411" i="1" a="1"/>
  <c r="Q411" i="1" s="1"/>
  <c r="R411" i="1" a="1"/>
  <c r="R411" i="1"/>
  <c r="S411" i="1" a="1"/>
  <c r="S411" i="1"/>
  <c r="P412" i="1" a="1"/>
  <c r="P412" i="1" s="1"/>
  <c r="Q412" i="1" a="1"/>
  <c r="Q412" i="1" s="1"/>
  <c r="R412" i="1" a="1"/>
  <c r="R412" i="1" s="1"/>
  <c r="S412" i="1" a="1"/>
  <c r="S412" i="1"/>
  <c r="P413" i="1" a="1"/>
  <c r="P413" i="1"/>
  <c r="Q413" i="1" a="1"/>
  <c r="Q413" i="1" s="1"/>
  <c r="R413" i="1" a="1"/>
  <c r="R413" i="1" s="1"/>
  <c r="S413" i="1" a="1"/>
  <c r="S413" i="1"/>
  <c r="P414" i="1" a="1"/>
  <c r="P414" i="1" s="1"/>
  <c r="Q414" i="1" a="1"/>
  <c r="Q414" i="1" s="1"/>
  <c r="R414" i="1" a="1"/>
  <c r="R414" i="1" s="1"/>
  <c r="S414" i="1" a="1"/>
  <c r="S414" i="1"/>
  <c r="P415" i="1" a="1"/>
  <c r="P415" i="1"/>
  <c r="Q415" i="1" a="1"/>
  <c r="Q415" i="1" s="1"/>
  <c r="R415" i="1" a="1"/>
  <c r="R415" i="1"/>
  <c r="S415" i="1" a="1"/>
  <c r="S415" i="1"/>
  <c r="P416" i="1" a="1"/>
  <c r="P416" i="1" s="1"/>
  <c r="Q416" i="1" a="1"/>
  <c r="Q416" i="1" s="1"/>
  <c r="R416" i="1" a="1"/>
  <c r="R416" i="1"/>
  <c r="S416" i="1" a="1"/>
  <c r="S416" i="1" s="1"/>
  <c r="P417" i="1" a="1"/>
  <c r="P417" i="1" s="1"/>
  <c r="Q417" i="1" a="1"/>
  <c r="Q417" i="1" s="1"/>
  <c r="R417" i="1" a="1"/>
  <c r="R417" i="1"/>
  <c r="S417" i="1" a="1"/>
  <c r="S417" i="1" s="1"/>
  <c r="P418" i="1" a="1"/>
  <c r="P418" i="1" s="1"/>
  <c r="Q418" i="1" a="1"/>
  <c r="Q418" i="1"/>
  <c r="R418" i="1" a="1"/>
  <c r="R418" i="1" s="1"/>
  <c r="S418" i="1" a="1"/>
  <c r="S418" i="1"/>
  <c r="P419" i="1" a="1"/>
  <c r="P419" i="1" s="1"/>
  <c r="Q419" i="1" a="1"/>
  <c r="Q419" i="1" s="1"/>
  <c r="R419" i="1" a="1"/>
  <c r="R419" i="1" s="1"/>
  <c r="S419" i="1" a="1"/>
  <c r="S419" i="1"/>
  <c r="P420" i="1" a="1"/>
  <c r="P420" i="1"/>
  <c r="Q420" i="1" a="1"/>
  <c r="Q420" i="1"/>
  <c r="R420" i="1" a="1"/>
  <c r="R420" i="1"/>
  <c r="S420" i="1" a="1"/>
  <c r="S420" i="1" s="1"/>
  <c r="P421" i="1" a="1"/>
  <c r="P421" i="1" s="1"/>
  <c r="Q421" i="1" a="1"/>
  <c r="Q421" i="1" s="1"/>
  <c r="R421" i="1" a="1"/>
  <c r="R421" i="1" s="1"/>
  <c r="S421" i="1" a="1"/>
  <c r="S421" i="1" s="1"/>
  <c r="P422" i="1" a="1"/>
  <c r="P422" i="1" s="1"/>
  <c r="Q422" i="1" a="1"/>
  <c r="Q422" i="1" s="1"/>
  <c r="R422" i="1" a="1"/>
  <c r="R422" i="1"/>
  <c r="S422" i="1" a="1"/>
  <c r="S422" i="1" s="1"/>
  <c r="P423" i="1" a="1"/>
  <c r="P423" i="1" s="1"/>
  <c r="Q423" i="1" a="1"/>
  <c r="Q423" i="1" s="1"/>
  <c r="R423" i="1" a="1"/>
  <c r="R423" i="1" s="1"/>
  <c r="S423" i="1" a="1"/>
  <c r="S423" i="1" s="1"/>
  <c r="P424" i="1" a="1"/>
  <c r="P424" i="1" s="1"/>
  <c r="Q424" i="1" a="1"/>
  <c r="Q424" i="1"/>
  <c r="R424" i="1" a="1"/>
  <c r="R424" i="1"/>
  <c r="S424" i="1" a="1"/>
  <c r="S424" i="1" s="1"/>
  <c r="P425" i="1" a="1"/>
  <c r="P425" i="1" s="1"/>
  <c r="Q425" i="1" a="1"/>
  <c r="Q425" i="1" s="1"/>
  <c r="R425" i="1" a="1"/>
  <c r="R425" i="1" s="1"/>
  <c r="S425" i="1" a="1"/>
  <c r="S425" i="1"/>
  <c r="P426" i="1" a="1"/>
  <c r="P426" i="1"/>
  <c r="Q426" i="1" a="1"/>
  <c r="Q426" i="1" s="1"/>
  <c r="R426" i="1" a="1"/>
  <c r="R426" i="1"/>
  <c r="S426" i="1" a="1"/>
  <c r="S426" i="1"/>
  <c r="P427" i="1" a="1"/>
  <c r="P427" i="1" s="1"/>
  <c r="Q427" i="1" a="1"/>
  <c r="Q427" i="1" s="1"/>
  <c r="R427" i="1" a="1"/>
  <c r="R427" i="1" s="1"/>
  <c r="S427" i="1" a="1"/>
  <c r="S427" i="1" s="1"/>
  <c r="P428" i="1" a="1"/>
  <c r="P428" i="1"/>
  <c r="Q428" i="1" a="1"/>
  <c r="Q428" i="1" s="1"/>
  <c r="R428" i="1" a="1"/>
  <c r="R428" i="1"/>
  <c r="S428" i="1" a="1"/>
  <c r="S428" i="1" s="1"/>
  <c r="P429" i="1" a="1"/>
  <c r="P429" i="1" s="1"/>
  <c r="Q429" i="1" a="1"/>
  <c r="Q429" i="1" s="1"/>
  <c r="R429" i="1" a="1"/>
  <c r="R429" i="1" s="1"/>
  <c r="S429" i="1" a="1"/>
  <c r="S429" i="1"/>
  <c r="P430" i="1" a="1"/>
  <c r="P430" i="1" s="1"/>
  <c r="Q430" i="1" a="1"/>
  <c r="Q430" i="1" s="1"/>
  <c r="R430" i="1" a="1"/>
  <c r="R430" i="1" s="1"/>
  <c r="S430" i="1" a="1"/>
  <c r="S430" i="1"/>
  <c r="P431" i="1" a="1"/>
  <c r="P431" i="1" s="1"/>
  <c r="Q431" i="1" a="1"/>
  <c r="Q431" i="1" s="1"/>
  <c r="R431" i="1" a="1"/>
  <c r="R431" i="1"/>
  <c r="S431" i="1" a="1"/>
  <c r="S431" i="1" s="1"/>
  <c r="P432" i="1" a="1"/>
  <c r="P432" i="1" s="1"/>
  <c r="Q432" i="1" a="1"/>
  <c r="Q432" i="1" s="1"/>
  <c r="R432" i="1" a="1"/>
  <c r="R432" i="1" s="1"/>
  <c r="S432" i="1" a="1"/>
  <c r="S432" i="1"/>
  <c r="P433" i="1" a="1"/>
  <c r="P433" i="1" s="1"/>
  <c r="Q433" i="1" a="1"/>
  <c r="Q433" i="1" s="1"/>
  <c r="R433" i="1" a="1"/>
  <c r="R433" i="1" s="1"/>
  <c r="S433" i="1" a="1"/>
  <c r="S433" i="1" s="1"/>
  <c r="P434" i="1" a="1"/>
  <c r="P434" i="1" s="1"/>
  <c r="Q434" i="1" a="1"/>
  <c r="Q434" i="1" s="1"/>
  <c r="R434" i="1" a="1"/>
  <c r="R434" i="1"/>
  <c r="S434" i="1" a="1"/>
  <c r="S434" i="1" s="1"/>
  <c r="P435" i="1" a="1"/>
  <c r="P435" i="1" s="1"/>
  <c r="Q435" i="1" a="1"/>
  <c r="Q435" i="1" s="1"/>
  <c r="R435" i="1" a="1"/>
  <c r="R435" i="1" s="1"/>
  <c r="S435" i="1" a="1"/>
  <c r="S435" i="1" s="1"/>
  <c r="P436" i="1" a="1"/>
  <c r="P436" i="1" s="1"/>
  <c r="Q436" i="1" a="1"/>
  <c r="Q436" i="1" s="1"/>
  <c r="R436" i="1" a="1"/>
  <c r="R436" i="1" s="1"/>
  <c r="S436" i="1" a="1"/>
  <c r="S436" i="1"/>
  <c r="P437" i="1" a="1"/>
  <c r="P437" i="1" s="1"/>
  <c r="Q437" i="1" a="1"/>
  <c r="Q437" i="1" s="1"/>
  <c r="R437" i="1" a="1"/>
  <c r="R437" i="1"/>
  <c r="S437" i="1" a="1"/>
  <c r="S437" i="1" s="1"/>
  <c r="P438" i="1" a="1"/>
  <c r="P438" i="1" s="1"/>
  <c r="Q438" i="1" a="1"/>
  <c r="Q438" i="1" s="1"/>
  <c r="R438" i="1" a="1"/>
  <c r="R438" i="1" s="1"/>
  <c r="S438" i="1" a="1"/>
  <c r="S438" i="1" s="1"/>
  <c r="P439" i="1" a="1"/>
  <c r="P439" i="1" s="1"/>
  <c r="Q439" i="1" a="1"/>
  <c r="Q439" i="1" s="1"/>
  <c r="R439" i="1" a="1"/>
  <c r="R439" i="1"/>
  <c r="S439" i="1" a="1"/>
  <c r="S439" i="1" s="1"/>
  <c r="P440" i="1" a="1"/>
  <c r="P440" i="1"/>
  <c r="Q440" i="1" a="1"/>
  <c r="Q440" i="1" s="1"/>
  <c r="R440" i="1" a="1"/>
  <c r="R440" i="1" s="1"/>
  <c r="S440" i="1" a="1"/>
  <c r="S440" i="1"/>
  <c r="P441" i="1" a="1"/>
  <c r="P441" i="1" s="1"/>
  <c r="Q441" i="1" a="1"/>
  <c r="Q441" i="1" s="1"/>
  <c r="R441" i="1" a="1"/>
  <c r="R441" i="1" s="1"/>
  <c r="S441" i="1" a="1"/>
  <c r="S441" i="1" s="1"/>
  <c r="P442" i="1" a="1"/>
  <c r="P442" i="1" s="1"/>
  <c r="Q442" i="1" a="1"/>
  <c r="Q442" i="1" s="1"/>
  <c r="R442" i="1" a="1"/>
  <c r="R442" i="1"/>
  <c r="S442" i="1" a="1"/>
  <c r="S442" i="1" s="1"/>
  <c r="P443" i="1" a="1"/>
  <c r="P443" i="1" s="1"/>
  <c r="Q443" i="1" a="1"/>
  <c r="Q443" i="1" s="1"/>
  <c r="R443" i="1" a="1"/>
  <c r="R443" i="1"/>
  <c r="S443" i="1" a="1"/>
  <c r="S443" i="1"/>
  <c r="P444" i="1" a="1"/>
  <c r="P444" i="1"/>
  <c r="Q444" i="1" a="1"/>
  <c r="Q444" i="1" s="1"/>
  <c r="R444" i="1" a="1"/>
  <c r="R444" i="1"/>
  <c r="S444" i="1" a="1"/>
  <c r="S444" i="1" s="1"/>
  <c r="P445" i="1" a="1"/>
  <c r="P445" i="1"/>
  <c r="Q445" i="1" a="1"/>
  <c r="Q445" i="1" s="1"/>
  <c r="R445" i="1" a="1"/>
  <c r="R445" i="1" s="1"/>
  <c r="S445" i="1" a="1"/>
  <c r="S445" i="1" s="1"/>
  <c r="P446" i="1" a="1"/>
  <c r="P446" i="1" s="1"/>
  <c r="Q446" i="1" a="1"/>
  <c r="Q446" i="1" s="1"/>
  <c r="R446" i="1" a="1"/>
  <c r="R446" i="1" s="1"/>
  <c r="S446" i="1" a="1"/>
  <c r="S446" i="1" s="1"/>
  <c r="P447" i="1" a="1"/>
  <c r="P447" i="1" s="1"/>
  <c r="Q447" i="1" a="1"/>
  <c r="Q447" i="1" s="1"/>
  <c r="R447" i="1" a="1"/>
  <c r="R447" i="1" s="1"/>
  <c r="S447" i="1" a="1"/>
  <c r="S447" i="1" s="1"/>
  <c r="P448" i="1" a="1"/>
  <c r="P448" i="1"/>
  <c r="Q448" i="1" a="1"/>
  <c r="Q448" i="1"/>
  <c r="R448" i="1" a="1"/>
  <c r="R448" i="1" s="1"/>
  <c r="S448" i="1" a="1"/>
  <c r="S448" i="1"/>
  <c r="P449" i="1" a="1"/>
  <c r="P449" i="1"/>
  <c r="Q449" i="1" a="1"/>
  <c r="Q449" i="1" s="1"/>
  <c r="R449" i="1" a="1"/>
  <c r="R449" i="1"/>
  <c r="S449" i="1" a="1"/>
  <c r="S449" i="1" s="1"/>
  <c r="P450" i="1" a="1"/>
  <c r="P450" i="1"/>
  <c r="Q450" i="1" a="1"/>
  <c r="Q450" i="1"/>
  <c r="R450" i="1" a="1"/>
  <c r="R450" i="1" s="1"/>
  <c r="S450" i="1" a="1"/>
  <c r="S450" i="1" s="1"/>
  <c r="P451" i="1" a="1"/>
  <c r="P451" i="1" s="1"/>
  <c r="Q451" i="1" a="1"/>
  <c r="Q451" i="1" s="1"/>
  <c r="R451" i="1" a="1"/>
  <c r="R451" i="1" s="1"/>
  <c r="S451" i="1" a="1"/>
  <c r="S451" i="1" s="1"/>
  <c r="P452" i="1" a="1"/>
  <c r="P452" i="1"/>
  <c r="Q452" i="1" a="1"/>
  <c r="Q452" i="1" s="1"/>
  <c r="R452" i="1" a="1"/>
  <c r="R452" i="1"/>
  <c r="S452" i="1" a="1"/>
  <c r="S452" i="1" s="1"/>
  <c r="P453" i="1" a="1"/>
  <c r="P453" i="1"/>
  <c r="Q453" i="1" a="1"/>
  <c r="Q453" i="1" s="1"/>
  <c r="R453" i="1" a="1"/>
  <c r="R453" i="1"/>
  <c r="S453" i="1" a="1"/>
  <c r="S453" i="1" s="1"/>
  <c r="P454" i="1" a="1"/>
  <c r="P454" i="1" s="1"/>
  <c r="Q454" i="1" a="1"/>
  <c r="Q454" i="1" s="1"/>
  <c r="R454" i="1" a="1"/>
  <c r="R454" i="1" s="1"/>
  <c r="S454" i="1" a="1"/>
  <c r="S454" i="1"/>
  <c r="P455" i="1" a="1"/>
  <c r="P455" i="1" s="1"/>
  <c r="Q455" i="1" a="1"/>
  <c r="Q455" i="1" s="1"/>
  <c r="R455" i="1" a="1"/>
  <c r="R455" i="1" s="1"/>
  <c r="S455" i="1" a="1"/>
  <c r="S455" i="1"/>
  <c r="P456" i="1" a="1"/>
  <c r="P456" i="1" s="1"/>
  <c r="Q456" i="1" a="1"/>
  <c r="Q456" i="1"/>
  <c r="R456" i="1" a="1"/>
  <c r="R456" i="1"/>
  <c r="S456" i="1" a="1"/>
  <c r="S456" i="1" s="1"/>
  <c r="P457" i="1" a="1"/>
  <c r="P457" i="1" s="1"/>
  <c r="Q457" i="1" a="1"/>
  <c r="Q457" i="1" s="1"/>
  <c r="R457" i="1" a="1"/>
  <c r="R457" i="1" s="1"/>
  <c r="S457" i="1" a="1"/>
  <c r="S457" i="1" s="1"/>
  <c r="P458" i="1" a="1"/>
  <c r="P458" i="1" s="1"/>
  <c r="Q458" i="1" a="1"/>
  <c r="Q458" i="1" s="1"/>
  <c r="R458" i="1" a="1"/>
  <c r="R458" i="1" s="1"/>
  <c r="S458" i="1" a="1"/>
  <c r="S458" i="1"/>
  <c r="P459" i="1" a="1"/>
  <c r="P459" i="1"/>
  <c r="Q459" i="1" a="1"/>
  <c r="Q459" i="1" s="1"/>
  <c r="R459" i="1" a="1"/>
  <c r="R459" i="1" s="1"/>
  <c r="S459" i="1" a="1"/>
  <c r="S459" i="1" s="1"/>
  <c r="P460" i="1" a="1"/>
  <c r="P460" i="1" s="1"/>
  <c r="Q460" i="1" a="1"/>
  <c r="Q460" i="1" s="1"/>
  <c r="R460" i="1" a="1"/>
  <c r="R460" i="1"/>
  <c r="S460" i="1" a="1"/>
  <c r="S460" i="1" s="1"/>
  <c r="P461" i="1" a="1"/>
  <c r="P461" i="1" s="1"/>
  <c r="Q461" i="1" a="1"/>
  <c r="Q461" i="1" s="1"/>
  <c r="R461" i="1" a="1"/>
  <c r="R461" i="1" s="1"/>
  <c r="S461" i="1" a="1"/>
  <c r="S461" i="1"/>
  <c r="P462" i="1" a="1"/>
  <c r="P462" i="1"/>
  <c r="Q462" i="1" a="1"/>
  <c r="Q462" i="1"/>
  <c r="R462" i="1" a="1"/>
  <c r="R462" i="1" s="1"/>
  <c r="S462" i="1" a="1"/>
  <c r="S462" i="1"/>
  <c r="P463" i="1" a="1"/>
  <c r="P463" i="1" s="1"/>
  <c r="Q463" i="1" a="1"/>
  <c r="Q463" i="1" s="1"/>
  <c r="R463" i="1" a="1"/>
  <c r="R463" i="1" s="1"/>
  <c r="S463" i="1" a="1"/>
  <c r="S463" i="1" s="1"/>
  <c r="P464" i="1" a="1"/>
  <c r="P464" i="1" s="1"/>
  <c r="Q464" i="1" a="1"/>
  <c r="Q464" i="1" s="1"/>
  <c r="R464" i="1" a="1"/>
  <c r="R464" i="1" s="1"/>
  <c r="S464" i="1" a="1"/>
  <c r="S464" i="1"/>
  <c r="P465" i="1" a="1"/>
  <c r="P465" i="1"/>
  <c r="Q465" i="1" a="1"/>
  <c r="Q465" i="1" s="1"/>
  <c r="R465" i="1" a="1"/>
  <c r="R465" i="1" s="1"/>
  <c r="S465" i="1" a="1"/>
  <c r="S465" i="1" s="1"/>
  <c r="P466" i="1" a="1"/>
  <c r="P466" i="1" s="1"/>
  <c r="Q466" i="1" a="1"/>
  <c r="Q466" i="1" s="1"/>
  <c r="R466" i="1" a="1"/>
  <c r="R466" i="1" s="1"/>
  <c r="S466" i="1" a="1"/>
  <c r="S466" i="1" s="1"/>
  <c r="P467" i="1" a="1"/>
  <c r="P467" i="1" s="1"/>
  <c r="Q467" i="1" a="1"/>
  <c r="Q467" i="1" s="1"/>
  <c r="R467" i="1" a="1"/>
  <c r="R467" i="1"/>
  <c r="S467" i="1" a="1"/>
  <c r="S467" i="1" s="1"/>
  <c r="P468" i="1" a="1"/>
  <c r="P468" i="1" s="1"/>
  <c r="Q468" i="1" a="1"/>
  <c r="Q468" i="1" s="1"/>
  <c r="R468" i="1" a="1"/>
  <c r="R468" i="1" s="1"/>
  <c r="S468" i="1" a="1"/>
  <c r="S468" i="1" s="1"/>
  <c r="P469" i="1" a="1"/>
  <c r="P469" i="1" s="1"/>
  <c r="Q469" i="1" a="1"/>
  <c r="Q469" i="1"/>
  <c r="R469" i="1" a="1"/>
  <c r="R469" i="1" s="1"/>
  <c r="S469" i="1" a="1"/>
  <c r="S469" i="1" s="1"/>
  <c r="P470" i="1" a="1"/>
  <c r="P470" i="1" s="1"/>
  <c r="Q470" i="1" a="1"/>
  <c r="Q470" i="1"/>
  <c r="R470" i="1" a="1"/>
  <c r="R470" i="1"/>
  <c r="S470" i="1" a="1"/>
  <c r="S470" i="1" s="1"/>
  <c r="P471" i="1" a="1"/>
  <c r="P471" i="1"/>
  <c r="Q471" i="1" a="1"/>
  <c r="Q471" i="1" s="1"/>
  <c r="R471" i="1" a="1"/>
  <c r="R471" i="1"/>
  <c r="S471" i="1" a="1"/>
  <c r="S471" i="1"/>
  <c r="P472" i="1" a="1"/>
  <c r="P472" i="1" s="1"/>
  <c r="Q472" i="1" a="1"/>
  <c r="Q472" i="1" s="1"/>
  <c r="R472" i="1" a="1"/>
  <c r="R472" i="1"/>
  <c r="S472" i="1" a="1"/>
  <c r="S472" i="1" s="1"/>
  <c r="P473" i="1" a="1"/>
  <c r="P473" i="1" s="1"/>
  <c r="Q473" i="1" a="1"/>
  <c r="Q473" i="1" s="1"/>
  <c r="R473" i="1" a="1"/>
  <c r="R473" i="1"/>
  <c r="S473" i="1" a="1"/>
  <c r="S473" i="1" s="1"/>
  <c r="P474" i="1" a="1"/>
  <c r="P474" i="1" s="1"/>
  <c r="Q474" i="1" a="1"/>
  <c r="Q474" i="1" s="1"/>
  <c r="R474" i="1" a="1"/>
  <c r="R474" i="1"/>
  <c r="S474" i="1" a="1"/>
  <c r="S474" i="1" s="1"/>
  <c r="P475" i="1" a="1"/>
  <c r="P475" i="1"/>
  <c r="Q475" i="1" a="1"/>
  <c r="Q475" i="1"/>
  <c r="R475" i="1" a="1"/>
  <c r="R475" i="1" s="1"/>
  <c r="S475" i="1" a="1"/>
  <c r="S475" i="1"/>
  <c r="P476" i="1" a="1"/>
  <c r="P476" i="1"/>
  <c r="Q476" i="1" a="1"/>
  <c r="Q476" i="1" s="1"/>
  <c r="R476" i="1" a="1"/>
  <c r="R476" i="1" s="1"/>
  <c r="S476" i="1" a="1"/>
  <c r="S476" i="1" s="1"/>
  <c r="P477" i="1" a="1"/>
  <c r="P477" i="1" s="1"/>
  <c r="Q477" i="1" a="1"/>
  <c r="Q477" i="1"/>
  <c r="R477" i="1" a="1"/>
  <c r="R477" i="1"/>
  <c r="S477" i="1" a="1"/>
  <c r="S477" i="1"/>
  <c r="P478" i="1" a="1"/>
  <c r="P478" i="1" s="1"/>
  <c r="Q478" i="1" a="1"/>
  <c r="Q478" i="1" s="1"/>
  <c r="R478" i="1" a="1"/>
  <c r="R478" i="1" s="1"/>
  <c r="S478" i="1" a="1"/>
  <c r="S478" i="1" s="1"/>
  <c r="P479" i="1" a="1"/>
  <c r="P479" i="1" s="1"/>
  <c r="Q479" i="1" a="1"/>
  <c r="Q479" i="1"/>
  <c r="R479" i="1" a="1"/>
  <c r="R479" i="1" s="1"/>
  <c r="S479" i="1" a="1"/>
  <c r="S479" i="1" s="1"/>
  <c r="P480" i="1" a="1"/>
  <c r="P480" i="1"/>
  <c r="Q480" i="1" a="1"/>
  <c r="Q480" i="1"/>
  <c r="R480" i="1" a="1"/>
  <c r="R480" i="1"/>
  <c r="S480" i="1" a="1"/>
  <c r="S480" i="1" s="1"/>
  <c r="P481" i="1" a="1"/>
  <c r="P481" i="1" s="1"/>
  <c r="Q481" i="1" a="1"/>
  <c r="Q481" i="1" s="1"/>
  <c r="R481" i="1" a="1"/>
  <c r="R481" i="1"/>
  <c r="S481" i="1" a="1"/>
  <c r="S481" i="1" s="1"/>
  <c r="P482" i="1" a="1"/>
  <c r="P482" i="1"/>
  <c r="Q482" i="1" a="1"/>
  <c r="Q482" i="1" s="1"/>
  <c r="R482" i="1" a="1"/>
  <c r="R482" i="1" s="1"/>
  <c r="S482" i="1" a="1"/>
  <c r="S482" i="1" s="1"/>
  <c r="P483" i="1" a="1"/>
  <c r="P483" i="1" s="1"/>
  <c r="Q483" i="1" a="1"/>
  <c r="Q483" i="1"/>
  <c r="R483" i="1" a="1"/>
  <c r="R483" i="1"/>
  <c r="S483" i="1" a="1"/>
  <c r="S483" i="1"/>
  <c r="P484" i="1" a="1"/>
  <c r="P484" i="1" s="1"/>
  <c r="Q484" i="1" a="1"/>
  <c r="Q484" i="1" s="1"/>
  <c r="R484" i="1" a="1"/>
  <c r="R484" i="1" s="1"/>
  <c r="S484" i="1" a="1"/>
  <c r="S484" i="1"/>
  <c r="P485" i="1" a="1"/>
  <c r="P485" i="1"/>
  <c r="Q485" i="1" a="1"/>
  <c r="Q485" i="1" s="1"/>
  <c r="R485" i="1" a="1"/>
  <c r="R485" i="1" s="1"/>
  <c r="S485" i="1" a="1"/>
  <c r="S485" i="1" s="1"/>
  <c r="P486" i="1" a="1"/>
  <c r="P486" i="1" s="1"/>
  <c r="Q486" i="1" a="1"/>
  <c r="Q486" i="1" s="1"/>
  <c r="R486" i="1" a="1"/>
  <c r="R486" i="1" s="1"/>
  <c r="S486" i="1" a="1"/>
  <c r="S486" i="1" s="1"/>
  <c r="P487" i="1" a="1"/>
  <c r="P487" i="1" s="1"/>
  <c r="Q487" i="1" a="1"/>
  <c r="Q487" i="1" s="1"/>
  <c r="R487" i="1" a="1"/>
  <c r="R487" i="1"/>
  <c r="S487" i="1" a="1"/>
  <c r="S487" i="1"/>
  <c r="P488" i="1" a="1"/>
  <c r="P488" i="1" s="1"/>
  <c r="Q488" i="1" a="1"/>
  <c r="Q488" i="1"/>
  <c r="R488" i="1" a="1"/>
  <c r="R488" i="1"/>
  <c r="S488" i="1" a="1"/>
  <c r="S488" i="1" s="1"/>
  <c r="P489" i="1" a="1"/>
  <c r="P489" i="1" s="1"/>
  <c r="Q489" i="1" a="1"/>
  <c r="Q489" i="1"/>
  <c r="R489" i="1" a="1"/>
  <c r="R489" i="1" s="1"/>
  <c r="S489" i="1" a="1"/>
  <c r="S489" i="1" s="1"/>
  <c r="P490" i="1" a="1"/>
  <c r="P490" i="1" s="1"/>
  <c r="Q490" i="1" a="1"/>
  <c r="Q490" i="1" s="1"/>
  <c r="R490" i="1" a="1"/>
  <c r="R490" i="1"/>
  <c r="S490" i="1" a="1"/>
  <c r="S490" i="1"/>
  <c r="P491" i="1" a="1"/>
  <c r="P491" i="1"/>
  <c r="Q491" i="1" a="1"/>
  <c r="Q491" i="1" s="1"/>
  <c r="R491" i="1" a="1"/>
  <c r="R491" i="1"/>
  <c r="S491" i="1" a="1"/>
  <c r="S491" i="1"/>
  <c r="P492" i="1" a="1"/>
  <c r="P492" i="1" s="1"/>
  <c r="Q492" i="1" a="1"/>
  <c r="Q492" i="1" s="1"/>
  <c r="R492" i="1" a="1"/>
  <c r="R492" i="1"/>
  <c r="S492" i="1" a="1"/>
  <c r="S492" i="1" s="1"/>
  <c r="P493" i="1" a="1"/>
  <c r="P493" i="1"/>
  <c r="Q493" i="1" a="1"/>
  <c r="Q493" i="1" s="1"/>
  <c r="R493" i="1" a="1"/>
  <c r="R493" i="1"/>
  <c r="S493" i="1" a="1"/>
  <c r="S493" i="1" s="1"/>
  <c r="P494" i="1" a="1"/>
  <c r="P494" i="1" s="1"/>
  <c r="Q494" i="1" a="1"/>
  <c r="Q494" i="1"/>
  <c r="R494" i="1" a="1"/>
  <c r="R494" i="1"/>
  <c r="S494" i="1" a="1"/>
  <c r="S494" i="1" s="1"/>
  <c r="P495" i="1" a="1"/>
  <c r="P495" i="1"/>
  <c r="Q495" i="1" a="1"/>
  <c r="Q495" i="1" s="1"/>
  <c r="R495" i="1" a="1"/>
  <c r="R495" i="1" s="1"/>
  <c r="S495" i="1" a="1"/>
  <c r="S495" i="1" s="1"/>
  <c r="P496" i="1" a="1"/>
  <c r="P496" i="1" s="1"/>
  <c r="Q496" i="1" a="1"/>
  <c r="Q496" i="1" s="1"/>
  <c r="R496" i="1" a="1"/>
  <c r="R496" i="1"/>
  <c r="S496" i="1" a="1"/>
  <c r="S496" i="1"/>
  <c r="P497" i="1" a="1"/>
  <c r="P497" i="1" s="1"/>
  <c r="Q497" i="1" a="1"/>
  <c r="Q497" i="1"/>
  <c r="R497" i="1" a="1"/>
  <c r="R497" i="1" s="1"/>
  <c r="S497" i="1" a="1"/>
  <c r="S497" i="1"/>
  <c r="P498" i="1" a="1"/>
  <c r="P498" i="1" s="1"/>
  <c r="Q498" i="1" a="1"/>
  <c r="Q498" i="1"/>
  <c r="R498" i="1" a="1"/>
  <c r="R498" i="1"/>
  <c r="S498" i="1" a="1"/>
  <c r="S498" i="1"/>
  <c r="P499" i="1" a="1"/>
  <c r="P499" i="1" s="1"/>
  <c r="Q499" i="1" a="1"/>
  <c r="Q499" i="1"/>
  <c r="R499" i="1" a="1"/>
  <c r="R499" i="1"/>
  <c r="S499" i="1" a="1"/>
  <c r="S499" i="1" s="1"/>
  <c r="P500" i="1" a="1"/>
  <c r="P500" i="1" s="1"/>
  <c r="Q500" i="1" a="1"/>
  <c r="Q500" i="1" s="1"/>
  <c r="R500" i="1" a="1"/>
  <c r="R500" i="1" s="1"/>
  <c r="S500" i="1" a="1"/>
  <c r="S500" i="1" s="1"/>
  <c r="P501" i="1" a="1"/>
  <c r="P501" i="1" s="1"/>
  <c r="Q501" i="1" a="1"/>
  <c r="Q501" i="1" s="1"/>
  <c r="R501" i="1" a="1"/>
  <c r="R501" i="1"/>
  <c r="S501" i="1" a="1"/>
  <c r="S501" i="1" s="1"/>
  <c r="P502" i="1" a="1"/>
  <c r="P502" i="1" s="1"/>
  <c r="Q502" i="1" a="1"/>
  <c r="Q502" i="1"/>
  <c r="R502" i="1" a="1"/>
  <c r="R502" i="1"/>
  <c r="S502" i="1" a="1"/>
  <c r="S502" i="1"/>
  <c r="P503" i="1" a="1"/>
  <c r="P503" i="1" s="1"/>
  <c r="Q503" i="1" a="1"/>
  <c r="Q503" i="1" s="1"/>
  <c r="R503" i="1" a="1"/>
  <c r="R503" i="1" s="1"/>
  <c r="S503" i="1" a="1"/>
  <c r="S503" i="1"/>
  <c r="P504" i="1" a="1"/>
  <c r="P504" i="1" s="1"/>
  <c r="Q504" i="1" a="1"/>
  <c r="Q504" i="1" s="1"/>
  <c r="R504" i="1" a="1"/>
  <c r="R504" i="1"/>
  <c r="S504" i="1" a="1"/>
  <c r="S504" i="1"/>
  <c r="P505" i="1" a="1"/>
  <c r="P505" i="1" s="1"/>
  <c r="Q505" i="1" a="1"/>
  <c r="Q505" i="1"/>
  <c r="R505" i="1" a="1"/>
  <c r="R505" i="1" s="1"/>
  <c r="S505" i="1" a="1"/>
  <c r="S505" i="1"/>
  <c r="P506" i="1" a="1"/>
  <c r="P506" i="1" s="1"/>
  <c r="Q506" i="1" a="1"/>
  <c r="Q506" i="1" s="1"/>
  <c r="R506" i="1" a="1"/>
  <c r="R506" i="1"/>
  <c r="S506" i="1" a="1"/>
  <c r="S506" i="1" s="1"/>
  <c r="P507" i="1" a="1"/>
  <c r="P507" i="1"/>
  <c r="Q507" i="1" a="1"/>
  <c r="Q507" i="1"/>
  <c r="R507" i="1" a="1"/>
  <c r="R507" i="1" s="1"/>
  <c r="S507" i="1" a="1"/>
  <c r="S507" i="1"/>
  <c r="P508" i="1" a="1"/>
  <c r="P508" i="1" s="1"/>
  <c r="Q508" i="1" a="1"/>
  <c r="Q508" i="1" s="1"/>
  <c r="R508" i="1" a="1"/>
  <c r="R508" i="1" s="1"/>
  <c r="S508" i="1" a="1"/>
  <c r="S508" i="1" s="1"/>
  <c r="P509" i="1" a="1"/>
  <c r="P509" i="1"/>
  <c r="Q509" i="1" a="1"/>
  <c r="Q509" i="1" s="1"/>
  <c r="R509" i="1" a="1"/>
  <c r="R509" i="1"/>
  <c r="S509" i="1" a="1"/>
  <c r="S509" i="1" s="1"/>
  <c r="P510" i="1" a="1"/>
  <c r="P510" i="1" s="1"/>
  <c r="Q510" i="1" a="1"/>
  <c r="Q510" i="1" s="1"/>
  <c r="R510" i="1" a="1"/>
  <c r="R510" i="1" s="1"/>
  <c r="S510" i="1" a="1"/>
  <c r="S510" i="1" s="1"/>
  <c r="P511" i="1" a="1"/>
  <c r="P511" i="1"/>
  <c r="Q511" i="1" a="1"/>
  <c r="Q511" i="1"/>
  <c r="R511" i="1" a="1"/>
  <c r="R511" i="1"/>
  <c r="S511" i="1" a="1"/>
  <c r="S511" i="1" s="1"/>
  <c r="P512" i="1" a="1"/>
  <c r="P512" i="1" s="1"/>
  <c r="Q512" i="1" a="1"/>
  <c r="Q512" i="1"/>
  <c r="R512" i="1" a="1"/>
  <c r="R512" i="1" s="1"/>
  <c r="S512" i="1" a="1"/>
  <c r="S512" i="1" s="1"/>
  <c r="P513" i="1" a="1"/>
  <c r="P513" i="1" s="1"/>
  <c r="Q513" i="1" a="1"/>
  <c r="Q513" i="1" s="1"/>
  <c r="R513" i="1" a="1"/>
  <c r="R513" i="1" s="1"/>
  <c r="S513" i="1" a="1"/>
  <c r="S513" i="1" s="1"/>
  <c r="P514" i="1" a="1"/>
  <c r="P514" i="1" s="1"/>
  <c r="Q514" i="1" a="1"/>
  <c r="Q514" i="1"/>
  <c r="R514" i="1" a="1"/>
  <c r="R514" i="1" s="1"/>
  <c r="S514" i="1" a="1"/>
  <c r="S514" i="1" s="1"/>
  <c r="P515" i="1" a="1"/>
  <c r="P515" i="1"/>
  <c r="Q515" i="1" a="1"/>
  <c r="Q515" i="1" s="1"/>
  <c r="R515" i="1" a="1"/>
  <c r="R515" i="1"/>
  <c r="S515" i="1" a="1"/>
  <c r="S515" i="1"/>
  <c r="P516" i="1" a="1"/>
  <c r="P516" i="1" s="1"/>
  <c r="Q516" i="1" a="1"/>
  <c r="Q516" i="1" s="1"/>
  <c r="R516" i="1" a="1"/>
  <c r="R516" i="1"/>
  <c r="S516" i="1" a="1"/>
  <c r="S516" i="1" s="1"/>
  <c r="P517" i="1" a="1"/>
  <c r="P517" i="1" s="1"/>
  <c r="Q517" i="1" a="1"/>
  <c r="Q517" i="1" s="1"/>
  <c r="R517" i="1" a="1"/>
  <c r="R517" i="1"/>
  <c r="S517" i="1" a="1"/>
  <c r="S517" i="1" s="1"/>
  <c r="P518" i="1" a="1"/>
  <c r="P518" i="1" s="1"/>
  <c r="Q518" i="1" a="1"/>
  <c r="Q518" i="1" s="1"/>
  <c r="R518" i="1" a="1"/>
  <c r="R518" i="1" s="1"/>
  <c r="S518" i="1" a="1"/>
  <c r="S518" i="1"/>
  <c r="P519" i="1" a="1"/>
  <c r="P519" i="1" s="1"/>
  <c r="Q519" i="1" a="1"/>
  <c r="Q519" i="1"/>
  <c r="R519" i="1" a="1"/>
  <c r="R519" i="1"/>
  <c r="S519" i="1" a="1"/>
  <c r="S519" i="1"/>
  <c r="P520" i="1" a="1"/>
  <c r="P520" i="1" s="1"/>
  <c r="Q520" i="1" a="1"/>
  <c r="Q520" i="1"/>
  <c r="R520" i="1" a="1"/>
  <c r="R520" i="1" s="1"/>
  <c r="S520" i="1" a="1"/>
  <c r="S520" i="1" s="1"/>
  <c r="P521" i="1" a="1"/>
  <c r="P521" i="1" s="1"/>
  <c r="Q521" i="1" a="1"/>
  <c r="Q521" i="1"/>
  <c r="R521" i="1" a="1"/>
  <c r="R521" i="1" s="1"/>
  <c r="S521" i="1" a="1"/>
  <c r="S521" i="1"/>
  <c r="P522" i="1" a="1"/>
  <c r="P522" i="1" s="1"/>
  <c r="Q522" i="1" a="1"/>
  <c r="Q522" i="1" s="1"/>
  <c r="R522" i="1" a="1"/>
  <c r="R522" i="1" s="1"/>
  <c r="S522" i="1" a="1"/>
  <c r="S522" i="1"/>
  <c r="P523" i="1" a="1"/>
  <c r="P523" i="1" s="1"/>
  <c r="Q523" i="1" a="1"/>
  <c r="Q523" i="1" s="1"/>
  <c r="R523" i="1" a="1"/>
  <c r="R523" i="1" s="1"/>
  <c r="S523" i="1" a="1"/>
  <c r="S523" i="1"/>
  <c r="P524" i="1" a="1"/>
  <c r="P524" i="1" s="1"/>
  <c r="Q524" i="1" a="1"/>
  <c r="Q524" i="1" s="1"/>
  <c r="R524" i="1" a="1"/>
  <c r="R524" i="1"/>
  <c r="S524" i="1" a="1"/>
  <c r="S524" i="1" s="1"/>
  <c r="P525" i="1" a="1"/>
  <c r="P525" i="1"/>
  <c r="Q525" i="1" a="1"/>
  <c r="Q525" i="1" s="1"/>
  <c r="R525" i="1" a="1"/>
  <c r="R525" i="1"/>
  <c r="S525" i="1" a="1"/>
  <c r="S525" i="1" s="1"/>
  <c r="P526" i="1" a="1"/>
  <c r="P526" i="1" s="1"/>
  <c r="Q526" i="1" a="1"/>
  <c r="Q526" i="1" s="1"/>
  <c r="R526" i="1" a="1"/>
  <c r="R526" i="1"/>
  <c r="S526" i="1" a="1"/>
  <c r="S526" i="1" s="1"/>
  <c r="P527" i="1" a="1"/>
  <c r="P527" i="1"/>
  <c r="Q527" i="1" a="1"/>
  <c r="Q527" i="1"/>
  <c r="R527" i="1" a="1"/>
  <c r="R527" i="1" s="1"/>
  <c r="S527" i="1" a="1"/>
  <c r="S527" i="1"/>
  <c r="P528" i="1" a="1"/>
  <c r="P528" i="1" s="1"/>
  <c r="Q528" i="1" a="1"/>
  <c r="Q528" i="1" s="1"/>
  <c r="R528" i="1" a="1"/>
  <c r="R528" i="1" s="1"/>
  <c r="S528" i="1" a="1"/>
  <c r="S528" i="1" s="1"/>
  <c r="P529" i="1" a="1"/>
  <c r="P529" i="1" s="1"/>
  <c r="Q529" i="1" a="1"/>
  <c r="Q529" i="1" s="1"/>
  <c r="R529" i="1" a="1"/>
  <c r="R529" i="1" s="1"/>
  <c r="S529" i="1" a="1"/>
  <c r="S529" i="1"/>
  <c r="P530" i="1" a="1"/>
  <c r="P530" i="1" s="1"/>
  <c r="Q530" i="1" a="1"/>
  <c r="Q530" i="1"/>
  <c r="R530" i="1" a="1"/>
  <c r="R530" i="1"/>
  <c r="S530" i="1" a="1"/>
  <c r="S530" i="1" s="1"/>
  <c r="P531" i="1" a="1"/>
  <c r="P531" i="1" s="1"/>
  <c r="Q531" i="1" a="1"/>
  <c r="Q531" i="1" s="1"/>
  <c r="R531" i="1" a="1"/>
  <c r="R531" i="1"/>
  <c r="S531" i="1" a="1"/>
  <c r="S531" i="1" s="1"/>
  <c r="P532" i="1" a="1"/>
  <c r="P532" i="1" s="1"/>
  <c r="Q532" i="1" a="1"/>
  <c r="Q532" i="1" s="1"/>
  <c r="R532" i="1" a="1"/>
  <c r="R532" i="1"/>
  <c r="S532" i="1" a="1"/>
  <c r="S532" i="1" s="1"/>
  <c r="P533" i="1" a="1"/>
  <c r="P533" i="1"/>
  <c r="Q533" i="1" a="1"/>
  <c r="Q533" i="1" s="1"/>
  <c r="R533" i="1" a="1"/>
  <c r="R533" i="1" s="1"/>
  <c r="S533" i="1" a="1"/>
  <c r="S533" i="1" s="1"/>
  <c r="P534" i="1" a="1"/>
  <c r="P534" i="1" s="1"/>
  <c r="Q534" i="1" a="1"/>
  <c r="Q534" i="1"/>
  <c r="R534" i="1" a="1"/>
  <c r="R534" i="1" s="1"/>
  <c r="S534" i="1" a="1"/>
  <c r="S534" i="1"/>
  <c r="P535" i="1" a="1"/>
  <c r="P535" i="1"/>
  <c r="Q535" i="1" a="1"/>
  <c r="Q535" i="1" s="1"/>
  <c r="R535" i="1" a="1"/>
  <c r="R535" i="1"/>
  <c r="S535" i="1" a="1"/>
  <c r="S535" i="1"/>
  <c r="P536" i="1" a="1"/>
  <c r="P536" i="1" s="1"/>
  <c r="Q536" i="1" a="1"/>
  <c r="Q536" i="1"/>
  <c r="R536" i="1" a="1"/>
  <c r="R536" i="1" s="1"/>
  <c r="S536" i="1" a="1"/>
  <c r="S536" i="1"/>
  <c r="P537" i="1" a="1"/>
  <c r="P537" i="1" s="1"/>
  <c r="Q537" i="1" a="1"/>
  <c r="Q537" i="1"/>
  <c r="R537" i="1" a="1"/>
  <c r="R537" i="1" s="1"/>
  <c r="S537" i="1" a="1"/>
  <c r="S537" i="1" s="1"/>
  <c r="P538" i="1" a="1"/>
  <c r="P538" i="1" s="1"/>
  <c r="Q538" i="1" a="1"/>
  <c r="Q538" i="1" s="1"/>
  <c r="R538" i="1" a="1"/>
  <c r="R538" i="1"/>
  <c r="S538" i="1" a="1"/>
  <c r="S538" i="1" s="1"/>
  <c r="P539" i="1" a="1"/>
  <c r="P539" i="1"/>
  <c r="Q539" i="1" a="1"/>
  <c r="Q539" i="1"/>
  <c r="R539" i="1" a="1"/>
  <c r="R539" i="1" s="1"/>
  <c r="S539" i="1" a="1"/>
  <c r="S539" i="1"/>
  <c r="P540" i="1" a="1"/>
  <c r="P540" i="1" s="1"/>
  <c r="Q540" i="1" a="1"/>
  <c r="Q540" i="1" s="1"/>
  <c r="R540" i="1" a="1"/>
  <c r="R540" i="1" s="1"/>
  <c r="S540" i="1" a="1"/>
  <c r="S540" i="1" s="1"/>
  <c r="P541" i="1" a="1"/>
  <c r="P541" i="1"/>
  <c r="Q541" i="1" a="1"/>
  <c r="Q541" i="1" s="1"/>
  <c r="R541" i="1" a="1"/>
  <c r="R541" i="1"/>
  <c r="S541" i="1" a="1"/>
  <c r="S541" i="1" s="1"/>
  <c r="P542" i="1" a="1"/>
  <c r="P542" i="1" s="1"/>
  <c r="Q542" i="1" a="1"/>
  <c r="Q542" i="1"/>
  <c r="R542" i="1" a="1"/>
  <c r="R542" i="1" s="1"/>
  <c r="S542" i="1" a="1"/>
  <c r="S542" i="1"/>
  <c r="P543" i="1" a="1"/>
  <c r="P543" i="1" s="1"/>
  <c r="Q543" i="1" a="1"/>
  <c r="Q543" i="1" s="1"/>
  <c r="R543" i="1" a="1"/>
  <c r="R543" i="1"/>
  <c r="S543" i="1" a="1"/>
  <c r="S543" i="1" s="1"/>
  <c r="P544" i="1" a="1"/>
  <c r="P544" i="1" s="1"/>
  <c r="Q544" i="1" a="1"/>
  <c r="Q544" i="1"/>
  <c r="R544" i="1" a="1"/>
  <c r="R544" i="1" s="1"/>
  <c r="S544" i="1" a="1"/>
  <c r="S544" i="1" s="1"/>
  <c r="P545" i="1" a="1"/>
  <c r="P545" i="1" s="1"/>
  <c r="Q545" i="1" a="1"/>
  <c r="Q545" i="1" s="1"/>
  <c r="R545" i="1" a="1"/>
  <c r="R545" i="1" s="1"/>
  <c r="S545" i="1" a="1"/>
  <c r="S545" i="1"/>
  <c r="P546" i="1" a="1"/>
  <c r="P546" i="1" s="1"/>
  <c r="Q546" i="1" a="1"/>
  <c r="Q546" i="1"/>
  <c r="R546" i="1" a="1"/>
  <c r="R546" i="1"/>
  <c r="S546" i="1" a="1"/>
  <c r="S546" i="1" s="1"/>
  <c r="P547" i="1" a="1"/>
  <c r="P547" i="1"/>
  <c r="Q547" i="1" a="1"/>
  <c r="Q547" i="1" s="1"/>
  <c r="R547" i="1" a="1"/>
  <c r="R547" i="1"/>
  <c r="S547" i="1" a="1"/>
  <c r="S547" i="1" s="1"/>
  <c r="P548" i="1" a="1"/>
  <c r="P548" i="1" s="1"/>
  <c r="Q548" i="1" a="1"/>
  <c r="Q548" i="1" s="1"/>
  <c r="R548" i="1" a="1"/>
  <c r="R548" i="1"/>
  <c r="S548" i="1" a="1"/>
  <c r="S548" i="1" s="1"/>
  <c r="P549" i="1" a="1"/>
  <c r="P549" i="1" s="1"/>
  <c r="Q549" i="1" a="1"/>
  <c r="Q549" i="1" s="1"/>
  <c r="R549" i="1" a="1"/>
  <c r="R549" i="1"/>
  <c r="S549" i="1" a="1"/>
  <c r="S549" i="1" s="1"/>
  <c r="P550" i="1" a="1"/>
  <c r="P550" i="1" s="1"/>
  <c r="Q550" i="1" a="1"/>
  <c r="Q550" i="1" s="1"/>
  <c r="R550" i="1" a="1"/>
  <c r="R550" i="1"/>
  <c r="S550" i="1" a="1"/>
  <c r="S550" i="1" s="1"/>
  <c r="P551" i="1" a="1"/>
  <c r="P551" i="1" s="1"/>
  <c r="Q551" i="1" a="1"/>
  <c r="Q551" i="1"/>
  <c r="R551" i="1" a="1"/>
  <c r="R551" i="1" s="1"/>
  <c r="S551" i="1" a="1"/>
  <c r="S551" i="1"/>
  <c r="P552" i="1" a="1"/>
  <c r="P552" i="1" s="1"/>
  <c r="Q552" i="1" a="1"/>
  <c r="Q552" i="1"/>
  <c r="R552" i="1" a="1"/>
  <c r="R552" i="1" s="1"/>
  <c r="S552" i="1" a="1"/>
  <c r="S552" i="1"/>
  <c r="P553" i="1" a="1"/>
  <c r="P553" i="1" s="1"/>
  <c r="Q553" i="1" a="1"/>
  <c r="Q553" i="1" s="1"/>
  <c r="R553" i="1" a="1"/>
  <c r="R553" i="1" s="1"/>
  <c r="S553" i="1" a="1"/>
  <c r="S553" i="1"/>
  <c r="P554" i="1" a="1"/>
  <c r="P554" i="1" s="1"/>
  <c r="Q554" i="1" a="1"/>
  <c r="Q554" i="1"/>
  <c r="R554" i="1" a="1"/>
  <c r="R554" i="1" s="1"/>
  <c r="S554" i="1" a="1"/>
  <c r="S554" i="1"/>
  <c r="P555" i="1" a="1"/>
  <c r="P555" i="1"/>
  <c r="Q555" i="1" a="1"/>
  <c r="Q555" i="1" s="1"/>
  <c r="R555" i="1" a="1"/>
  <c r="R555" i="1"/>
  <c r="S555" i="1" a="1"/>
  <c r="S555" i="1" s="1"/>
  <c r="P556" i="1" a="1"/>
  <c r="P556" i="1" s="1"/>
  <c r="Q556" i="1" a="1"/>
  <c r="Q556" i="1" s="1"/>
  <c r="R556" i="1" a="1"/>
  <c r="R556" i="1"/>
  <c r="S556" i="1" a="1"/>
  <c r="S556" i="1" s="1"/>
  <c r="P557" i="1" a="1"/>
  <c r="P557" i="1"/>
  <c r="Q557" i="1" a="1"/>
  <c r="Q557" i="1" s="1"/>
  <c r="R557" i="1" a="1"/>
  <c r="R557" i="1" s="1"/>
  <c r="S557" i="1" a="1"/>
  <c r="S557" i="1" s="1"/>
  <c r="P558" i="1" a="1"/>
  <c r="P558" i="1" s="1"/>
  <c r="Q558" i="1" a="1"/>
  <c r="Q558" i="1" s="1"/>
  <c r="R558" i="1" a="1"/>
  <c r="R558" i="1"/>
  <c r="S558" i="1" a="1"/>
  <c r="S558" i="1" s="1"/>
  <c r="P559" i="1" a="1"/>
  <c r="P559" i="1"/>
  <c r="Q559" i="1" a="1"/>
  <c r="Q559" i="1"/>
  <c r="R559" i="1" a="1"/>
  <c r="R559" i="1" s="1"/>
  <c r="S559" i="1" a="1"/>
  <c r="S559" i="1"/>
  <c r="P560" i="1" a="1"/>
  <c r="P560" i="1" s="1"/>
  <c r="Q560" i="1" a="1"/>
  <c r="Q560" i="1"/>
  <c r="R560" i="1" a="1"/>
  <c r="R560" i="1" s="1"/>
  <c r="S560" i="1" a="1"/>
  <c r="S560" i="1" s="1"/>
  <c r="P561" i="1" a="1"/>
  <c r="P561" i="1" s="1"/>
  <c r="Q561" i="1" a="1"/>
  <c r="Q561" i="1" s="1"/>
  <c r="R561" i="1" a="1"/>
  <c r="R561" i="1" s="1"/>
  <c r="S561" i="1" a="1"/>
  <c r="S561" i="1" s="1"/>
  <c r="P562" i="1" a="1"/>
  <c r="P562" i="1" s="1"/>
  <c r="Q562" i="1" a="1"/>
  <c r="Q562" i="1" s="1"/>
  <c r="R562" i="1" a="1"/>
  <c r="R562" i="1"/>
  <c r="S562" i="1" a="1"/>
  <c r="S562" i="1" s="1"/>
  <c r="P563" i="1" a="1"/>
  <c r="P563" i="1" s="1"/>
  <c r="Q563" i="1" a="1"/>
  <c r="Q563" i="1"/>
  <c r="R563" i="1" a="1"/>
  <c r="R563" i="1" s="1"/>
  <c r="S563" i="1" a="1"/>
  <c r="S563" i="1" s="1"/>
  <c r="P564" i="1" a="1"/>
  <c r="P564" i="1" s="1"/>
  <c r="Q564" i="1" a="1"/>
  <c r="Q564" i="1" s="1"/>
  <c r="R564" i="1" a="1"/>
  <c r="R564" i="1"/>
  <c r="S564" i="1" a="1"/>
  <c r="S564" i="1" s="1"/>
  <c r="P565" i="1" a="1"/>
  <c r="P565" i="1"/>
  <c r="Q565" i="1" a="1"/>
  <c r="Q565" i="1" s="1"/>
  <c r="R565" i="1" a="1"/>
  <c r="R565" i="1" s="1"/>
  <c r="S565" i="1" a="1"/>
  <c r="S565" i="1" s="1"/>
  <c r="P566" i="1" a="1"/>
  <c r="P566" i="1" s="1"/>
  <c r="Q566" i="1" a="1"/>
  <c r="Q566" i="1"/>
  <c r="R566" i="1" a="1"/>
  <c r="R566" i="1" s="1"/>
  <c r="S566" i="1" a="1"/>
  <c r="S566" i="1"/>
  <c r="P567" i="1" a="1"/>
  <c r="P567" i="1"/>
  <c r="Q567" i="1" a="1"/>
  <c r="Q567" i="1" s="1"/>
  <c r="R567" i="1" a="1"/>
  <c r="R567" i="1"/>
  <c r="S567" i="1" a="1"/>
  <c r="S567" i="1"/>
  <c r="P568" i="1" a="1"/>
  <c r="P568" i="1" s="1"/>
  <c r="Q568" i="1" a="1"/>
  <c r="Q568" i="1"/>
  <c r="R568" i="1" a="1"/>
  <c r="R568" i="1" s="1"/>
  <c r="S568" i="1" a="1"/>
  <c r="S568" i="1"/>
  <c r="P569" i="1" a="1"/>
  <c r="P569" i="1" s="1"/>
  <c r="Q569" i="1" a="1"/>
  <c r="Q569" i="1"/>
  <c r="R569" i="1" a="1"/>
  <c r="R569" i="1" s="1"/>
  <c r="S569" i="1" a="1"/>
  <c r="S569" i="1"/>
  <c r="P570" i="1" a="1"/>
  <c r="P570" i="1" s="1"/>
  <c r="Q570" i="1" a="1"/>
  <c r="Q570" i="1" s="1"/>
  <c r="R570" i="1" a="1"/>
  <c r="R570" i="1"/>
  <c r="S570" i="1" a="1"/>
  <c r="S570" i="1" s="1"/>
  <c r="P571" i="1" a="1"/>
  <c r="P571" i="1"/>
  <c r="Q571" i="1" a="1"/>
  <c r="Q571" i="1"/>
  <c r="R571" i="1" a="1"/>
  <c r="R571" i="1" s="1"/>
  <c r="S571" i="1" a="1"/>
  <c r="S571" i="1"/>
  <c r="P572" i="1" a="1"/>
  <c r="P572" i="1" s="1"/>
  <c r="Q572" i="1" a="1"/>
  <c r="Q572" i="1" s="1"/>
  <c r="R572" i="1" a="1"/>
  <c r="R572" i="1"/>
  <c r="S572" i="1" a="1"/>
  <c r="S572" i="1" s="1"/>
  <c r="P573" i="1" a="1"/>
  <c r="P573" i="1"/>
  <c r="Q573" i="1" a="1"/>
  <c r="Q573" i="1" s="1"/>
  <c r="R573" i="1" a="1"/>
  <c r="R573" i="1" s="1"/>
  <c r="S573" i="1" a="1"/>
  <c r="S573" i="1" s="1"/>
  <c r="P574" i="1" a="1"/>
  <c r="P574" i="1" s="1"/>
  <c r="Q574" i="1" a="1"/>
  <c r="Q574" i="1"/>
  <c r="R574" i="1" a="1"/>
  <c r="R574" i="1" s="1"/>
  <c r="S574" i="1" a="1"/>
  <c r="S574" i="1"/>
  <c r="P575" i="1" a="1"/>
  <c r="P575" i="1" s="1"/>
  <c r="Q575" i="1" a="1"/>
  <c r="Q575" i="1"/>
  <c r="R575" i="1" a="1"/>
  <c r="R575" i="1"/>
  <c r="S575" i="1" a="1"/>
  <c r="S575" i="1" s="1"/>
  <c r="P576" i="1" a="1"/>
  <c r="P576" i="1" s="1"/>
  <c r="Q576" i="1" a="1"/>
  <c r="Q576" i="1" s="1"/>
  <c r="R576" i="1" a="1"/>
  <c r="R576" i="1" s="1"/>
  <c r="S576" i="1" a="1"/>
  <c r="S576" i="1"/>
  <c r="P577" i="1" a="1"/>
  <c r="P577" i="1" s="1"/>
  <c r="Q577" i="1" a="1"/>
  <c r="Q577" i="1"/>
  <c r="R577" i="1" a="1"/>
  <c r="R577" i="1" s="1"/>
  <c r="S577" i="1" a="1"/>
  <c r="S577" i="1"/>
  <c r="P578" i="1" a="1"/>
  <c r="P578" i="1" s="1"/>
  <c r="Q578" i="1" a="1"/>
  <c r="Q578" i="1"/>
  <c r="R578" i="1" a="1"/>
  <c r="R578" i="1"/>
  <c r="S578" i="1" a="1"/>
  <c r="S578" i="1" s="1"/>
  <c r="P579" i="1" a="1"/>
  <c r="P579" i="1"/>
  <c r="Q579" i="1" a="1"/>
  <c r="Q579" i="1" s="1"/>
  <c r="R579" i="1" a="1"/>
  <c r="R579" i="1"/>
  <c r="S579" i="1" a="1"/>
  <c r="S579" i="1"/>
  <c r="P580" i="1" a="1"/>
  <c r="P580" i="1" s="1"/>
  <c r="Q580" i="1" a="1"/>
  <c r="Q580" i="1" s="1"/>
  <c r="R580" i="1" a="1"/>
  <c r="R580" i="1"/>
  <c r="S580" i="1" a="1"/>
  <c r="S580" i="1" s="1"/>
  <c r="P581" i="1" a="1"/>
  <c r="P581" i="1"/>
  <c r="Q581" i="1" a="1"/>
  <c r="Q581" i="1" s="1"/>
  <c r="R581" i="1" a="1"/>
  <c r="R581" i="1" s="1"/>
  <c r="S581" i="1" a="1"/>
  <c r="S581" i="1" s="1"/>
  <c r="P582" i="1" a="1"/>
  <c r="P582" i="1" s="1"/>
  <c r="Q582" i="1" a="1"/>
  <c r="Q582" i="1" s="1"/>
  <c r="R582" i="1" a="1"/>
  <c r="R582" i="1" s="1"/>
  <c r="S582" i="1" a="1"/>
  <c r="S582" i="1" s="1"/>
  <c r="P583" i="1" a="1"/>
  <c r="P583" i="1" s="1"/>
  <c r="Q583" i="1" a="1"/>
  <c r="Q583" i="1"/>
  <c r="R583" i="1" a="1"/>
  <c r="R583" i="1" s="1"/>
  <c r="S583" i="1" a="1"/>
  <c r="S583" i="1"/>
  <c r="P584" i="1" a="1"/>
  <c r="P584" i="1" s="1"/>
  <c r="Q584" i="1" a="1"/>
  <c r="Q584" i="1" s="1"/>
  <c r="R584" i="1" a="1"/>
  <c r="R584" i="1" s="1"/>
  <c r="S584" i="1" a="1"/>
  <c r="S584" i="1"/>
  <c r="P585" i="1" a="1"/>
  <c r="P585" i="1" s="1"/>
  <c r="Q585" i="1" a="1"/>
  <c r="Q585" i="1"/>
  <c r="R585" i="1" a="1"/>
  <c r="R585" i="1" s="1"/>
  <c r="S585" i="1" a="1"/>
  <c r="S585" i="1"/>
  <c r="P586" i="1" a="1"/>
  <c r="P586" i="1" s="1"/>
  <c r="Q586" i="1" a="1"/>
  <c r="Q586" i="1"/>
  <c r="R586" i="1" a="1"/>
  <c r="R586" i="1" s="1"/>
  <c r="S586" i="1" a="1"/>
  <c r="S586" i="1"/>
  <c r="P587" i="1" a="1"/>
  <c r="P587" i="1"/>
  <c r="Q587" i="1" a="1"/>
  <c r="Q587" i="1" s="1"/>
  <c r="R587" i="1" a="1"/>
  <c r="R587" i="1"/>
  <c r="S587" i="1" a="1"/>
  <c r="S587" i="1" s="1"/>
  <c r="P588" i="1" a="1"/>
  <c r="P588" i="1" s="1"/>
  <c r="Q588" i="1" a="1"/>
  <c r="Q588" i="1" s="1"/>
  <c r="R588" i="1" a="1"/>
  <c r="R588" i="1"/>
  <c r="S588" i="1" a="1"/>
  <c r="S588" i="1" s="1"/>
  <c r="P589" i="1" a="1"/>
  <c r="P589" i="1"/>
  <c r="Q589" i="1" a="1"/>
  <c r="Q589" i="1" s="1"/>
  <c r="R589" i="1" a="1"/>
  <c r="R589" i="1"/>
  <c r="S589" i="1" a="1"/>
  <c r="S589" i="1" s="1"/>
  <c r="P590" i="1" a="1"/>
  <c r="P590" i="1" s="1"/>
  <c r="Q590" i="1" a="1"/>
  <c r="Q590" i="1"/>
  <c r="R590" i="1" a="1"/>
  <c r="R590" i="1" s="1"/>
  <c r="S590" i="1" a="1"/>
  <c r="S590" i="1" s="1"/>
  <c r="P591" i="1" a="1"/>
  <c r="P591" i="1" s="1"/>
  <c r="Q591" i="1" a="1"/>
  <c r="Q591" i="1"/>
  <c r="R591" i="1" a="1"/>
  <c r="R591" i="1" s="1"/>
  <c r="S591" i="1" a="1"/>
  <c r="S591" i="1"/>
  <c r="P592" i="1" a="1"/>
  <c r="P592" i="1" s="1"/>
  <c r="Q592" i="1" a="1"/>
  <c r="Q592" i="1" s="1"/>
  <c r="R592" i="1" a="1"/>
  <c r="R592" i="1" s="1"/>
  <c r="S592" i="1" a="1"/>
  <c r="S592" i="1"/>
  <c r="P593" i="1" a="1"/>
  <c r="P593" i="1" s="1"/>
  <c r="Q593" i="1" a="1"/>
  <c r="Q593" i="1"/>
  <c r="R593" i="1" a="1"/>
  <c r="R593" i="1" s="1"/>
  <c r="S593" i="1" a="1"/>
  <c r="S593" i="1"/>
  <c r="P594" i="1" a="1"/>
  <c r="P594" i="1" s="1"/>
  <c r="Q594" i="1" a="1"/>
  <c r="Q594" i="1"/>
  <c r="R594" i="1" a="1"/>
  <c r="R594" i="1" s="1"/>
  <c r="S594" i="1" a="1"/>
  <c r="S594" i="1"/>
  <c r="P595" i="1" a="1"/>
  <c r="P595" i="1" s="1"/>
  <c r="Q595" i="1" a="1"/>
  <c r="Q595" i="1"/>
  <c r="R595" i="1" a="1"/>
  <c r="R595" i="1" s="1"/>
  <c r="S595" i="1" a="1"/>
  <c r="S595" i="1" s="1"/>
  <c r="P596" i="1" a="1"/>
  <c r="P596" i="1" s="1"/>
  <c r="Q596" i="1" a="1"/>
  <c r="Q596" i="1"/>
  <c r="R596" i="1" a="1"/>
  <c r="R596" i="1" s="1"/>
  <c r="S596" i="1" a="1"/>
  <c r="S596" i="1"/>
  <c r="P597" i="1" a="1"/>
  <c r="P597" i="1" s="1"/>
  <c r="Q597" i="1" a="1"/>
  <c r="Q597" i="1"/>
  <c r="R597" i="1" a="1"/>
  <c r="R597" i="1" s="1"/>
  <c r="S597" i="1" a="1"/>
  <c r="S597" i="1" s="1"/>
  <c r="P598" i="1" a="1"/>
  <c r="P598" i="1" s="1"/>
  <c r="Q598" i="1" a="1"/>
  <c r="Q598" i="1"/>
  <c r="R598" i="1" a="1"/>
  <c r="R598" i="1" s="1"/>
  <c r="S598" i="1" a="1"/>
  <c r="S598" i="1" s="1"/>
  <c r="P599" i="1" a="1"/>
  <c r="P599" i="1" s="1"/>
  <c r="Q599" i="1" a="1"/>
  <c r="Q599" i="1" s="1"/>
  <c r="R599" i="1" a="1"/>
  <c r="R599" i="1" s="1"/>
  <c r="S599" i="1" a="1"/>
  <c r="S599" i="1" s="1"/>
  <c r="P600" i="1" a="1"/>
  <c r="P600" i="1" s="1"/>
  <c r="Q600" i="1" a="1"/>
  <c r="Q600" i="1"/>
  <c r="R600" i="1" a="1"/>
  <c r="R600" i="1" s="1"/>
  <c r="S600" i="1" a="1"/>
  <c r="S600" i="1" s="1"/>
  <c r="P601" i="1" a="1"/>
  <c r="P601" i="1" s="1"/>
  <c r="Q601" i="1" a="1"/>
  <c r="Q601" i="1"/>
  <c r="R601" i="1" a="1"/>
  <c r="R601" i="1" s="1"/>
  <c r="S601" i="1" a="1"/>
  <c r="S601" i="1" s="1"/>
  <c r="P602" i="1" a="1"/>
  <c r="P602" i="1" s="1"/>
  <c r="Q602" i="1" a="1"/>
  <c r="Q602" i="1" s="1"/>
  <c r="R602" i="1" a="1"/>
  <c r="R602" i="1" s="1"/>
  <c r="S602" i="1" a="1"/>
  <c r="S602" i="1" s="1"/>
  <c r="S2" i="1" a="1"/>
  <c r="S2" i="1" s="1"/>
  <c r="R2" i="1" a="1"/>
  <c r="R2" i="1"/>
  <c r="Q2" i="1" a="1"/>
  <c r="Q2" i="1" s="1"/>
  <c r="P2" i="1" a="1"/>
  <c r="P2" i="1" s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2" i="1"/>
  <c r="D38" i="6" l="1"/>
  <c r="C38" i="6"/>
  <c r="D12" i="6"/>
  <c r="C12" i="6"/>
  <c r="E603" i="1"/>
  <c r="E2" i="1"/>
  <c r="G2" i="1"/>
  <c r="E503" i="1"/>
  <c r="G503" i="1"/>
  <c r="E502" i="1"/>
  <c r="G502" i="1"/>
  <c r="E501" i="1"/>
  <c r="G501" i="1"/>
  <c r="E500" i="1"/>
  <c r="G500" i="1"/>
  <c r="E499" i="1"/>
  <c r="G499" i="1"/>
  <c r="E498" i="1"/>
  <c r="G498" i="1"/>
  <c r="E497" i="1"/>
  <c r="G497" i="1"/>
  <c r="E496" i="1"/>
  <c r="G496" i="1"/>
  <c r="E495" i="1"/>
  <c r="G495" i="1"/>
  <c r="E494" i="1"/>
  <c r="G494" i="1"/>
  <c r="E493" i="1"/>
  <c r="G493" i="1"/>
  <c r="E492" i="1"/>
  <c r="G492" i="1"/>
  <c r="E491" i="1"/>
  <c r="G491" i="1"/>
  <c r="E490" i="1"/>
  <c r="G490" i="1"/>
  <c r="E489" i="1"/>
  <c r="G489" i="1"/>
  <c r="E488" i="1"/>
  <c r="G488" i="1"/>
  <c r="E487" i="1"/>
  <c r="G487" i="1"/>
  <c r="E486" i="1"/>
  <c r="G486" i="1"/>
  <c r="E485" i="1"/>
  <c r="G485" i="1"/>
  <c r="E484" i="1"/>
  <c r="G484" i="1"/>
  <c r="E483" i="1"/>
  <c r="G483" i="1"/>
  <c r="E482" i="1"/>
  <c r="G482" i="1"/>
  <c r="E481" i="1"/>
  <c r="G481" i="1"/>
  <c r="E480" i="1"/>
  <c r="G480" i="1"/>
  <c r="E479" i="1"/>
  <c r="G479" i="1"/>
  <c r="E478" i="1"/>
  <c r="G478" i="1"/>
  <c r="E477" i="1"/>
  <c r="G477" i="1"/>
  <c r="E476" i="1"/>
  <c r="G476" i="1"/>
  <c r="E475" i="1"/>
  <c r="G475" i="1"/>
  <c r="E474" i="1"/>
  <c r="G474" i="1"/>
  <c r="E473" i="1"/>
  <c r="G473" i="1"/>
  <c r="E472" i="1"/>
  <c r="G472" i="1"/>
  <c r="E471" i="1"/>
  <c r="G471" i="1"/>
  <c r="E470" i="1"/>
  <c r="G470" i="1"/>
  <c r="E469" i="1"/>
  <c r="G469" i="1"/>
  <c r="E468" i="1"/>
  <c r="G468" i="1"/>
  <c r="E467" i="1"/>
  <c r="G467" i="1"/>
  <c r="E466" i="1"/>
  <c r="G466" i="1"/>
  <c r="E465" i="1"/>
  <c r="G465" i="1"/>
  <c r="E464" i="1"/>
  <c r="G464" i="1"/>
  <c r="E463" i="1"/>
  <c r="G463" i="1"/>
  <c r="E462" i="1"/>
  <c r="G462" i="1"/>
  <c r="E461" i="1"/>
  <c r="G461" i="1"/>
  <c r="E460" i="1"/>
  <c r="G460" i="1"/>
  <c r="E459" i="1"/>
  <c r="G459" i="1"/>
  <c r="E458" i="1"/>
  <c r="G458" i="1"/>
  <c r="E457" i="1"/>
  <c r="G457" i="1"/>
  <c r="E456" i="1"/>
  <c r="G456" i="1"/>
  <c r="E455" i="1"/>
  <c r="G455" i="1"/>
  <c r="E454" i="1"/>
  <c r="G454" i="1"/>
  <c r="E453" i="1"/>
  <c r="G453" i="1"/>
  <c r="E452" i="1"/>
  <c r="G452" i="1"/>
  <c r="E451" i="1"/>
  <c r="G451" i="1"/>
  <c r="E450" i="1"/>
  <c r="G450" i="1"/>
  <c r="E449" i="1"/>
  <c r="G449" i="1"/>
  <c r="E448" i="1"/>
  <c r="G448" i="1"/>
  <c r="E447" i="1"/>
  <c r="G447" i="1"/>
  <c r="E446" i="1"/>
  <c r="G446" i="1"/>
  <c r="E445" i="1"/>
  <c r="G445" i="1"/>
  <c r="E444" i="1"/>
  <c r="G444" i="1"/>
  <c r="E443" i="1"/>
  <c r="G443" i="1"/>
  <c r="E442" i="1"/>
  <c r="G442" i="1"/>
  <c r="E441" i="1"/>
  <c r="G441" i="1"/>
  <c r="E440" i="1"/>
  <c r="G440" i="1"/>
  <c r="E439" i="1"/>
  <c r="G439" i="1"/>
  <c r="E438" i="1"/>
  <c r="G438" i="1"/>
  <c r="E437" i="1"/>
  <c r="G437" i="1"/>
  <c r="E436" i="1"/>
  <c r="G436" i="1"/>
  <c r="E435" i="1"/>
  <c r="G435" i="1"/>
  <c r="E434" i="1"/>
  <c r="G434" i="1"/>
  <c r="E433" i="1"/>
  <c r="G433" i="1"/>
  <c r="E432" i="1"/>
  <c r="G432" i="1"/>
  <c r="E431" i="1"/>
  <c r="G431" i="1"/>
  <c r="E430" i="1"/>
  <c r="G430" i="1"/>
  <c r="E429" i="1"/>
  <c r="G429" i="1"/>
  <c r="E428" i="1"/>
  <c r="G428" i="1"/>
  <c r="E427" i="1"/>
  <c r="G427" i="1"/>
  <c r="E426" i="1"/>
  <c r="G426" i="1"/>
  <c r="E425" i="1"/>
  <c r="G425" i="1"/>
  <c r="E424" i="1"/>
  <c r="G424" i="1"/>
  <c r="E423" i="1"/>
  <c r="G423" i="1"/>
  <c r="E422" i="1"/>
  <c r="G422" i="1"/>
  <c r="E421" i="1"/>
  <c r="G421" i="1"/>
  <c r="E420" i="1"/>
  <c r="G420" i="1"/>
  <c r="E419" i="1"/>
  <c r="G419" i="1"/>
  <c r="E418" i="1"/>
  <c r="G418" i="1"/>
  <c r="E417" i="1"/>
  <c r="G417" i="1"/>
  <c r="E416" i="1"/>
  <c r="G416" i="1"/>
  <c r="E415" i="1"/>
  <c r="G415" i="1"/>
  <c r="E414" i="1"/>
  <c r="G414" i="1"/>
  <c r="E413" i="1"/>
  <c r="G413" i="1"/>
  <c r="E412" i="1"/>
  <c r="G412" i="1"/>
  <c r="E411" i="1"/>
  <c r="G411" i="1"/>
  <c r="E410" i="1"/>
  <c r="G410" i="1"/>
  <c r="E409" i="1"/>
  <c r="G409" i="1"/>
  <c r="E408" i="1"/>
  <c r="G408" i="1"/>
  <c r="E407" i="1"/>
  <c r="G407" i="1"/>
  <c r="E406" i="1"/>
  <c r="G406" i="1"/>
  <c r="E405" i="1"/>
  <c r="G405" i="1"/>
  <c r="E404" i="1"/>
  <c r="G404" i="1"/>
  <c r="E403" i="1"/>
  <c r="G403" i="1"/>
  <c r="E402" i="1"/>
  <c r="G402" i="1"/>
  <c r="E401" i="1"/>
  <c r="G401" i="1"/>
  <c r="E400" i="1"/>
  <c r="G400" i="1"/>
  <c r="E399" i="1"/>
  <c r="G399" i="1"/>
  <c r="E398" i="1"/>
  <c r="G398" i="1"/>
  <c r="E397" i="1"/>
  <c r="G397" i="1"/>
  <c r="E396" i="1"/>
  <c r="G396" i="1"/>
  <c r="E395" i="1"/>
  <c r="G395" i="1"/>
  <c r="E394" i="1"/>
  <c r="G394" i="1"/>
  <c r="E393" i="1"/>
  <c r="G393" i="1"/>
  <c r="E392" i="1"/>
  <c r="G392" i="1"/>
  <c r="E391" i="1"/>
  <c r="G391" i="1"/>
  <c r="E390" i="1"/>
  <c r="G390" i="1"/>
  <c r="E389" i="1"/>
  <c r="G389" i="1"/>
  <c r="E388" i="1"/>
  <c r="G388" i="1"/>
  <c r="E387" i="1"/>
  <c r="G387" i="1"/>
  <c r="E386" i="1"/>
  <c r="G386" i="1"/>
  <c r="E385" i="1"/>
  <c r="G385" i="1"/>
  <c r="E384" i="1"/>
  <c r="G384" i="1"/>
  <c r="E383" i="1"/>
  <c r="G383" i="1"/>
  <c r="E382" i="1"/>
  <c r="G382" i="1"/>
  <c r="E381" i="1"/>
  <c r="G381" i="1"/>
  <c r="E380" i="1"/>
  <c r="G380" i="1"/>
  <c r="E379" i="1"/>
  <c r="G379" i="1"/>
  <c r="E378" i="1"/>
  <c r="G378" i="1"/>
  <c r="E377" i="1"/>
  <c r="G377" i="1"/>
  <c r="E376" i="1"/>
  <c r="G376" i="1"/>
  <c r="E375" i="1"/>
  <c r="G375" i="1"/>
  <c r="E374" i="1"/>
  <c r="G374" i="1"/>
  <c r="E373" i="1"/>
  <c r="G373" i="1"/>
  <c r="E372" i="1"/>
  <c r="G372" i="1"/>
  <c r="E371" i="1"/>
  <c r="G371" i="1"/>
  <c r="E370" i="1"/>
  <c r="G370" i="1"/>
  <c r="E369" i="1"/>
  <c r="G369" i="1"/>
  <c r="E368" i="1"/>
  <c r="G368" i="1"/>
  <c r="E367" i="1"/>
  <c r="G367" i="1"/>
  <c r="E366" i="1"/>
  <c r="G366" i="1"/>
  <c r="E365" i="1"/>
  <c r="G365" i="1"/>
  <c r="E364" i="1"/>
  <c r="G364" i="1"/>
  <c r="E363" i="1"/>
  <c r="G363" i="1"/>
  <c r="E362" i="1"/>
  <c r="G362" i="1"/>
  <c r="E361" i="1"/>
  <c r="G361" i="1"/>
  <c r="E360" i="1"/>
  <c r="G360" i="1"/>
  <c r="E359" i="1"/>
  <c r="G359" i="1"/>
  <c r="E358" i="1"/>
  <c r="G358" i="1"/>
  <c r="E357" i="1"/>
  <c r="G357" i="1"/>
  <c r="E356" i="1"/>
  <c r="G356" i="1"/>
  <c r="E355" i="1"/>
  <c r="G355" i="1"/>
  <c r="E354" i="1"/>
  <c r="G354" i="1"/>
  <c r="E353" i="1"/>
  <c r="G353" i="1"/>
  <c r="E352" i="1"/>
  <c r="G352" i="1"/>
  <c r="E351" i="1"/>
  <c r="G351" i="1"/>
  <c r="E350" i="1"/>
  <c r="G350" i="1"/>
  <c r="E349" i="1"/>
  <c r="G349" i="1"/>
  <c r="E348" i="1"/>
  <c r="G348" i="1"/>
  <c r="E347" i="1"/>
  <c r="G347" i="1"/>
  <c r="E346" i="1"/>
  <c r="G346" i="1"/>
  <c r="E345" i="1"/>
  <c r="G345" i="1"/>
  <c r="E344" i="1"/>
  <c r="G344" i="1"/>
  <c r="E343" i="1"/>
  <c r="G343" i="1"/>
  <c r="E342" i="1"/>
  <c r="G342" i="1"/>
  <c r="E341" i="1"/>
  <c r="G341" i="1"/>
  <c r="E340" i="1"/>
  <c r="G340" i="1"/>
  <c r="E339" i="1"/>
  <c r="G339" i="1"/>
  <c r="E338" i="1"/>
  <c r="G338" i="1"/>
  <c r="E337" i="1"/>
  <c r="G337" i="1"/>
  <c r="E336" i="1"/>
  <c r="G336" i="1"/>
  <c r="E335" i="1"/>
  <c r="G335" i="1"/>
  <c r="E334" i="1"/>
  <c r="G334" i="1"/>
  <c r="E333" i="1"/>
  <c r="G333" i="1"/>
  <c r="E332" i="1"/>
  <c r="G332" i="1"/>
  <c r="E331" i="1"/>
  <c r="G331" i="1"/>
  <c r="E330" i="1"/>
  <c r="G330" i="1"/>
  <c r="E329" i="1"/>
  <c r="G329" i="1"/>
  <c r="E328" i="1"/>
  <c r="G328" i="1"/>
  <c r="E327" i="1"/>
  <c r="G327" i="1"/>
  <c r="E326" i="1"/>
  <c r="G326" i="1"/>
  <c r="E325" i="1"/>
  <c r="G325" i="1"/>
  <c r="E324" i="1"/>
  <c r="G324" i="1"/>
  <c r="E323" i="1"/>
  <c r="G323" i="1"/>
  <c r="E322" i="1"/>
  <c r="G322" i="1"/>
  <c r="E321" i="1"/>
  <c r="G321" i="1"/>
  <c r="E320" i="1"/>
  <c r="G320" i="1"/>
  <c r="E319" i="1"/>
  <c r="G319" i="1"/>
  <c r="E318" i="1"/>
  <c r="G318" i="1"/>
  <c r="E317" i="1"/>
  <c r="G317" i="1"/>
  <c r="E316" i="1"/>
  <c r="G316" i="1"/>
  <c r="E315" i="1"/>
  <c r="G315" i="1"/>
  <c r="E314" i="1"/>
  <c r="G314" i="1"/>
  <c r="E313" i="1"/>
  <c r="G313" i="1"/>
  <c r="E312" i="1"/>
  <c r="G312" i="1"/>
  <c r="E311" i="1"/>
  <c r="G311" i="1"/>
  <c r="E310" i="1"/>
  <c r="G310" i="1"/>
  <c r="E309" i="1"/>
  <c r="G309" i="1"/>
  <c r="E308" i="1"/>
  <c r="G308" i="1"/>
  <c r="E307" i="1"/>
  <c r="G307" i="1"/>
  <c r="E306" i="1"/>
  <c r="G306" i="1"/>
  <c r="E305" i="1"/>
  <c r="G305" i="1"/>
  <c r="E304" i="1"/>
  <c r="G304" i="1"/>
  <c r="E303" i="1"/>
  <c r="G303" i="1"/>
  <c r="E302" i="1"/>
  <c r="G302" i="1"/>
  <c r="E301" i="1"/>
  <c r="G301" i="1"/>
  <c r="E300" i="1"/>
  <c r="G300" i="1"/>
  <c r="E299" i="1"/>
  <c r="G299" i="1"/>
  <c r="E298" i="1"/>
  <c r="G298" i="1"/>
  <c r="E297" i="1"/>
  <c r="G297" i="1"/>
  <c r="E296" i="1"/>
  <c r="G296" i="1"/>
  <c r="E295" i="1"/>
  <c r="G295" i="1"/>
  <c r="E294" i="1"/>
  <c r="G294" i="1"/>
  <c r="E293" i="1"/>
  <c r="G293" i="1"/>
  <c r="E292" i="1"/>
  <c r="G292" i="1"/>
  <c r="E291" i="1"/>
  <c r="G291" i="1"/>
  <c r="E290" i="1"/>
  <c r="G290" i="1"/>
  <c r="E289" i="1"/>
  <c r="G289" i="1"/>
  <c r="E288" i="1"/>
  <c r="G288" i="1"/>
  <c r="E287" i="1"/>
  <c r="G287" i="1"/>
  <c r="E286" i="1"/>
  <c r="G286" i="1"/>
  <c r="E285" i="1"/>
  <c r="G285" i="1"/>
  <c r="E284" i="1"/>
  <c r="G284" i="1"/>
  <c r="E283" i="1"/>
  <c r="G283" i="1"/>
  <c r="E282" i="1"/>
  <c r="G282" i="1"/>
  <c r="E281" i="1"/>
  <c r="G281" i="1"/>
  <c r="E280" i="1"/>
  <c r="G280" i="1"/>
  <c r="E279" i="1"/>
  <c r="G279" i="1"/>
  <c r="E278" i="1"/>
  <c r="G278" i="1"/>
  <c r="E277" i="1"/>
  <c r="G277" i="1"/>
  <c r="E276" i="1"/>
  <c r="G276" i="1"/>
  <c r="E275" i="1"/>
  <c r="G275" i="1"/>
  <c r="E274" i="1"/>
  <c r="G274" i="1"/>
  <c r="E273" i="1"/>
  <c r="G273" i="1"/>
  <c r="E272" i="1"/>
  <c r="G272" i="1"/>
  <c r="E271" i="1"/>
  <c r="G271" i="1"/>
  <c r="E270" i="1"/>
  <c r="G270" i="1"/>
  <c r="E269" i="1"/>
  <c r="G269" i="1"/>
  <c r="E268" i="1"/>
  <c r="G268" i="1"/>
  <c r="E267" i="1"/>
  <c r="G267" i="1"/>
  <c r="E266" i="1"/>
  <c r="G266" i="1"/>
  <c r="E265" i="1"/>
  <c r="G265" i="1"/>
  <c r="E264" i="1"/>
  <c r="G264" i="1"/>
  <c r="E263" i="1"/>
  <c r="G263" i="1"/>
  <c r="E262" i="1"/>
  <c r="G262" i="1"/>
  <c r="E261" i="1"/>
  <c r="G261" i="1"/>
  <c r="E260" i="1"/>
  <c r="G260" i="1"/>
  <c r="E259" i="1"/>
  <c r="G259" i="1"/>
  <c r="E258" i="1"/>
  <c r="G258" i="1"/>
  <c r="E257" i="1"/>
  <c r="G257" i="1"/>
  <c r="E256" i="1"/>
  <c r="G256" i="1"/>
  <c r="E255" i="1"/>
  <c r="G255" i="1"/>
  <c r="E254" i="1"/>
  <c r="G254" i="1"/>
  <c r="E253" i="1"/>
  <c r="G253" i="1"/>
  <c r="E252" i="1"/>
  <c r="G252" i="1"/>
  <c r="E251" i="1"/>
  <c r="G251" i="1"/>
  <c r="E250" i="1"/>
  <c r="G250" i="1"/>
  <c r="E249" i="1"/>
  <c r="G249" i="1"/>
  <c r="E248" i="1"/>
  <c r="G248" i="1"/>
  <c r="E247" i="1"/>
  <c r="G247" i="1"/>
  <c r="E246" i="1"/>
  <c r="G246" i="1"/>
  <c r="E245" i="1"/>
  <c r="G245" i="1"/>
  <c r="E244" i="1"/>
  <c r="G244" i="1"/>
  <c r="E243" i="1"/>
  <c r="G243" i="1"/>
  <c r="E242" i="1"/>
  <c r="G242" i="1"/>
  <c r="E241" i="1"/>
  <c r="G241" i="1"/>
  <c r="E240" i="1"/>
  <c r="G240" i="1"/>
  <c r="E239" i="1"/>
  <c r="G239" i="1"/>
  <c r="E238" i="1"/>
  <c r="G238" i="1"/>
  <c r="E237" i="1"/>
  <c r="G237" i="1"/>
  <c r="E236" i="1"/>
  <c r="G236" i="1"/>
  <c r="E235" i="1"/>
  <c r="G235" i="1"/>
  <c r="E234" i="1"/>
  <c r="G234" i="1"/>
  <c r="E233" i="1"/>
  <c r="G233" i="1"/>
  <c r="E232" i="1"/>
  <c r="G232" i="1"/>
  <c r="E231" i="1"/>
  <c r="G231" i="1"/>
  <c r="E230" i="1"/>
  <c r="G230" i="1"/>
  <c r="E229" i="1"/>
  <c r="G229" i="1"/>
  <c r="E228" i="1"/>
  <c r="G228" i="1"/>
  <c r="E227" i="1"/>
  <c r="G227" i="1"/>
  <c r="E226" i="1"/>
  <c r="G226" i="1"/>
  <c r="E225" i="1"/>
  <c r="G225" i="1"/>
  <c r="E224" i="1"/>
  <c r="G224" i="1"/>
  <c r="E223" i="1"/>
  <c r="G223" i="1"/>
  <c r="E222" i="1"/>
  <c r="G222" i="1"/>
  <c r="E221" i="1"/>
  <c r="G221" i="1"/>
  <c r="E220" i="1"/>
  <c r="G220" i="1"/>
  <c r="E219" i="1"/>
  <c r="G219" i="1"/>
  <c r="E218" i="1"/>
  <c r="G218" i="1"/>
  <c r="E217" i="1"/>
  <c r="G217" i="1"/>
  <c r="E216" i="1"/>
  <c r="G216" i="1"/>
  <c r="E215" i="1"/>
  <c r="G215" i="1"/>
  <c r="E214" i="1"/>
  <c r="G214" i="1"/>
  <c r="E213" i="1"/>
  <c r="G213" i="1"/>
  <c r="E212" i="1"/>
  <c r="G212" i="1"/>
  <c r="E211" i="1"/>
  <c r="G211" i="1"/>
  <c r="E210" i="1"/>
  <c r="G210" i="1"/>
  <c r="E209" i="1"/>
  <c r="G209" i="1"/>
  <c r="E208" i="1"/>
  <c r="G208" i="1"/>
  <c r="E207" i="1"/>
  <c r="G207" i="1"/>
  <c r="E206" i="1"/>
  <c r="G206" i="1"/>
  <c r="E205" i="1"/>
  <c r="G205" i="1"/>
  <c r="E204" i="1"/>
  <c r="G204" i="1"/>
  <c r="E203" i="1"/>
  <c r="G203" i="1"/>
  <c r="E202" i="1"/>
  <c r="G202" i="1"/>
  <c r="E201" i="1"/>
  <c r="G201" i="1"/>
  <c r="E200" i="1"/>
  <c r="G200" i="1"/>
  <c r="E199" i="1"/>
  <c r="G199" i="1"/>
  <c r="E198" i="1"/>
  <c r="G198" i="1"/>
  <c r="E197" i="1"/>
  <c r="G197" i="1"/>
  <c r="E196" i="1"/>
  <c r="G196" i="1"/>
  <c r="E195" i="1"/>
  <c r="G195" i="1"/>
  <c r="E194" i="1"/>
  <c r="G194" i="1"/>
  <c r="E193" i="1"/>
  <c r="G193" i="1"/>
  <c r="E192" i="1"/>
  <c r="G192" i="1"/>
  <c r="E191" i="1"/>
  <c r="G191" i="1"/>
  <c r="E190" i="1"/>
  <c r="G190" i="1"/>
  <c r="E189" i="1"/>
  <c r="G189" i="1"/>
  <c r="E188" i="1"/>
  <c r="G188" i="1"/>
  <c r="E187" i="1"/>
  <c r="G187" i="1"/>
  <c r="E186" i="1"/>
  <c r="G186" i="1"/>
  <c r="E185" i="1"/>
  <c r="G185" i="1"/>
  <c r="E184" i="1"/>
  <c r="G184" i="1"/>
  <c r="E183" i="1"/>
  <c r="G183" i="1"/>
  <c r="E182" i="1"/>
  <c r="G182" i="1"/>
  <c r="E181" i="1"/>
  <c r="G181" i="1"/>
  <c r="E180" i="1"/>
  <c r="G180" i="1"/>
  <c r="E179" i="1"/>
  <c r="G179" i="1"/>
  <c r="E178" i="1"/>
  <c r="G178" i="1"/>
  <c r="E177" i="1"/>
  <c r="G177" i="1"/>
  <c r="E176" i="1"/>
  <c r="G176" i="1"/>
  <c r="E175" i="1"/>
  <c r="G175" i="1"/>
  <c r="E174" i="1"/>
  <c r="G174" i="1"/>
  <c r="E173" i="1"/>
  <c r="G173" i="1"/>
  <c r="E172" i="1"/>
  <c r="G172" i="1"/>
  <c r="E171" i="1"/>
  <c r="G171" i="1"/>
  <c r="E170" i="1"/>
  <c r="G170" i="1"/>
  <c r="E169" i="1"/>
  <c r="G169" i="1"/>
  <c r="E168" i="1"/>
  <c r="G168" i="1"/>
  <c r="E167" i="1"/>
  <c r="G167" i="1"/>
  <c r="E166" i="1"/>
  <c r="G166" i="1"/>
  <c r="E165" i="1"/>
  <c r="G165" i="1"/>
  <c r="E164" i="1"/>
  <c r="G164" i="1"/>
  <c r="E163" i="1"/>
  <c r="G163" i="1"/>
  <c r="E162" i="1"/>
  <c r="G162" i="1"/>
  <c r="E161" i="1"/>
  <c r="G161" i="1"/>
  <c r="E160" i="1"/>
  <c r="G160" i="1"/>
  <c r="E159" i="1"/>
  <c r="G159" i="1"/>
  <c r="E158" i="1"/>
  <c r="G158" i="1"/>
  <c r="E157" i="1"/>
  <c r="G157" i="1"/>
  <c r="E156" i="1"/>
  <c r="G156" i="1"/>
  <c r="E155" i="1"/>
  <c r="G155" i="1"/>
  <c r="E154" i="1"/>
  <c r="G154" i="1"/>
  <c r="E153" i="1"/>
  <c r="G153" i="1"/>
  <c r="E152" i="1"/>
  <c r="G152" i="1"/>
  <c r="E151" i="1"/>
  <c r="G151" i="1"/>
  <c r="E150" i="1"/>
  <c r="G150" i="1"/>
  <c r="E149" i="1"/>
  <c r="G149" i="1"/>
  <c r="E148" i="1"/>
  <c r="G148" i="1"/>
  <c r="E147" i="1"/>
  <c r="G147" i="1"/>
  <c r="E146" i="1"/>
  <c r="G146" i="1"/>
  <c r="E145" i="1"/>
  <c r="G145" i="1"/>
  <c r="E144" i="1"/>
  <c r="G144" i="1"/>
  <c r="E143" i="1"/>
  <c r="G143" i="1"/>
  <c r="E142" i="1"/>
  <c r="G142" i="1"/>
  <c r="E141" i="1"/>
  <c r="G141" i="1"/>
  <c r="E140" i="1"/>
  <c r="G140" i="1"/>
  <c r="E139" i="1"/>
  <c r="G139" i="1"/>
  <c r="E138" i="1"/>
  <c r="G138" i="1"/>
  <c r="E137" i="1"/>
  <c r="G137" i="1"/>
  <c r="E136" i="1"/>
  <c r="G136" i="1"/>
  <c r="E135" i="1"/>
  <c r="G135" i="1"/>
  <c r="E134" i="1"/>
  <c r="G134" i="1"/>
  <c r="E133" i="1"/>
  <c r="G133" i="1"/>
  <c r="E132" i="1"/>
  <c r="G132" i="1"/>
  <c r="E131" i="1"/>
  <c r="G131" i="1"/>
  <c r="E130" i="1"/>
  <c r="G130" i="1"/>
  <c r="E129" i="1"/>
  <c r="G129" i="1"/>
  <c r="E128" i="1"/>
  <c r="G128" i="1"/>
  <c r="E127" i="1"/>
  <c r="G127" i="1"/>
  <c r="E126" i="1"/>
  <c r="G126" i="1"/>
  <c r="E125" i="1"/>
  <c r="G125" i="1"/>
  <c r="E124" i="1"/>
  <c r="G124" i="1"/>
  <c r="E123" i="1"/>
  <c r="G123" i="1"/>
  <c r="E122" i="1"/>
  <c r="G122" i="1"/>
  <c r="E121" i="1"/>
  <c r="G121" i="1"/>
  <c r="E120" i="1"/>
  <c r="G120" i="1"/>
  <c r="E119" i="1"/>
  <c r="G119" i="1"/>
  <c r="E118" i="1"/>
  <c r="G118" i="1"/>
  <c r="E117" i="1"/>
  <c r="G117" i="1"/>
  <c r="E116" i="1"/>
  <c r="G116" i="1"/>
  <c r="E115" i="1"/>
  <c r="G115" i="1"/>
  <c r="E114" i="1"/>
  <c r="G114" i="1"/>
  <c r="E113" i="1"/>
  <c r="G113" i="1"/>
  <c r="E112" i="1"/>
  <c r="G112" i="1"/>
  <c r="E111" i="1"/>
  <c r="G111" i="1"/>
  <c r="E110" i="1"/>
  <c r="G110" i="1"/>
  <c r="E109" i="1"/>
  <c r="G109" i="1"/>
  <c r="E108" i="1"/>
  <c r="G108" i="1"/>
  <c r="E107" i="1"/>
  <c r="G107" i="1"/>
  <c r="E106" i="1"/>
  <c r="G106" i="1"/>
  <c r="E105" i="1"/>
  <c r="G105" i="1"/>
  <c r="E104" i="1"/>
  <c r="G104" i="1"/>
  <c r="E103" i="1"/>
  <c r="G103" i="1"/>
  <c r="E102" i="1"/>
  <c r="G102" i="1"/>
  <c r="E101" i="1"/>
  <c r="G101" i="1"/>
  <c r="E100" i="1"/>
  <c r="G100" i="1"/>
  <c r="E99" i="1"/>
  <c r="G99" i="1"/>
  <c r="E98" i="1"/>
  <c r="G98" i="1"/>
  <c r="E97" i="1"/>
  <c r="G97" i="1"/>
  <c r="E96" i="1"/>
  <c r="G96" i="1"/>
  <c r="E95" i="1"/>
  <c r="G95" i="1"/>
  <c r="E94" i="1"/>
  <c r="G94" i="1"/>
  <c r="E93" i="1"/>
  <c r="G93" i="1"/>
  <c r="E92" i="1"/>
  <c r="G92" i="1"/>
  <c r="E91" i="1"/>
  <c r="G91" i="1"/>
  <c r="E90" i="1"/>
  <c r="G90" i="1"/>
  <c r="E89" i="1"/>
  <c r="G89" i="1"/>
  <c r="E88" i="1"/>
  <c r="G88" i="1"/>
  <c r="E87" i="1"/>
  <c r="G87" i="1"/>
  <c r="E86" i="1"/>
  <c r="G86" i="1"/>
  <c r="E85" i="1"/>
  <c r="G85" i="1"/>
  <c r="E84" i="1"/>
  <c r="G84" i="1"/>
  <c r="E83" i="1"/>
  <c r="G83" i="1"/>
  <c r="E82" i="1"/>
  <c r="G82" i="1"/>
  <c r="E81" i="1"/>
  <c r="G81" i="1"/>
  <c r="E80" i="1"/>
  <c r="G80" i="1"/>
  <c r="E79" i="1"/>
  <c r="G79" i="1"/>
  <c r="E78" i="1"/>
  <c r="G78" i="1"/>
  <c r="E77" i="1"/>
  <c r="G77" i="1"/>
  <c r="E76" i="1"/>
  <c r="G76" i="1"/>
  <c r="E75" i="1"/>
  <c r="G75" i="1"/>
  <c r="E74" i="1"/>
  <c r="G74" i="1"/>
  <c r="E73" i="1"/>
  <c r="G73" i="1"/>
  <c r="E72" i="1"/>
  <c r="G72" i="1"/>
  <c r="E71" i="1"/>
  <c r="G71" i="1"/>
  <c r="E70" i="1"/>
  <c r="G70" i="1"/>
  <c r="E69" i="1"/>
  <c r="G69" i="1"/>
  <c r="E68" i="1"/>
  <c r="G68" i="1"/>
  <c r="E67" i="1"/>
  <c r="G67" i="1"/>
  <c r="E66" i="1"/>
  <c r="G66" i="1"/>
  <c r="E65" i="1"/>
  <c r="G65" i="1"/>
  <c r="E64" i="1"/>
  <c r="G64" i="1"/>
  <c r="E63" i="1"/>
  <c r="G63" i="1"/>
  <c r="E62" i="1"/>
  <c r="G62" i="1"/>
  <c r="E61" i="1"/>
  <c r="G61" i="1"/>
  <c r="E60" i="1"/>
  <c r="G60" i="1"/>
  <c r="E59" i="1"/>
  <c r="G59" i="1"/>
  <c r="E58" i="1"/>
  <c r="G58" i="1"/>
  <c r="E57" i="1"/>
  <c r="G57" i="1"/>
  <c r="E56" i="1"/>
  <c r="G56" i="1"/>
  <c r="E55" i="1"/>
  <c r="G55" i="1"/>
  <c r="E54" i="1"/>
  <c r="G54" i="1"/>
  <c r="E53" i="1"/>
  <c r="G53" i="1"/>
  <c r="E52" i="1"/>
  <c r="G52" i="1"/>
  <c r="E51" i="1"/>
  <c r="G51" i="1"/>
  <c r="E50" i="1"/>
  <c r="G50" i="1"/>
  <c r="E49" i="1"/>
  <c r="G49" i="1"/>
  <c r="E48" i="1"/>
  <c r="G48" i="1"/>
  <c r="E47" i="1"/>
  <c r="G47" i="1"/>
  <c r="E46" i="1"/>
  <c r="G46" i="1"/>
  <c r="E45" i="1"/>
  <c r="G45" i="1"/>
  <c r="E44" i="1"/>
  <c r="G44" i="1"/>
  <c r="E43" i="1"/>
  <c r="G43" i="1"/>
  <c r="E42" i="1"/>
  <c r="G42" i="1"/>
  <c r="E41" i="1"/>
  <c r="G41" i="1"/>
  <c r="E40" i="1"/>
  <c r="G40" i="1"/>
  <c r="E39" i="1"/>
  <c r="G39" i="1"/>
  <c r="E38" i="1"/>
  <c r="G38" i="1"/>
  <c r="E37" i="1"/>
  <c r="G37" i="1"/>
  <c r="E36" i="1"/>
  <c r="G36" i="1"/>
  <c r="E35" i="1"/>
  <c r="G35" i="1"/>
  <c r="E34" i="1"/>
  <c r="G34" i="1"/>
  <c r="E33" i="1"/>
  <c r="G33" i="1"/>
  <c r="E32" i="1"/>
  <c r="G32" i="1"/>
  <c r="E31" i="1"/>
  <c r="G31" i="1"/>
  <c r="E30" i="1"/>
  <c r="G30" i="1"/>
  <c r="E29" i="1"/>
  <c r="G29" i="1"/>
  <c r="E28" i="1"/>
  <c r="G28" i="1"/>
  <c r="E27" i="1"/>
  <c r="G27" i="1"/>
  <c r="E26" i="1"/>
  <c r="G26" i="1"/>
  <c r="E25" i="1"/>
  <c r="G25" i="1"/>
  <c r="E24" i="1"/>
  <c r="G24" i="1"/>
  <c r="E23" i="1"/>
  <c r="G23" i="1"/>
  <c r="E22" i="1"/>
  <c r="G22" i="1"/>
  <c r="E21" i="1"/>
  <c r="G21" i="1"/>
  <c r="E20" i="1"/>
  <c r="G20" i="1"/>
  <c r="E19" i="1"/>
  <c r="G19" i="1"/>
  <c r="E18" i="1"/>
  <c r="G18" i="1"/>
  <c r="E17" i="1"/>
  <c r="G17" i="1"/>
  <c r="E16" i="1"/>
  <c r="G16" i="1"/>
  <c r="E15" i="1"/>
  <c r="G15" i="1"/>
  <c r="E14" i="1"/>
  <c r="G14" i="1"/>
  <c r="E13" i="1"/>
  <c r="G13" i="1"/>
  <c r="E12" i="1"/>
  <c r="G12" i="1"/>
  <c r="E11" i="1"/>
  <c r="G11" i="1"/>
  <c r="E10" i="1"/>
  <c r="G10" i="1"/>
  <c r="E9" i="1"/>
  <c r="G9" i="1"/>
  <c r="E8" i="1"/>
  <c r="G8" i="1"/>
  <c r="E7" i="1"/>
  <c r="G7" i="1"/>
  <c r="E6" i="1"/>
  <c r="G6" i="1"/>
  <c r="E5" i="1"/>
  <c r="G5" i="1"/>
  <c r="E4" i="1"/>
  <c r="G4" i="1"/>
  <c r="E3" i="1"/>
  <c r="G3" i="1"/>
  <c r="E602" i="1"/>
  <c r="G602" i="1"/>
  <c r="E601" i="1"/>
  <c r="G601" i="1"/>
  <c r="E600" i="1"/>
  <c r="G600" i="1"/>
  <c r="E599" i="1"/>
  <c r="G599" i="1"/>
  <c r="E598" i="1"/>
  <c r="G598" i="1"/>
  <c r="E597" i="1"/>
  <c r="G597" i="1"/>
  <c r="E596" i="1"/>
  <c r="G596" i="1"/>
  <c r="E595" i="1"/>
  <c r="G595" i="1"/>
  <c r="E594" i="1"/>
  <c r="G594" i="1"/>
  <c r="E593" i="1"/>
  <c r="G593" i="1"/>
  <c r="E592" i="1"/>
  <c r="G592" i="1"/>
  <c r="E591" i="1"/>
  <c r="G591" i="1"/>
  <c r="E590" i="1"/>
  <c r="G590" i="1"/>
  <c r="E589" i="1"/>
  <c r="G589" i="1"/>
  <c r="E588" i="1"/>
  <c r="G588" i="1"/>
  <c r="E587" i="1"/>
  <c r="G587" i="1"/>
  <c r="E586" i="1"/>
  <c r="G586" i="1"/>
  <c r="E585" i="1"/>
  <c r="G585" i="1"/>
  <c r="E584" i="1"/>
  <c r="G584" i="1"/>
  <c r="E583" i="1"/>
  <c r="G583" i="1"/>
  <c r="E582" i="1"/>
  <c r="G582" i="1"/>
  <c r="E581" i="1"/>
  <c r="G581" i="1"/>
  <c r="E580" i="1"/>
  <c r="G580" i="1"/>
  <c r="E579" i="1"/>
  <c r="G579" i="1"/>
  <c r="E578" i="1"/>
  <c r="G578" i="1"/>
  <c r="E577" i="1"/>
  <c r="G577" i="1"/>
  <c r="E576" i="1"/>
  <c r="G576" i="1"/>
  <c r="E575" i="1"/>
  <c r="G575" i="1"/>
  <c r="E574" i="1"/>
  <c r="G574" i="1"/>
  <c r="E573" i="1"/>
  <c r="G573" i="1"/>
  <c r="E572" i="1"/>
  <c r="G572" i="1"/>
  <c r="E571" i="1"/>
  <c r="G571" i="1"/>
  <c r="E570" i="1"/>
  <c r="G570" i="1"/>
  <c r="E569" i="1"/>
  <c r="G569" i="1"/>
  <c r="E568" i="1"/>
  <c r="G568" i="1"/>
  <c r="E567" i="1"/>
  <c r="G567" i="1"/>
  <c r="E566" i="1"/>
  <c r="G566" i="1"/>
  <c r="E565" i="1"/>
  <c r="G565" i="1"/>
  <c r="E564" i="1"/>
  <c r="G564" i="1"/>
  <c r="E563" i="1"/>
  <c r="G563" i="1"/>
  <c r="E562" i="1"/>
  <c r="G562" i="1"/>
  <c r="E561" i="1"/>
  <c r="G561" i="1"/>
  <c r="E560" i="1"/>
  <c r="G560" i="1"/>
  <c r="E559" i="1"/>
  <c r="G559" i="1"/>
  <c r="E558" i="1"/>
  <c r="G558" i="1"/>
  <c r="E557" i="1"/>
  <c r="G557" i="1"/>
  <c r="E556" i="1"/>
  <c r="G556" i="1"/>
  <c r="E555" i="1"/>
  <c r="G555" i="1"/>
  <c r="E554" i="1"/>
  <c r="G554" i="1"/>
  <c r="E553" i="1"/>
  <c r="G553" i="1"/>
  <c r="E552" i="1"/>
  <c r="G552" i="1"/>
  <c r="E551" i="1"/>
  <c r="G551" i="1"/>
  <c r="E550" i="1"/>
  <c r="G550" i="1"/>
  <c r="E549" i="1"/>
  <c r="G549" i="1"/>
  <c r="E548" i="1"/>
  <c r="G548" i="1"/>
  <c r="E547" i="1"/>
  <c r="G547" i="1"/>
  <c r="E546" i="1"/>
  <c r="G546" i="1"/>
  <c r="E545" i="1"/>
  <c r="G545" i="1"/>
  <c r="E544" i="1"/>
  <c r="G544" i="1"/>
  <c r="E543" i="1"/>
  <c r="G543" i="1"/>
  <c r="E542" i="1"/>
  <c r="G542" i="1"/>
  <c r="E541" i="1"/>
  <c r="G541" i="1"/>
  <c r="E540" i="1"/>
  <c r="G540" i="1"/>
  <c r="E539" i="1"/>
  <c r="G539" i="1"/>
  <c r="E538" i="1"/>
  <c r="G538" i="1"/>
  <c r="E537" i="1"/>
  <c r="G537" i="1"/>
  <c r="E536" i="1"/>
  <c r="G536" i="1"/>
  <c r="E535" i="1"/>
  <c r="G535" i="1"/>
  <c r="E534" i="1"/>
  <c r="G534" i="1"/>
  <c r="E533" i="1"/>
  <c r="G533" i="1"/>
  <c r="E532" i="1"/>
  <c r="G532" i="1"/>
  <c r="E531" i="1"/>
  <c r="G531" i="1"/>
  <c r="E530" i="1"/>
  <c r="G530" i="1"/>
  <c r="E529" i="1"/>
  <c r="G529" i="1"/>
  <c r="E528" i="1"/>
  <c r="G528" i="1"/>
  <c r="E527" i="1"/>
  <c r="G527" i="1"/>
  <c r="E526" i="1"/>
  <c r="G526" i="1"/>
  <c r="E525" i="1"/>
  <c r="G525" i="1"/>
  <c r="E524" i="1"/>
  <c r="G524" i="1"/>
  <c r="E523" i="1"/>
  <c r="G523" i="1"/>
  <c r="E522" i="1"/>
  <c r="G522" i="1"/>
  <c r="E521" i="1"/>
  <c r="G521" i="1"/>
  <c r="E520" i="1"/>
  <c r="G520" i="1"/>
  <c r="E519" i="1"/>
  <c r="G519" i="1"/>
  <c r="E518" i="1"/>
  <c r="G518" i="1"/>
  <c r="E517" i="1"/>
  <c r="G517" i="1"/>
  <c r="E516" i="1"/>
  <c r="G516" i="1"/>
  <c r="E515" i="1"/>
  <c r="G515" i="1"/>
  <c r="E514" i="1"/>
  <c r="G514" i="1"/>
  <c r="E513" i="1"/>
  <c r="G513" i="1"/>
  <c r="E512" i="1"/>
  <c r="G512" i="1"/>
  <c r="E511" i="1"/>
  <c r="G511" i="1"/>
  <c r="E510" i="1"/>
  <c r="G510" i="1"/>
  <c r="E509" i="1"/>
  <c r="G509" i="1"/>
  <c r="E508" i="1"/>
  <c r="G508" i="1"/>
  <c r="E507" i="1"/>
  <c r="G507" i="1"/>
  <c r="E506" i="1"/>
  <c r="G506" i="1"/>
  <c r="E505" i="1"/>
  <c r="G505" i="1"/>
  <c r="E504" i="1"/>
  <c r="G504" i="1"/>
  <c r="M6" i="1" l="1"/>
  <c r="M15" i="1"/>
  <c r="M7" i="1"/>
  <c r="M14" i="1"/>
  <c r="M30" i="1"/>
  <c r="M24" i="1"/>
  <c r="C4" i="6"/>
  <c r="D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<sst xmlns="http://schemas.openxmlformats.org/spreadsheetml/2006/main" count="52205" uniqueCount="8824">
  <si>
    <t>ID</t>
  </si>
  <si>
    <t>password</t>
  </si>
  <si>
    <t>type</t>
  </si>
  <si>
    <t>char count</t>
  </si>
  <si>
    <t>peak entropy (bits)</t>
  </si>
  <si>
    <t>Shannon Entropy (Per symbol)</t>
  </si>
  <si>
    <t>Total information content (in bits)</t>
  </si>
  <si>
    <t>zxcvbn Score</t>
  </si>
  <si>
    <t>zxcvbn Guesses</t>
  </si>
  <si>
    <t>zxcvbn Guesses Log10</t>
  </si>
  <si>
    <t xml:space="preserve">Average Zxcvbn </t>
  </si>
  <si>
    <t>decrypt</t>
  </si>
  <si>
    <t>หมวด</t>
  </si>
  <si>
    <t>สุภาษิต</t>
  </si>
  <si>
    <t>คำทักทาย</t>
  </si>
  <si>
    <t>เกม</t>
  </si>
  <si>
    <t>ของกิน</t>
  </si>
  <si>
    <t>ของใช้</t>
  </si>
  <si>
    <t>ชื่อร้านค้า</t>
  </si>
  <si>
    <t>วิชาเรียน</t>
  </si>
  <si>
    <t>แอป</t>
  </si>
  <si>
    <t>หนังสือ</t>
  </si>
  <si>
    <t>การ์ตูน</t>
  </si>
  <si>
    <t>ชื่อคน</t>
  </si>
  <si>
    <t>สถานที่</t>
  </si>
  <si>
    <t>ยานพาหนะ</t>
  </si>
  <si>
    <t>สัตว์</t>
  </si>
  <si>
    <t>เครื่องดนตรี</t>
  </si>
  <si>
    <t>z,iyd86I</t>
  </si>
  <si>
    <t>swapped</t>
  </si>
  <si>
    <t>Thai</t>
  </si>
  <si>
    <t>น้ำขึ้นให้รีบตัก</t>
  </si>
  <si>
    <t>ผมรักคุณ</t>
  </si>
  <si>
    <t>l;ylfu8iy[</t>
  </si>
  <si>
    <t>Eng</t>
  </si>
  <si>
    <t>ช้า ๆ ได้พร้าเล่มงาม</t>
  </si>
  <si>
    <t>ohe-7ho.shiu[9yd</t>
  </si>
  <si>
    <t>หนีเสือปะจระเข้</t>
  </si>
  <si>
    <t>สวัสดีครับ</t>
  </si>
  <si>
    <t>เล่นเกมกันไหม</t>
  </si>
  <si>
    <t>ข้าวผัดกุ้ง</t>
  </si>
  <si>
    <t>โทรศัพท์มือถือ</t>
  </si>
  <si>
    <t>ร้านมุมสบาย</t>
  </si>
  <si>
    <t>คณิตศาสตร์</t>
  </si>
  <si>
    <t>แอปสแนปแชท</t>
  </si>
  <si>
    <t>รักในเงา</t>
  </si>
  <si>
    <t>โดราเอมอน</t>
  </si>
  <si>
    <t>กิตติพงษ์สุนทร</t>
  </si>
  <si>
    <t>วัดพระแก้ว</t>
  </si>
  <si>
    <t>รถยนต์ส่วนบุคคล</t>
  </si>
  <si>
    <t>สิงโตแอฟริกา</t>
  </si>
  <si>
    <t>กีตาร์โปร่งไฟฟ้า</t>
  </si>
  <si>
    <t>=hk q wfhrihkg]j,'k,</t>
  </si>
  <si>
    <t>Average peak entropy</t>
  </si>
  <si>
    <t>ปลาหมอตายเพราะปาก</t>
  </si>
  <si>
    <t>สวัสดีตอนเช้า</t>
  </si>
  <si>
    <t>ลงแรงค์กันไหม</t>
  </si>
  <si>
    <t>ก๋วยเตี๋ยวหมู</t>
  </si>
  <si>
    <t>หูฟังบลูทูธ</t>
  </si>
  <si>
    <t>บ้านขนมหวาน</t>
  </si>
  <si>
    <t>วิทยาศาสตร์</t>
  </si>
  <si>
    <t>อินสตาแกรม</t>
  </si>
  <si>
    <t>นิทานอีสป</t>
  </si>
  <si>
    <t>นักสืบจิ๋วโคนัน</t>
  </si>
  <si>
    <t>กัญญารัตน์พร</t>
  </si>
  <si>
    <t>สวนลุมพินี</t>
  </si>
  <si>
    <t>รถจักรยานยนต์</t>
  </si>
  <si>
    <t>เสือโคร่งบังคลาเทศ</t>
  </si>
  <si>
    <t>กีตาร์คลาสสิกไฟฟ้า</t>
  </si>
  <si>
    <t>souglnvxt0itg-h</t>
  </si>
  <si>
    <t>วัวหายล้อมคอก</t>
  </si>
  <si>
    <t>หวัดดีนะ</t>
  </si>
  <si>
    <t>ชนะแล้วครับ</t>
  </si>
  <si>
    <t>ต้มยำกุ้ง</t>
  </si>
  <si>
    <t>กระเป๋าสตางค์</t>
  </si>
  <si>
    <t>มุมกาแฟสด</t>
  </si>
  <si>
    <t>วิชาภาษาไทย</t>
  </si>
  <si>
    <t>เฟซบุ๊กเมสเซนเจอร์</t>
  </si>
  <si>
    <t>สามก๊กฉบับย่อ</t>
  </si>
  <si>
    <t>ซากุระจอมเวท</t>
  </si>
  <si>
    <t>พิมพ์ชนกวราภรณ์</t>
  </si>
  <si>
    <t>อุทยานแห่งชาติ</t>
  </si>
  <si>
    <t>รถยนต์ไฟฟ้า</t>
  </si>
  <si>
    <t>แพนด้ายักษ์</t>
  </si>
  <si>
    <t>เปียโนแกรนด์ไฟฟ้า</t>
  </si>
  <si>
    <t>x]ks,v9kpgriktxkd</t>
  </si>
  <si>
    <t>ขุดบ่อล่อปลา</t>
  </si>
  <si>
    <t>เป็นไงบ้าง</t>
  </si>
  <si>
    <t>แพ้อีกแล้วนะ</t>
  </si>
  <si>
    <t>ผัดไทยกุ้งสด</t>
  </si>
  <si>
    <t>นาฬิกาข้อมือ</t>
  </si>
  <si>
    <t>หอมกรุ่นเบเกอรี</t>
  </si>
  <si>
    <t>ภาษาอังกฤษ</t>
  </si>
  <si>
    <t>ยูทูบคอนเนค</t>
  </si>
  <si>
    <t>พระอภัยมณี</t>
  </si>
  <si>
    <t>ดราก้อนบอล</t>
  </si>
  <si>
    <t>สิริวรรณากร</t>
  </si>
  <si>
    <t>ห้างสรรพสินค้า</t>
  </si>
  <si>
    <t>เรือโดยสาร</t>
  </si>
  <si>
    <t>กระต่ายเนเธอร์แลนด์</t>
  </si>
  <si>
    <t>แซ็กโซโฟนอัลโต</t>
  </si>
  <si>
    <t>;y;skp]hv,8vd</t>
  </si>
  <si>
    <t>ปิดทองหลังพระ</t>
  </si>
  <si>
    <t>คิดถึงนะ</t>
  </si>
  <si>
    <t>ฟาร์มของอยู่</t>
  </si>
  <si>
    <t>ส้มตำไทย</t>
  </si>
  <si>
    <t>ร่มพับกันฝน</t>
  </si>
  <si>
    <t>ครัวอร่อยจัง</t>
  </si>
  <si>
    <t>สังคมศึกษา</t>
  </si>
  <si>
    <t>กูเกิลแมปส์</t>
  </si>
  <si>
    <t>สี่แผ่นดิน</t>
  </si>
  <si>
    <t>ไอ้มดแดง</t>
  </si>
  <si>
    <t>ธนกฤตพงษ์</t>
  </si>
  <si>
    <t>ตลาดนัดจตุจักร</t>
  </si>
  <si>
    <t>เรือสำราญ</t>
  </si>
  <si>
    <t>ม้าพันธุ์อาหรับ</t>
  </si>
  <si>
    <t>กลองชุดมาตรฐาน</t>
  </si>
  <si>
    <t>-6f[jv]jvx]k</t>
  </si>
  <si>
    <t xml:space="preserve">Average shannon entropy </t>
  </si>
  <si>
    <t>คบคนให้ดูหน้า</t>
  </si>
  <si>
    <t>ทานข้าวหรือยัง</t>
  </si>
  <si>
    <t>พร้อมลุยแล้ว</t>
  </si>
  <si>
    <t>ไก่ทอดกรอบ</t>
  </si>
  <si>
    <t>แปรงสีฟัน</t>
  </si>
  <si>
    <t>ร้านของดีดี</t>
  </si>
  <si>
    <t>ประวัติศาสตร์</t>
  </si>
  <si>
    <t>ไลน์คาเมรา</t>
  </si>
  <si>
    <t>กาพย์เห่เรือ</t>
  </si>
  <si>
    <t>โคนันยอดนักสืบ</t>
  </si>
  <si>
    <t>อริสราวรรณ</t>
  </si>
  <si>
    <t>โรงเรียนสวนกุหลาบ</t>
  </si>
  <si>
    <t>รถบัสปรับอากาศ</t>
  </si>
  <si>
    <t>ช้างเอเชีย</t>
  </si>
  <si>
    <t>กลองทอมสแตนดาร์ด</t>
  </si>
  <si>
    <t>xbfmv's]y'rit</t>
  </si>
  <si>
    <t>ทำดีได้ดี</t>
  </si>
  <si>
    <t>สวัสดีค่ะ</t>
  </si>
  <si>
    <t>เข้าดันเจียน</t>
  </si>
  <si>
    <t>ชาบูหมาล่า</t>
  </si>
  <si>
    <t>ยาสีฟัน</t>
  </si>
  <si>
    <t>โกดังของใช้</t>
  </si>
  <si>
    <t>ชีววิทยา</t>
  </si>
  <si>
    <t>คานวาโปร</t>
  </si>
  <si>
    <t>ขุนช้างขุนแผน</t>
  </si>
  <si>
    <t>เซเลอร์มูน</t>
  </si>
  <si>
    <t>วรภัทร์ชัย</t>
  </si>
  <si>
    <t>เกษตรศาสตร์</t>
  </si>
  <si>
    <t>รถตู้โดยสาร</t>
  </si>
  <si>
    <t>หมาไทยหลังอาน</t>
  </si>
  <si>
    <t>ฟลุตไม้มาตรฐาน</t>
  </si>
  <si>
    <t>8[8o.shf^sohk</t>
  </si>
  <si>
    <t>ทำชั่วได้ชั่ว</t>
  </si>
  <si>
    <t>สวัสดีตอนเที่ยง</t>
  </si>
  <si>
    <t>ไปตีบอสกัน</t>
  </si>
  <si>
    <t>หมูกระทะ</t>
  </si>
  <si>
    <t>สบู่เหลวอาบน้ำ</t>
  </si>
  <si>
    <t>เมล็ดกาแฟดำ</t>
  </si>
  <si>
    <t>การตลาดพื้นฐาน</t>
  </si>
  <si>
    <t>ไลท์รูมมือถือ</t>
  </si>
  <si>
    <t>วรรณคดีไทย</t>
  </si>
  <si>
    <t>ชินจังจอมแก่น</t>
  </si>
  <si>
    <t>ชลธิชาพร</t>
  </si>
  <si>
    <t>สนามกีฬาแห่งชาติ</t>
  </si>
  <si>
    <t>รถไฟความเร็วสูง</t>
  </si>
  <si>
    <t>นกแก้วมาคอร์</t>
  </si>
  <si>
    <t>เบสไฟฟ้ามาตรฐาน</t>
  </si>
  <si>
    <t>mefuwfhfu</t>
  </si>
  <si>
    <t>ได้หน้าเสียหลัง</t>
  </si>
  <si>
    <t>หวัดดีค้าบ</t>
  </si>
  <si>
    <t>ลุยเควสต่อ</t>
  </si>
  <si>
    <t>ข้าวมันไก่</t>
  </si>
  <si>
    <t>แชมพูล้างผม</t>
  </si>
  <si>
    <t>อิ่มท้องทุกมื้อ</t>
  </si>
  <si>
    <t>การบัญชีเบื้องต้น</t>
  </si>
  <si>
    <t>คิปแคตโปร</t>
  </si>
  <si>
    <t>แฮร์รี่พอตเตอร์</t>
  </si>
  <si>
    <t>โปเกม่อนโกลด์</t>
  </si>
  <si>
    <t>ภัทรพลกุล</t>
  </si>
  <si>
    <t>ถนนข้าวสาร</t>
  </si>
  <si>
    <t>รถสามล้อเครื่อง</t>
  </si>
  <si>
    <t>วาฬเพชฌฆาต</t>
  </si>
  <si>
    <t>วิโอลาคลาสสิก</t>
  </si>
  <si>
    <t>me=yj;wfh=yj;</t>
  </si>
  <si>
    <t>Average shannon entropy Total information content (in bits)</t>
  </si>
  <si>
    <t>ตนเป็นที่พึ่งตน</t>
  </si>
  <si>
    <t>สวัสดีฮะ</t>
  </si>
  <si>
    <t>จัดทีมให้หน่อย</t>
  </si>
  <si>
    <t>ปีกไก่ทอด</t>
  </si>
  <si>
    <t>ผ้าเช็ดตัว</t>
  </si>
  <si>
    <t>ร้านข้าวอุ่นรัก</t>
  </si>
  <si>
    <t>เศรษฐศาสตร์</t>
  </si>
  <si>
    <t>โน้ตชาร์ท</t>
  </si>
  <si>
    <t>เกมออฟโทรนส์</t>
  </si>
  <si>
    <t>โปเกมอน</t>
  </si>
  <si>
    <t>ศุภชัยวัฒน์</t>
  </si>
  <si>
    <t>พิพิธภัณฑ์ศิลปะ</t>
  </si>
  <si>
    <t>เรือข้ามฟาก</t>
  </si>
  <si>
    <t>นกกระเรียนไทย</t>
  </si>
  <si>
    <t>ฮาร์ปไทยมาตรฐาน</t>
  </si>
  <si>
    <t>wfhsohkglups]y'</t>
  </si>
  <si>
    <t>น้ำร้อนปลาเป็น</t>
  </si>
  <si>
    <t>เรียนสวัสดี</t>
  </si>
  <si>
    <t>ของดรอปยากมาก</t>
  </si>
  <si>
    <t>ปูผัดผงกะหรี่</t>
  </si>
  <si>
    <t>เสื้อยืดลำลอง</t>
  </si>
  <si>
    <t>กรีนมาร์เก็ต</t>
  </si>
  <si>
    <t>นวัตกรรมดิจิทัล</t>
  </si>
  <si>
    <t>ซาวด์คลาวด์</t>
  </si>
  <si>
    <t>ศรีธนญชัย</t>
  </si>
  <si>
    <t>อุลตร้าแมน</t>
  </si>
  <si>
    <t>ณัฐชยาวดี</t>
  </si>
  <si>
    <t>วัดอรุณราชวราราม</t>
  </si>
  <si>
    <t>รถไฟชานเมือง</t>
  </si>
  <si>
    <t>เต่าทะเลเขตร้อน</t>
  </si>
  <si>
    <t>ไวโอลินไฟฟ้า</t>
  </si>
  <si>
    <t>9ogxGomujr7j'9o</t>
  </si>
  <si>
    <t>น้ำเย็นปลาตาย</t>
  </si>
  <si>
    <t>ท่านสบายดีไหม</t>
  </si>
  <si>
    <t>เก็บเลเวลต่อ</t>
  </si>
  <si>
    <t>แกงเขียวหวาน</t>
  </si>
  <si>
    <t>แว่นกันแดด</t>
  </si>
  <si>
    <t>ลิตเติ้ลสโตร์</t>
  </si>
  <si>
    <t>เทคโนโลยีสารสนเทศ</t>
  </si>
  <si>
    <t>เคย์เนมาสเตอร์</t>
  </si>
  <si>
    <t>ผจญภัยในป่า</t>
  </si>
  <si>
    <t>กัปตันซึบาสะ</t>
  </si>
  <si>
    <t>ธนากรวรพงษ์</t>
  </si>
  <si>
    <t>วัดโพธิ์</t>
  </si>
  <si>
    <t>เรือท้องแบน</t>
  </si>
  <si>
    <t>กวางเรนเดียร์</t>
  </si>
  <si>
    <t>เชลโลคลาสสิก</t>
  </si>
  <si>
    <t>oheihvox]kgxGo</t>
  </si>
  <si>
    <t>คบเด็กสร้างบ้าน</t>
  </si>
  <si>
    <t>ขอแสดงความนับถือ</t>
  </si>
  <si>
    <t>เปิดกาชากัน</t>
  </si>
  <si>
    <t>แกงส้มชะอม</t>
  </si>
  <si>
    <t>ขวดน้ำพกพา</t>
  </si>
  <si>
    <t>ฮับช็อปออนไลน์</t>
  </si>
  <si>
    <t>กายภาพบำบัด</t>
  </si>
  <si>
    <t>โฟโต้เอดิเตอร์</t>
  </si>
  <si>
    <t>การ์ตูนสนุก</t>
  </si>
  <si>
    <t>ลูฟี่หมวกฟาง</t>
  </si>
  <si>
    <t>สุภาวดีวรรณ</t>
  </si>
  <si>
    <t>ถนนราชดำเนิน</t>
  </si>
  <si>
    <t>เรือสปีดโบ๊ท</t>
  </si>
  <si>
    <t>นกยูงสวยงาม</t>
  </si>
  <si>
    <t>มาริมบาไฟฟ้า</t>
  </si>
  <si>
    <t>ohegpGox]k9kp</t>
  </si>
  <si>
    <t>ขวานผ่าซาก</t>
  </si>
  <si>
    <t>ยินดีต้อนรับ</t>
  </si>
  <si>
    <t>แลคมากเลย</t>
  </si>
  <si>
    <t>ไข่เจียวฟู</t>
  </si>
  <si>
    <t>ปากกาลูกลื่น</t>
  </si>
  <si>
    <t>ตลาดนัดสุขใจ</t>
  </si>
  <si>
    <t>ธุรกิจเบื้องต้น</t>
  </si>
  <si>
    <t>ออฟฟิศสวีท</t>
  </si>
  <si>
    <t>นิยายแฟนตาซี</t>
  </si>
  <si>
    <t>โดเรมีโนะ</t>
  </si>
  <si>
    <t>ปรเมศวร์พงษ์</t>
  </si>
  <si>
    <t>ถนนสีลม</t>
  </si>
  <si>
    <t>เรือพาย</t>
  </si>
  <si>
    <t>ลิงอุรังอุตัง</t>
  </si>
  <si>
    <t>อูคูเลเล่ไฟฟ้า</t>
  </si>
  <si>
    <t>8[gfGdlihk'[hko</t>
  </si>
  <si>
    <t>ไก่ได้พลอย</t>
  </si>
  <si>
    <t>สวัสดีเพื่อนๆ</t>
  </si>
  <si>
    <t>โหลดเกมอยู่</t>
  </si>
  <si>
    <t>หมูสามชั้นทอด</t>
  </si>
  <si>
    <t>สมุดโน้ตเล่มเล็ก</t>
  </si>
  <si>
    <t>มาร์ทใกล้บ้าน</t>
  </si>
  <si>
    <t>การจัดการทั่วไป</t>
  </si>
  <si>
    <t>แปลภาษาเอ็กซ์เพรส</t>
  </si>
  <si>
    <t>วิทยาศาสตร์สนุก</t>
  </si>
  <si>
    <t>คาวาอี้แมว</t>
  </si>
  <si>
    <t>วิชชุดาวรรณ</t>
  </si>
  <si>
    <t>ถนนสุขุมวิท</t>
  </si>
  <si>
    <t>เรือเฟอร์รี่</t>
  </si>
  <si>
    <t>จระเข้แม่น้ำไนล์</t>
  </si>
  <si>
    <t>ทรัมเป็ตมาตรฐาน</t>
  </si>
  <si>
    <t>-;kozjkLkd</t>
  </si>
  <si>
    <t>ขี้เหร่แต่ใจงาม</t>
  </si>
  <si>
    <t>สบายดีไหมครับ</t>
  </si>
  <si>
    <t>เซิร์ฟล่มอีกแล้ว</t>
  </si>
  <si>
    <t>ปลาดอลลี่ทอด</t>
  </si>
  <si>
    <t>เคสโทรศัพท์</t>
  </si>
  <si>
    <t>คาเฟ่ชิวชิว</t>
  </si>
  <si>
    <t>ศิลปประยุกต์</t>
  </si>
  <si>
    <t>นิยายออนไลน์</t>
  </si>
  <si>
    <t>โลกของสัตว์</t>
  </si>
  <si>
    <t>ฮีโร่แห่งโลก</t>
  </si>
  <si>
    <t>กรวรรณาพร</t>
  </si>
  <si>
    <t>สนามบินสุวรรณภูมิ</t>
  </si>
  <si>
    <t>เรือประมง</t>
  </si>
  <si>
    <t>กิ้งก่าพันธุ์กีโค</t>
  </si>
  <si>
    <t>ทิมปานีมาตรฐาน</t>
  </si>
  <si>
    <t>wdjwfhr]vp</t>
  </si>
  <si>
    <t>T-test Zxcvbn</t>
  </si>
  <si>
    <t>คอยจังหวะดี</t>
  </si>
  <si>
    <t>ว่าไงเพื่อน</t>
  </si>
  <si>
    <t>ยิงให้แม่นๆดิ</t>
  </si>
  <si>
    <t>ชาไทยเย็น</t>
  </si>
  <si>
    <t>ไฟฉายพกพา</t>
  </si>
  <si>
    <t>ร้านของฝากดีดี</t>
  </si>
  <si>
    <t>ดนตรีสากล</t>
  </si>
  <si>
    <t>เกมมันส์โปร</t>
  </si>
  <si>
    <t>ตำนานเมืองไทย</t>
  </si>
  <si>
    <t>โปเกม่อน</t>
  </si>
  <si>
    <t>ธนวัฒน์ชัย</t>
  </si>
  <si>
    <t>สนามบินดอนเมือง</t>
  </si>
  <si>
    <t>เครื่องบินโดยสาร</t>
  </si>
  <si>
    <t>แมวน้ำซีล</t>
  </si>
  <si>
    <t>เปียโนไฟฟ้ามาตรฐาน</t>
  </si>
  <si>
    <t>-uhgsijc9j.0'k,</t>
  </si>
  <si>
    <t>ได้คืบจะเอาศอก</t>
  </si>
  <si>
    <t>หวัดดีตอนเช้า</t>
  </si>
  <si>
    <t>ระวังหลังไว้</t>
  </si>
  <si>
    <t>นมสดปั่น</t>
  </si>
  <si>
    <t>สเปรย์แอลกอฮอล์</t>
  </si>
  <si>
    <t>สโตร์ยิ้มแย้ม</t>
  </si>
  <si>
    <t>พละศึกษาพื้นฐาน</t>
  </si>
  <si>
    <t>ไลฟ์สดทันใจ</t>
  </si>
  <si>
    <t>จิตรกรรมไทย</t>
  </si>
  <si>
    <t>วันเดอร์วูแมน</t>
  </si>
  <si>
    <t>ศิรินทรพงษ์</t>
  </si>
  <si>
    <t>สวนสัตว์ดุสิต</t>
  </si>
  <si>
    <t>เฮลิคอปเตอร์</t>
  </si>
  <si>
    <t>สิงโตทะเล</t>
  </si>
  <si>
    <t>กลองเพอร์คัชชัน</t>
  </si>
  <si>
    <t>8vp0y's;tfu</t>
  </si>
  <si>
    <t>สวัสดีเด้อ</t>
  </si>
  <si>
    <t>ฮีลให้หน่อย</t>
  </si>
  <si>
    <t>เฟรนช์ฟรายส์</t>
  </si>
  <si>
    <t>สายชาร์จมือถือ</t>
  </si>
  <si>
    <t>ร้านเฮือนน้อย</t>
  </si>
  <si>
    <t>โปรแกรมมิ่งพื้นฐาน</t>
  </si>
  <si>
    <t>แชร์สตอรี่</t>
  </si>
  <si>
    <t>เรื่องสั้นสนุก</t>
  </si>
  <si>
    <t>มายเมโลดี้</t>
  </si>
  <si>
    <t>พิชญารัตน์พร</t>
  </si>
  <si>
    <t>สวนสัตว์เปิดเขาเขียว</t>
  </si>
  <si>
    <t>รถสิบล้อพ่วง</t>
  </si>
  <si>
    <t>ปลาโลมาแอตแลนติก</t>
  </si>
  <si>
    <t>แซ็กโซโฟนเทเนอร์</t>
  </si>
  <si>
    <t>wfh8n[0tgvkKvd</t>
  </si>
  <si>
    <t>T-test peak entropy</t>
  </si>
  <si>
    <t>สวัสดีทุกท่าน</t>
  </si>
  <si>
    <t>ลากหัวคมๆ</t>
  </si>
  <si>
    <t>โดนัทช็อกโกแลต</t>
  </si>
  <si>
    <t>หมอนรองคอ</t>
  </si>
  <si>
    <t>ห้องเสื้อสวยงาม</t>
  </si>
  <si>
    <t>ออกแบบกราฟิก</t>
  </si>
  <si>
    <t>ฟิตเนสแทร็กเกอร์</t>
  </si>
  <si>
    <t>วรรณกรรมเยาวชน</t>
  </si>
  <si>
    <t>แองกรี้เบิร์ด</t>
  </si>
  <si>
    <t>กิตติรัตน์วร</t>
  </si>
  <si>
    <t>ตลาดน้ำอัมพวา</t>
  </si>
  <si>
    <t>รถโดยสารประจำทาง</t>
  </si>
  <si>
    <t>นกฮูกตาโต</t>
  </si>
  <si>
    <t>กีตาร์ไฟฟ้าโซโล</t>
  </si>
  <si>
    <t>l;ylfu9vog=hk</t>
  </si>
  <si>
    <t>s;yffuot</t>
  </si>
  <si>
    <t>T-test Shannon entropy (per symbol)</t>
  </si>
  <si>
    <t>gxGow'[hk'</t>
  </si>
  <si>
    <t>8bf57'ot</t>
  </si>
  <si>
    <t>mko-hk;sinvpy'</t>
  </si>
  <si>
    <t xml:space="preserve">T-test shannon entropy total </t>
  </si>
  <si>
    <t>l;ylfu8jt</t>
  </si>
  <si>
    <t>l;ylfu9vogmujp'</t>
  </si>
  <si>
    <t>s;yffu8hk[</t>
  </si>
  <si>
    <t>l;ylfuCt</t>
  </si>
  <si>
    <t>giupol;ylfu</t>
  </si>
  <si>
    <t>mjkol[kpfuws,</t>
  </si>
  <si>
    <t>-vclf'8;k,oy[5nv</t>
  </si>
  <si>
    <t>pbofu9hvoiy[</t>
  </si>
  <si>
    <t>l;ylfugrnjvoq</t>
  </si>
  <si>
    <t>l[kpfuws,8iy[</t>
  </si>
  <si>
    <t>;jkw'grnjvo</t>
  </si>
  <si>
    <t>s;yffu9vog=hk</t>
  </si>
  <si>
    <t>l;ylfugfhv</t>
  </si>
  <si>
    <t>l;ylfum6dmjko</t>
  </si>
  <si>
    <t>g]jogd,dyows,</t>
  </si>
  <si>
    <t>]'ci'8Bdyows,</t>
  </si>
  <si>
    <t>=otc]h;8iy[</t>
  </si>
  <si>
    <t>crhvudc]h;ot</t>
  </si>
  <si>
    <t>akiB,-v'vp^j</t>
  </si>
  <si>
    <t>rihv,]6pc]h;</t>
  </si>
  <si>
    <t>g-hkfyog0upo</t>
  </si>
  <si>
    <t>wx9u[vldyo</t>
  </si>
  <si>
    <t>]6pg8;l9jv</t>
  </si>
  <si>
    <t>0yfmu,.shsojvp</t>
  </si>
  <si>
    <t>-v'fivxpkd,kd</t>
  </si>
  <si>
    <t>gdG[g]g;]9jv</t>
  </si>
  <si>
    <t>gxbfdk=kdyo</t>
  </si>
  <si>
    <t>c]8,kdg]p</t>
  </si>
  <si>
    <t>Ds]fgd,vp^j</t>
  </si>
  <si>
    <t>gLbiBa]j,vudc]h;</t>
  </si>
  <si>
    <t>pb'.shc,joqfb</t>
  </si>
  <si>
    <t>it;y's]y'w;h</t>
  </si>
  <si>
    <t>Cu].shsojvp</t>
  </si>
  <si>
    <t>]kdsy;8,q</t>
  </si>
  <si>
    <t>-hk;zyfd6h'</t>
  </si>
  <si>
    <t>dH;pg9uHp;s,^</t>
  </si>
  <si>
    <t>9h,ped6h'</t>
  </si>
  <si>
    <t>zyfwmpd6h'lf</t>
  </si>
  <si>
    <t>lh,9ewmp</t>
  </si>
  <si>
    <t>wdjmvfdiv[</t>
  </si>
  <si>
    <t>=k[^s,k]jk</t>
  </si>
  <si>
    <t>s,^ditmt</t>
  </si>
  <si>
    <t>-hk;,yowdj</t>
  </si>
  <si>
    <t>xudwdjmvf</t>
  </si>
  <si>
    <t>x^zyfz'dtsiuj</t>
  </si>
  <si>
    <t>cd'g-up;s;ko</t>
  </si>
  <si>
    <t>cd'lh,=tv,</t>
  </si>
  <si>
    <t>w-jg0up;a^</t>
  </si>
  <si>
    <t>s,^lk,=yhomvf</t>
  </si>
  <si>
    <t>x]kfv]]ujmvf</t>
  </si>
  <si>
    <t>=kwmpgpGo</t>
  </si>
  <si>
    <t>o,lfxyjo</t>
  </si>
  <si>
    <t>gaio=BaikplB</t>
  </si>
  <si>
    <t>Dfoym=GvdDdc]9</t>
  </si>
  <si>
    <t>DmiKyrmB,nv5nv</t>
  </si>
  <si>
    <t>s^ay'[]^m^T</t>
  </si>
  <si>
    <t>ditgxHkl9k'8B</t>
  </si>
  <si>
    <t>ok&lt;bdk-hv,nv</t>
  </si>
  <si>
    <t>ij,ry[dyo/o</t>
  </si>
  <si>
    <t>cxi'luayo</t>
  </si>
  <si>
    <t>pkluayo</t>
  </si>
  <si>
    <t>l[^jgs];vk[ohe</t>
  </si>
  <si>
    <t>c=,r^]hk'z,</t>
  </si>
  <si>
    <t>zhkg=Gf9y;</t>
  </si>
  <si>
    <t>glnhvpnf]e]v'</t>
  </si>
  <si>
    <t>c;jodyocff</t>
  </si>
  <si>
    <t>-;foherdrk</t>
  </si>
  <si>
    <t>xkddk]^d]njo</t>
  </si>
  <si>
    <t>l,6fDoh9g]j,g]Gd</t>
  </si>
  <si>
    <t>g8lDmiKyrmB</t>
  </si>
  <si>
    <t>waXkprdrk</t>
  </si>
  <si>
    <t>lgxipBcv]dvCv]B</t>
  </si>
  <si>
    <t>lkp=kiB0,nv5nv</t>
  </si>
  <si>
    <t>s,voiv'8v</t>
  </si>
  <si>
    <t>ihko,6,l[kp</t>
  </si>
  <si>
    <t>[hko-o,s;ko</t>
  </si>
  <si>
    <t>,6,dkcalf</t>
  </si>
  <si>
    <t>sv,di6jog[gdviu</t>
  </si>
  <si>
    <t>8iy;vijvp0y'</t>
  </si>
  <si>
    <t>ihko-v'fufu</t>
  </si>
  <si>
    <t>Ddfy'-v'.=h</t>
  </si>
  <si>
    <t>g,]Gfdkcafe</t>
  </si>
  <si>
    <t>vbj,mhv'm6d,nhv</t>
  </si>
  <si>
    <t>ihko-hk;v6joiyd</t>
  </si>
  <si>
    <t>diuo,kiBgdG9</t>
  </si>
  <si>
    <t>]b9g9bh]lD9iB</t>
  </si>
  <si>
    <t>Cy[=Gvxvvow]oB</t>
  </si>
  <si>
    <t>9]kfoyfl6-.0</t>
  </si>
  <si>
    <t>,kiBm.d]h[hko</t>
  </si>
  <si>
    <t>8kgaj=b;=b;</t>
  </si>
  <si>
    <t>ihko-v'/kdfufu</t>
  </si>
  <si>
    <t>lD9iBpbh,cph,</t>
  </si>
  <si>
    <t>ihkogCnvoohvp</t>
  </si>
  <si>
    <t>shv'glnhvl;p'k,</t>
  </si>
  <si>
    <t>8Ib9Kkl9iB</t>
  </si>
  <si>
    <t>;bmpkKkl9iB</t>
  </si>
  <si>
    <t>;b=k4kJkwmp</t>
  </si>
  <si>
    <t>4kJkvy'd|J</t>
  </si>
  <si>
    <t>ly'8,K7dJk</t>
  </si>
  <si>
    <t>xit;y9bKkl9iB</t>
  </si>
  <si>
    <t>=u;;bmpk</t>
  </si>
  <si>
    <t>dki9]kfrnho{ko</t>
  </si>
  <si>
    <t>dki[yP=ug[nhv'9ho</t>
  </si>
  <si>
    <t>gKiJ{Kkl9iB</t>
  </si>
  <si>
    <t>o;y9dii,fb0bmy]</t>
  </si>
  <si>
    <t>gm8DoD]pulkilogmK</t>
  </si>
  <si>
    <t>dkp4kr[e[yf</t>
  </si>
  <si>
    <t>T6idb0g[nhv'9ho</t>
  </si>
  <si>
    <t>dki0yfdkimyj;wx</t>
  </si>
  <si>
    <t>Kb]xxitp6d9B</t>
  </si>
  <si>
    <t>fo9iulkd]</t>
  </si>
  <si>
    <t>r]tK7dJkrnho{ko</t>
  </si>
  <si>
    <t>Dxicdi,,bj'rnho{ko</t>
  </si>
  <si>
    <t>vvdc[[dikabd</t>
  </si>
  <si>
    <t>cvxlcoxc=m</t>
  </si>
  <si>
    <t>vbol9kcdi,</t>
  </si>
  <si>
    <t>gaL[6Udg,lgLog0viB</t>
  </si>
  <si>
    <t>p^m^[8vogo8</t>
  </si>
  <si>
    <t>d^gdb]c,xlB</t>
  </si>
  <si>
    <t>w]oB8kg,ik</t>
  </si>
  <si>
    <t>8ko;kDxi</t>
  </si>
  <si>
    <t>w]mBi^,,nv5nv</t>
  </si>
  <si>
    <t>8bxc89Dxi</t>
  </si>
  <si>
    <t>Doh9=kiBm</t>
  </si>
  <si>
    <t>Lk;fB8]k;fB</t>
  </si>
  <si>
    <t>g8pBgo,klg9viB</t>
  </si>
  <si>
    <t>DaD9hgvfbg9viB</t>
  </si>
  <si>
    <t>vvaabKl;um</t>
  </si>
  <si>
    <t>cx]4kJkgvGdLBgril</t>
  </si>
  <si>
    <t>obpkpvvow]oB</t>
  </si>
  <si>
    <t>gd,,yolBDxi</t>
  </si>
  <si>
    <t>w]aBlfmyo.0</t>
  </si>
  <si>
    <t>c=iBl9viuj</t>
  </si>
  <si>
    <t>ab9golcmiGdgdviB</t>
  </si>
  <si>
    <t>iyd.og'k</t>
  </si>
  <si>
    <t>obmkovulx</t>
  </si>
  <si>
    <t>lk,dUdX[y[pjv</t>
  </si>
  <si>
    <t>ritv4yp,Iu</t>
  </si>
  <si>
    <t>lujczjofbo</t>
  </si>
  <si>
    <t>dkrpBgsjginv</t>
  </si>
  <si>
    <t>-6o=hk'-6oczo</t>
  </si>
  <si>
    <t>;iiI8fuwmp</t>
  </si>
  <si>
    <t>cCiBiujrv9g9viB</t>
  </si>
  <si>
    <t>gd,vvaDmiolB</t>
  </si>
  <si>
    <t>KiuToP=yp</t>
  </si>
  <si>
    <t>z0P4yp.oxjk</t>
  </si>
  <si>
    <t>dkiB9^olo6d</t>
  </si>
  <si>
    <t>obpkpcao9kLu</t>
  </si>
  <si>
    <t>;bmpkKkl9iBlo6d</t>
  </si>
  <si>
    <t>D]d-v'ly9;B</t>
  </si>
  <si>
    <t>9eokog,nv'wmp</t>
  </si>
  <si>
    <t>0b9idii,wmp</t>
  </si>
  <si>
    <t>ginjv'lyholo6d</t>
  </si>
  <si>
    <t>;iiIdii,gpk;=o</t>
  </si>
  <si>
    <t>Dfikgv,vo</t>
  </si>
  <si>
    <t>oydln[0bH;D8oyo</t>
  </si>
  <si>
    <t>Lkd6it0v,g;m</t>
  </si>
  <si>
    <t>fikdhvo[v]</t>
  </si>
  <si>
    <t>wvh,fcf'</t>
  </si>
  <si>
    <t>D8oyopvfoydln[</t>
  </si>
  <si>
    <t>gLg]viB,^o</t>
  </si>
  <si>
    <t>=bo0y'0v,cdjo</t>
  </si>
  <si>
    <t>Dxgd,jvoDd]fB</t>
  </si>
  <si>
    <t>Dxgd,vo</t>
  </si>
  <si>
    <t>v6]9ihkc,o</t>
  </si>
  <si>
    <t>dyx9yoL7[klt</t>
  </si>
  <si>
    <t>]^aujs,;dak'</t>
  </si>
  <si>
    <t>Dfgi,uDot</t>
  </si>
  <si>
    <t>8k;kvuhc,;</t>
  </si>
  <si>
    <t>CuDijcsj'D]d</t>
  </si>
  <si>
    <t>Dxgd,jvo</t>
  </si>
  <si>
    <t>;yogfviB;^c,o</t>
  </si>
  <si>
    <t>,kpg,D]fuh</t>
  </si>
  <si>
    <t>cv'diuhg[biBf</t>
  </si>
  <si>
    <t>db99br'JBl6omi</t>
  </si>
  <si>
    <t>dyPPkiy9oBri</t>
  </si>
  <si>
    <t>rb,rB=od;ik4iIB</t>
  </si>
  <si>
    <t>lbib;iiIkdi</t>
  </si>
  <si>
    <t>Tod|9r'JB</t>
  </si>
  <si>
    <t>viblik;iiI</t>
  </si>
  <si>
    <t>;i4ymiB=yp</t>
  </si>
  <si>
    <t>=]Tb=kri</t>
  </si>
  <si>
    <t>4ymir]d6]</t>
  </si>
  <si>
    <t>K64=yp;yMoB</t>
  </si>
  <si>
    <t>Iy{=pk;fu</t>
  </si>
  <si>
    <t>Tokdi;ir'JB</t>
  </si>
  <si>
    <t>l64k;fu;iiI</t>
  </si>
  <si>
    <t>xig,K;iBr'JB</t>
  </si>
  <si>
    <t>;b==6fk;iiI</t>
  </si>
  <si>
    <t>di;iiIkri</t>
  </si>
  <si>
    <t>To;yMoB=yp</t>
  </si>
  <si>
    <t>Kbibomir'JB</t>
  </si>
  <si>
    <t>rb=Pkiy9oBri</t>
  </si>
  <si>
    <t>db99biy9oB;i</t>
  </si>
  <si>
    <t>;yfritcdh;</t>
  </si>
  <si>
    <t>l;o]6,rbou</t>
  </si>
  <si>
    <t>v6mpkocsj'=k9b</t>
  </si>
  <si>
    <t>shk'liirlbo8hk</t>
  </si>
  <si>
    <t>9]kfoyf0960ydi</t>
  </si>
  <si>
    <t>Di'giupol;od6s]k[</t>
  </si>
  <si>
    <t>gdJ9iKkl9iB</t>
  </si>
  <si>
    <t>lok,du&lt;kcsj'=k9b</t>
  </si>
  <si>
    <t>5oo-hk;lki</t>
  </si>
  <si>
    <t>rbrbT4yIRBKb]xt</t>
  </si>
  <si>
    <t>;yfvi6Iik=;ikik,</t>
  </si>
  <si>
    <t>;yfDrTbB</t>
  </si>
  <si>
    <t>5ooik=fegobo</t>
  </si>
  <si>
    <t>5oolu],</t>
  </si>
  <si>
    <t>5ool6-6,;bm</t>
  </si>
  <si>
    <t>lok,[bol6;iiI4^,b</t>
  </si>
  <si>
    <t>lok,[bofvog,nv'</t>
  </si>
  <si>
    <t>l;oly9;Bf6lb9</t>
  </si>
  <si>
    <t>l;oly9;Bgxbfg-kg-up;</t>
  </si>
  <si>
    <t>9]kfohevy,r;k</t>
  </si>
  <si>
    <t>i5po9Blj;o[688]</t>
  </si>
  <si>
    <t>i50ydipkopo9B</t>
  </si>
  <si>
    <t>i5po9Bwaahk</t>
  </si>
  <si>
    <t>ginvDfplki</t>
  </si>
  <si>
    <t>ginvleikP</t>
  </si>
  <si>
    <t>i5[ylxiy[vkdkK</t>
  </si>
  <si>
    <t>i59^hDfplki</t>
  </si>
  <si>
    <t>i5wa8;k,giG;l^'</t>
  </si>
  <si>
    <t>i5lk,]hvg8injv'</t>
  </si>
  <si>
    <t>ginv-hk,akd</t>
  </si>
  <si>
    <t>i5wa=kog,nv'</t>
  </si>
  <si>
    <t>ginvmhv'c[o</t>
  </si>
  <si>
    <t>ginvlxufD[Um</t>
  </si>
  <si>
    <t>ginvrkp</t>
  </si>
  <si>
    <t>ginvgaviBiuj</t>
  </si>
  <si>
    <t>ginvxit,'</t>
  </si>
  <si>
    <t>g8injv'[boDfplki</t>
  </si>
  <si>
    <t>gC]b8vxg9viB</t>
  </si>
  <si>
    <t>i5lb[]hvrj;'</t>
  </si>
  <si>
    <t>i5Dfplkixit0emk'</t>
  </si>
  <si>
    <t>lb'D9cvaibdk</t>
  </si>
  <si>
    <t>glnvD8ij'[y'8]kgmK</t>
  </si>
  <si>
    <t>crofhkpydJB</t>
  </si>
  <si>
    <t>dit9jkpgogTviBc]ofB</t>
  </si>
  <si>
    <t>,hkryoT6Bvksiy[</t>
  </si>
  <si>
    <t>=hk'gvg=up</t>
  </si>
  <si>
    <t>s,kwmps]y'vko</t>
  </si>
  <si>
    <t>odcdh;,k8viB</t>
  </si>
  <si>
    <t>;k&lt;gr=FAk9</t>
  </si>
  <si>
    <t>odditgiupowmp</t>
  </si>
  <si>
    <t>g9jkmtg]g-9ihvo</t>
  </si>
  <si>
    <t>d;k'giogfupiB</t>
  </si>
  <si>
    <t>odp^'l;p'k,</t>
  </si>
  <si>
    <t>]b'v6iy'v69y'</t>
  </si>
  <si>
    <t>0itg-hc,johewo]B</t>
  </si>
  <si>
    <t>dbh'djkryoT6BduD8</t>
  </si>
  <si>
    <t>c,;oheLu]</t>
  </si>
  <si>
    <t>lb'D9mtg]</t>
  </si>
  <si>
    <t>x]kD],kcv9c]o9bd</t>
  </si>
  <si>
    <t>odC^d9kD9</t>
  </si>
  <si>
    <t>du9kiBDxij'waahk</t>
  </si>
  <si>
    <t>du9kiB8]kllbdwaahk</t>
  </si>
  <si>
    <t>gxupDocdiofBwaahk</t>
  </si>
  <si>
    <t>cLGdDLDaovy]D9</t>
  </si>
  <si>
    <t>d]v'=6f,k9i{ko</t>
  </si>
  <si>
    <t>d]v'mv,lc9ofkiBf</t>
  </si>
  <si>
    <t>a]69w,h,k9i{ko</t>
  </si>
  <si>
    <t>g[lwaahk,k9i{ko</t>
  </si>
  <si>
    <t>;bDv]k8]kllbd</t>
  </si>
  <si>
    <t>CkiBxwmp,k9i{ko</t>
  </si>
  <si>
    <t>w;Dv]bowaahk</t>
  </si>
  <si>
    <t>g=]D]8]kllbd</t>
  </si>
  <si>
    <t>,kib,[kwaahk</t>
  </si>
  <si>
    <t>v^8^g]g]jwaahk</t>
  </si>
  <si>
    <t>miy,gxG9,k9i{ko</t>
  </si>
  <si>
    <t>mb,xkou,k9i{ko</t>
  </si>
  <si>
    <t>gxupDowaahk,k9i{ko</t>
  </si>
  <si>
    <t>d]v'grviB8y==yo</t>
  </si>
  <si>
    <t>cLGdDLDaogmgoviB</t>
  </si>
  <si>
    <t>du9kiBwaahkDLD]</t>
  </si>
  <si>
    <t>english-Rockyou</t>
  </si>
  <si>
    <t>iloveyou</t>
  </si>
  <si>
    <t>princess</t>
  </si>
  <si>
    <t>rockyou</t>
  </si>
  <si>
    <t>abc123</t>
  </si>
  <si>
    <t>nicole</t>
  </si>
  <si>
    <t>daniel</t>
  </si>
  <si>
    <t>babygirl</t>
  </si>
  <si>
    <t>monkey</t>
  </si>
  <si>
    <t>lovely</t>
  </si>
  <si>
    <t>jessica</t>
  </si>
  <si>
    <t>michael</t>
  </si>
  <si>
    <t>ashley</t>
  </si>
  <si>
    <t>qwerty</t>
  </si>
  <si>
    <t>iloveu</t>
  </si>
  <si>
    <t>charlotte1</t>
  </si>
  <si>
    <t>michelle</t>
  </si>
  <si>
    <t>tigger</t>
  </si>
  <si>
    <t>sunshine</t>
  </si>
  <si>
    <t>chocolate</t>
  </si>
  <si>
    <t>password1</t>
  </si>
  <si>
    <t>soccer</t>
  </si>
  <si>
    <t>anthony</t>
  </si>
  <si>
    <t>friends</t>
  </si>
  <si>
    <t>butterfly</t>
  </si>
  <si>
    <t>purple</t>
  </si>
  <si>
    <t>angel</t>
  </si>
  <si>
    <t>jordan</t>
  </si>
  <si>
    <t>liverpool</t>
  </si>
  <si>
    <t>justin</t>
  </si>
  <si>
    <t>loveme</t>
  </si>
  <si>
    <t>fuckyou</t>
  </si>
  <si>
    <t>football</t>
  </si>
  <si>
    <t>secret</t>
  </si>
  <si>
    <t>andrea</t>
  </si>
  <si>
    <t>carlos</t>
  </si>
  <si>
    <t>jennifer</t>
  </si>
  <si>
    <t>joshua</t>
  </si>
  <si>
    <t>bubbles</t>
  </si>
  <si>
    <t>superman</t>
  </si>
  <si>
    <t>hannah</t>
  </si>
  <si>
    <t>amanda</t>
  </si>
  <si>
    <t>loveyou</t>
  </si>
  <si>
    <t>pretty</t>
  </si>
  <si>
    <t>basketball</t>
  </si>
  <si>
    <t>andrew</t>
  </si>
  <si>
    <t>angels</t>
  </si>
  <si>
    <t>tweety</t>
  </si>
  <si>
    <t>flower</t>
  </si>
  <si>
    <t>playboy</t>
  </si>
  <si>
    <t>hello</t>
  </si>
  <si>
    <t>elizabeth</t>
  </si>
  <si>
    <t>hottie</t>
  </si>
  <si>
    <t>tinkerbell</t>
  </si>
  <si>
    <t>charlie</t>
  </si>
  <si>
    <t>samantha</t>
  </si>
  <si>
    <t>barbie</t>
  </si>
  <si>
    <t>chelsea</t>
  </si>
  <si>
    <t>lovers</t>
  </si>
  <si>
    <t>teamo</t>
  </si>
  <si>
    <t>jasmine</t>
  </si>
  <si>
    <t>brandon</t>
  </si>
  <si>
    <t>shadow</t>
  </si>
  <si>
    <t>melissa</t>
  </si>
  <si>
    <t>eminem</t>
  </si>
  <si>
    <t>matthew</t>
  </si>
  <si>
    <t>robert</t>
  </si>
  <si>
    <t>danielle</t>
  </si>
  <si>
    <t>forever</t>
  </si>
  <si>
    <t>family</t>
  </si>
  <si>
    <t>jonathan</t>
  </si>
  <si>
    <t>computer</t>
  </si>
  <si>
    <t>whatever</t>
  </si>
  <si>
    <t>dragon</t>
  </si>
  <si>
    <t>vanessa</t>
  </si>
  <si>
    <t>cookie</t>
  </si>
  <si>
    <t>naruto</t>
  </si>
  <si>
    <t>summer</t>
  </si>
  <si>
    <t>sweety</t>
  </si>
  <si>
    <t>spongebob</t>
  </si>
  <si>
    <t>joseph</t>
  </si>
  <si>
    <t>junior</t>
  </si>
  <si>
    <t>softball</t>
  </si>
  <si>
    <t>taylor</t>
  </si>
  <si>
    <t>yellow</t>
  </si>
  <si>
    <t>daniela</t>
  </si>
  <si>
    <t>lauren</t>
  </si>
  <si>
    <t>mickey</t>
  </si>
  <si>
    <t>princesa</t>
  </si>
  <si>
    <t>alexandra</t>
  </si>
  <si>
    <t>alexis</t>
  </si>
  <si>
    <t>jesus</t>
  </si>
  <si>
    <t>estrella</t>
  </si>
  <si>
    <t>miguel</t>
  </si>
  <si>
    <t>william</t>
  </si>
  <si>
    <t>thomas</t>
  </si>
  <si>
    <t>beautiful</t>
  </si>
  <si>
    <t>mylove</t>
  </si>
  <si>
    <t>angela</t>
  </si>
  <si>
    <t>poohbear</t>
  </si>
  <si>
    <t>patrick</t>
  </si>
  <si>
    <t>iloveme</t>
  </si>
  <si>
    <t>sakura</t>
  </si>
  <si>
    <t>adrian</t>
  </si>
  <si>
    <t>alexander</t>
  </si>
  <si>
    <t>destiny</t>
  </si>
  <si>
    <t>christian</t>
  </si>
  <si>
    <t>sayang</t>
  </si>
  <si>
    <t>america</t>
  </si>
  <si>
    <t>dancer</t>
  </si>
  <si>
    <t>monica</t>
  </si>
  <si>
    <t>richard</t>
  </si>
  <si>
    <t>princess1</t>
  </si>
  <si>
    <t>diamond</t>
  </si>
  <si>
    <t>carolina</t>
  </si>
  <si>
    <t>steven</t>
  </si>
  <si>
    <t>rangers</t>
  </si>
  <si>
    <t>louise</t>
  </si>
  <si>
    <t>orange</t>
  </si>
  <si>
    <t>shorty</t>
  </si>
  <si>
    <t>nathan</t>
  </si>
  <si>
    <t>snoopy</t>
  </si>
  <si>
    <t>gabriel</t>
  </si>
  <si>
    <t>hunter</t>
  </si>
  <si>
    <t>cherry</t>
  </si>
  <si>
    <t>killer</t>
  </si>
  <si>
    <t>sandra</t>
  </si>
  <si>
    <t>alejandro</t>
  </si>
  <si>
    <t>buster</t>
  </si>
  <si>
    <t>george</t>
  </si>
  <si>
    <t>brittany</t>
  </si>
  <si>
    <t>alejandra</t>
  </si>
  <si>
    <t>patricia</t>
  </si>
  <si>
    <t>rachel</t>
  </si>
  <si>
    <t>tequiero</t>
  </si>
  <si>
    <t>cheese</t>
  </si>
  <si>
    <t>arsenal</t>
  </si>
  <si>
    <t>dolphin</t>
  </si>
  <si>
    <t>antonio</t>
  </si>
  <si>
    <t>heather</t>
  </si>
  <si>
    <t>david</t>
  </si>
  <si>
    <t>ginger</t>
  </si>
  <si>
    <t>stephanie</t>
  </si>
  <si>
    <t>peanut</t>
  </si>
  <si>
    <t>blink182</t>
  </si>
  <si>
    <t>sweetie</t>
  </si>
  <si>
    <t>beauty</t>
  </si>
  <si>
    <t>victoria</t>
  </si>
  <si>
    <t>honey</t>
  </si>
  <si>
    <t>dominican1</t>
  </si>
  <si>
    <t>fernando</t>
  </si>
  <si>
    <t>pokemon</t>
  </si>
  <si>
    <t>maggie</t>
  </si>
  <si>
    <t>corazon</t>
  </si>
  <si>
    <t>chicken</t>
  </si>
  <si>
    <t>pepper</t>
  </si>
  <si>
    <t>cristina</t>
  </si>
  <si>
    <t>rainbow</t>
  </si>
  <si>
    <t>kisses</t>
  </si>
  <si>
    <t>manuel</t>
  </si>
  <si>
    <t>myspace</t>
  </si>
  <si>
    <t>rebelde</t>
  </si>
  <si>
    <t>angel1</t>
  </si>
  <si>
    <t>ricardo</t>
  </si>
  <si>
    <t>babygurl</t>
  </si>
  <si>
    <t>heaven</t>
  </si>
  <si>
    <t>baseball</t>
  </si>
  <si>
    <t>martin</t>
  </si>
  <si>
    <t>greenday</t>
  </si>
  <si>
    <t>november</t>
  </si>
  <si>
    <t>alyssa</t>
  </si>
  <si>
    <t>madison</t>
  </si>
  <si>
    <t>mother</t>
  </si>
  <si>
    <t>123abc</t>
  </si>
  <si>
    <t>mahalkita</t>
  </si>
  <si>
    <t>batman</t>
  </si>
  <si>
    <t>september</t>
  </si>
  <si>
    <t>december</t>
  </si>
  <si>
    <t>morgan</t>
  </si>
  <si>
    <t>mariposa</t>
  </si>
  <si>
    <t>maria</t>
  </si>
  <si>
    <t>gabriela</t>
  </si>
  <si>
    <t>iloveyou2</t>
  </si>
  <si>
    <t>bailey</t>
  </si>
  <si>
    <t>jeremy</t>
  </si>
  <si>
    <t>pamela</t>
  </si>
  <si>
    <t>kimberly</t>
  </si>
  <si>
    <t>gemini</t>
  </si>
  <si>
    <t>shannon</t>
  </si>
  <si>
    <t>pictures</t>
  </si>
  <si>
    <t>asshole</t>
  </si>
  <si>
    <t>sophie</t>
  </si>
  <si>
    <t>jessie</t>
  </si>
  <si>
    <t>hellokitty</t>
  </si>
  <si>
    <t>claudia</t>
  </si>
  <si>
    <t>babygirl1</t>
  </si>
  <si>
    <t>angelica</t>
  </si>
  <si>
    <t>austin</t>
  </si>
  <si>
    <t>mahalko</t>
  </si>
  <si>
    <t>victor</t>
  </si>
  <si>
    <t>horses</t>
  </si>
  <si>
    <t>tiffany</t>
  </si>
  <si>
    <t>mariana</t>
  </si>
  <si>
    <t>eduardo</t>
  </si>
  <si>
    <t>andres</t>
  </si>
  <si>
    <t>courtney</t>
  </si>
  <si>
    <t>booboo</t>
  </si>
  <si>
    <t>kissme</t>
  </si>
  <si>
    <t>harley</t>
  </si>
  <si>
    <t>ronaldo</t>
  </si>
  <si>
    <t>iloveyou1</t>
  </si>
  <si>
    <t>precious</t>
  </si>
  <si>
    <t>october</t>
  </si>
  <si>
    <t>inuyasha</t>
  </si>
  <si>
    <t>peaches</t>
  </si>
  <si>
    <t>veronica</t>
  </si>
  <si>
    <t>chris</t>
  </si>
  <si>
    <t>adriana</t>
  </si>
  <si>
    <t>cutie</t>
  </si>
  <si>
    <t>james</t>
  </si>
  <si>
    <t>banana</t>
  </si>
  <si>
    <t>prince</t>
  </si>
  <si>
    <t>friend</t>
  </si>
  <si>
    <t>jesus1</t>
  </si>
  <si>
    <t>crystal</t>
  </si>
  <si>
    <t>celtic</t>
  </si>
  <si>
    <t>zxcvbnm</t>
  </si>
  <si>
    <t>edward</t>
  </si>
  <si>
    <t>oliver</t>
  </si>
  <si>
    <t>diana</t>
  </si>
  <si>
    <t>samsung</t>
  </si>
  <si>
    <t>freedom</t>
  </si>
  <si>
    <t>angelo</t>
  </si>
  <si>
    <t>kenneth</t>
  </si>
  <si>
    <t>master</t>
  </si>
  <si>
    <t>scooby</t>
  </si>
  <si>
    <t>carmen</t>
  </si>
  <si>
    <t>sebastian</t>
  </si>
  <si>
    <t>rebecca</t>
  </si>
  <si>
    <t>jackie</t>
  </si>
  <si>
    <t>spiderman</t>
  </si>
  <si>
    <t>christopher</t>
  </si>
  <si>
    <t>karina</t>
  </si>
  <si>
    <t>johnny</t>
  </si>
  <si>
    <t>hotmail</t>
  </si>
  <si>
    <t>school</t>
  </si>
  <si>
    <t>barcelona</t>
  </si>
  <si>
    <t>august</t>
  </si>
  <si>
    <t>orlando</t>
  </si>
  <si>
    <t>samuel</t>
  </si>
  <si>
    <t>cameron</t>
  </si>
  <si>
    <t>slipknot</t>
  </si>
  <si>
    <t>cutiepie</t>
  </si>
  <si>
    <t>monkey1</t>
  </si>
  <si>
    <t>50cent</t>
  </si>
  <si>
    <t>bonita</t>
  </si>
  <si>
    <t>kevin</t>
  </si>
  <si>
    <t>bitch</t>
  </si>
  <si>
    <t>maganda</t>
  </si>
  <si>
    <t>babyboy</t>
  </si>
  <si>
    <t>casper</t>
  </si>
  <si>
    <t>brenda</t>
  </si>
  <si>
    <t>adidas</t>
  </si>
  <si>
    <t>kitten</t>
  </si>
  <si>
    <t>karen</t>
  </si>
  <si>
    <t>mustang</t>
  </si>
  <si>
    <t>isabel</t>
  </si>
  <si>
    <t>natalie</t>
  </si>
  <si>
    <t>cuteako</t>
  </si>
  <si>
    <t>javier</t>
  </si>
  <si>
    <t>sarah</t>
  </si>
  <si>
    <t>bowwow</t>
  </si>
  <si>
    <t>c,;;bj'[os]y'8k</t>
  </si>
  <si>
    <t>แมววิ่งบนหลังคา</t>
  </si>
  <si>
    <t>fk;g9G,ahk8nosok;</t>
  </si>
  <si>
    <t>ดาวเต็มฟ้าคืนหนาว</t>
  </si>
  <si>
    <t>],mtg]ryfci'</t>
  </si>
  <si>
    <t>ลมทะเลพัดแรง</t>
  </si>
  <si>
    <t>od[bowd]gsonv4^g-k</t>
  </si>
  <si>
    <t>นกบินไกลเหนือภูเขา</t>
  </si>
  <si>
    <t>/o9dd]k'8nog'up[</t>
  </si>
  <si>
    <t>ฝนตกกลางคืนเงียบ</t>
  </si>
  <si>
    <t>cl'fk;ljv'ahk</t>
  </si>
  <si>
    <t>แสงดาวส่องฟ้า</t>
  </si>
  <si>
    <t>x]k;jkp.o8]v'</t>
  </si>
  <si>
    <t>ปลาว่ายในคลอง</t>
  </si>
  <si>
    <t>odohvp[bo;o</t>
  </si>
  <si>
    <t>นกน้อยบินวน</t>
  </si>
  <si>
    <t>g,A]vpgsonvahk</t>
  </si>
  <si>
    <t>เมฆลอยเหนือฟ้า</t>
  </si>
  <si>
    <t>],sok;ryf,k</t>
  </si>
  <si>
    <t>ลมหนาวพัดมา</t>
  </si>
  <si>
    <t>/oriepk,g=hk</t>
  </si>
  <si>
    <t>ฝนพรำยามเช้า</t>
  </si>
  <si>
    <t>cffvjvopk,lkp</t>
  </si>
  <si>
    <t>แดดอ่อนยามสาย</t>
  </si>
  <si>
    <t>],ryf.[w,h</t>
  </si>
  <si>
    <t>ลมพัดใบไม้</t>
  </si>
  <si>
    <t>od[bo-hk,ohe</t>
  </si>
  <si>
    <t>นกบินข้ามน้ำ</t>
  </si>
  <si>
    <t>fk;rik;g9G,ahk</t>
  </si>
  <si>
    <t>ดาวพราวเต็มฟ้า</t>
  </si>
  <si>
    <t>g,A-k;]vp=hk</t>
  </si>
  <si>
    <t>เมฆขาวลอยช้า</t>
  </si>
  <si>
    <t>],ryfd]k'ok</t>
  </si>
  <si>
    <t>ลมพัดกลางนา</t>
  </si>
  <si>
    <t>od[bozjkog,A</t>
  </si>
  <si>
    <t>นกบินผ่านเมฆ</t>
  </si>
  <si>
    <t>x]k;jkpzjkosbo</t>
  </si>
  <si>
    <t>ปลาว่ายผ่านหิน</t>
  </si>
  <si>
    <t>],sok;,kgpnvo</t>
  </si>
  <si>
    <t>ลมหนาวมาเยือน</t>
  </si>
  <si>
    <t>fk;l;pd]k'ahk</t>
  </si>
  <si>
    <t>ดาวสวยกลางฟ้า</t>
  </si>
  <si>
    <t>g,A]vp[oahk</t>
  </si>
  <si>
    <t>เมฆลอยบนฟ้า</t>
  </si>
  <si>
    <t>/o9dib,8]v'</t>
  </si>
  <si>
    <t>ฝนตกริมคลอง</t>
  </si>
  <si>
    <t>od[bogsonv8]v'</t>
  </si>
  <si>
    <t>นกบินเหนือคลอง</t>
  </si>
  <si>
    <t>],ryfzjkook</t>
  </si>
  <si>
    <t>ลมพัดผ่านนา</t>
  </si>
  <si>
    <t>fk;rik;8nosok;</t>
  </si>
  <si>
    <t>ดาวพราวคืนหนาว</t>
  </si>
  <si>
    <t>g,A-k;]vpwd]</t>
  </si>
  <si>
    <t>เมฆขาวลอยไกล</t>
  </si>
  <si>
    <t>],gpGoryfg[k</t>
  </si>
  <si>
    <t>ลมเย็นพัดเบา</t>
  </si>
  <si>
    <t>/o9dg[kg[k</t>
  </si>
  <si>
    <t>ฝนตกเบาเบา</t>
  </si>
  <si>
    <t>od[bo;oahk</t>
  </si>
  <si>
    <t>นกบินวนฟ้า</t>
  </si>
  <si>
    <t>g,A]vp=hkq</t>
  </si>
  <si>
    <t>เมฆลอยช้าๆ</t>
  </si>
  <si>
    <t>fk;g9G,ahkpk,f7d</t>
  </si>
  <si>
    <t>ดาวเต็มฟ้ายามดึก</t>
  </si>
  <si>
    <t>],sok;d]k'8no</t>
  </si>
  <si>
    <t>ลมหนาวกลางคืน</t>
  </si>
  <si>
    <t>/orie8nosok;</t>
  </si>
  <si>
    <t>ฝนพรำคืนหนาว</t>
  </si>
  <si>
    <t>g,A-k;gsonvg-k</t>
  </si>
  <si>
    <t>เมฆขาวเหนือเขา</t>
  </si>
  <si>
    <t>od[bozjkoahk</t>
  </si>
  <si>
    <t>นกบินผ่านฟ้า</t>
  </si>
  <si>
    <t>fk;rik;8nofk;</t>
  </si>
  <si>
    <t>ดาวพราวคืนดาว</t>
  </si>
  <si>
    <t>],gpGopk,8je</t>
  </si>
  <si>
    <t>ลมเย็นยามค่ำ</t>
  </si>
  <si>
    <t>g,A]vpzjkoahk</t>
  </si>
  <si>
    <t>เมฆลอยผ่านฟ้า</t>
  </si>
  <si>
    <t>/o9d[og-k</t>
  </si>
  <si>
    <t>ฝนตกบนเขา</t>
  </si>
  <si>
    <t>odohvp[bowd]</t>
  </si>
  <si>
    <t>นกน้อยบินไกล</t>
  </si>
  <si>
    <t>fk;l;ppk,f7d</t>
  </si>
  <si>
    <t>ดาวสวยยามดึก</t>
  </si>
  <si>
    <t>],ryfpk,g=hk</t>
  </si>
  <si>
    <t>ลมพัดยามเช้า</t>
  </si>
  <si>
    <t>g,A-k;d]k'ahk</t>
  </si>
  <si>
    <t>เมฆขาวกลางฟ้า</t>
  </si>
  <si>
    <t>/o9dd]k'ok</t>
  </si>
  <si>
    <t>ฝนตกกลางนา</t>
  </si>
  <si>
    <t>od[bogsonvxjk</t>
  </si>
  <si>
    <t>นกบินเหนือป่า</t>
  </si>
  <si>
    <t>fk;rik;[oahk</t>
  </si>
  <si>
    <t>ดาวพราวบนฟ้า</t>
  </si>
  <si>
    <t>],sok;[og-k</t>
  </si>
  <si>
    <t>ลมหนาวบนเขา</t>
  </si>
  <si>
    <t>g,A]vppk,gpGo</t>
  </si>
  <si>
    <t>เมฆลอยยามเย็น</t>
  </si>
  <si>
    <t>/oriepk,8je</t>
  </si>
  <si>
    <t>ฝนพรำยามค่ำ</t>
  </si>
  <si>
    <t>;yoouhvkdkKfu</t>
  </si>
  <si>
    <t>วันนี้อากาศดี</t>
  </si>
  <si>
    <t>wxgmujp;dyows,</t>
  </si>
  <si>
    <t>ไปเที่ยวกันไหม</t>
  </si>
  <si>
    <t>de]y'mevtwi</t>
  </si>
  <si>
    <t>กำลังทำอะไร</t>
  </si>
  <si>
    <t>g0vdyori6j'ouh</t>
  </si>
  <si>
    <t>เจอกันพรุ่งนี้</t>
  </si>
  <si>
    <t>-v[86I,kd8iy[</t>
  </si>
  <si>
    <t>ขอบคุณมากครับ</t>
  </si>
  <si>
    <t>gfbomk'x]vf4yp</t>
  </si>
  <si>
    <t>เดินทางปลอดภัย</t>
  </si>
  <si>
    <t>d]y[[hkofufu</t>
  </si>
  <si>
    <t>กลับบ้านดีดี</t>
  </si>
  <si>
    <t>/yofuot8iy[</t>
  </si>
  <si>
    <t>ฝันดีนะครับ</t>
  </si>
  <si>
    <t>vijvp,kdg]p</t>
  </si>
  <si>
    <t>อร่อยมากเลย</t>
  </si>
  <si>
    <t>sb;-hk;c]h;</t>
  </si>
  <si>
    <t>หิวข้าวแล้ว</t>
  </si>
  <si>
    <t>dkcaihvocdh;so7j'</t>
  </si>
  <si>
    <t>กาแฟร้อนแก้วหนึ่ง</t>
  </si>
  <si>
    <t>ohegpGo=njo.0</t>
  </si>
  <si>
    <t>น้ำเย็นชื่นใจ</t>
  </si>
  <si>
    <t>=ko,s;koohvp</t>
  </si>
  <si>
    <t>ชานมหวานน้อย</t>
  </si>
  <si>
    <t>9h,peihvoq</t>
  </si>
  <si>
    <t>ต้มยำร้อนๆ</t>
  </si>
  <si>
    <t>s,^xbh'sv,q</t>
  </si>
  <si>
    <t>หมูปิ้งหอมๆ</t>
  </si>
  <si>
    <t>-o,xy'div[</t>
  </si>
  <si>
    <t>ขนมปังกรอบ</t>
  </si>
  <si>
    <t>DmiKyrmB.s,j</t>
  </si>
  <si>
    <t>โทรศัพท์ใหม่</t>
  </si>
  <si>
    <t>8v,rb;g9viBgiG;</t>
  </si>
  <si>
    <t>คอมพิวเตอร์เร็ว</t>
  </si>
  <si>
    <t>g,klB9y;.s,j</t>
  </si>
  <si>
    <t>เมาส์ตัวใหม่</t>
  </si>
  <si>
    <t>cxhorb,rBg'up[</t>
  </si>
  <si>
    <t>แป้นพิมพ์เงียบ</t>
  </si>
  <si>
    <t>0v4kr8,=yf</t>
  </si>
  <si>
    <t>จอภาพคมชัด</t>
  </si>
  <si>
    <t>gd,.s,jlo6d</t>
  </si>
  <si>
    <t>เกมใหม่สนุก</t>
  </si>
  <si>
    <t>g]jogd,dyo</t>
  </si>
  <si>
    <t>เล่นเกมกัน</t>
  </si>
  <si>
    <t>f^soy'8noouh</t>
  </si>
  <si>
    <t>ดูหนังคืนนี้</t>
  </si>
  <si>
    <t>ay'gr]'l[kp</t>
  </si>
  <si>
    <t>ฟังเพลงสบาย</t>
  </si>
  <si>
    <t>vjkosoy'lnv</t>
  </si>
  <si>
    <t>อ่านหนังสือ</t>
  </si>
  <si>
    <t>;b=k8Ib9Kkl9iB</t>
  </si>
  <si>
    <t>วิชาคณิตศาสตร์</t>
  </si>
  <si>
    <t>giupo4kJkwmp</t>
  </si>
  <si>
    <t>เรียนภาษาไทย</t>
  </si>
  <si>
    <t>dki[hko;yoouh</t>
  </si>
  <si>
    <t>การบ้านวันนี้</t>
  </si>
  <si>
    <t>g9iup,lv[c]h;</t>
  </si>
  <si>
    <t>เตรียมสอบแล้ว</t>
  </si>
  <si>
    <t>grnjvolobm</t>
  </si>
  <si>
    <t>เพื่อนสนิท</t>
  </si>
  <si>
    <t>oyfg0vdyo</t>
  </si>
  <si>
    <t>นัดเจอกัน</t>
  </si>
  <si>
    <t>86pdyodjvo</t>
  </si>
  <si>
    <t>คุยกันก่อน</t>
  </si>
  <si>
    <t>ivvp^j9i'ouh</t>
  </si>
  <si>
    <t>รออยู่ตรงนี้</t>
  </si>
  <si>
    <t>8bf57'gl,v</t>
  </si>
  <si>
    <t>คิดถึงเสมอ</t>
  </si>
  <si>
    <t>rit0yomiBl;p</t>
  </si>
  <si>
    <t>พระจันทร์สวย</t>
  </si>
  <si>
    <t>fk;g9G,ahk</t>
  </si>
  <si>
    <t>ดาวเต็มฟ้า</t>
  </si>
  <si>
    <t>],ryfgpGo</t>
  </si>
  <si>
    <t>ลมพัดเย็น</t>
  </si>
  <si>
    <t>/o9drie</t>
  </si>
  <si>
    <t>ฝนตกพรำ</t>
  </si>
  <si>
    <t>g,A]vp=hk</t>
  </si>
  <si>
    <t>เมฆลอยช้า</t>
  </si>
  <si>
    <t>mtg]l;p,kd</t>
  </si>
  <si>
    <t>ทะเลสวยมาก</t>
  </si>
  <si>
    <t>4^g-kl^'</t>
  </si>
  <si>
    <t>ภูเขาสูง</t>
  </si>
  <si>
    <t>xjkw,hg-up;</t>
  </si>
  <si>
    <t>ป่าไม้เขียว</t>
  </si>
  <si>
    <t>c,;ohvpovo</t>
  </si>
  <si>
    <t>แมวน้อยนอน</t>
  </si>
  <si>
    <t>od[bowd]</t>
  </si>
  <si>
    <t>นกบินไกล</t>
  </si>
  <si>
    <t>],sok;ryfzjkook</t>
  </si>
  <si>
    <t>ลมหนาวพัดผ่านนา</t>
  </si>
  <si>
    <t>g,A-k;]vpgsonvg-k</t>
  </si>
  <si>
    <t>เมฆขาวลอยเหนือเขา</t>
  </si>
  <si>
    <t>fk;rik;d]k'8nol'[</t>
  </si>
  <si>
    <t>ดาวพราวกลางคืนสงบ</t>
  </si>
  <si>
    <t>/oriepk,8je8no</t>
  </si>
  <si>
    <t>ฝนพรำยามค่ำคืน</t>
  </si>
  <si>
    <t>odohvp[bo-hk,ahk</t>
  </si>
  <si>
    <t>นกน้อยบินข้ามฟ้า</t>
  </si>
  <si>
    <t>mtg]8]njog[kg[k</t>
  </si>
  <si>
    <t>ทะเลคลื่นเบาเบา</t>
  </si>
  <si>
    <t>cl'cffv6jopk,g=hk</t>
  </si>
  <si>
    <t>แสงแดดอุ่นยามเช้า</t>
  </si>
  <si>
    <t>],mtg]gpGol[kp</t>
  </si>
  <si>
    <t>ลมทะเลเย็นสบาย</t>
  </si>
  <si>
    <t>g,Agmk]vp=hk</t>
  </si>
  <si>
    <t>เมฆเทาลอยช้า</t>
  </si>
  <si>
    <t>fk;itpb[pk,f7d</t>
  </si>
  <si>
    <t>ดาวระยิบยามดึก</t>
  </si>
  <si>
    <t>xjkg-up;g'up[l'[</t>
  </si>
  <si>
    <t>ป่าเขียวเงียบสงบ</t>
  </si>
  <si>
    <t>mk'gfbod]k'xjk</t>
  </si>
  <si>
    <t>ทางเดินกลางป่า</t>
  </si>
  <si>
    <t>ohe8hk'pk,g=hk</t>
  </si>
  <si>
    <t>น้ำค้างยามเช้า</t>
  </si>
  <si>
    <t>],ryfzjko4^g-k</t>
  </si>
  <si>
    <t>ลมพัดผ่านภูเขา</t>
  </si>
  <si>
    <t>cl'fk;d]k'ahk</t>
  </si>
  <si>
    <t>แสงดาวกลางฟ้า</t>
  </si>
  <si>
    <t>8]njomtg]Lyf/yj'</t>
  </si>
  <si>
    <t>คลื่นทะเลซัดฝั่ง</t>
  </si>
  <si>
    <t>od[bogsonvm6j'</t>
  </si>
  <si>
    <t>นกบินเหนือทุ่ง</t>
  </si>
  <si>
    <t>],ryf.[sPhk</t>
  </si>
  <si>
    <t>ลมพัดใบหญ้า</t>
  </si>
  <si>
    <t>/oDxip[k'g[k</t>
  </si>
  <si>
    <t>ฝนโปรยบางเบา</t>
  </si>
  <si>
    <t>g,A]vpgsonvm6j'ok</t>
  </si>
  <si>
    <t>เมฆลอยเหนือทุ่งนา</t>
  </si>
  <si>
    <t>cl'g=hkljv'4^g-k</t>
  </si>
  <si>
    <t>แสงเช้าส่องภูเขา</t>
  </si>
  <si>
    <t>],gpGod]k'm6j'</t>
  </si>
  <si>
    <t>ลมเย็นกลางทุ่ง</t>
  </si>
  <si>
    <t>fk;g9G,ahk8nol'[</t>
  </si>
  <si>
    <t>ดาวเต็มฟ้าคืนสงบ</t>
  </si>
  <si>
    <t>/orie[o4^g-k</t>
  </si>
  <si>
    <t>ฝนพรำบนภูเขา</t>
  </si>
  <si>
    <t>odohvp[bozjkook</t>
  </si>
  <si>
    <t>นกน้อยบินผ่านนา</t>
  </si>
  <si>
    <t>g,A-k;8]6,ahk</t>
  </si>
  <si>
    <t>เมฆขาวคลุมฟ้า</t>
  </si>
  <si>
    <t>],ryfg[kg[k</t>
  </si>
  <si>
    <t>ลมพัดเบาเบา</t>
  </si>
  <si>
    <t>cl'cffpk,lkp</t>
  </si>
  <si>
    <t>แสงแดดยามสาย</t>
  </si>
  <si>
    <t>fk;ljv'8nosok;</t>
  </si>
  <si>
    <t>ดาวส่องคืนหนาว</t>
  </si>
  <si>
    <t>/o9dpk,f7d</t>
  </si>
  <si>
    <t>ฝนตกยามดึก</t>
  </si>
  <si>
    <t>od[bozjkom6j'</t>
  </si>
  <si>
    <t>นกบินผ่านทุ่ง</t>
  </si>
  <si>
    <t>g,A]vpgsonvmtg]</t>
  </si>
  <si>
    <t>เมฆลอยเหนือทะเล</t>
  </si>
  <si>
    <t>],ryfpk,8je</t>
  </si>
  <si>
    <t>ลมพัดยามค่ำ</t>
  </si>
  <si>
    <t>fk;rik;gsonvg-k</t>
  </si>
  <si>
    <t>ดาวพราวเหนือเขา</t>
  </si>
  <si>
    <t>/oDxippk,gpGo</t>
  </si>
  <si>
    <t>ฝนโปรยยามเย็น</t>
  </si>
  <si>
    <t>g,A-k;pk,g=hk</t>
  </si>
  <si>
    <t>เมฆขาวยามเช้า</t>
  </si>
  <si>
    <t>fk;itpb[g9G,ahk</t>
  </si>
  <si>
    <t>ดาวระยิบเต็มฟ้า</t>
  </si>
  <si>
    <t>/o9dd]k'xjk</t>
  </si>
  <si>
    <t>ฝนตกกลางป่า</t>
  </si>
  <si>
    <t>od[bozjko4^g-k</t>
  </si>
  <si>
    <t>นกบินผ่านภูเขา</t>
  </si>
  <si>
    <t>g,Agmk8]6,ahk</t>
  </si>
  <si>
    <t>เมฆเทาคลุมฟ้า</t>
  </si>
  <si>
    <t>],sok;pk,f7d</t>
  </si>
  <si>
    <t>ลมหนาวยามดึก</t>
  </si>
  <si>
    <t>fk;l;pd]k'8no</t>
  </si>
  <si>
    <t>ดาวสวยกลางคืน</t>
  </si>
  <si>
    <t>/oried]k'8no</t>
  </si>
  <si>
    <t>ฝนพรำกลางคืน</t>
  </si>
  <si>
    <t>g,A-k;]vpl^'</t>
  </si>
  <si>
    <t>เมฆขาวลอยสูง</t>
  </si>
  <si>
    <t>],ryfzjkoxjk</t>
  </si>
  <si>
    <t>ลมพัดผ่านป่า</t>
  </si>
  <si>
    <t>fk;g9G,ahkpk,8je</t>
  </si>
  <si>
    <t>ดาวเต็มฟ้ายามค่ำ</t>
  </si>
  <si>
    <t>/o9dib,mtg]</t>
  </si>
  <si>
    <t>ฝนตกริมทะเล</t>
  </si>
  <si>
    <t>od[bo-hk,4^g-k</t>
  </si>
  <si>
    <t>นกบินข้ามภูเขา</t>
  </si>
  <si>
    <t>Kbi4ymixb'xb'</t>
  </si>
  <si>
    <t>ศิรภัทรปิงปิง</t>
  </si>
  <si>
    <t>Tod|9[vl</t>
  </si>
  <si>
    <t>ธนกฤตบอส</t>
  </si>
  <si>
    <t>Iy{;6ฒbD[Um</t>
  </si>
  <si>
    <t>ณัฐวุฒิโบ๊ท</t>
  </si>
  <si>
    <t>db99bKydfbB[v]</t>
  </si>
  <si>
    <t>กิตติศักดิ์บอล</t>
  </si>
  <si>
    <t>ruiryฒoBc['8B</t>
  </si>
  <si>
    <t>พีรพัฒน์แบงค์</t>
  </si>
  <si>
    <t>Tui4ymig[l</t>
  </si>
  <si>
    <t>ธีรภัทรเบส</t>
  </si>
  <si>
    <t>4^ibgf=[u,</t>
  </si>
  <si>
    <t>ภูริเดชบีม</t>
  </si>
  <si>
    <t>xdiIB[v,</t>
  </si>
  <si>
    <t>ปกรณ์บอม</t>
  </si>
  <si>
    <t>0ydid|JIB[bUd</t>
  </si>
  <si>
    <t>จักรกฤษณ์บิ๊ก</t>
  </si>
  <si>
    <t>;bKi69[vp</t>
  </si>
  <si>
    <t>วิศรุตบอย</t>
  </si>
  <si>
    <t>o4yllicri;</t>
  </si>
  <si>
    <t>นภัสสรแพรว</t>
  </si>
  <si>
    <t>rb,rB=odr]vp</t>
  </si>
  <si>
    <t>พิมพ์ชนกพลอย</t>
  </si>
  <si>
    <t>Kbibrix6p</t>
  </si>
  <si>
    <t>ศิริพรปุย</t>
  </si>
  <si>
    <t>dyPPkiy9oBxk]B,</t>
  </si>
  <si>
    <t>กัญญารัตน์ปาล์ม</t>
  </si>
  <si>
    <t>;iiIbKkrb,</t>
  </si>
  <si>
    <t>วรรณิศาพิม</t>
  </si>
  <si>
    <t>l6ry9ikcrm</t>
  </si>
  <si>
    <t>สุพัตราแพท</t>
  </si>
  <si>
    <t>=]Tb=kxUvx</t>
  </si>
  <si>
    <t>ชลธิชาป๊อป</t>
  </si>
  <si>
    <t>x;uIkxbjo</t>
  </si>
  <si>
    <t>ปวีณาปิ่น</t>
  </si>
  <si>
    <t>d,]=odxvofB</t>
  </si>
  <si>
    <t>กมลชนกปอนด์</t>
  </si>
  <si>
    <t>=obfkrik;</t>
  </si>
  <si>
    <t>ชนิดาพราว</t>
  </si>
  <si>
    <t>TokTbx9ho</t>
  </si>
  <si>
    <t>ธนาธิปต้น</t>
  </si>
  <si>
    <t>d|JEk9yh,</t>
  </si>
  <si>
    <t>กฤษฎาตั้ม</t>
  </si>
  <si>
    <t>;bmpk9^o</t>
  </si>
  <si>
    <t>วิทยาตูน</t>
  </si>
  <si>
    <t>Tof]g9h</t>
  </si>
  <si>
    <t>ธนดลเต้</t>
  </si>
  <si>
    <t>4^ibryฒoB9yh,</t>
  </si>
  <si>
    <t>ภูริพัฒน์ตั้ม</t>
  </si>
  <si>
    <t>K64=yp9jv</t>
  </si>
  <si>
    <t>ศุภชัยต่อ</t>
  </si>
  <si>
    <t>Tor]9hv,</t>
  </si>
  <si>
    <t>ธนพลต้อม</t>
  </si>
  <si>
    <t>rui4ymig9biBf</t>
  </si>
  <si>
    <t>พีรภัทรเติร์ด</t>
  </si>
  <si>
    <t>4^,bomiBg9hp</t>
  </si>
  <si>
    <t>ภูมินทร์เต้ย</t>
  </si>
  <si>
    <t>Tui;yฒoB9yh,</t>
  </si>
  <si>
    <t>ธีรวัฒน์ตั้ม</t>
  </si>
  <si>
    <t>v,iiy9oBcvo</t>
  </si>
  <si>
    <t>อมรรัตน์แอน</t>
  </si>
  <si>
    <t>x4k;fucv,</t>
  </si>
  <si>
    <t>ปภาวดีแอม</t>
  </si>
  <si>
    <t>K64]ydJIBcoo</t>
  </si>
  <si>
    <t>ศุภลักษณ์แนน</t>
  </si>
  <si>
    <t>iy9okcxh'</t>
  </si>
  <si>
    <t>รัตนาแป้ง</t>
  </si>
  <si>
    <t>;ibKik/hkp</t>
  </si>
  <si>
    <t>วริศราฝ้าย</t>
  </si>
  <si>
    <t>dod;iiIahk</t>
  </si>
  <si>
    <t>กนกวรรณฟ้า</t>
  </si>
  <si>
    <t>lbib;iiIgabiBo</t>
  </si>
  <si>
    <t>สิริวรรณเฟิร์น</t>
  </si>
  <si>
    <t>ry=ibomiBak'</t>
  </si>
  <si>
    <t>พัชรินทร์ฟาง</t>
  </si>
  <si>
    <t>viblikab]B,</t>
  </si>
  <si>
    <t>อริสราฟิล์ม</t>
  </si>
  <si>
    <t>=ok4iIB/o</t>
  </si>
  <si>
    <t>ชนาภรณ์ฝน</t>
  </si>
  <si>
    <t>Iy{;6ฒboym</t>
  </si>
  <si>
    <t>ณัฐวุฒินัท</t>
  </si>
  <si>
    <t>xdiIBoomB</t>
  </si>
  <si>
    <t>ปกรณ์นนท์</t>
  </si>
  <si>
    <t>Tui4ymiob;</t>
  </si>
  <si>
    <t>ธีรภัทรนิว</t>
  </si>
  <si>
    <t>;bKi69go,</t>
  </si>
  <si>
    <t>วิศรุตเนม</t>
  </si>
  <si>
    <t>db99bKydfbBwoLB</t>
  </si>
  <si>
    <t>กิตติศักดิ์ไนซ์</t>
  </si>
  <si>
    <t>ruiryฒoBDoh9</t>
  </si>
  <si>
    <t>พีรพัฒน์โน้ต</t>
  </si>
  <si>
    <t>Tod|9oym</t>
  </si>
  <si>
    <t>ธนกฤตนัท</t>
  </si>
  <si>
    <t>4^ibgf=ouDv</t>
  </si>
  <si>
    <t>ภูริเดชนีโอ</t>
  </si>
  <si>
    <t>0ydid|JIBgol</t>
  </si>
  <si>
    <t>จักรกฤษณ์เนส</t>
  </si>
  <si>
    <t>Kbi4ymiou]</t>
  </si>
  <si>
    <t>ศิรภัทรนีล</t>
  </si>
  <si>
    <t>To;yฒoB[kl</t>
  </si>
  <si>
    <t>ธนวัฒน์บาส</t>
  </si>
  <si>
    <t>r'Kdi[vp</t>
  </si>
  <si>
    <t>พงศกรบอย</t>
  </si>
  <si>
    <t>K64Iy{[vl</t>
  </si>
  <si>
    <t>ศุภณัฐบอส</t>
  </si>
  <si>
    <t>Iy{r'KBg[upiB</t>
  </si>
  <si>
    <t>ณัฐพงศ์เบียร์</t>
  </si>
  <si>
    <t>=pr][u,</t>
  </si>
  <si>
    <t>ชยพลบีม</t>
  </si>
  <si>
    <t>4kI6r'KB[v]</t>
  </si>
  <si>
    <t>ภาณุพงศ์บอล</t>
  </si>
  <si>
    <t>Tuigf=c['8B</t>
  </si>
  <si>
    <t>ธีรเดชแบงค์</t>
  </si>
  <si>
    <t>vy8ir][bUd</t>
  </si>
  <si>
    <t>อัครพลบิ๊ก</t>
  </si>
  <si>
    <t>;ui4ymi[kl</t>
  </si>
  <si>
    <t>วีรภัทรบาส</t>
  </si>
  <si>
    <t>xibPPk[v,</t>
  </si>
  <si>
    <t>ปริญญาบอม</t>
  </si>
  <si>
    <t>Tokdi9ho</t>
  </si>
  <si>
    <t>ธนากรต้น</t>
  </si>
  <si>
    <t>Tokdi9yh,</t>
  </si>
  <si>
    <t>ธนากรตั้ม</t>
  </si>
  <si>
    <t>=koomBg9h</t>
  </si>
  <si>
    <t>ชานนท์เต้</t>
  </si>
  <si>
    <t>4^;f]g9biBf</t>
  </si>
  <si>
    <t>ภูวดลเติร์ด</t>
  </si>
  <si>
    <t>K64db0g9hp</t>
  </si>
  <si>
    <t>ศุภกิจเต้ย</t>
  </si>
  <si>
    <t>dko9B4r9hv,</t>
  </si>
  <si>
    <t>กานต์ภพต้อม</t>
  </si>
  <si>
    <t>To4ymi9jv</t>
  </si>
  <si>
    <t>ธนภัทรต่อ</t>
  </si>
  <si>
    <t>r=ig9biBf</t>
  </si>
  <si>
    <t>พชรเติร์ด</t>
  </si>
  <si>
    <t>ruiIy{9ho</t>
  </si>
  <si>
    <t>พีรณัฐต้น</t>
  </si>
  <si>
    <t>x4y'di9^o</t>
  </si>
  <si>
    <t>ปภังกรตูน</t>
  </si>
  <si>
    <t>o|g[KoBoomB</t>
  </si>
  <si>
    <t>นฤเบศน์นนท์</t>
  </si>
  <si>
    <t>Iy{oomBoym</t>
  </si>
  <si>
    <t>ณัฐนนท์นัท</t>
  </si>
  <si>
    <t>4^ibIy{ob;</t>
  </si>
  <si>
    <t>ภูริณัฐนิว</t>
  </si>
  <si>
    <t>K64Iy{go,</t>
  </si>
  <si>
    <t>ศุภณัฐเนม</t>
  </si>
  <si>
    <t>Tof]woLB</t>
  </si>
  <si>
    <t>ธนดลไนซ์</t>
  </si>
  <si>
    <t>4^ibryฒoBDoh9</t>
  </si>
  <si>
    <t>ภูริพัฒน์โน้ต</t>
  </si>
  <si>
    <t>d|94kloym</t>
  </si>
  <si>
    <t>กฤตภาสนัท</t>
  </si>
  <si>
    <t>;ui4ymiouDv</t>
  </si>
  <si>
    <t>วีรภัทรนีโอ</t>
  </si>
  <si>
    <t>Iy{r'KBgol</t>
  </si>
  <si>
    <t>ณัฐพงศ์เนส</t>
  </si>
  <si>
    <t>=pr]ou]</t>
  </si>
  <si>
    <t>ชยพลนีล</t>
  </si>
  <si>
    <t>rb,rB=odcri</t>
  </si>
  <si>
    <t>พิมพ์ชนกแพร</t>
  </si>
  <si>
    <t>Kbibrir]vp</t>
  </si>
  <si>
    <t>ศิริพรพลอย</t>
  </si>
  <si>
    <t>d,]=odx6p</t>
  </si>
  <si>
    <t>กมลชนกปุย</t>
  </si>
  <si>
    <t>x;uIkxk]B,</t>
  </si>
  <si>
    <t>ปวีณาปาล์ม</t>
  </si>
  <si>
    <t>o4yllirb,</t>
  </si>
  <si>
    <t>นภัสสรพิม</t>
  </si>
  <si>
    <t>;iiIbKkcrm</t>
  </si>
  <si>
    <t>วรรณิศาแพท</t>
  </si>
  <si>
    <t>ry=ibomiBxbjo</t>
  </si>
  <si>
    <t>พัชรินทร์ปิ่น</t>
  </si>
  <si>
    <t>dod;iiIxvofB</t>
  </si>
  <si>
    <t>กนกวรรณปอนด์</t>
  </si>
  <si>
    <t>lbib;iiIrik;</t>
  </si>
  <si>
    <t>สิริวรรณพราว</t>
  </si>
  <si>
    <t>viblikcvo</t>
  </si>
  <si>
    <t>อริสราแอน</t>
  </si>
  <si>
    <t>=ok4iIBcv,</t>
  </si>
  <si>
    <t>ชนาภรณ์แอม</t>
  </si>
  <si>
    <t>;ibKikcxh'</t>
  </si>
  <si>
    <t>วริศราแป้ง</t>
  </si>
  <si>
    <t>dyPPkiy9oB/hkp</t>
  </si>
  <si>
    <t>กัญญารัตน์ฝ้าย</t>
  </si>
  <si>
    <t>Tbfkiy9oBahk</t>
  </si>
  <si>
    <t>ธิดารัตน์ฟ้า</t>
  </si>
  <si>
    <t>x4k;fugabiBo</t>
  </si>
  <si>
    <t>ปภาวดีเฟิร์น</t>
  </si>
  <si>
    <t>rb,rB]4ylak'</t>
  </si>
  <si>
    <t>พิมพ์ลภัสฟาง</t>
  </si>
  <si>
    <t>=69b,k/o</t>
  </si>
  <si>
    <t>ชุติมาฝน</t>
  </si>
  <si>
    <t>Ib=k4kgabiBl</t>
  </si>
  <si>
    <t>ณิชาภาเฟิร์ส</t>
  </si>
  <si>
    <t>Tui4ymigd,lB</t>
  </si>
  <si>
    <t>ธีรภัทรเกมส์</t>
  </si>
  <si>
    <t>4^ibgf=dkp</t>
  </si>
  <si>
    <t>ภูริเดชกาย</t>
  </si>
  <si>
    <t>xdiIBdv]Ba</t>
  </si>
  <si>
    <t>ปกรณ์กอล์ฟ</t>
  </si>
  <si>
    <t>0ydid|JIBdyl</t>
  </si>
  <si>
    <t>จักรกฤษณ์กัส</t>
  </si>
  <si>
    <t>;bKi69gdj'</t>
  </si>
  <si>
    <t>วิศรุตเก่ง</t>
  </si>
  <si>
    <t>db99bKydfbBdhv'</t>
  </si>
  <si>
    <t>กิตติศักดิ์ก้อง</t>
  </si>
  <si>
    <t>TokTbxdyx9yo</t>
  </si>
  <si>
    <t>ธนาธิปกัปตัน</t>
  </si>
  <si>
    <t>ruiryฒoBdko9B</t>
  </si>
  <si>
    <t>พีรพัฒน์กานต์</t>
  </si>
  <si>
    <t>K64=ypdv]Ba</t>
  </si>
  <si>
    <t>ศุภชัยกอล์ฟ</t>
  </si>
  <si>
    <t>Tor]gd,lB</t>
  </si>
  <si>
    <t>ธนพลเกมส์</t>
  </si>
  <si>
    <t>Kbib;yฒoBg0,lB</t>
  </si>
  <si>
    <t>ศิริวัฒน์เจมส์</t>
  </si>
  <si>
    <t>Tui;yฒoBg0</t>
  </si>
  <si>
    <t>ธีรวัฒน์เจ</t>
  </si>
  <si>
    <t>4^,bomiBg0</t>
  </si>
  <si>
    <t>ภูมินทร์เจ</t>
  </si>
  <si>
    <t>r'KdiD0</t>
  </si>
  <si>
    <t>พงศกรโจ</t>
  </si>
  <si>
    <t>Tokdi0Uv[</t>
  </si>
  <si>
    <t>ธนากรจ๊อบ</t>
  </si>
  <si>
    <t>Iy{;6ฒb0b,</t>
  </si>
  <si>
    <t>ณัฐวุฒิจิม</t>
  </si>
  <si>
    <t>;ui4ymi0^o</t>
  </si>
  <si>
    <t>วีรภัทรจูน</t>
  </si>
  <si>
    <t>x4y'dig09</t>
  </si>
  <si>
    <t>ปภังกรเจต</t>
  </si>
  <si>
    <t>=koomBc0G8</t>
  </si>
  <si>
    <t>ชานนท์แจ็ค</t>
  </si>
  <si>
    <t>To;yฒoBg0a</t>
  </si>
  <si>
    <t>ธนวัฒน์เจฟ</t>
  </si>
  <si>
    <t>rb,rB=od0^o</t>
  </si>
  <si>
    <t>พิมพ์ชนกจูน</t>
  </si>
  <si>
    <t>dod;iiI0vp</t>
  </si>
  <si>
    <t>กนกวรรณจอย</t>
  </si>
  <si>
    <t>=]Tb=k0uo</t>
  </si>
  <si>
    <t>ชลธิชาจีน</t>
  </si>
  <si>
    <t>o4yllic0o</t>
  </si>
  <si>
    <t>นภัสสรแจน</t>
  </si>
  <si>
    <t>x;uIk0vp</t>
  </si>
  <si>
    <t>ปวีณาจอย</t>
  </si>
  <si>
    <t>;iiIbKk0^o</t>
  </si>
  <si>
    <t>วรรณิศาจูน</t>
  </si>
  <si>
    <t>Kbibri0bU[</t>
  </si>
  <si>
    <t>ศิริพรจิ๊บ</t>
  </si>
  <si>
    <t>=69b,k0bU[</t>
  </si>
  <si>
    <t>ชุติมาจิ๊บ</t>
  </si>
  <si>
    <t>Tbfkiy9oB0vp</t>
  </si>
  <si>
    <t>ธิดารัตน์จอย</t>
  </si>
  <si>
    <t>Ib=k4k0uo</t>
  </si>
  <si>
    <t>ณิชาภาจีน</t>
  </si>
  <si>
    <t>Tokdiw,8B</t>
  </si>
  <si>
    <t>ธนากรไมค์</t>
  </si>
  <si>
    <t>4kI6r'KB,vl</t>
  </si>
  <si>
    <t>ภาณุพงศ์มอส</t>
  </si>
  <si>
    <t>xdiIB,bdLB</t>
  </si>
  <si>
    <t>ปกรณ์มิกซ์</t>
  </si>
  <si>
    <t>Tuigf=,kiB8</t>
  </si>
  <si>
    <t>ธีรเดชมาร์ค</t>
  </si>
  <si>
    <t>K64Iy{D,</t>
  </si>
  <si>
    <t>ศุภณัฐโม</t>
  </si>
  <si>
    <t>ruiIy{c,o</t>
  </si>
  <si>
    <t>พีรณัฐแมน</t>
  </si>
  <si>
    <t>dko9B4r,b;</t>
  </si>
  <si>
    <t>กานต์ภพมิว</t>
  </si>
  <si>
    <t>=pr],bd</t>
  </si>
  <si>
    <t>ชยพลมิก</t>
  </si>
  <si>
    <t>;ui4ymi,vl</t>
  </si>
  <si>
    <t>วีรภัทรมอส</t>
  </si>
  <si>
    <t>4^;f]c,Gd</t>
  </si>
  <si>
    <t>ภูวดลแม็ก</t>
  </si>
  <si>
    <t>rb,rB=od,uo</t>
  </si>
  <si>
    <t>พิมพ์ชนกมีน</t>
  </si>
  <si>
    <t>=69b,k,kp</t>
  </si>
  <si>
    <t>ชุติมามาย</t>
  </si>
  <si>
    <t>Kbibrig,pB</t>
  </si>
  <si>
    <t>ศิริพรเมย์</t>
  </si>
  <si>
    <t>o4ylli,uo</t>
  </si>
  <si>
    <t>นภัสสรมีน</t>
  </si>
  <si>
    <t>;ibKikD,</t>
  </si>
  <si>
    <t>วริศราโม</t>
  </si>
  <si>
    <t>x;uIk,bhomB</t>
  </si>
  <si>
    <t>ปวีณามิ้นท์</t>
  </si>
  <si>
    <t>dod;iiI,6d</t>
  </si>
  <si>
    <t>กนกวรรณมุก</t>
  </si>
  <si>
    <t>ry=ibomiB,bh;</t>
  </si>
  <si>
    <t>พัชรินทร์มิ้ว</t>
  </si>
  <si>
    <t>=]Tb=k,bho</t>
  </si>
  <si>
    <t>ชลธิชามิ้น</t>
  </si>
  <si>
    <t>Ib=k4k,6d</t>
  </si>
  <si>
    <t>ณิชาภามุก</t>
  </si>
  <si>
    <t>Kbi4ymil6-l;ylfbB</t>
  </si>
  <si>
    <t>ศิรภัทรสุขสวัสดิ์</t>
  </si>
  <si>
    <t>Tod|9[6P,kd</t>
  </si>
  <si>
    <t>ธนกฤตบุญมาก</t>
  </si>
  <si>
    <t>Iy{;6ฒbKiumv'</t>
  </si>
  <si>
    <t>ณัฐวุฒิศรีทอง</t>
  </si>
  <si>
    <t>db99bKydfbB,yjo8'</t>
  </si>
  <si>
    <t>กิตติศักดิ์มั่นคง</t>
  </si>
  <si>
    <t>ruiryฒoB;'KBfu</t>
  </si>
  <si>
    <t>พีรพัฒน์วงศ์ดี</t>
  </si>
  <si>
    <t>Tui4ymi.0'k,</t>
  </si>
  <si>
    <t>ธีรภัทรใจงาม</t>
  </si>
  <si>
    <t>4^ibgf=ris,fu</t>
  </si>
  <si>
    <t>ภูริเดชพรหมดี</t>
  </si>
  <si>
    <t>xdiIBKiul;ylfbB</t>
  </si>
  <si>
    <t>ปกรณ์ศรีสวัสดิ์</t>
  </si>
  <si>
    <t>0ydid|JIBcdh;8e</t>
  </si>
  <si>
    <t>จักรกฤษณ์แก้วคำ</t>
  </si>
  <si>
    <t>;bKi69[6P=j;p</t>
  </si>
  <si>
    <t>วิศรุตบุญช่วย</t>
  </si>
  <si>
    <t>TokTbx=yp,'8]</t>
  </si>
  <si>
    <t>ธนาธิปชัยมงคล</t>
  </si>
  <si>
    <t>4^,bomiBgdupi9bpK</t>
  </si>
  <si>
    <t>ภูมินทร์เกียรติยศ</t>
  </si>
  <si>
    <t>x4y'dicl'mv'</t>
  </si>
  <si>
    <t>ปภังกรแสงทอง</t>
  </si>
  <si>
    <t>=koomB8e,u</t>
  </si>
  <si>
    <t>ชานนท์คำมี</t>
  </si>
  <si>
    <t>dko9B4rr^]miyrpB</t>
  </si>
  <si>
    <t>กานต์ภพพูลทรัพย์</t>
  </si>
  <si>
    <t>;ui4ymi;'KBl;ylfbB</t>
  </si>
  <si>
    <t>วีรภัทรวงศ์สวัสดิ์</t>
  </si>
  <si>
    <t>Tui;yฒoB0b9,yjo</t>
  </si>
  <si>
    <t>ธีรวัฒน์จิตมั่น</t>
  </si>
  <si>
    <t>r'Kdil6-.0</t>
  </si>
  <si>
    <t>พงศกรสุขใจ</t>
  </si>
  <si>
    <t>4kI6r'KBr'JBfu</t>
  </si>
  <si>
    <t>ภาณุพงศ์พงษ์ดี</t>
  </si>
  <si>
    <t>K64=yp[6PPk</t>
  </si>
  <si>
    <t>ศุภชัยบุญญา</t>
  </si>
  <si>
    <t>Tor]KydfbB=yp</t>
  </si>
  <si>
    <t>ธนพลศักดิ์ชัย</t>
  </si>
  <si>
    <t>ruiIy{Kiul6-</t>
  </si>
  <si>
    <t>พีรณัฐศรีสุข</t>
  </si>
  <si>
    <t>xibPPk,yj',u</t>
  </si>
  <si>
    <t>ปริญญามั่งมี</t>
  </si>
  <si>
    <t>Iy{r'KBKiu8e</t>
  </si>
  <si>
    <t>ณัฐพงศ์ศรีคำ</t>
  </si>
  <si>
    <t>To;yฒoB.0Lnjv</t>
  </si>
  <si>
    <t>ธนวัฒน์ใจซื่อ</t>
  </si>
  <si>
    <t>4^;f];'KBmv'</t>
  </si>
  <si>
    <t>ภูวดลวงศ์ทอง</t>
  </si>
  <si>
    <t>d|94kl=ypfu</t>
  </si>
  <si>
    <t>กฤตภาสชัยดี</t>
  </si>
  <si>
    <t>K64Iy{cl'l;jk'</t>
  </si>
  <si>
    <t>ศุภณัฐแสงสว่าง</t>
  </si>
  <si>
    <t>=pr]8ecdh;</t>
  </si>
  <si>
    <t>ชยพลคำแก้ว</t>
  </si>
  <si>
    <t>;uigf=mv'fu</t>
  </si>
  <si>
    <t>วีรเดชทองดี</t>
  </si>
  <si>
    <t>rb,rB=odKiumv'</t>
  </si>
  <si>
    <t>พิมพ์ชนกศรีทอง</t>
  </si>
  <si>
    <t>o4yllicdh;.l</t>
  </si>
  <si>
    <t>นภัสสรแก้วใส</t>
  </si>
  <si>
    <t>Kbibril6-l;ylfbB</t>
  </si>
  <si>
    <t>ศิริพรสุขสวัสดิ์</t>
  </si>
  <si>
    <t>dyPPkiy9oBmv'fu</t>
  </si>
  <si>
    <t>กัญญารัตน์ทองดี</t>
  </si>
  <si>
    <t>;iiIbKkKiul;ylfbB</t>
  </si>
  <si>
    <t>วรรณิศาศรีสวัสดิ์</t>
  </si>
  <si>
    <t>l6ry9ik.0'k,</t>
  </si>
  <si>
    <t>สุพัตราใจงาม</t>
  </si>
  <si>
    <t>=]Tb=kKydfbB=yp</t>
  </si>
  <si>
    <t>ชลธิชาศักดิ์ชัย</t>
  </si>
  <si>
    <t>x;uIkcl'mv'</t>
  </si>
  <si>
    <t>ปวีณาแสงทอง</t>
  </si>
  <si>
    <t>d,]=odcdh;,Iu</t>
  </si>
  <si>
    <t>กมลชนกแก้วมณี</t>
  </si>
  <si>
    <t>=obfkKiul6-</t>
  </si>
  <si>
    <t>ชนิดาศรีสุข</t>
  </si>
  <si>
    <t>v,iiy9oB,yj',u</t>
  </si>
  <si>
    <t>อมรรัตน์มั่งมี</t>
  </si>
  <si>
    <t>x4k;fuKiu8e</t>
  </si>
  <si>
    <t>ปภาวดีศรีคำ</t>
  </si>
  <si>
    <t>K64]ydJIB[6PPk</t>
  </si>
  <si>
    <t>ศุภลักษณ์บุญญา</t>
  </si>
  <si>
    <t>iy9okKiumv'</t>
  </si>
  <si>
    <t>รัตนาศรีทอง</t>
  </si>
  <si>
    <t>;ibKikl6-.0</t>
  </si>
  <si>
    <t>วริศราสุขใจ</t>
  </si>
  <si>
    <t>dod;iiI;'KBfu</t>
  </si>
  <si>
    <t>กนกวรรณวงศ์ดี</t>
  </si>
  <si>
    <t>lbib;iiIr'JBfu</t>
  </si>
  <si>
    <t>สิริวรรณพงษ์ดี</t>
  </si>
  <si>
    <t>ry=ibomiB=yp,'8]</t>
  </si>
  <si>
    <t>พัชรินทร์ชัยมงคล</t>
  </si>
  <si>
    <t>viblikcl'l;jk'</t>
  </si>
  <si>
    <t>อริสราแสงสว่าง</t>
  </si>
  <si>
    <t>=ok4iIBcdh;8e</t>
  </si>
  <si>
    <t>ชนาภรณ์แก้วคำ</t>
  </si>
  <si>
    <t>Tbfkiy9oB[6P,kd</t>
  </si>
  <si>
    <t>ธิดารัตน์บุญมาก</t>
  </si>
  <si>
    <t>Ib=k4kKiul;ylfbB</t>
  </si>
  <si>
    <t>ณิชาภาศรีสวัสดิ์</t>
  </si>
  <si>
    <t>=69b,kris,fu</t>
  </si>
  <si>
    <t>ชุติมาพรหมดี</t>
  </si>
  <si>
    <t>rb,rB]4ylKiumv'</t>
  </si>
  <si>
    <t>พิมพ์ลภัสศรีทอง</t>
  </si>
  <si>
    <t>Kbib;iiI,yjo8'</t>
  </si>
  <si>
    <t>ศิริวรรณมั่นคง</t>
  </si>
  <si>
    <t>x;uIkKydfbB=yp</t>
  </si>
  <si>
    <t>ปวีณาศักดิ์ชัย</t>
  </si>
  <si>
    <t>dyPPk4kKiu8e</t>
  </si>
  <si>
    <t>กัญญาภาศรีคำ</t>
  </si>
  <si>
    <t>l64ylikr^]l6-</t>
  </si>
  <si>
    <t>สุภัสราพูลสุข</t>
  </si>
  <si>
    <t>i6j'mb;kcl'mv'</t>
  </si>
  <si>
    <t>รุ่งทิวาแสงทอง</t>
  </si>
  <si>
    <t>oyombpkKiul6-</t>
  </si>
  <si>
    <t>นันทิยาศรีสุข</t>
  </si>
  <si>
    <t>To4ymi;'KBfu</t>
  </si>
  <si>
    <t>ธนภัทรวงศ์ดี</t>
  </si>
  <si>
    <t>x4ylli[6P,kd</t>
  </si>
  <si>
    <t>ปภัสสรบุญมาก</t>
  </si>
  <si>
    <t>4^ibryฒoB=yp,'8]</t>
  </si>
  <si>
    <t>ภูริพัฒน์ชัยมงคล</t>
  </si>
  <si>
    <t>d|9TuKiumv'</t>
  </si>
  <si>
    <t>กฤตธีศรีทอง</t>
  </si>
  <si>
    <t>;ui;yฒoBl6-.0</t>
  </si>
  <si>
    <t>วีรวัฒน์สุขใจ</t>
  </si>
  <si>
    <t>=koomBKiul;ylfbB</t>
  </si>
  <si>
    <t>ชานนท์ศรีสวัสดิ์</t>
  </si>
  <si>
    <t>4kI6gf=cl'mv'</t>
  </si>
  <si>
    <t>ภาณุเดชแสงทอง</t>
  </si>
  <si>
    <t>Tuig,T,yjo8'</t>
  </si>
  <si>
    <t>ธีรเมธมั่นคง</t>
  </si>
  <si>
    <t>K64db0;'KBmv'</t>
  </si>
  <si>
    <t>ศุภกิจวงศ์ทอง</t>
  </si>
  <si>
    <t>r=iKiu8e</t>
  </si>
  <si>
    <t>พชรศรีคำ</t>
  </si>
  <si>
    <t>Tokdi[6PPk</t>
  </si>
  <si>
    <t>ธนากรบุญญา</t>
  </si>
  <si>
    <t>4^ibIy{cdh;,Iu</t>
  </si>
  <si>
    <t>ภูริณัฐแก้วมณี</t>
  </si>
  <si>
    <t>Iy{oomBKiumv'</t>
  </si>
  <si>
    <t>ณัฐนนท์ศรีทอง</t>
  </si>
  <si>
    <t>=p;yฒoBl6-l;ylfbB</t>
  </si>
  <si>
    <t>ชยวัฒน์สุขสวัสดิ์</t>
  </si>
  <si>
    <t>Tuigf=KydfbB=yp</t>
  </si>
  <si>
    <t>ธีรเดชศักดิ์ชัย</t>
  </si>
  <si>
    <t>xibPPkKiul6-</t>
  </si>
  <si>
    <t>ปริญญาศรีสุข</t>
  </si>
  <si>
    <t>K64Iy{;'KBfu</t>
  </si>
  <si>
    <t>ศุภณัฐวงศ์ดี</t>
  </si>
  <si>
    <t>dko9B4rr'JBfu</t>
  </si>
  <si>
    <t>กานต์ภพพงษ์ดี</t>
  </si>
  <si>
    <t>r'Kdi,yj',u</t>
  </si>
  <si>
    <t>พงศกรมั่งมี</t>
  </si>
  <si>
    <t>4^ibgf=cl'l;jk'</t>
  </si>
  <si>
    <t>ภูริเดชแสงสว่าง</t>
  </si>
  <si>
    <t>o4yllil6-.0</t>
  </si>
  <si>
    <t>นภัสสรสุขใจ</t>
  </si>
  <si>
    <t>rb,rB=od[6P,kd</t>
  </si>
  <si>
    <t>พิมพ์ชนกบุญมาก</t>
  </si>
  <si>
    <t>;iiIbKkKiu8e</t>
  </si>
  <si>
    <t>วรรณิศาศรีคำ</t>
  </si>
  <si>
    <t>=]Tb=kKiumv'</t>
  </si>
  <si>
    <t>ชลธิชาศรีทอง</t>
  </si>
  <si>
    <t>d,]=od;'KBfu</t>
  </si>
  <si>
    <t>กมลชนกวงศ์ดี</t>
  </si>
  <si>
    <t>x;uIkris,fu</t>
  </si>
  <si>
    <t>ปวีณาพรหมดี</t>
  </si>
  <si>
    <t>dyPPkiy9oBcl'mv'</t>
  </si>
  <si>
    <t>กัญญารัตน์แสงทอง</t>
  </si>
  <si>
    <t>Kbibri=yp,'8]</t>
  </si>
  <si>
    <t>ศิริพรชัยมงคล</t>
  </si>
  <si>
    <t>=69b,kKiul;ylfbB</t>
  </si>
  <si>
    <t>ชุติมาศรีสวัสดิ์</t>
  </si>
  <si>
    <t>Ib=k4kKiul6-</t>
  </si>
  <si>
    <t>ณิชาภาศรีสุข</t>
  </si>
  <si>
    <t>Tbfkiy9oB,yjo8'</t>
  </si>
  <si>
    <t>ธิดารัตน์มั่นคง</t>
  </si>
  <si>
    <t>viblikKydfbB=yp</t>
  </si>
  <si>
    <t>อริสราศักดิ์ชัย</t>
  </si>
  <si>
    <t>lbib;iiI[6PPk</t>
  </si>
  <si>
    <t>สิริวรรณบุญญา</t>
  </si>
  <si>
    <t>dod;iiI;'KBmv'</t>
  </si>
  <si>
    <t>กนกวรรณวงศ์ทอง</t>
  </si>
  <si>
    <t>ry=ibomiBcl'l;jk'</t>
  </si>
  <si>
    <t>พัชรินทร์แสงสว่าง</t>
  </si>
  <si>
    <t>iy9okKiu8e</t>
  </si>
  <si>
    <t>รัตนาศรีคำ</t>
  </si>
  <si>
    <t>;ibKikr'JBfu</t>
  </si>
  <si>
    <t>วริศราพงษ์ดี</t>
  </si>
  <si>
    <t>=ok4iIBKiumv'</t>
  </si>
  <si>
    <t>ชนาภรณ์ศรีทอง</t>
  </si>
  <si>
    <t>x4k;ful6-l;ylfbB</t>
  </si>
  <si>
    <t>ปภาวดีสุขสวัสดิ์</t>
  </si>
  <si>
    <t>K64]ydJIB=yp,'8]</t>
  </si>
  <si>
    <t>ศุภลักษณ์ชัยมงคล</t>
  </si>
  <si>
    <t>],gpGoryfzjkosohk9jk'</t>
  </si>
  <si>
    <t>ลมเย็นพัดผ่านหน้าต่าง</t>
  </si>
  <si>
    <t>cl'cffvjvopk,g=hk</t>
  </si>
  <si>
    <t>แสงแดดอ่อนยามเช้า</t>
  </si>
  <si>
    <t>g,A-k;]vpgsonvmtg]</t>
  </si>
  <si>
    <t>เมฆขาวลอยเหนือทะเล</t>
  </si>
  <si>
    <t>fk;l;pg9G,ahkpk,f7d</t>
  </si>
  <si>
    <t>ดาวสวยเต็มฟ้ายามดึก</t>
  </si>
  <si>
    <t>/orieg[kg[k.ol;o</t>
  </si>
  <si>
    <t>ฝนพรำเบาเบาในสวน</t>
  </si>
  <si>
    <t>odohvp[bogsonvm6j'ok</t>
  </si>
  <si>
    <t>นกน้อยบินเหนือทุ่งนา</t>
  </si>
  <si>
    <t>8]njomtg]Lyf/yj'g[k</t>
  </si>
  <si>
    <t>คลื่นทะเลซัดฝั่งเบา</t>
  </si>
  <si>
    <t>cl'0yomiBljv'd]k'8no</t>
  </si>
  <si>
    <t>แสงจันทร์ส่องกลางคืน</t>
  </si>
  <si>
    <t>],mtg]gpGopk,gpGo</t>
  </si>
  <si>
    <t>ลมทะเลเย็นยามเย็น</t>
  </si>
  <si>
    <t>g,Agmk]vpzjko4^g-k</t>
  </si>
  <si>
    <t>เมฆเทาลอยผ่านภูเขา</t>
  </si>
  <si>
    <t>/oDxip]'[os]y'8k</t>
  </si>
  <si>
    <t>ฝนโปรยลงบนหลังคา</t>
  </si>
  <si>
    <t>od[bozjkopvfw,h</t>
  </si>
  <si>
    <t>นกบินผ่านยอดไม้</t>
  </si>
  <si>
    <t>fk;itpb[gsonvmhv'ahk</t>
  </si>
  <si>
    <t>ดาวระยิบเหนือท้องฟ้า</t>
  </si>
  <si>
    <t>],ryfzjkom6j'sPhk</t>
  </si>
  <si>
    <t>ลมพัดผ่านทุ่งหญ้า</t>
  </si>
  <si>
    <t>g,A-k;]vp=hk.oahk</t>
  </si>
  <si>
    <t>เมฆขาวลอยช้าในฟ้า</t>
  </si>
  <si>
    <t>/o9drie.o9vog=hk</t>
  </si>
  <si>
    <t>ฝนตกพรำในตอนเช้า</t>
  </si>
  <si>
    <t>8]njomtg]ditm[sbo</t>
  </si>
  <si>
    <t>คลื่นทะเลกระทบหิน</t>
  </si>
  <si>
    <t>cl'fk;l;ppk,8je</t>
  </si>
  <si>
    <t>แสงดาวสวยยามค่ำ</t>
  </si>
  <si>
    <t>],sok;ryfib,mtg]</t>
  </si>
  <si>
    <t>ลมหนาวพัดริมทะเล</t>
  </si>
  <si>
    <t>g,A[k']vpgsonvg-k</t>
  </si>
  <si>
    <t>เมฆบางลอยเหนือเขา</t>
  </si>
  <si>
    <t>/o9d.o8nog'up[</t>
  </si>
  <si>
    <t>ฝนตกในคืนเงียบ</t>
  </si>
  <si>
    <t>fk;g9G,ahkpk,sok;</t>
  </si>
  <si>
    <t>ดาวเต็มฟ้ายามหนาว</t>
  </si>
  <si>
    <t>],gpGoryfib,xjk</t>
  </si>
  <si>
    <t>ลมเย็นพัดริมป่า</t>
  </si>
  <si>
    <t>g,A-k;]vpgsonvxjk</t>
  </si>
  <si>
    <t>เมฆขาวลอยเหนือป่า</t>
  </si>
  <si>
    <t>/oriepk,lkp</t>
  </si>
  <si>
    <t>ฝนพรำยามสาย</t>
  </si>
  <si>
    <t>cl'cffljv'pvfg-k</t>
  </si>
  <si>
    <t>แสงแดดส่องยอดเขา</t>
  </si>
  <si>
    <t>8]njomtg]ditm[/yj'</t>
  </si>
  <si>
    <t>คลื่นทะเลกระทบฝั่ง</t>
  </si>
  <si>
    <t>od[bogsonv4^g-k</t>
  </si>
  <si>
    <t>นกบินเหนือภูเขา</t>
  </si>
  <si>
    <t>],ryfzjkol;o</t>
  </si>
  <si>
    <t>ลมพัดผ่านสวน</t>
  </si>
  <si>
    <t>g,Agmk8]6,mhv'ahk</t>
  </si>
  <si>
    <t>เมฆเทาคลุมท้องฟ้า</t>
  </si>
  <si>
    <t>fk;l;ppk,d]k'8no</t>
  </si>
  <si>
    <t>ดาวสวยยามกลางคืน</t>
  </si>
  <si>
    <t>/o9drie.og,nv'</t>
  </si>
  <si>
    <t>ฝนตกพรำในเมือง</t>
  </si>
  <si>
    <t>],mtg]ryf9vog=hk</t>
  </si>
  <si>
    <t>ลมทะเลพัดตอนเช้า</t>
  </si>
  <si>
    <t>g,A-k;]vppk,lkp</t>
  </si>
  <si>
    <t>เมฆขาวลอยยามสาย</t>
  </si>
  <si>
    <t>cl'cffv6jo[o4^g-k</t>
  </si>
  <si>
    <t>แสงแดดอุ่นบนภูเขา</t>
  </si>
  <si>
    <t>8]njomtg]Lyf/yj'ci'</t>
  </si>
  <si>
    <t>คลื่นทะเลซัดฝั่งแรง</t>
  </si>
  <si>
    <t>odohvp[bo-hk,ohe</t>
  </si>
  <si>
    <t>นกน้อยบินข้ามน้ำ</t>
  </si>
  <si>
    <t>fk;itpb[g9G,mhv'ahk</t>
  </si>
  <si>
    <t>ดาวระยิบเต็มท้องฟ้า</t>
  </si>
  <si>
    <t>],ryfgpGopk,8je</t>
  </si>
  <si>
    <t>ลมพัดเย็นยามค่ำ</t>
  </si>
  <si>
    <t>g,A]vpzjkom6j'</t>
  </si>
  <si>
    <t>เมฆลอยผ่านทุ่ง</t>
  </si>
  <si>
    <t>cl'0yomiB[o4^g-k</t>
  </si>
  <si>
    <t>แสงจันทร์บนภูเขา</t>
  </si>
  <si>
    <t>8]njomtg]pk,gpGo</t>
  </si>
  <si>
    <t>คลื่นทะเลยามเย็น</t>
  </si>
  <si>
    <t>od[bogsonvpvfw,h</t>
  </si>
  <si>
    <t>นกบินเหนือยอดไม้</t>
  </si>
  <si>
    <t>],sok;ryfpk,g=hk</t>
  </si>
  <si>
    <t>ลมหนาวพัดยามเช้า</t>
  </si>
  <si>
    <t>g,A-k;]vpzjkoahk</t>
  </si>
  <si>
    <t>เมฆขาวลอยผ่านฟ้า</t>
  </si>
  <si>
    <t>/o9dib,4^g-k</t>
  </si>
  <si>
    <t>ฝนตกริมภูเขา</t>
  </si>
  <si>
    <t>],ryfzjko]eTki</t>
  </si>
  <si>
    <t>ลมพัดผ่านลำธาร</t>
  </si>
  <si>
    <t>g,A[k']vp=hk</t>
  </si>
  <si>
    <t>เมฆบางลอยช้า</t>
  </si>
  <si>
    <t>cl'cffv6jopk,lkp</t>
  </si>
  <si>
    <t>แสงแดดอุ่นยามสาย</t>
  </si>
  <si>
    <t>8]njomtg]Lyfskf</t>
  </si>
  <si>
    <t>คลื่นทะเลซัดหาด</t>
  </si>
  <si>
    <t>odohvp[bo.oahk</t>
  </si>
  <si>
    <t>นกน้อยบินในฟ้า</t>
  </si>
  <si>
    <t>fk;rik;d]k'8no</t>
  </si>
  <si>
    <t>ดาวพราวกลางคืน</t>
  </si>
  <si>
    <t>g,A-k;]vpgsonvahk</t>
  </si>
  <si>
    <t>เมฆขาวลอยเหนือฟ้า</t>
  </si>
  <si>
    <t>/orie.ol;o</t>
  </si>
  <si>
    <t>ฝนพรำในสวน</t>
  </si>
  <si>
    <t>cl'0yomiBpk,8je</t>
  </si>
  <si>
    <t>แสงจันทร์ยามค่ำ</t>
  </si>
  <si>
    <t>8]njomtg]l'[</t>
  </si>
  <si>
    <t>คลื่นทะเลสงบ</t>
  </si>
  <si>
    <t>od[bo-hk,mtg]</t>
  </si>
  <si>
    <t>นกบินข้ามทะเล</t>
  </si>
  <si>
    <t>],gpGopk,gpGo</t>
  </si>
  <si>
    <t>ลมเย็นยามเย็น</t>
  </si>
  <si>
    <t>g,A]vpgsonv4^g-k</t>
  </si>
  <si>
    <t>เมฆลอยเหนือภูเขา</t>
  </si>
  <si>
    <t>/orie.o9vo[jkp</t>
  </si>
  <si>
    <t>ฝนพรำในตอนบ่าย</t>
  </si>
  <si>
    <t>cl'cffvjvopk,gpGo</t>
  </si>
  <si>
    <t>แสงแดดอ่อนยามเย็น</t>
  </si>
  <si>
    <t>8]njomtg]LyfD-fsbo</t>
  </si>
  <si>
    <t>คลื่นทะเลซัดโขดหิน</t>
  </si>
  <si>
    <t>],mtg]ryfl[kp</t>
  </si>
  <si>
    <t>ลมทะเลพัดสบาย</t>
  </si>
  <si>
    <t>g,A[k'8]6,ahk</t>
  </si>
  <si>
    <t>เมฆบางคลุมฟ้า</t>
  </si>
  <si>
    <t>fk;itpb[pk,8je</t>
  </si>
  <si>
    <t>ดาวระยิบยามค่ำ</t>
  </si>
  <si>
    <t>/o9d.o9vog=hk</t>
  </si>
  <si>
    <t>ฝนตกในตอนเช้า</t>
  </si>
  <si>
    <t>cl'cffljv'mtg]</t>
  </si>
  <si>
    <t>แสงแดดส่องทะเล</t>
  </si>
  <si>
    <t>cl'0yomiBd]k'8no</t>
  </si>
  <si>
    <t>แสงจันทร์กลางคืน</t>
  </si>
  <si>
    <t>8]njomtg]Lyfskfmikp</t>
  </si>
  <si>
    <t>คลื่นทะเลซัดหาดทราย</t>
  </si>
  <si>
    <t>/o9drieg[k</t>
  </si>
  <si>
    <t>ฝนตกพรำเบา</t>
  </si>
  <si>
    <t>cl'cffpk,g=hk</t>
  </si>
  <si>
    <t>แสงแดดยามเช้า</t>
  </si>
  <si>
    <t>],ryfzjkoahk</t>
  </si>
  <si>
    <t>ลมพัดผ่านฟ้า</t>
  </si>
  <si>
    <t>g,A[k'gsonv4^g-k</t>
  </si>
  <si>
    <t>เมฆบางเหนือภูเขา</t>
  </si>
  <si>
    <t>fk;g9G,ahkpk,8je8no</t>
  </si>
  <si>
    <t>ดาวเต็มฟ้ายามค่ำคืน</t>
  </si>
  <si>
    <t>/orie.opk,8je</t>
  </si>
  <si>
    <t>ฝนพรำในยามค่ำ</t>
  </si>
  <si>
    <t>cl'cffv6jopk,[jkp</t>
  </si>
  <si>
    <t>แสงแดดอุ่นยามบ่าย</t>
  </si>
  <si>
    <t>8]njomtg]Lyf=kpskf</t>
  </si>
  <si>
    <t>คลื่นทะเลซัดชายหาด</t>
  </si>
  <si>
    <t>],sok;ryfpk,f7d</t>
  </si>
  <si>
    <t>ลมหนาวพัดยามดึก</t>
  </si>
  <si>
    <t>/o9dd]k'8no</t>
  </si>
  <si>
    <t>ฝนตกกลางคืน</t>
  </si>
  <si>
    <t>cl'0yomiBl;ppk,f7d</t>
  </si>
  <si>
    <t>แสงจันทร์สวยยามดึก</t>
  </si>
  <si>
    <t>D9Utw,hsohk[hko</t>
  </si>
  <si>
    <t>โต๊ะไม้หน้าบ้าน</t>
  </si>
  <si>
    <t>gdhkvuhlufe</t>
  </si>
  <si>
    <t>เก้าอี้สีดำ</t>
  </si>
  <si>
    <t>ryf],9yh'rnho</t>
  </si>
  <si>
    <t>พัดลมตั้งพื้น</t>
  </si>
  <si>
    <t>9^hgpGo.o8iy;</t>
  </si>
  <si>
    <t>ตู้เย็นในครัว</t>
  </si>
  <si>
    <t>DmimyKoB0v.sPj</t>
  </si>
  <si>
    <t>โทรทัศน์จอใหญ่</t>
  </si>
  <si>
    <t>D8,wasy;g9up'</t>
  </si>
  <si>
    <t>โคมไฟหัวเตียง</t>
  </si>
  <si>
    <t>dit0dsohk9jk'</t>
  </si>
  <si>
    <t>กระจกหน้าต่าง</t>
  </si>
  <si>
    <t>zhk,jkoluahk</t>
  </si>
  <si>
    <t>ผ้าม่านสีฟ้า</t>
  </si>
  <si>
    <t>s,voo6j,[og9up'</t>
  </si>
  <si>
    <t>หมอนนุ่มบนเตียง</t>
  </si>
  <si>
    <t>zhksj,v6josok</t>
  </si>
  <si>
    <t>ผ้าห่มอุ่นหนา</t>
  </si>
  <si>
    <t>D9Utdbo-hk;</t>
  </si>
  <si>
    <t>โต๊ะกินข้าว</t>
  </si>
  <si>
    <t>0ko-hk;lu-k;</t>
  </si>
  <si>
    <t>จานข้าวสีขาว</t>
  </si>
  <si>
    <t>=hvolc9og]l</t>
  </si>
  <si>
    <t>ช้อนสแตนเลส</t>
  </si>
  <si>
    <t>cdh;ohe.l</t>
  </si>
  <si>
    <t>แก้วน้ำใส</t>
  </si>
  <si>
    <t>-;fohegpGo</t>
  </si>
  <si>
    <t>ขวดน้ำเย็น</t>
  </si>
  <si>
    <t>dkoheihvo</t>
  </si>
  <si>
    <t>กาน้ำร้อน</t>
  </si>
  <si>
    <t>s,hvs6'-hk;</t>
  </si>
  <si>
    <t>หม้อหุงข้าว</t>
  </si>
  <si>
    <t>ditmt.[.sPj</t>
  </si>
  <si>
    <t>กระทะใบใหญ่</t>
  </si>
  <si>
    <t>,ufme8iy;</t>
  </si>
  <si>
    <t>มีดทำครัว</t>
  </si>
  <si>
    <t>g-up'w,hsok</t>
  </si>
  <si>
    <t>เขียงไม้หนา</t>
  </si>
  <si>
    <t>8v,rb;g9viB9yh'D9Ut</t>
  </si>
  <si>
    <t>คอมพิวเตอร์ตั้งโต๊ะ</t>
  </si>
  <si>
    <t>0v8v,lufe</t>
  </si>
  <si>
    <t>จอคอมสีดำ</t>
  </si>
  <si>
    <t>g,klBwihlkp</t>
  </si>
  <si>
    <t>เมาส์ไร้สาย</t>
  </si>
  <si>
    <t>cxhorb,rBlufe</t>
  </si>
  <si>
    <t>แป้นพิมพ์สีดำ</t>
  </si>
  <si>
    <t>s^ay'lu-k;</t>
  </si>
  <si>
    <t>หูฟังสีขาว</t>
  </si>
  <si>
    <t>]eDr'9y;g]Gd</t>
  </si>
  <si>
    <t>ลำโพงตัวเล็ก</t>
  </si>
  <si>
    <t>gikg9viBw;wa</t>
  </si>
  <si>
    <t>เราเตอร์ไวไฟ</t>
  </si>
  <si>
    <t>x]yUdwarj;'</t>
  </si>
  <si>
    <t>ปลั๊กไฟพ่วง</t>
  </si>
  <si>
    <t>lkpc]opk;</t>
  </si>
  <si>
    <t>สายแลนยาว</t>
  </si>
  <si>
    <t>l,6f0f'ko</t>
  </si>
  <si>
    <t>สมุดจดงาน</t>
  </si>
  <si>
    <t>xkddks,7doheg'bo</t>
  </si>
  <si>
    <t>ปากกาหมึกน้ำเงิน</t>
  </si>
  <si>
    <t>fbolvcmj'.s,j</t>
  </si>
  <si>
    <t>ดินสอแท่งใหม่</t>
  </si>
  <si>
    <t>pk'][lu-k;</t>
  </si>
  <si>
    <t>ยางลบสีขาว</t>
  </si>
  <si>
    <t>w,h[iimyfr]kl9bd</t>
  </si>
  <si>
    <t>ไม้บรรทัดพลาสติก</t>
  </si>
  <si>
    <t>d]jv'fbolv</t>
  </si>
  <si>
    <t>กล่องดินสอ</t>
  </si>
  <si>
    <t>ditgxHkoydgiupo</t>
  </si>
  <si>
    <t>กระเป๋านักเรียน</t>
  </si>
  <si>
    <t>soy'lnvgiupo</t>
  </si>
  <si>
    <t>หนังสือเรียน</t>
  </si>
  <si>
    <t>cah,gvdlki</t>
  </si>
  <si>
    <t>แฟ้มเอกสาร</t>
  </si>
  <si>
    <t>ditfkJDoh9</t>
  </si>
  <si>
    <t>กระดาษโน้ต</t>
  </si>
  <si>
    <t>g8l,nv5nv</t>
  </si>
  <si>
    <t>เคสมือถือ</t>
  </si>
  <si>
    <t>ab]B,dyoivp</t>
  </si>
  <si>
    <t>ฟิล์มกันรอย</t>
  </si>
  <si>
    <t>okMbdk-hv,nv</t>
  </si>
  <si>
    <t>d6Pc0[hko</t>
  </si>
  <si>
    <t>กุญแจบ้าน</t>
  </si>
  <si>
    <t>d6Pc0i5</t>
  </si>
  <si>
    <t>กุญแจรถ</t>
  </si>
  <si>
    <t>ditgxHkltrkp</t>
  </si>
  <si>
    <t>กระเป๋าสะพาย</t>
  </si>
  <si>
    <t>s,;ddyocff</t>
  </si>
  <si>
    <t>หมวกกันแดด</t>
  </si>
  <si>
    <t>c;jo9kdyocff</t>
  </si>
  <si>
    <t>แว่นตากันแดด</t>
  </si>
  <si>
    <t>iv'gmhkc9t</t>
  </si>
  <si>
    <t>รองเท้าแตะ</t>
  </si>
  <si>
    <t>iv'gmhkzhk.[</t>
  </si>
  <si>
    <t>รองเท้าผ้าใบ</t>
  </si>
  <si>
    <t>56'gmhklufe</t>
  </si>
  <si>
    <t>ถุงเท้าสีดำ</t>
  </si>
  <si>
    <t>glnhvpnflu-k;</t>
  </si>
  <si>
    <t>เสื้อยืดสีขาว</t>
  </si>
  <si>
    <t>dk'gd'-kpk;</t>
  </si>
  <si>
    <t>กางเกงขายาว</t>
  </si>
  <si>
    <t>glnhvdyosok;</t>
  </si>
  <si>
    <t>เสื้อกันหนาว</t>
  </si>
  <si>
    <t>g-G,-yfsoy'</t>
  </si>
  <si>
    <t>เข็มขัดหนัง</t>
  </si>
  <si>
    <t>ditgxHkgxh</t>
  </si>
  <si>
    <t>กระเป๋าเป้</t>
  </si>
  <si>
    <t>s,;dcdUx</t>
  </si>
  <si>
    <t>หมวกแก๊ป</t>
  </si>
  <si>
    <t>zhkryo8v</t>
  </si>
  <si>
    <t>ผ้าพันคอ</t>
  </si>
  <si>
    <t>pkluayos]vf.s,j</t>
  </si>
  <si>
    <t>ยาสีฟันหลอดใหม่</t>
  </si>
  <si>
    <t>l[^jdhvosv,</t>
  </si>
  <si>
    <t>สบู่ก้อนหอม</t>
  </si>
  <si>
    <t>c=,r^-;f.sPj</t>
  </si>
  <si>
    <t>แชมพูขวดใหญ่</t>
  </si>
  <si>
    <t>dit0dshv'ohe</t>
  </si>
  <si>
    <t>กระจกห้องน้ำ</t>
  </si>
  <si>
    <t>dUvdohevjk']hk'sohk</t>
  </si>
  <si>
    <t>ก๊อกน้ำอ่างล้างหน้า</t>
  </si>
  <si>
    <t>5y'-ptg]Gd</t>
  </si>
  <si>
    <t>ถังขยะเล็ก</t>
  </si>
  <si>
    <t>cxi's;uz,</t>
  </si>
  <si>
    <t>แปรงหวีผม</t>
  </si>
  <si>
    <t>g8injv'gxjkz,</t>
  </si>
  <si>
    <t>เครื่องเป่าผม</t>
  </si>
  <si>
    <t>D9Utme'ko</t>
  </si>
  <si>
    <t>โต๊ะทำงาน</t>
  </si>
  <si>
    <t>gdhkvuhs,6o</t>
  </si>
  <si>
    <t>เก้าอี้หมุน</t>
  </si>
  <si>
    <t>D8,wa9yh'D9Ut</t>
  </si>
  <si>
    <t>โคมไฟตั้งโต๊ะ</t>
  </si>
  <si>
    <t>ryf],9yh'D9Ut</t>
  </si>
  <si>
    <t>พัดลมตั้งโต๊ะ</t>
  </si>
  <si>
    <t>d]jv'gdG[-v'</t>
  </si>
  <si>
    <t>กล่องเก็บของ</t>
  </si>
  <si>
    <t>9^hglnhvzhk</t>
  </si>
  <si>
    <t>ตู้เสื้อผ้า</t>
  </si>
  <si>
    <t>]bho=ydw,h</t>
  </si>
  <si>
    <t>ลิ้นชักไม้</t>
  </si>
  <si>
    <t>=yho;k'soy'lnv</t>
  </si>
  <si>
    <t>ชั้นวางหนังสือ</t>
  </si>
  <si>
    <t>d]jv'r]kl9bd</t>
  </si>
  <si>
    <t>กล่องพลาสติก</t>
  </si>
  <si>
    <t>9tdihkzhk</t>
  </si>
  <si>
    <t>ตะกร้าผ้า</t>
  </si>
  <si>
    <t>0ydipkolucf'</t>
  </si>
  <si>
    <t>จักรยานสีแดง</t>
  </si>
  <si>
    <t>s,;ddyooGv8</t>
  </si>
  <si>
    <t>หมวกกันน็อค</t>
  </si>
  <si>
    <t>ditgxHk-hk'0ydipko</t>
  </si>
  <si>
    <t>กระเป๋าข้างจักรยาน</t>
  </si>
  <si>
    <t>zhk-oso^znog]Gd</t>
  </si>
  <si>
    <t>ผ้าขนหนูผืนเล็ก</t>
  </si>
  <si>
    <t>d]jv'-hk;d]k';yo</t>
  </si>
  <si>
    <t>กล่องข้าวกลางวัน</t>
  </si>
  <si>
    <t>=hvolhv,rdrk</t>
  </si>
  <si>
    <t>ช้อนส้อมพกพา</t>
  </si>
  <si>
    <t>56'zhk.lj-v'</t>
  </si>
  <si>
    <t>ถุงผ้าใส่ของ</t>
  </si>
  <si>
    <t>waXkp-okfg]Gd</t>
  </si>
  <si>
    <t>ไฟฉายขนาดเล็ก</t>
  </si>
  <si>
    <t>okMbdkx]6d</t>
  </si>
  <si>
    <t>นาฬิกาปลุก</t>
  </si>
  <si>
    <t>d]jv'mb==^j</t>
  </si>
  <si>
    <t>กล่องทิชชู่</t>
  </si>
  <si>
    <t>iuD,9mu;u</t>
  </si>
  <si>
    <t>รีโมตทีวี</t>
  </si>
  <si>
    <t>l;b9=Bwazoy'</t>
  </si>
  <si>
    <t>สวิตช์ไฟผนัง</t>
  </si>
  <si>
    <t>x]vds,vo</t>
  </si>
  <si>
    <t>ปลอกหมอน</t>
  </si>
  <si>
    <t>zhkx^g9up'</t>
  </si>
  <si>
    <t>ผ้าปูเตียง</t>
  </si>
  <si>
    <t>5kf.lj-v'</t>
  </si>
  <si>
    <t>ถาดใส่ของ</t>
  </si>
  <si>
    <t>d]jv'.ljlkpwa</t>
  </si>
  <si>
    <t>กล่องใส่สายไฟ</t>
  </si>
  <si>
    <t>9tgdup'wa</t>
  </si>
  <si>
    <t>ตะเกียงไฟ</t>
  </si>
  <si>
    <t>dit5k'9how,h</t>
  </si>
  <si>
    <t>กระถางต้นไม้</t>
  </si>
  <si>
    <t>[y;ifohe9how,h</t>
  </si>
  <si>
    <t>บัวรดน้ำต้นไม้</t>
  </si>
  <si>
    <t>8;k,l'jk'k,</t>
  </si>
  <si>
    <t>ความสง่างาม</t>
  </si>
  <si>
    <t>wmpdi6'gmr</t>
  </si>
  <si>
    <t>ไทยกรุงเทพ</t>
  </si>
  <si>
    <t>Pujx6joD9gdup;</t>
  </si>
  <si>
    <t>ญี่ปุ่นโตเกียว</t>
  </si>
  <si>
    <t>gdks]u.9hDL]</t>
  </si>
  <si>
    <t>เกาหลีใต้โซล</t>
  </si>
  <si>
    <t>gdks]ugsonvgxup'pk'</t>
  </si>
  <si>
    <t>เกาหลีเหนือเปียงยาง</t>
  </si>
  <si>
    <t>0uoxyddbj'</t>
  </si>
  <si>
    <t>จีนปักกิ่ง</t>
  </si>
  <si>
    <t>vbogfupob;gf]u</t>
  </si>
  <si>
    <t>อินเดียนิวเดลี</t>
  </si>
  <si>
    <t>goxk]dk{,kIR6</t>
  </si>
  <si>
    <t>เนปาลกาฐมาณฑุ</t>
  </si>
  <si>
    <t>4^Skomb,r^</t>
  </si>
  <si>
    <t>ภูฏานทิมพู</t>
  </si>
  <si>
    <t>]k;g;up'0yomoB</t>
  </si>
  <si>
    <t>ลาวเวียงจันทน์</t>
  </si>
  <si>
    <t>g;upfok,Ckovp</t>
  </si>
  <si>
    <t>เวียดนามฮานอย</t>
  </si>
  <si>
    <t>dy,r^=kro,gxP</t>
  </si>
  <si>
    <t>กัมพูชาพนมเปญ</t>
  </si>
  <si>
    <t>g,upo,kokpxbfv;B</t>
  </si>
  <si>
    <t>เมียนมานายปิดอว์</t>
  </si>
  <si>
    <t>,kg]gLupdy;]k]y,gxviB</t>
  </si>
  <si>
    <t>มาเลเซียกัวลาลัมเปอร์</t>
  </si>
  <si>
    <t>lb'8DxiBlb'8DxiB</t>
  </si>
  <si>
    <t>สิงคโปร์สิงคโปร์</t>
  </si>
  <si>
    <t>vboDfougLup0kdkiB9k</t>
  </si>
  <si>
    <t>อินโดนีเซียจาการ์ตา</t>
  </si>
  <si>
    <t>ab]bxxbolB,tob]k</t>
  </si>
  <si>
    <t>ฟิลิปปินส์มะนิลา</t>
  </si>
  <si>
    <t>[i^wo[yofkiBgliug[dk;yo</t>
  </si>
  <si>
    <t>บรูไนบันดาร์เสรีเบกาวัน</t>
  </si>
  <si>
    <t>Kiu]y'dkKiu=p;iiTox6itDdSgS</t>
  </si>
  <si>
    <t>ศรีลังกาศรีชยวรรธนปุระโกฏเฏ</t>
  </si>
  <si>
    <t>xkdul5kovbl]k,k[yf</t>
  </si>
  <si>
    <t>ปากีสถานอิสลามาบัด</t>
  </si>
  <si>
    <t>[y'd]kgmKTkdk</t>
  </si>
  <si>
    <t>บังกลาเทศธากา</t>
  </si>
  <si>
    <t>vyadkobl5ko8k[^]</t>
  </si>
  <si>
    <t>อัฟกานิสถานคาบูล</t>
  </si>
  <si>
    <t>Lkv6fuvkitg[upibpkf</t>
  </si>
  <si>
    <t>ซาอุดีอาระเบียริยาด</t>
  </si>
  <si>
    <t>lsiy{vksiy[gv,bgi9lBvk[^fk[u</t>
  </si>
  <si>
    <t>สหรัฐอาหรับเอมิเรตส์อาบูดาบี</t>
  </si>
  <si>
    <t>dk9kiBDfCk</t>
  </si>
  <si>
    <t>กาตาร์โดฮา</t>
  </si>
  <si>
    <t>8^g;98^g;9Lb9u</t>
  </si>
  <si>
    <t>คูเวตคูเวตซิตี</t>
  </si>
  <si>
    <t>Dv,ko,yldy9</t>
  </si>
  <si>
    <t>โอมานมัสกัต</t>
  </si>
  <si>
    <t>vbiydc[dcff</t>
  </si>
  <si>
    <t>อิรักแบกแดด</t>
  </si>
  <si>
    <t>vbsijkog9stiko</t>
  </si>
  <si>
    <t>อิหร่านเตหะราน</t>
  </si>
  <si>
    <t>96iduvy'dkik</t>
  </si>
  <si>
    <t>ตุรกีอังการา</t>
  </si>
  <si>
    <t>vblikgv]gpi^Lkg]G,</t>
  </si>
  <si>
    <t>อิสราเอลเยรูซาเล็ม</t>
  </si>
  <si>
    <t>vupbx9Bw8Di</t>
  </si>
  <si>
    <t>อียิปต์ไคโร</t>
  </si>
  <si>
    <t>D,iGvdDdik[y9</t>
  </si>
  <si>
    <t>โมร็อกโกราบัต</t>
  </si>
  <si>
    <t>g8opkwoDi[u</t>
  </si>
  <si>
    <t>เคนยาไนโรบี</t>
  </si>
  <si>
    <t>cvaibdk.9hribmvgiup</t>
  </si>
  <si>
    <t>แอฟริกาใต้พริทอเรีย</t>
  </si>
  <si>
    <t>wo0ugiupvk[^0k</t>
  </si>
  <si>
    <t>ไนจีเรียอาบูจา</t>
  </si>
  <si>
    <t>gvTbDvgxupcvffblvk[k[k</t>
  </si>
  <si>
    <t>เอธิโอเปียแอดดิสอาบาบา</t>
  </si>
  <si>
    <t>/iyj'gKlxkiul</t>
  </si>
  <si>
    <t>ฝรั่งเศสปารีส</t>
  </si>
  <si>
    <t>gpvi,oug[viB]bo</t>
  </si>
  <si>
    <t>เยอรมนีเบอร์ลิน</t>
  </si>
  <si>
    <t>vb9k]uDi,</t>
  </si>
  <si>
    <t>อิตาลีโรม</t>
  </si>
  <si>
    <t>lgxo,kfibf</t>
  </si>
  <si>
    <t>สเปนมาดริด</t>
  </si>
  <si>
    <t>Dxi96gdl]bl[vo</t>
  </si>
  <si>
    <t>โปรตุเกสลิสบอน</t>
  </si>
  <si>
    <t>gogTviBc]ofBvy,lg9viBfy,</t>
  </si>
  <si>
    <t>เนเธอร์แลนด์อัมสเตอร์ดัม</t>
  </si>
  <si>
    <t>g[]gpup,[iylgL]lB</t>
  </si>
  <si>
    <t>เบลเยียมบรัสเซลส์</t>
  </si>
  <si>
    <t>l;b9gLviBc]ofBg[biBo</t>
  </si>
  <si>
    <t>สวิตเซอร์แลนด์เบิร์น</t>
  </si>
  <si>
    <t>vvlg9iupg;upook</t>
  </si>
  <si>
    <t>ออสเตรียเวียนนา</t>
  </si>
  <si>
    <t>l;ugfol9vdDC]B,</t>
  </si>
  <si>
    <t>สวีเดนสตอกโฮล์ม</t>
  </si>
  <si>
    <t>oviBg;pBvvlD]</t>
  </si>
  <si>
    <t>นอร์เวย์ออสโล</t>
  </si>
  <si>
    <t>gfo,kiBdD8gxogCgdo</t>
  </si>
  <si>
    <t>เดนมาร์กโคเปนเฮเกน</t>
  </si>
  <si>
    <t>aboc]ofBgC]Lb'db</t>
  </si>
  <si>
    <t>ฟินแลนด์เฮลซิงกิ</t>
  </si>
  <si>
    <t>wvLBc]ofBgi8pk;bd</t>
  </si>
  <si>
    <t>ไอซ์แลนด์เรคยาวิก</t>
  </si>
  <si>
    <t>vkdkK;yoouh</t>
  </si>
  <si>
    <t>อากาศวันนี้</t>
  </si>
  <si>
    <t>ik8kmv';yoouh</t>
  </si>
  <si>
    <t>ราคาทองวันนี้</t>
  </si>
  <si>
    <t>z][v]g,njv8no</t>
  </si>
  <si>
    <t>ผลบอลเมื่อคืน</t>
  </si>
  <si>
    <t>9kik'[v];yoouh</t>
  </si>
  <si>
    <t>ตารางบอลวันนี้</t>
  </si>
  <si>
    <t>-jk;;yoouh</t>
  </si>
  <si>
    <t>ข่าววันนี้</t>
  </si>
  <si>
    <t>-jk;fj;o</t>
  </si>
  <si>
    <t>ข่าวด่วน</t>
  </si>
  <si>
    <t>gr]'.s,j]jkl6f</t>
  </si>
  <si>
    <t>เพลงใหม่ล่าสุด</t>
  </si>
  <si>
    <t>soy'.s,jg-hkDi'</t>
  </si>
  <si>
    <t>หนังใหม่เข้าโรง</t>
  </si>
  <si>
    <t>LuiulBojkf^</t>
  </si>
  <si>
    <t>ซีรีส์น่าดู</t>
  </si>
  <si>
    <t>gd,,nv5nv.s,j</t>
  </si>
  <si>
    <t>เกมมือถือใหม่</t>
  </si>
  <si>
    <t>gd,ruLuojkg]jo</t>
  </si>
  <si>
    <t>เกมพีซีน่าเล่น</t>
  </si>
  <si>
    <t>iu;b;DmiKyrmB</t>
  </si>
  <si>
    <t>รีวิวโทรศัพท์</t>
  </si>
  <si>
    <t>DmiKyrmBi6jo.s,j</t>
  </si>
  <si>
    <t>โทรศัพท์รุ่นใหม่</t>
  </si>
  <si>
    <t>;bTu]fohesoyd</t>
  </si>
  <si>
    <t>วิธีลดน้ำหนัก</t>
  </si>
  <si>
    <t>vkskigrnjvl6-4kr</t>
  </si>
  <si>
    <t>อาหารเพื่อสุขภาพ</t>
  </si>
  <si>
    <t>l^9ivkski'jkpq</t>
  </si>
  <si>
    <t>สูตรอาหารง่ายๆ</t>
  </si>
  <si>
    <t>ihkovkski.d]hXyo</t>
  </si>
  <si>
    <t>ร้านอาหารใกล้ฉัน</t>
  </si>
  <si>
    <t>8kgajojkoyj'</t>
  </si>
  <si>
    <t>คาเฟ่น่านั่ง</t>
  </si>
  <si>
    <t>mujgmujp;.d]hdi6'gmr</t>
  </si>
  <si>
    <t>ที่เที่ยวใกล้กรุงเทพ</t>
  </si>
  <si>
    <t>mujgmujp;Tii,=k9b</t>
  </si>
  <si>
    <t>ที่เที่ยวธรรมชาติ</t>
  </si>
  <si>
    <t>Di'ci,ik8k5^d</t>
  </si>
  <si>
    <t>โรงแรมราคาถูก</t>
  </si>
  <si>
    <t>9yH;g8injv'[boDxiD,=yjo</t>
  </si>
  <si>
    <t>ตั๋วเครื่องบินโปรโมชั่น</t>
  </si>
  <si>
    <t>korkiBmwm,B</t>
  </si>
  <si>
    <t>งานพาร์ทไทม์</t>
  </si>
  <si>
    <t>l,y8i'kovvow]oB</t>
  </si>
  <si>
    <t>สมัครงานออนไลน์</t>
  </si>
  <si>
    <t>giupo4kJkvy'd|J</t>
  </si>
  <si>
    <t>เรียนภาษาอังกฤษ</t>
  </si>
  <si>
    <t>8viBlvvow]oBaiu</t>
  </si>
  <si>
    <t>คอร์สออนไลน์ฟรี</t>
  </si>
  <si>
    <t>;bTumeg'bovvow]oB</t>
  </si>
  <si>
    <t>วิธีทำเงินออนไลน์</t>
  </si>
  <si>
    <t>;bTuskikpwfhglib,</t>
  </si>
  <si>
    <t>วิธีหารายได้เสริม</t>
  </si>
  <si>
    <t>]'m6ovtwifu</t>
  </si>
  <si>
    <t>ลงทุนอะไรดี</t>
  </si>
  <si>
    <t>s6ho;yoouh</t>
  </si>
  <si>
    <t>หุ้นวันนี้</t>
  </si>
  <si>
    <t>8ibxD98nvvtwi</t>
  </si>
  <si>
    <t>คริปโตคืออะไร</t>
  </si>
  <si>
    <t>[bm8vpoBik8k</t>
  </si>
  <si>
    <t>บิทคอยน์ราคา</t>
  </si>
  <si>
    <t>;bTu.=hcvxTok8ki</t>
  </si>
  <si>
    <t>วิธีใช้แอปธนาคาร</t>
  </si>
  <si>
    <t>l,y8i[y9ig8ifb9</t>
  </si>
  <si>
    <t>สมัครบัตรเครดิต</t>
  </si>
  <si>
    <t>;bTuvv,g'bo</t>
  </si>
  <si>
    <t>วิธีออมเงิน</t>
  </si>
  <si>
    <t>l^9idkca</t>
  </si>
  <si>
    <t>สูตรกาแฟ</t>
  </si>
  <si>
    <t>g,o^=ko,w-j,6d</t>
  </si>
  <si>
    <t>เมนูชานมไข่มุก</t>
  </si>
  <si>
    <t>;bTuvvdde]y'dkp</t>
  </si>
  <si>
    <t>วิธีออกกำลังกาย</t>
  </si>
  <si>
    <t>Dxicdi,ab9gol</t>
  </si>
  <si>
    <t>โปรแกรมฟิตเนส</t>
  </si>
  <si>
    <t>9kik'vvdde]y'dkp</t>
  </si>
  <si>
    <t>ตารางออกกำลังกาย</t>
  </si>
  <si>
    <t>c9j'i^xpy'w'</t>
  </si>
  <si>
    <t>แต่งรูปยังไง</t>
  </si>
  <si>
    <t>cvxc9j'i^x</t>
  </si>
  <si>
    <t>แอปแต่งรูป</t>
  </si>
  <si>
    <t>;v]gxgxviB,nv5nv</t>
  </si>
  <si>
    <t>วอลเปเปอร์มือถือ</t>
  </si>
  <si>
    <t>gr]'Cb99voouh</t>
  </si>
  <si>
    <t>เพลงฮิตตอนนี้</t>
  </si>
  <si>
    <t>gmiofBca=yjo</t>
  </si>
  <si>
    <t>เทรนด์แฟชั่น</t>
  </si>
  <si>
    <t>glnhvzhkca=yjo</t>
  </si>
  <si>
    <t>เสื้อผ้าแฟชั่น</t>
  </si>
  <si>
    <t>-v'-;yP;yogdbf</t>
  </si>
  <si>
    <t>ของขวัญวันเกิด</t>
  </si>
  <si>
    <t>wvgfupc9j'shv'</t>
  </si>
  <si>
    <t>ไอเดียแต่งห้อง</t>
  </si>
  <si>
    <t>;bTu0yfD9Utme'ko</t>
  </si>
  <si>
    <t>วิธีจัดโต๊ะทำงาน</t>
  </si>
  <si>
    <t>กตัญญูกตเวที</t>
  </si>
  <si>
    <t>ประสบการณ์</t>
  </si>
  <si>
    <t>ประสิทธิภาพ</t>
  </si>
  <si>
    <t>สุนทรียภาพ</t>
  </si>
  <si>
    <t>อุดมการณ์</t>
  </si>
  <si>
    <t>จินตนาการ</t>
  </si>
  <si>
    <t>พระพุทธศาสนา</t>
  </si>
  <si>
    <t>ธรรมชาติ</t>
  </si>
  <si>
    <t>สาธารณประโยชน์</t>
  </si>
  <si>
    <t>อารยธรรม</t>
  </si>
  <si>
    <t>มนุษยสัมพันธ์</t>
  </si>
  <si>
    <t>มหาวิทยาลัย</t>
  </si>
  <si>
    <t>ศิลปวัฒนธรรม</t>
  </si>
  <si>
    <t>วิจารณญาณ</t>
  </si>
  <si>
    <t>ปาฏิหาริย์</t>
  </si>
  <si>
    <t>เกียรติยศ</t>
  </si>
  <si>
    <t>ทรัพยากรบุคคล</t>
  </si>
  <si>
    <t>สวัสดิการ</t>
  </si>
  <si>
    <t>ปรัชญาชีวิต</t>
  </si>
  <si>
    <t>ภูมิศาสตร์</t>
  </si>
  <si>
    <t>สถาปัตยกรรม</t>
  </si>
  <si>
    <t>จิตวิญญาณ</t>
  </si>
  <si>
    <t>ประชากรศาสตร์</t>
  </si>
  <si>
    <t>อัจฉริยภาพ</t>
  </si>
  <si>
    <t>สัจธรรม</t>
  </si>
  <si>
    <t>นิเวศวิทยา</t>
  </si>
  <si>
    <t>บรรยากาศ</t>
  </si>
  <si>
    <t>เอกลักษณ์</t>
  </si>
  <si>
    <t>อธิปไตย</t>
  </si>
  <si>
    <t>ประชาธิปไตย</t>
  </si>
  <si>
    <t>พันธกิจ</t>
  </si>
  <si>
    <t>pass_num</t>
  </si>
  <si>
    <t>ไทย</t>
  </si>
  <si>
    <t>Type</t>
  </si>
  <si>
    <t>MD5</t>
  </si>
  <si>
    <t>6d062ec41bb3eb3cd7450636e6704410</t>
  </si>
  <si>
    <t>e10adc3949ba59abbe56e057f20f883e</t>
  </si>
  <si>
    <t>soccer2012</t>
  </si>
  <si>
    <t>xato</t>
  </si>
  <si>
    <t>75ea09485c77dd08af01fc9d95810dc1</t>
  </si>
  <si>
    <t>21ba0658d2d0509c3e41fec8c220e6cc</t>
  </si>
  <si>
    <t>827ccb0eea8a706c4c34a16891f84e7b</t>
  </si>
  <si>
    <t>6661488h</t>
  </si>
  <si>
    <t>babed8f760a2fbda9535f9dbbb5f6d2d</t>
  </si>
  <si>
    <t>39c64817716bf24f4777566b8ae75253</t>
  </si>
  <si>
    <t>25f9e794323b453885f5181f1b624d0b</t>
  </si>
  <si>
    <t>5174317i</t>
  </si>
  <si>
    <t>86ec2b5d88bcd3a176302f10e08fe928</t>
  </si>
  <si>
    <t>2d5593c87cf42cb099f7e0d6aeb75e56</t>
  </si>
  <si>
    <t>5f4dcc3b5aa765d61d8327deb882cf99</t>
  </si>
  <si>
    <t>dudarulez091994</t>
  </si>
  <si>
    <t>ded4b8958a8726582e2d959de8c18163</t>
  </si>
  <si>
    <t>fa1774f427507e0cebd389bab36d9f4c</t>
  </si>
  <si>
    <t>f25a2fc72690b780b2a14e140ef6a9e0</t>
  </si>
  <si>
    <t>tresh3885</t>
  </si>
  <si>
    <t>2df907853e8a5a985f15d244c625fe0b</t>
  </si>
  <si>
    <t>919e3d44533347ef095e6edeb1ed4d3f</t>
  </si>
  <si>
    <t>8afa847f50a716e64932d995c8e7435a</t>
  </si>
  <si>
    <t>Starkiller592</t>
  </si>
  <si>
    <t>dcc69941695c5fe7cec2128112ce1976</t>
  </si>
  <si>
    <t>e3591e57a969ab756c196f1ae955fb75</t>
  </si>
  <si>
    <t>fcea920f7412b5da7be0cf42b8c93759</t>
  </si>
  <si>
    <t>yjrbf6600</t>
  </si>
  <si>
    <t>d975a5b1a44b6c36843a28b4266e4528</t>
  </si>
  <si>
    <t>57d987ab2357037fea096145503e9027</t>
  </si>
  <si>
    <t>f806fc5a2a0d5ba2471600758452799c</t>
  </si>
  <si>
    <t>yfl.irf1811</t>
  </si>
  <si>
    <t>af88b9d342211e3b84221db7d55a42ff</t>
  </si>
  <si>
    <t>01190989cf8b094f511990036bd2b8f6</t>
  </si>
  <si>
    <t>25d55ad283aa400af464c76d713c07ad</t>
  </si>
  <si>
    <t>6425100wq</t>
  </si>
  <si>
    <t>1594b6472ed93ac0a0fa9be4ff6b1e25</t>
  </si>
  <si>
    <t>efb73b2b945319733fb623bf232d830e</t>
  </si>
  <si>
    <t>e99a18c428cb38d5f260853678922e03</t>
  </si>
  <si>
    <t>7MxULnsd</t>
  </si>
  <si>
    <t>cd7203773a32a4fe665e698a29ac7a6d</t>
  </si>
  <si>
    <t>4eca627330005d3d7aabedfb829e4f74</t>
  </si>
  <si>
    <t>fc63f87c08d505264caba37514cd0cfd</t>
  </si>
  <si>
    <t>PATAPON3</t>
  </si>
  <si>
    <t>d9d1d57175275d7c3dba0a05351bb0ce</t>
  </si>
  <si>
    <t>6dec0c89f47e30b5dd10acfad86cfe8c</t>
  </si>
  <si>
    <t>aa47f8215c6f30a0dcdb2a36a9f4168e</t>
  </si>
  <si>
    <t>nbajbarza66</t>
  </si>
  <si>
    <t>75b1b46f1c64372e47b23db8057cabab</t>
  </si>
  <si>
    <t>9a1392ceed1fa71ee125da60c156f29a</t>
  </si>
  <si>
    <t>67881381dbc68d4761230131ae0008f7</t>
  </si>
  <si>
    <t>yfcnz1234</t>
  </si>
  <si>
    <t>868ce3ffe9e49b7762690dd727bcb569</t>
  </si>
  <si>
    <t>c1abb758928769ab5c06c4b3b9430e7c</t>
  </si>
  <si>
    <t>d0763edaa9d9bd2a9516280e9044d885</t>
  </si>
  <si>
    <t>2812tttt</t>
  </si>
  <si>
    <t>6bb8c18085a8c337af6c5502f1ad1aaa</t>
  </si>
  <si>
    <t>08de158baf611e8e540fba17901e4150</t>
  </si>
  <si>
    <t>061fba5bdfc076bb7362616668de87c8</t>
  </si>
  <si>
    <t>province1</t>
  </si>
  <si>
    <t>1548f017b2cf40b3638ba1b773396797</t>
  </si>
  <si>
    <t>4efe63395971379c45a0b098e43e35f6</t>
  </si>
  <si>
    <t>aae039d6aa239cfc121357a825210fa3</t>
  </si>
  <si>
    <t>3333417eb</t>
  </si>
  <si>
    <t>bfde7181058030d1afa35b84977434bf</t>
  </si>
  <si>
    <t>b5550a05c9c88c1f3b3989fca86dd0b9</t>
  </si>
  <si>
    <t>c33367701511b4f6020ec61ded352059</t>
  </si>
  <si>
    <t>treebeard11</t>
  </si>
  <si>
    <t>b75899d4b0036634fcb0c00aa9a0fc65</t>
  </si>
  <si>
    <t>2480b580130be4727dd84930dfcf027d</t>
  </si>
  <si>
    <t>0acf4539a14b3aa27deeb4cbdf6e989f</t>
  </si>
  <si>
    <t>sparkypmoney2222</t>
  </si>
  <si>
    <t>8b2a262e416513d834032f2319dfc006</t>
  </si>
  <si>
    <t>32cb601f6dbef2dcd4ed3ad871063ed4</t>
  </si>
  <si>
    <t>adff44c5102fca279fce7559abf66fee</t>
  </si>
  <si>
    <t>vaz2109s</t>
  </si>
  <si>
    <t>a285ec9d4bb23e7f66ef22caf14b9f08</t>
  </si>
  <si>
    <t>b6668d4d98e7236056a42e60c1eeb5b7</t>
  </si>
  <si>
    <t>d8578edf8458ce06fbc5bb76a58c5ca4</t>
  </si>
  <si>
    <t>8032008max</t>
  </si>
  <si>
    <t>019a84909f792ad4e6f5273ad3e5e055</t>
  </si>
  <si>
    <t>2ca3847979c951bc42b23a8cde69c9d9</t>
  </si>
  <si>
    <t>96e79218965eb72c92a549dd5a330112</t>
  </si>
  <si>
    <t>pavlo414</t>
  </si>
  <si>
    <t>f75e354fab560f1bdc710c1ee8b558e9</t>
  </si>
  <si>
    <t>595c91c07dab853c1912a32a54c2f4c5</t>
  </si>
  <si>
    <t>edbd0effac3fcc98e725920a512881e0</t>
  </si>
  <si>
    <t>acrylic7</t>
  </si>
  <si>
    <t>435dfc3f6442f1d8ac1f6843639144e8</t>
  </si>
  <si>
    <t>20e0bf2bf243a1cfff1f5b8033b69292</t>
  </si>
  <si>
    <t>670b14728ad9902aecba32e22fa4f6bd</t>
  </si>
  <si>
    <t>Glassic1</t>
  </si>
  <si>
    <t>d0b2f6facfda0adfd85bfd705e3b0ec8</t>
  </si>
  <si>
    <t>56233b580df1d3bb66ce0bba28a03f32</t>
  </si>
  <si>
    <t>2345f10bb948c5665ef91f6773b3e455</t>
  </si>
  <si>
    <t>stec1488</t>
  </si>
  <si>
    <t>43314543bd04c805dbfb6e0ab36f8539</t>
  </si>
  <si>
    <t>c21073190eaa22bb25a383b196f3e5cb</t>
  </si>
  <si>
    <t>f78f2477e949bee2d12a2c540fb6084f</t>
  </si>
  <si>
    <t>quaker57</t>
  </si>
  <si>
    <t>e0cd5fd61a3cae0dc2fd4cdcd0a793b7</t>
  </si>
  <si>
    <t>9f9969fc4dbc9136595bc091ce8c9b7a</t>
  </si>
  <si>
    <t>0571749e2ac330a7455809c6b0e7af90</t>
  </si>
  <si>
    <t>xbuf1997</t>
  </si>
  <si>
    <t>cb79a741236d09772565f2c5610c6a8f</t>
  </si>
  <si>
    <t>147e2063dd48827f12ebd6491fa98596</t>
  </si>
  <si>
    <t>c378985d629e99a4e86213db0cd5e70d</t>
  </si>
  <si>
    <t>KOLAY0973379521</t>
  </si>
  <si>
    <t>44bc7e31b73e41f8a5e7ebac986e9c41</t>
  </si>
  <si>
    <t>be1ae17b43a59b886b4c506ea7f4562b</t>
  </si>
  <si>
    <t>7c6a180b36896a0a8c02787eeafb0e4c</t>
  </si>
  <si>
    <t>henry120582</t>
  </si>
  <si>
    <t>f420b794a776e179ac840f91e8fa2cfb</t>
  </si>
  <si>
    <t>46132c3d04d2ed3fea79884ff36be250</t>
  </si>
  <si>
    <t>da443a0ad979d5530df38ca1a74e4f80</t>
  </si>
  <si>
    <t>HDSr2283</t>
  </si>
  <si>
    <t>0e99ba8bd5e57b79c37e852553dbb908</t>
  </si>
  <si>
    <t>846d87e6c4ff516baa334e4f44b27e37</t>
  </si>
  <si>
    <t>65fbef05e01fac390cb3fa073fb3e8cf</t>
  </si>
  <si>
    <t>john-117</t>
  </si>
  <si>
    <t>0f075973638210294e2584b3c467dab7</t>
  </si>
  <si>
    <t>48e63d8ca9ccd1a5e483cdf2343d1442</t>
  </si>
  <si>
    <t>28f20a02bf8a021fab4fcec48afb584e</t>
  </si>
  <si>
    <t>MODERNautO2222</t>
  </si>
  <si>
    <t>216ad311658fbe590531d288908121a9</t>
  </si>
  <si>
    <t>69ca5f8ed35d5f6e2c18826546d7acea</t>
  </si>
  <si>
    <t>9fd8301ac24fb88e65d9d7cd1dd1b1ec</t>
  </si>
  <si>
    <t>826R3JT2</t>
  </si>
  <si>
    <t>b9d1da1ec3dbe541409aaec68b9f739e</t>
  </si>
  <si>
    <t>06a07cba0a3660593160b41d3b3220de</t>
  </si>
  <si>
    <t>bb7aedfa61007447dd6efaf9f37641e3</t>
  </si>
  <si>
    <t>3r5d9b50</t>
  </si>
  <si>
    <t>91755429e73000332b0a8412317ab406</t>
  </si>
  <si>
    <t>6034658d4ec391abffd4597e0af95ba7</t>
  </si>
  <si>
    <t>f4f068e71e0d87bf0ad51e6214ab84e9</t>
  </si>
  <si>
    <t>charliecoroc123</t>
  </si>
  <si>
    <t>39589f2c53fdf50fe2518857b9ddfd1b</t>
  </si>
  <si>
    <t>a6784ae4823ffc7771eb9b42ac4d1f73</t>
  </si>
  <si>
    <t>d16d377af76c99d27093abc22244b342</t>
  </si>
  <si>
    <t>7qtqo0ef</t>
  </si>
  <si>
    <t>9958eb5b69af07de16a7eb5921fb755e</t>
  </si>
  <si>
    <t>aca187bcb5de0a2a151e0d905c3d2790</t>
  </si>
  <si>
    <t>d177b4d1d9e6b6fa86521e4b3d00b029</t>
  </si>
  <si>
    <t>matahari78</t>
  </si>
  <si>
    <t>9f9443fe189667fd918274cc42446975</t>
  </si>
  <si>
    <t>1f2e2d0727997ac06182e96e9d378d2f</t>
  </si>
  <si>
    <t>53dd9c6005f3cdfc5a69c5c07388016d</t>
  </si>
  <si>
    <t>lee032930</t>
  </si>
  <si>
    <t>19d28cd1db28a273a5901eae8ceff634</t>
  </si>
  <si>
    <t>4b4ceae455d9e2e3e07a7a21716b0bc2</t>
  </si>
  <si>
    <t>74d738020dca22a731e30058ac7242ee</t>
  </si>
  <si>
    <t>v8532670652804</t>
  </si>
  <si>
    <t>53be233bdbaa5736d277663719b50fa8</t>
  </si>
  <si>
    <t>9e5ce53f220c1de453ecebf8eb01ce04</t>
  </si>
  <si>
    <t>596a96cc7bf9108cd896f33c44aedc8a</t>
  </si>
  <si>
    <t>32B06622y5</t>
  </si>
  <si>
    <t>4f25edb489d4b03e4a1b8c9617b4ceac</t>
  </si>
  <si>
    <t>93443e9a19eb13a57d6a426022d752ae</t>
  </si>
  <si>
    <t>4297f44b13955235245b2497399d7a93</t>
  </si>
  <si>
    <t>alinka12</t>
  </si>
  <si>
    <t>a2468ec8d098b947a4afe8f65aae3765</t>
  </si>
  <si>
    <t>e55e38142a74901d26b975261a0b38e2</t>
  </si>
  <si>
    <t>37b4e2d82900d5e94b8da524fbeb33c0</t>
  </si>
  <si>
    <t>dog1cats2</t>
  </si>
  <si>
    <t>fa3c1e11acbd0befc917eb1d9ad54fe9</t>
  </si>
  <si>
    <t>b532d01de05611ea6d5623bd8d650879</t>
  </si>
  <si>
    <t>5ebe2294ecd0e0f08eab7690d2a6ee69</t>
  </si>
  <si>
    <t>chandani2</t>
  </si>
  <si>
    <t>fe588b51fc53818bcc7940bd8c45cf53</t>
  </si>
  <si>
    <t>36c2edd6d6b91f244cde8c831a44e222</t>
  </si>
  <si>
    <t>1c42f9c1ca2f65441465b43cd9339d6c</t>
  </si>
  <si>
    <t>2painful</t>
  </si>
  <si>
    <t>5aa21310eb1fc9b5377840798f9ff91f</t>
  </si>
  <si>
    <t>9221937a2d7763e62e8e2ffebba37db0</t>
  </si>
  <si>
    <t>dc599a9972fde3045dab59dbd1ae170b</t>
  </si>
  <si>
    <t>thisisdog19946</t>
  </si>
  <si>
    <t>58f8365f2de55565314a3b79531da0a1</t>
  </si>
  <si>
    <t>b894f1a8a2e93c2cd112c1996364942a</t>
  </si>
  <si>
    <t>1660fe5c81c4ce64a2611494c439e1ba</t>
  </si>
  <si>
    <t>kubasaki78</t>
  </si>
  <si>
    <t>4f731fc42a6642d43a3b8d48fcc15f9a</t>
  </si>
  <si>
    <t>d050dc534ac92452d9ebdbd57e293d5b</t>
  </si>
  <si>
    <t>d1133275ee2118be63a577af759fc052</t>
  </si>
  <si>
    <t>10082010d</t>
  </si>
  <si>
    <t>ff44b302387b4680556ab713fb28c4d5</t>
  </si>
  <si>
    <t>22502dce784deb5a66ab47e17cd1f4fe</t>
  </si>
  <si>
    <t>fe75bd065ff48b91c35fe8ff842f986c</t>
  </si>
  <si>
    <t>5v87rTvG</t>
  </si>
  <si>
    <t>6b5dab221a682e64fb889b8634585408</t>
  </si>
  <si>
    <t>4901aa64c974ab95c22c6a908d749b88</t>
  </si>
  <si>
    <t>e807f1fcf82d132f9bb018ca6738a19f</t>
  </si>
  <si>
    <t>mima242005</t>
  </si>
  <si>
    <t>41bb34598a3c5e9919e02c7d36b2f349</t>
  </si>
  <si>
    <t>8647781578709628d76c790d4626422b</t>
  </si>
  <si>
    <t>84d961568a65073a3bcf0eb216b2a576</t>
  </si>
  <si>
    <t>lea6stern</t>
  </si>
  <si>
    <t>5e7dbcbe98abfc8b56e0a301b54bdc59</t>
  </si>
  <si>
    <t>3b6daa1dcfa1f66aa5f61b8233c95a03</t>
  </si>
  <si>
    <t>eb09d5e396183f4b71c3c798158f7c07</t>
  </si>
  <si>
    <t>darpbb99</t>
  </si>
  <si>
    <t>6f61ff7688a108a0dd04ca9e5d74f2c6</t>
  </si>
  <si>
    <t>23135fe6d8759ab289abc9e20d5e1ce4</t>
  </si>
  <si>
    <t>6209804952225ab3d14348307b5a4a27</t>
  </si>
  <si>
    <t>ykrw4st6v</t>
  </si>
  <si>
    <t>1c0fa3c0132ca124d7098a498ae7abb8</t>
  </si>
  <si>
    <t>ba59a6d8d6e6f29521ff482a98d41f29</t>
  </si>
  <si>
    <t>f74a10e1d6b2f32a47b8bcb53dac5345</t>
  </si>
  <si>
    <t>fashion9</t>
  </si>
  <si>
    <t>f98f32667ee4de1251141d37c7237997</t>
  </si>
  <si>
    <t>6c278d32b77353bfd2c665c64f307c39</t>
  </si>
  <si>
    <t>2f0e7ef29748dbf6dacf8381c4cc921c</t>
  </si>
  <si>
    <t>22905ooo</t>
  </si>
  <si>
    <t>db02678735c9d288a8e0e336302b436b</t>
  </si>
  <si>
    <t>b3d0ccf0dbf4e1c2d516d5b1ecaeb835</t>
  </si>
  <si>
    <t>d0199f51d2728db6011945145a1b607a</t>
  </si>
  <si>
    <t>vsz89hb8</t>
  </si>
  <si>
    <t>dac2905dbc3bd6d3f4b5872c6fb451f7</t>
  </si>
  <si>
    <t>ea366b037c9029ed1c65cb23bb8c5a7f</t>
  </si>
  <si>
    <t>d914e3ecf6cc481114a3f534a5faf90b</t>
  </si>
  <si>
    <t>7qdfna2e</t>
  </si>
  <si>
    <t>c7901aac6115e941df1b4e908aea730a</t>
  </si>
  <si>
    <t>7c93f3f4a615a265f007e4ba00f8936e</t>
  </si>
  <si>
    <t>82a7c395a86348dd4bfd11bb05b71cbf</t>
  </si>
  <si>
    <t>DB5Im1go</t>
  </si>
  <si>
    <t>4d60035318bcd8d35eeef3c612485bdd</t>
  </si>
  <si>
    <t>81e91c3c644598309d81dc25800a8111</t>
  </si>
  <si>
    <t>c03a5a4ba81cd3d8e59840a6f0eddad7</t>
  </si>
  <si>
    <t>nah7d7o2</t>
  </si>
  <si>
    <t>ecb8d145a705a1aeea003ee34170f17f</t>
  </si>
  <si>
    <t>85427e7bd88b9eaaca9a162f992edd4c</t>
  </si>
  <si>
    <t>608f0b988db4a96066af7dd8870de96c</t>
  </si>
  <si>
    <t>rik1972kert</t>
  </si>
  <si>
    <t>d16d6cec015e8fce482acce250ab49c9</t>
  </si>
  <si>
    <t>1ee3fd0e83957270b28363a7e3af8693</t>
  </si>
  <si>
    <t>cfe819bed5b34b02ccb68ab69ab2055b</t>
  </si>
  <si>
    <t>3fa6wuggn</t>
  </si>
  <si>
    <t>98b2903425e018029f970a392e8dbbb0</t>
  </si>
  <si>
    <t>c7c21dffb42c5f8dd49a0b0edf77d2cd</t>
  </si>
  <si>
    <t>5d41402abc4b2a76b9719d911017c592</t>
  </si>
  <si>
    <t>Lshy64dos</t>
  </si>
  <si>
    <t>3983d64c17e18758e9ed49d8ece9b9eb</t>
  </si>
  <si>
    <t>b1fabef501fa5787b43bde50b9edf5f6</t>
  </si>
  <si>
    <t>4af09080574089cbece43db636e2025f</t>
  </si>
  <si>
    <t>mmiriar3</t>
  </si>
  <si>
    <t>3adf6bd2c5658ab7d95e1fefe37ac50c</t>
  </si>
  <si>
    <t>b11f762ce897cc40bff53f637e542120</t>
  </si>
  <si>
    <t>c37df36db804246d74e786a92488d232</t>
  </si>
  <si>
    <t>richione4066</t>
  </si>
  <si>
    <t>faf62791db51a156ed422b5332a7ea0d</t>
  </si>
  <si>
    <t>ee2b6f26e1f28ec725f4c19d1c29cb3e</t>
  </si>
  <si>
    <t>7f9a6871b86f40c330132c4fc42cda59</t>
  </si>
  <si>
    <t>jkhguyg7</t>
  </si>
  <si>
    <t>fd3e1fdf68f915df2c33f0d095729c61</t>
  </si>
  <si>
    <t>624de4e374fbda6b15abac96ea199134</t>
  </si>
  <si>
    <t>bf779e0933a882808585d19455cd7937</t>
  </si>
  <si>
    <t>iamdude103</t>
  </si>
  <si>
    <t>5f613bf565479dc815ddf6442b83ef6e</t>
  </si>
  <si>
    <t>3327c0fee8dfc97686534bf7e1affcbd</t>
  </si>
  <si>
    <t>f01e0d7992a3b7748538d02291b0beae</t>
  </si>
  <si>
    <t>thailand2013</t>
  </si>
  <si>
    <t>b61cc6dc56354b4e3956b831e2735d7c</t>
  </si>
  <si>
    <t>1734f2b2a933b47daa52007cc4e6ca90</t>
  </si>
  <si>
    <t>1aef0a62ed84bb165989ab32f0ba56c2</t>
  </si>
  <si>
    <t>pink302949</t>
  </si>
  <si>
    <t>d9a785efd31d68c1ead22bb3e2625783</t>
  </si>
  <si>
    <t>2720c633b1cf174a095c744aa1d10ad4</t>
  </si>
  <si>
    <t>91cb315a6405bfcc30e2c4571ccfb8ce</t>
  </si>
  <si>
    <t>dWF6h5OMr0uhozCq</t>
  </si>
  <si>
    <t>07dee18df29de47cae20d60f55843e1a</t>
  </si>
  <si>
    <t>aeaf22b97991142404e361a96f217b74</t>
  </si>
  <si>
    <t>8dae58e3f282b974328d53f96753f4c1</t>
  </si>
  <si>
    <t>e93c0431</t>
  </si>
  <si>
    <t>b833ab6be25e1ad82fc89ec0181a7b34</t>
  </si>
  <si>
    <t>707f239cfefb3027bea807f272d0f03e</t>
  </si>
  <si>
    <t>313437c00302021eda7b4197983f4011</t>
  </si>
  <si>
    <t>ryanchloe24</t>
  </si>
  <si>
    <t>e6fa3221e2eb3abc9aebf8cb0a4c0754</t>
  </si>
  <si>
    <t>88cbb2efac0f098e4934757f7b5820a1</t>
  </si>
  <si>
    <t>f21c0d3e564c7db5ccf73c095a0b9371</t>
  </si>
  <si>
    <t>fucking2</t>
  </si>
  <si>
    <t>36b478fa0fe698d49803d1b84751ccbb</t>
  </si>
  <si>
    <t>aa4f035a29018d439dfdf58c1dcaca55</t>
  </si>
  <si>
    <t>fc275ac3498d6ab0f0b4389f8e94422c</t>
  </si>
  <si>
    <t>musa1199</t>
  </si>
  <si>
    <t>c4af9829ce3aadd5e1f76256b35a17e7</t>
  </si>
  <si>
    <t>8e7f922b574221403c1811d3f5461164</t>
  </si>
  <si>
    <t>f379eaf3c831b04de153469d1bec345e</t>
  </si>
  <si>
    <t>AHFa5wUh</t>
  </si>
  <si>
    <t>df9b43dd04fda0160b7684237ae4e18f</t>
  </si>
  <si>
    <t>ad27611ea35b1a214b0fa2d0f5bf2a1a</t>
  </si>
  <si>
    <t>3bf1114a986ba87ed28fc1b5884fc2f8</t>
  </si>
  <si>
    <t>kirillkirill29</t>
  </si>
  <si>
    <t>eb26418f321e341f4f850d62d7d392a2</t>
  </si>
  <si>
    <t>b4530c767c5985610707b697aa2903a5</t>
  </si>
  <si>
    <t>ff5390bde5a4cf0aa2006cf2198efd29</t>
  </si>
  <si>
    <t>slayerI985</t>
  </si>
  <si>
    <t>7428e8b8a7f9a26a35d79fb33b5880c8</t>
  </si>
  <si>
    <t>d9eddb12c7f154ec9baa258efaeb106f</t>
  </si>
  <si>
    <t>26b637ed41273425be243e8d42e5b461</t>
  </si>
  <si>
    <t>k17031974</t>
  </si>
  <si>
    <t>e7ec2d6f4587f629339ebea1993fc931</t>
  </si>
  <si>
    <t>38e0fcb925304185be4ace08ffe5da18</t>
  </si>
  <si>
    <t>e6a5ba0842a531163425d66839569a68</t>
  </si>
  <si>
    <t>ehh24x4u</t>
  </si>
  <si>
    <t>c0e7f90748e126d088e4a83112d389d4</t>
  </si>
  <si>
    <t>5aa0e43e9e04a497cf67824ea4345444</t>
  </si>
  <si>
    <t>684c851af59965b680086b7b4896ff98</t>
  </si>
  <si>
    <t>Follow11</t>
  </si>
  <si>
    <t>1c29017ab7f398d2fb5e05f666b377a5</t>
  </si>
  <si>
    <t>71cdc21aed26f4d38637be233db76016</t>
  </si>
  <si>
    <t>d05a90b8f6326735fd07fcfc7b92e47a</t>
  </si>
  <si>
    <t>ab365327</t>
  </si>
  <si>
    <t>e08073d8c1bfe84a7917ff4b89e486e7</t>
  </si>
  <si>
    <t>c5fb578db62de001d687c1e026c0bc8b</t>
  </si>
  <si>
    <t>d7af994f1f1ef8b5e3beb9f7fb139f57</t>
  </si>
  <si>
    <t>01011952j</t>
  </si>
  <si>
    <t>0ce8aa1605921f33bfd1cfa8d2b6732d</t>
  </si>
  <si>
    <t>02b7ff16c635071d8a5a79b430fe537a</t>
  </si>
  <si>
    <t>0d3fda0bdbb9d619e09cdf3eecba7999</t>
  </si>
  <si>
    <t>hooligan2001</t>
  </si>
  <si>
    <t>c06c1d5311bbd4821e0263265e4e8685</t>
  </si>
  <si>
    <t>0432fb210085a8c225970c4ae9c3f126</t>
  </si>
  <si>
    <t>78842815248300fa6ae79f7776a5080a</t>
  </si>
  <si>
    <t>8097754010d</t>
  </si>
  <si>
    <t>7cf8f8cc443c62e0ad7cb339757db57b</t>
  </si>
  <si>
    <t>4cfa24aa3202691d83bbb3a9cf059257</t>
  </si>
  <si>
    <t>6ebe76c9fb411be97b3b0d48b791a7c9</t>
  </si>
  <si>
    <t>Wantpus1</t>
  </si>
  <si>
    <t>c3a372195956af012ce14fdb1a9649c1</t>
  </si>
  <si>
    <t>f57edf6056ebefce6f181175883b02be</t>
  </si>
  <si>
    <t>df53ca268240ca76670c8566ee54568a</t>
  </si>
  <si>
    <t>199956456ghjmmnm</t>
  </si>
  <si>
    <t>a04e5a774358df0cacba184f300607ff</t>
  </si>
  <si>
    <t>fc2d0a9da0b0ee48503fb7d1f23271d7</t>
  </si>
  <si>
    <t>008c5926ca861023c1d2a36653fd88e2</t>
  </si>
  <si>
    <t>5XV5IXC2</t>
  </si>
  <si>
    <t>a4a8d9718d7ac13a02f88a68ec17026a</t>
  </si>
  <si>
    <t>074bc0afb2c2bb6e70fad0d021a79401</t>
  </si>
  <si>
    <t>8621ffdbc5698829397d97767ac13db3</t>
  </si>
  <si>
    <t>jnrhjqcz4</t>
  </si>
  <si>
    <t>a4a2310e433c13a86274446ad74c0d5f</t>
  </si>
  <si>
    <t>525dd18f00408111b4d357d3613841b1</t>
  </si>
  <si>
    <t>282bbbfb69da08d03ff4bcf34a94bc53</t>
  </si>
  <si>
    <t>texaspo1</t>
  </si>
  <si>
    <t>49c128b584a7ca63595615f0d4db4406</t>
  </si>
  <si>
    <t>1012320104d8749826e2ac4cd6a9de0b</t>
  </si>
  <si>
    <t>2dccd1ab3e03990aea77359831c85ca2</t>
  </si>
  <si>
    <t>roblowe7</t>
  </si>
  <si>
    <t>f762c54545657dcd19a25828a7bda1ec</t>
  </si>
  <si>
    <t>d9fe7d01642123570225ce39e6209297</t>
  </si>
  <si>
    <t>cf9ee5bcb36b4936dd7064ee9b2f139e</t>
  </si>
  <si>
    <t>tylkoty86</t>
  </si>
  <si>
    <t>4f1a2ead730a8ed0f4cbb0d6304451b0</t>
  </si>
  <si>
    <t>51d9a31d287b9ecf2a56d811a4e015d8</t>
  </si>
  <si>
    <t>6b1628b016dff46e6fa35684be6acc96</t>
  </si>
  <si>
    <t>phulton1</t>
  </si>
  <si>
    <t>06ef35a3fac716a625158fe1fea82027</t>
  </si>
  <si>
    <t>f8fef4d504262385e55645ae8fa4cd1f</t>
  </si>
  <si>
    <t>de1e3b0952476aae6888f98ea0e4ac11</t>
  </si>
  <si>
    <t>eventp64016</t>
  </si>
  <si>
    <t>a3ffe9886bb111a2ba83a69069853432</t>
  </si>
  <si>
    <t>0fb771c4711a8690207602bdf3b8434e</t>
  </si>
  <si>
    <t>e1964798cfe86e914af895f8d0291812</t>
  </si>
  <si>
    <t>b4BeAcNb</t>
  </si>
  <si>
    <t>61f86cde82e5acb89e089d54f0c7eae1</t>
  </si>
  <si>
    <t>c104a6328575a2ac0cdf1ef3d349dde8</t>
  </si>
  <si>
    <t>cb07901c53218323c4ceacdea4b23c98</t>
  </si>
  <si>
    <t>hjvf12345678</t>
  </si>
  <si>
    <t>1ca5e23705f0cecaf55f82084134c922</t>
  </si>
  <si>
    <t>7708b3a23a60850ea9deb98ff976a279</t>
  </si>
  <si>
    <t>b03e3fd2b3d22ff6df2796c412b09311</t>
  </si>
  <si>
    <t>09061966Z</t>
  </si>
  <si>
    <t>ba5e65d83eb0dd1abd9ccade82e0b319</t>
  </si>
  <si>
    <t>44807facf87617dfbd1392e42b7a1602</t>
  </si>
  <si>
    <t>92290ccb8f7b2beb4c57ef1f7a3d5947</t>
  </si>
  <si>
    <t>mercedesmry1234</t>
  </si>
  <si>
    <t>3b92e20e220dfe569b5b8ac42004267a</t>
  </si>
  <si>
    <t>1a22956a0999f12cdfd2472f77c407bd</t>
  </si>
  <si>
    <t>7d8bc5f1a8d3787d06ef11c97d4655df</t>
  </si>
  <si>
    <t>31hZLR6uY9bQA</t>
  </si>
  <si>
    <t>5726a1f76c3e4b50c6996bea00370729</t>
  </si>
  <si>
    <t>e471e4681e35455485830bd6248de30f</t>
  </si>
  <si>
    <t>d487dd0b55dfcacdd920ccbdaeafa351</t>
  </si>
  <si>
    <t>ponderosa8</t>
  </si>
  <si>
    <t>f2c8423883167acbe80dde8ecdf86a2c</t>
  </si>
  <si>
    <t>a1cc45b374703cae6bf0ea7240ec4d6a</t>
  </si>
  <si>
    <t>07a88e756847244f3496f63f473d6085</t>
  </si>
  <si>
    <t>5c2C2KuA</t>
  </si>
  <si>
    <t>044a66411939837e525b039afe61b830</t>
  </si>
  <si>
    <t>2f51c118baf99a7fae6fe2cb881253f9</t>
  </si>
  <si>
    <t>2760c7b84d4bad6b0b12d7c1a6c5e1a4</t>
  </si>
  <si>
    <t>maks250188</t>
  </si>
  <si>
    <t>d76b4fecbac5b93c35185bfec61b4d57</t>
  </si>
  <si>
    <t>124f3fb7b738641f694ed1bbcf920dd8</t>
  </si>
  <si>
    <t>4d5257e5acc7fcac2f5dcd66c4e78f9a</t>
  </si>
  <si>
    <t>omonra13</t>
  </si>
  <si>
    <t>c84c047e6a1f3f6fcfd9064ab3befe53</t>
  </si>
  <si>
    <t>1f1869fd80dfdbebd09ea5d699b83563</t>
  </si>
  <si>
    <t>ac3665f6acae8bd267ed92a71a71313b</t>
  </si>
  <si>
    <t>dima9742</t>
  </si>
  <si>
    <t>1664070ab23ae73c8aa4bb8af2fa3b97</t>
  </si>
  <si>
    <t>c10c91b2a0769f19e432ecf051165720</t>
  </si>
  <si>
    <t>9db3c8f773c85206e661d7538de50fe7</t>
  </si>
  <si>
    <t>sunlife6</t>
  </si>
  <si>
    <t>76de885ae207aaafe3b1e45809c56057</t>
  </si>
  <si>
    <t>e2cdd72ccd4a2cca810b2d4e635bdaa5</t>
  </si>
  <si>
    <t>059bf68f71c80fce55214b411dd2280c</t>
  </si>
  <si>
    <t>kenrick1</t>
  </si>
  <si>
    <t>a20d19cea339df93470fdf96700ec945</t>
  </si>
  <si>
    <t>0bd9c4f9118c014c3d0c73a08519be16</t>
  </si>
  <si>
    <t>110d46fcd978c24f306cd7fa23464d73</t>
  </si>
  <si>
    <t>kpasaB4uk123</t>
  </si>
  <si>
    <t>6a73120edf111c56bc39bb7a5a78e229</t>
  </si>
  <si>
    <t>b32cc010fc835de637ac8de0b4391c42</t>
  </si>
  <si>
    <t>aa87ddc5b4c24406d26ddad771ef44b0</t>
  </si>
  <si>
    <t>perv8463</t>
  </si>
  <si>
    <t>09e1f92a9d5f8f89692a233fdb44660a</t>
  </si>
  <si>
    <t>d50e9488de75003e3d2fad586821e16b</t>
  </si>
  <si>
    <t>9eb0c9605dc81a68731f61b3e0838937</t>
  </si>
  <si>
    <t>24011961m</t>
  </si>
  <si>
    <t>f531be521f08129bc697b8ff75b85bfb</t>
  </si>
  <si>
    <t>ca56fd039f3102e82e1737005ee0a4b5</t>
  </si>
  <si>
    <t>fd820a2b4461bddd116c1518bc4b0f77</t>
  </si>
  <si>
    <t>029140swa</t>
  </si>
  <si>
    <t>fa74b60d8bca122b897575d88a392a53</t>
  </si>
  <si>
    <t>f9a7e6d7b282e62facfa18e5ce58c442</t>
  </si>
  <si>
    <t>ef6e65efc188e7dffd7335b646a85a21</t>
  </si>
  <si>
    <t>gftsq6if</t>
  </si>
  <si>
    <t>431114331ce9ffef80c8e252f6e5ce01</t>
  </si>
  <si>
    <t>740d6c55811ad2299046565aab5140d0</t>
  </si>
  <si>
    <t>e8008e06909d08bccc344f7e56b1461b</t>
  </si>
  <si>
    <t>KsQ5mxTWR2</t>
  </si>
  <si>
    <t>bb20ba7fbc2e603f411bc68592c37373</t>
  </si>
  <si>
    <t>95ee24c4f70ce69e5e45c6dbb0f492f8</t>
  </si>
  <si>
    <t>23f474aef895fa9f10b9e5bb5ab804d5</t>
  </si>
  <si>
    <t>jonners4</t>
  </si>
  <si>
    <t>75d88f867a7223af8a1f72def3ce1054</t>
  </si>
  <si>
    <t>478a137d91bb94498acd34361df8ad86</t>
  </si>
  <si>
    <t>36388794be2cf5f298978498ff3c64a2</t>
  </si>
  <si>
    <t>tgbhn25fb</t>
  </si>
  <si>
    <t>6dd09fdc55e51f7c2ba71673131d84d2</t>
  </si>
  <si>
    <t>21d4bc541004acc12095a81e08a1e4a0</t>
  </si>
  <si>
    <t>c1b1bebbd933a6ec79d47850452f7d66</t>
  </si>
  <si>
    <t>kartoffelbrei16</t>
  </si>
  <si>
    <t>80eee7b51e0a366f09779d0036ee73c8</t>
  </si>
  <si>
    <t>aa1a9f0f306d313b73f8d295bda34d79</t>
  </si>
  <si>
    <t>6c84cbd30cf9350a990bad2bcc1bec5f</t>
  </si>
  <si>
    <t>montana16</t>
  </si>
  <si>
    <t>c11b7d72af3fbbfdcb6beddebf58b8f7</t>
  </si>
  <si>
    <t>0dbab277b9418d231285f341338e9d58</t>
  </si>
  <si>
    <t>5d828a9c40f3e5ff78df079fca5df3ac</t>
  </si>
  <si>
    <t>born2befree</t>
  </si>
  <si>
    <t>08534b8178e57e7a027655061c8ae9e6</t>
  </si>
  <si>
    <t>f14a907e6aa89d671da2390b47e30b8d</t>
  </si>
  <si>
    <t>149afd631693c895f81e508eb5aaef37</t>
  </si>
  <si>
    <t>82callie</t>
  </si>
  <si>
    <t>f421e58e626417e7d5e70b73cc307b85</t>
  </si>
  <si>
    <t>9064821d95878d1b7e24f979e9089c80</t>
  </si>
  <si>
    <t>8c4205ec33d8f6caeaaaa0c10a14138c</t>
  </si>
  <si>
    <t>Superman79</t>
  </si>
  <si>
    <t>2823384627257690e3109f7ae782fa6b</t>
  </si>
  <si>
    <t>c85f61d2385be4af784765f98e360eef</t>
  </si>
  <si>
    <t>dd22141acb5ea065acd5ed773729c98f</t>
  </si>
  <si>
    <t>chilya123</t>
  </si>
  <si>
    <t>0e4ac1eaa120f6b35a2c15c06bda57ba</t>
  </si>
  <si>
    <t>357b0b1d5800ebbc02cafd4a8d9e9356</t>
  </si>
  <si>
    <t>b6b08d6bcc8412aab95f5513e738182e</t>
  </si>
  <si>
    <t>ox19671986</t>
  </si>
  <si>
    <t>21e21d8f1288307cba21cc2fd3cf7a9f</t>
  </si>
  <si>
    <t>2588dcb8e3a06bf00bfdc536dbc985a0</t>
  </si>
  <si>
    <t>7ff135854376850e9711bd75ce942e07</t>
  </si>
  <si>
    <t>2mddJZ4T</t>
  </si>
  <si>
    <t>f55b047c0ef0976de6d95e1c3aad3d0a</t>
  </si>
  <si>
    <t>125e52fe130dad4a1d40a72ab8f93338</t>
  </si>
  <si>
    <t>93279e3308bdbbeed946fc965017f67a</t>
  </si>
  <si>
    <t>20espavo08</t>
  </si>
  <si>
    <t>b9c186b80a44329a63b06ed01137f530</t>
  </si>
  <si>
    <t>46bb301f1590eb9e20c7137bc8d9b615</t>
  </si>
  <si>
    <t>dcb76da384ae3028d6aa9b2ebcea01c9</t>
  </si>
  <si>
    <t>linhmaithuy92</t>
  </si>
  <si>
    <t>5019fc8bc4d48f0fe8cc05589a4185d7</t>
  </si>
  <si>
    <t>58c9710d239e4b7d46df7887ac51621e</t>
  </si>
  <si>
    <t>f938c93da3eeabf30a6679828dede59c</t>
  </si>
  <si>
    <t>kaylin1230</t>
  </si>
  <si>
    <t>41537eee11e054622fa2622d0a2ecc8c</t>
  </si>
  <si>
    <t>d8ac99cb05394e62748514f3f4bd3aba</t>
  </si>
  <si>
    <t>6b19beeaedade171ecc320ddd87f7ae6</t>
  </si>
  <si>
    <t>2iru2xgvoq</t>
  </si>
  <si>
    <t>0ff1b0658db713b6daf667b33c77d1d1</t>
  </si>
  <si>
    <t>1cfc2abf079f64e07c8db022d01d9977</t>
  </si>
  <si>
    <t>ff0d813dd5d2f64dd372c6c4b6aed086</t>
  </si>
  <si>
    <t>l37wz1v3x4</t>
  </si>
  <si>
    <t>c6f93b8c2a61c0691dd99efcaa12bb76</t>
  </si>
  <si>
    <t>93054ebb5a7cf99898bf6a4e21a3125b</t>
  </si>
  <si>
    <t>6ae199a93c381bf6d5de27491139d3f9</t>
  </si>
  <si>
    <t>53015157vviikka</t>
  </si>
  <si>
    <t>f2d626e1a44bcb6c0884d71773256e26</t>
  </si>
  <si>
    <t>c80211aae766991fb794846bb145a211</t>
  </si>
  <si>
    <t>d0970714757783e6cf17b26fb8e2298f</t>
  </si>
  <si>
    <t>8587633m</t>
  </si>
  <si>
    <t>a9691a9672b8a02dcc12b96175db3063</t>
  </si>
  <si>
    <t>83d0e439d9946c0075b6bc11238c0d53</t>
  </si>
  <si>
    <t>5eae8782697c15b7a55054c66c96b33a</t>
  </si>
  <si>
    <t>kamila14ok</t>
  </si>
  <si>
    <t>9ec3cab851039ccc907f6dcc55d2efff</t>
  </si>
  <si>
    <t>8800ace1f621012890471f7f7bee08a9</t>
  </si>
  <si>
    <t>5b1b68a9abf4d2cd155c81a9225fd158</t>
  </si>
  <si>
    <t>eskovat1</t>
  </si>
  <si>
    <t>cb9ac10557cf50553b21fb5a45b7c773</t>
  </si>
  <si>
    <t>7de1a23b8d676a23f5ac2a8197fd6a62</t>
  </si>
  <si>
    <t>75c6f03161d020201000414cd1501f9f</t>
  </si>
  <si>
    <t>lenkasmela2</t>
  </si>
  <si>
    <t>7ef968a65507bb5f19899e256609b614</t>
  </si>
  <si>
    <t>489859d79984132144a911f9df9edc4e</t>
  </si>
  <si>
    <t>5f3bc5221626b2f8d66261fb07339462</t>
  </si>
  <si>
    <t>Pepperm1nt</t>
  </si>
  <si>
    <t>72288e29a848944daa87cd38637ee634</t>
  </si>
  <si>
    <t>d3135376ccca3cf47444c85981d39066</t>
  </si>
  <si>
    <t>6ed61d4b80bb0f81937b32418e98adca</t>
  </si>
  <si>
    <t>73IC1rrQ</t>
  </si>
  <si>
    <t>c729973b98cf0cd9bc7c264acda1c37b</t>
  </si>
  <si>
    <t>dbe71a05f901b51e73fe883ec447fda3</t>
  </si>
  <si>
    <t>f306109e6f069bca5191deb9b03359e2</t>
  </si>
  <si>
    <t>blazer33</t>
  </si>
  <si>
    <t>e90f6ac508388eaeb9f55db8afdee5f2</t>
  </si>
  <si>
    <t>a11edbc67b3784485a6a064f36455a13</t>
  </si>
  <si>
    <t>6228bd57c9a858eb305e0fd0694890f7</t>
  </si>
  <si>
    <t>chrisbr0wn</t>
  </si>
  <si>
    <t>df9933b011d72e9806d2c679282285b5</t>
  </si>
  <si>
    <t>b12ef341bf8760f989ede0bc33d43e48</t>
  </si>
  <si>
    <t>fe01d67a002dfa0f3ac084298142eccd</t>
  </si>
  <si>
    <t>goblins01</t>
  </si>
  <si>
    <t>ba1e5ceb981e8017be99b71feeb39768</t>
  </si>
  <si>
    <t>91d42ba492395f434c6f8664752abf8a</t>
  </si>
  <si>
    <t>71b3b26aaa319e0cdf6fdb8429c112b0</t>
  </si>
  <si>
    <t>ko607299</t>
  </si>
  <si>
    <t>72658ecd2270a8b95c027f0893138b54</t>
  </si>
  <si>
    <t>6a5ff5c264972cebbc453fb6f2c22778</t>
  </si>
  <si>
    <t>52c69e3a57331081823331c4e69d3f2e</t>
  </si>
  <si>
    <t>kaziulka22</t>
  </si>
  <si>
    <t>c33f84b9c05ce8f55a8cdb1eafd98b45</t>
  </si>
  <si>
    <t>441fe32af0b5e2308cf1475c82be9a44</t>
  </si>
  <si>
    <t>74c74dcb39a0923937ce87dda08bfd51</t>
  </si>
  <si>
    <t>depend0nyou</t>
  </si>
  <si>
    <t>0b8709b741903a5cee9a3df6e4b8c036</t>
  </si>
  <si>
    <t>1276eb4cd7b032dfbfdf8a6fbc71ce85</t>
  </si>
  <si>
    <t>b0baee9d279d34fa1dfd71aadb908c3f</t>
  </si>
  <si>
    <t>nari1971</t>
  </si>
  <si>
    <t>5ff96c60539ef4569d3e0afbab542989</t>
  </si>
  <si>
    <t>c84f4f1f4cce484ed907b86ab7df289b</t>
  </si>
  <si>
    <t>1404834e52a4c6cac9444f1fb3c62d3c</t>
  </si>
  <si>
    <t>english33</t>
  </si>
  <si>
    <t>f1b65dd9b0c16e6c1ee1aac602c71921</t>
  </si>
  <si>
    <t>2775b9d95e8815468d0d8fb272c5a02a</t>
  </si>
  <si>
    <t>e9646d086a37906e5bec4323d3b37c9b</t>
  </si>
  <si>
    <t>121185121185sss</t>
  </si>
  <si>
    <t>e584e569b879a3b23d2bc981188d25a3</t>
  </si>
  <si>
    <t>3ba2cdcdc3d1ac593b7d634b875e9275</t>
  </si>
  <si>
    <t>647431b5ca55b04fdf3c2fce31ef1915</t>
  </si>
  <si>
    <t>alyxkm01</t>
  </si>
  <si>
    <t>3c3c3df6a581c60fc05883b6b179b463</t>
  </si>
  <si>
    <t>a896db9a34f838c910e1b5331c19b195</t>
  </si>
  <si>
    <t>6b1b36cbb04b41490bfc0ab2bfa26f86</t>
  </si>
  <si>
    <t>gimpie84</t>
  </si>
  <si>
    <t>43a2ebcbb55a8fd6874bdcbee38eaffa</t>
  </si>
  <si>
    <t>3e73d4d9d0e6fc2ad4ab63c9b370b5cd</t>
  </si>
  <si>
    <t>c7a4476fc64b75ead800da9ea2b7d072</t>
  </si>
  <si>
    <t>9nmBUqbE</t>
  </si>
  <si>
    <t>6acf9d21a8adda8f93e3ff2f9995d81e</t>
  </si>
  <si>
    <t>575e583bec99ef704f5f2a2080980515</t>
  </si>
  <si>
    <t>b36d331451a61eb2d76860e00c347396</t>
  </si>
  <si>
    <t>Trout272</t>
  </si>
  <si>
    <t>4069853002fd97e340110aea676c8346</t>
  </si>
  <si>
    <t>ab54c55f4e3422339dd970b444d01850</t>
  </si>
  <si>
    <t>f40a37048732da05928c3d374549c832</t>
  </si>
  <si>
    <t>Cyclone920</t>
  </si>
  <si>
    <t>f563829b1eff2ab4d5af0c824ab81f71</t>
  </si>
  <si>
    <t>262ddcb46399c41a0be0da39bd147392</t>
  </si>
  <si>
    <t>e052450f29b2e0e9a53fd4eb389e25a9</t>
  </si>
  <si>
    <t>critter123</t>
  </si>
  <si>
    <t>b0a029d0670144609cf4df9db0a64003</t>
  </si>
  <si>
    <t>9b6c25e1aadaabf7ea904ef05a64e230</t>
  </si>
  <si>
    <t>d9b23ebbf9b431d009a20df52e515db5</t>
  </si>
  <si>
    <t>yecgaa1296</t>
  </si>
  <si>
    <t>07c8b4b6708830c05468974de9fee53f</t>
  </si>
  <si>
    <t>d6252976e238d0807f6dc546248703fa</t>
  </si>
  <si>
    <t>9b306ab04ef5e25f9fb89c998a6aedab</t>
  </si>
  <si>
    <t>0071dima</t>
  </si>
  <si>
    <t>04ed092153cbf5eccf2bdfb0bfe12470</t>
  </si>
  <si>
    <t>6eeee75b4ddd6d276f500e45a84ea6e1</t>
  </si>
  <si>
    <t>7fecaf436eb80f4b36c121fe2d3f80e5</t>
  </si>
  <si>
    <t>703X1Xt4Eo2Ko</t>
  </si>
  <si>
    <t>c5c7409e02a76b7f73f6e18b06c0c3e4</t>
  </si>
  <si>
    <t>be3318d23a7898413869023f6a5c1058</t>
  </si>
  <si>
    <t>703042aefd627a8c86c4de140cc80c6e</t>
  </si>
  <si>
    <t>OARSMV0F</t>
  </si>
  <si>
    <t>55b9a9635d055fe5a660dd39c2a709e4</t>
  </si>
  <si>
    <t>42b2cb0158d07900e898e4fc0e20bcb7</t>
  </si>
  <si>
    <t>823fec7a2632ea7b498c1d0d11c11377</t>
  </si>
  <si>
    <t>1996sova</t>
  </si>
  <si>
    <t>d1d9af67dba5c6bb239405db5684ba09</t>
  </si>
  <si>
    <t>8cb059cad32e728d8e83817c5fb307d6</t>
  </si>
  <si>
    <t>8e73b27568cb3be29e2da74d42eab6dd</t>
  </si>
  <si>
    <t>46YGAkwh</t>
  </si>
  <si>
    <t>30aac366ec85e069c0d18b1e8f5ffb13</t>
  </si>
  <si>
    <t>064b4321e701b5de05f7f5b965ea05a0</t>
  </si>
  <si>
    <t>784c48992e9fd4adc2744ffc8fbad900</t>
  </si>
  <si>
    <t>prequel1</t>
  </si>
  <si>
    <t>5bf274c15977b608dcf119584b584ee0</t>
  </si>
  <si>
    <t>65d01a01dc6c69028c0c907420b5b74e</t>
  </si>
  <si>
    <t>dc0fa7df3d07904a09288bd2d2bb5f40</t>
  </si>
  <si>
    <t>j35fieph</t>
  </si>
  <si>
    <t>afacdc4b8807f2fefb70ad02a7e04b3b</t>
  </si>
  <si>
    <t>a6d49b149f617ba283b688e9e6244f62</t>
  </si>
  <si>
    <t>fea0f1f6fede90bd0a925b4194deac11</t>
  </si>
  <si>
    <t>utv42qaz</t>
  </si>
  <si>
    <t>a2c926de214f1f03c68d9873511efcab</t>
  </si>
  <si>
    <t>2e19c124a6676bf2302af4fcc92816db</t>
  </si>
  <si>
    <t>5583413443164b56500def9a533c7c70</t>
  </si>
  <si>
    <t>vishnakot12345</t>
  </si>
  <si>
    <t>eaa6810ff9b4ec1131d66abe9e77f8fb</t>
  </si>
  <si>
    <t>40bd61cd760be7192eea2678fdd65c50</t>
  </si>
  <si>
    <t>1c5442c0461e5186126aaba26edd6857</t>
  </si>
  <si>
    <t>80508442224k</t>
  </si>
  <si>
    <t>cf41b6394ae641b2b6b2391c598bcb99</t>
  </si>
  <si>
    <t>cc9ff6eac21f37fa0171192ee84c0f90</t>
  </si>
  <si>
    <t>36cdf8b887a5cffc78dcd5c08991b993</t>
  </si>
  <si>
    <t>nena1782</t>
  </si>
  <si>
    <t>a25bfbe61e1ec62827e05e19e5faa26f</t>
  </si>
  <si>
    <t>6c7eda28d46f7943c4f1292296767836</t>
  </si>
  <si>
    <t>4a181673429f0b6abbfd452f0f3b5950</t>
  </si>
  <si>
    <t>maekawa4</t>
  </si>
  <si>
    <t>c32f04f2a484fff145b69dc3191e92a8</t>
  </si>
  <si>
    <t>8e6e250b177963c8e4ff7874d2477623</t>
  </si>
  <si>
    <t>32d635528e3a388abb68b97a6eeedf35</t>
  </si>
  <si>
    <t>kani2006</t>
  </si>
  <si>
    <t>8f9b12768bcfcea26edc4309a07c0037</t>
  </si>
  <si>
    <t>4c02dae45c2788bb437914e89bd8b01c</t>
  </si>
  <si>
    <t>172522ec1028ab781d9dfd17eaca4427</t>
  </si>
  <si>
    <t>28092004f</t>
  </si>
  <si>
    <t>a1b6a9c9bb432a56ae95c64d8c5f9f0b</t>
  </si>
  <si>
    <t>10f33f1c148c84cd61ef2cf5f5b1f59d</t>
  </si>
  <si>
    <t>6f4ec514eee84cc58c8e610a0c87d7a2</t>
  </si>
  <si>
    <t>boldgold72</t>
  </si>
  <si>
    <t>ee434b995f7ac7cb07102cfaad50dc0d</t>
  </si>
  <si>
    <t>b6fcba8a507a7ddba12b8dfd43e2557f</t>
  </si>
  <si>
    <t>59f29878f0ca6fffa2485e3c5e3b5443</t>
  </si>
  <si>
    <t>filipp1231</t>
  </si>
  <si>
    <t>b4e093625bc4402d7d4b5b4875679315</t>
  </si>
  <si>
    <t>0127e13387b30a37caa96d48efd528cd</t>
  </si>
  <si>
    <t>4652b19e09ced75df510bf5a263a2bfe</t>
  </si>
  <si>
    <t>pooch3336</t>
  </si>
  <si>
    <t>60a73204b6b931fd9a44ab99443eb341</t>
  </si>
  <si>
    <t>90757d6cd9b6eea1fb2ad7c24f129295</t>
  </si>
  <si>
    <t>6104df369888589d6dbea304b59a32d4</t>
  </si>
  <si>
    <t>128560dvp</t>
  </si>
  <si>
    <t>a8644770a94c2e376f3e4d0e1b363d48</t>
  </si>
  <si>
    <t>5c1f7e4dd4833baee0a4efe3c2344def</t>
  </si>
  <si>
    <t>b0210eb60aff5851b7607227b8530521</t>
  </si>
  <si>
    <t>lanosa013oo</t>
  </si>
  <si>
    <t>d98087285c51ba29e6609fabcb86519b</t>
  </si>
  <si>
    <t>6c96a000754552c531ea0848ca10d98a</t>
  </si>
  <si>
    <t>e3ceb5881a0a1fdaad01296d7554868d</t>
  </si>
  <si>
    <t>topcat77</t>
  </si>
  <si>
    <t>f5bff47abf987c37a17b154660b02f57</t>
  </si>
  <si>
    <t>1b445f9a2c2c90d6e9dcaef8613b64a4</t>
  </si>
  <si>
    <t>bd273e238dc03056fff93c0e1e8de576</t>
  </si>
  <si>
    <t>kk22hero&amp;1209</t>
  </si>
  <si>
    <t>48ae70577712c11bd26b09b5c6ed5416</t>
  </si>
  <si>
    <t>c75f03ab098828d475a4f9d351829353</t>
  </si>
  <si>
    <t>6c44e5cd17f0019c64b042e4a745412a</t>
  </si>
  <si>
    <t>Zelda475</t>
  </si>
  <si>
    <t>804c9dcae59adb490e25c90aa801d0f9</t>
  </si>
  <si>
    <t>8843c86353bfbfa0ce3d0c283993d50e</t>
  </si>
  <si>
    <t>e0e34c5ad05aac3eef6ab31eacbf7a5c</t>
  </si>
  <si>
    <t>d5669748e</t>
  </si>
  <si>
    <t>435930b0d42a4aac7e159388a6dab2bf</t>
  </si>
  <si>
    <t>42226b54df9e03fb6d1ceb9e8eed80aa</t>
  </si>
  <si>
    <t>b60eb83bf533eecf1bde65940925a981</t>
  </si>
  <si>
    <t>gulnaz4ic</t>
  </si>
  <si>
    <t>3f5040d04283bedf0e906625275d121b</t>
  </si>
  <si>
    <t>b78fc4be65362696215a1e95a6952c59</t>
  </si>
  <si>
    <t>dcddb75469b4b4875094e14561e573d8</t>
  </si>
  <si>
    <t>Ptolomei1</t>
  </si>
  <si>
    <t>f7fe4f218c30f79d88004665681f9c83</t>
  </si>
  <si>
    <t>ccee3c15928a9d1d4d6c81160b247f6e</t>
  </si>
  <si>
    <t>cebdd715d4ecaafee8f147c2e85e0754</t>
  </si>
  <si>
    <t>zuzanna9</t>
  </si>
  <si>
    <t>628ef9ca52308669049ee4393d8a112a</t>
  </si>
  <si>
    <t>626313fb9ed2806d288973aa15855338</t>
  </si>
  <si>
    <t>00bfc8c729f5d4d529a412b12c58ddd2</t>
  </si>
  <si>
    <t>2707nelly</t>
  </si>
  <si>
    <t>5244bf8ae7f1f9ac6b5f97645724d4ea</t>
  </si>
  <si>
    <t>b7b11a8a94553dad08e7686c511d0b5a</t>
  </si>
  <si>
    <t>1d3d37667a8d7eb02054c6afdf9e2e1c</t>
  </si>
  <si>
    <t>1956vfq24</t>
  </si>
  <si>
    <t>998d49a353ff1958762a91c9f37bc7ad</t>
  </si>
  <si>
    <t>570af5b98545a97e73e0f33dbb45caa8</t>
  </si>
  <si>
    <t>0a43c50e23a05929e7f2b075170ce0a2</t>
  </si>
  <si>
    <t>f1417210</t>
  </si>
  <si>
    <t>83ccc8f344cbf9c790a4d24a5b050ed7</t>
  </si>
  <si>
    <t>b43d5ade479d694dc0308712aeddf359</t>
  </si>
  <si>
    <t>742929dcb631403d7c1c1efad2ca2700</t>
  </si>
  <si>
    <t>damo1914</t>
  </si>
  <si>
    <t>c6dcb5192cf62ff59fd09ad4a1b99c24</t>
  </si>
  <si>
    <t>95d168d456d77ffd324e458d4c65f92b</t>
  </si>
  <si>
    <t>b3f952d5d9adea6f63bee9d4c6fceeaa</t>
  </si>
  <si>
    <t>markiz240295</t>
  </si>
  <si>
    <t>50a86ea156511964fc92f881110f001c</t>
  </si>
  <si>
    <t>a3c237617a7791ad6cf49163d489d06e</t>
  </si>
  <si>
    <t>0c74ac34d6652b2da30488d4f38496d8</t>
  </si>
  <si>
    <t>10072010a</t>
  </si>
  <si>
    <t>f24abea8032a56d1bb9cb1792b112853</t>
  </si>
  <si>
    <t>e23fd0671b7d38f0a6e442963a43b718</t>
  </si>
  <si>
    <t>cd13b6a6af66fb774faa589a9d18f906</t>
  </si>
  <si>
    <t>se0726jp</t>
  </si>
  <si>
    <t>2854e4f4c274d6825d29c0b0a3a4cdb5</t>
  </si>
  <si>
    <t>06597dc8d534cd01d0c25a74bc53fcd1</t>
  </si>
  <si>
    <t>9e8b4e6aa25e60e1c9ef7fa02dc71a79</t>
  </si>
  <si>
    <t>2fBP4Kfq</t>
  </si>
  <si>
    <t>c15941f33f60760de2bf672f5251df47</t>
  </si>
  <si>
    <t>cd8c3129c37ccd68d2ef2930dbaffc7b</t>
  </si>
  <si>
    <t>96917805fd060e3766a9a1b834639d35</t>
  </si>
  <si>
    <t>zuamigd1856</t>
  </si>
  <si>
    <t>ccbce37b42800674520e4f7ba4b44e68</t>
  </si>
  <si>
    <t>71f399a7bd1daa88feb742cf23a3b07d</t>
  </si>
  <si>
    <t>44a0569931b41774b039baef181f6dc7</t>
  </si>
  <si>
    <t>6dete8qi</t>
  </si>
  <si>
    <t>25ceea265e70a9d54f79a7f4745e1dde</t>
  </si>
  <si>
    <t>3c498b9222da222e7abb96abfbd1126d</t>
  </si>
  <si>
    <t>beef11336ff51f62c1157c310a2e5f5a</t>
  </si>
  <si>
    <t>6z25LDFf</t>
  </si>
  <si>
    <t>424b7becfc4eb3357855b6b4e1e73876</t>
  </si>
  <si>
    <t>6bab880b966bd0dc0dafb9c5995ed0fb</t>
  </si>
  <si>
    <t>d8b36fa2ce602b7258ecaa289cf70aa1</t>
  </si>
  <si>
    <t>thinkpink1</t>
  </si>
  <si>
    <t>aeeefcf0a085d49a8f0d8a1622597e4a</t>
  </si>
  <si>
    <t>e4400ed9cf6149a45789c23f24521436</t>
  </si>
  <si>
    <t>6720720054e9d24fbf6c20a831ff287e</t>
  </si>
  <si>
    <t>buhjr321</t>
  </si>
  <si>
    <t>92e88a52a9b7cd2a6bfb9e5c2cac57ce</t>
  </si>
  <si>
    <t>7e4bdf56b00d524a34736921283d99e1</t>
  </si>
  <si>
    <t>d3510ef0e930e9e740d15c00f3beb6f4</t>
  </si>
  <si>
    <t>1019637h</t>
  </si>
  <si>
    <t>a1dbc50fe140aec8dadbc9d3c72ee70e</t>
  </si>
  <si>
    <t>fabaedc003e523cab52acb05876ea925</t>
  </si>
  <si>
    <t>eb31870669f13fd8444c2bc918375f09</t>
  </si>
  <si>
    <t>geroin12</t>
  </si>
  <si>
    <t>ac5ceac7c52cc61c8a4fdf35b1514af4</t>
  </si>
  <si>
    <t>ef430d4abecd8ab2a4c845db79232e46</t>
  </si>
  <si>
    <t>c5fe25896e49ddfe996db7508cf00534</t>
  </si>
  <si>
    <t>power4254</t>
  </si>
  <si>
    <t>2b53c2ff4001bd3509c3c9f7227cbda5</t>
  </si>
  <si>
    <t>1c01485a874e2d35bb4a514104126c58</t>
  </si>
  <si>
    <t>276f8db0b86edaa7fc805516c852c889</t>
  </si>
  <si>
    <t>01232003pash</t>
  </si>
  <si>
    <t>122a07419706fbeab4e1226904c113ad</t>
  </si>
  <si>
    <t>3fab993ab2f5947662621525107c28d4</t>
  </si>
  <si>
    <t>925d7518fc597af0e43f5606f9a51512</t>
  </si>
  <si>
    <t>c26KMH6kB0zu</t>
  </si>
  <si>
    <t>588accb7252e080df3e7d884d9fbf353</t>
  </si>
  <si>
    <t>29495e2ac45eb160a5d3d4325ed70bf6</t>
  </si>
  <si>
    <t>80735228c8e9b43410f2b207f0e54fb0</t>
  </si>
  <si>
    <t>1323bevis</t>
  </si>
  <si>
    <t>6b52f6c8e18a283c3f375475c025d73e</t>
  </si>
  <si>
    <t>45d2fdec98f0ec1de1a14f9b4afcab1d</t>
  </si>
  <si>
    <t>4d04cedd6d05b1f16a4404ff5a1fa4af</t>
  </si>
  <si>
    <t>bd220906</t>
  </si>
  <si>
    <t>af5b712a7da28a0d6fe81885e7b40608</t>
  </si>
  <si>
    <t>7fb514832eb076dfecc15e3d1b2d07bb</t>
  </si>
  <si>
    <t>151d1bf0c57afa45e7160c1d24aa2c8d</t>
  </si>
  <si>
    <t>Nolimits7</t>
  </si>
  <si>
    <t>3de8ecc6d249d874e5936e86c2454f29</t>
  </si>
  <si>
    <t>a1f5581d265299991e589aa9522d9bb7</t>
  </si>
  <si>
    <t>b3b7eca0709c3c25e677677937e8f609</t>
  </si>
  <si>
    <t>2747847822roma</t>
  </si>
  <si>
    <t>e9c95a503490a033ac4b3de848ac1ba0</t>
  </si>
  <si>
    <t>c555725769afcbc9b706129405d68672</t>
  </si>
  <si>
    <t>6ee6a213cb02554a63b1867143572e70</t>
  </si>
  <si>
    <t>anna2408</t>
  </si>
  <si>
    <t>69d577a9aff98f5e8292669313d8d54c</t>
  </si>
  <si>
    <t>f75ff3a164139f490e1c58d98a7982d4</t>
  </si>
  <si>
    <t>c8837b23ff8aaa8a2dde915473ce0991</t>
  </si>
  <si>
    <t>3425antaras1991</t>
  </si>
  <si>
    <t>71b2b5f5546f5e900f32dfec46fe7cb5</t>
  </si>
  <si>
    <t>7ca9d1f8c12fcfe67ec111a0734a486c</t>
  </si>
  <si>
    <t>a906449d5769fa7361d7ecc6aa3f6d28</t>
  </si>
  <si>
    <t>SqBmbtJw2691</t>
  </si>
  <si>
    <t>8b78741091a827cc7c672b4c6f38784a</t>
  </si>
  <si>
    <t>350a0db04d2afef199026bc2b18eea8a</t>
  </si>
  <si>
    <t>4f73d96b54d1c86f38ee595f7956301f</t>
  </si>
  <si>
    <t>Tubered123</t>
  </si>
  <si>
    <t>9e06342ae8028021000c732954ce7c5d</t>
  </si>
  <si>
    <t>f2e5ce621dbd5eec4884f7964c485264</t>
  </si>
  <si>
    <t>ec0e2603172c73a8b644bb9456c1ff6e</t>
  </si>
  <si>
    <t>614g301r213e813y</t>
  </si>
  <si>
    <t>6b747d75809a3e7213e5f76233ea18ba</t>
  </si>
  <si>
    <t>a14eeff327d8dd977563f0b2c95be4f6</t>
  </si>
  <si>
    <t>110cea74cf52e41ead691dccdf75f27b</t>
  </si>
  <si>
    <t>310751lvi</t>
  </si>
  <si>
    <t>c79ef795c56b711902166b7ad2413835</t>
  </si>
  <si>
    <t>9cc0838e4d64aa208caf194ec9f6f5cd</t>
  </si>
  <si>
    <t>f962bed5616612c8c7053f6e97e72b12</t>
  </si>
  <si>
    <t>m1t17412369tony</t>
  </si>
  <si>
    <t>501e25cf4d219533b42deb551caeed5c</t>
  </si>
  <si>
    <t>b09c6e609302235a71ba5e9acbe517f8</t>
  </si>
  <si>
    <t>0dae4a923e4ae71d0a8960c6f89c3c18</t>
  </si>
  <si>
    <t>chriss347</t>
  </si>
  <si>
    <t>d1c7b6f162942ce16e74c9ca113a6dbc</t>
  </si>
  <si>
    <t>29f67d2135c0fb93673be511250a054e</t>
  </si>
  <si>
    <t>4d33fd1da665809bea02d5b573739a5f</t>
  </si>
  <si>
    <t>89234884286acdc</t>
  </si>
  <si>
    <t>7aaa41339a647ef8b394926eb5a2697c</t>
  </si>
  <si>
    <t>78b100750b6f512f552599d98ac00730</t>
  </si>
  <si>
    <t>263bce650e68ab4e23f28263760b9fa5</t>
  </si>
  <si>
    <t>dylan1997</t>
  </si>
  <si>
    <t>e0c8042d4f6a4a25a2b0586d2e869c3a</t>
  </si>
  <si>
    <t>204fdbfda650119a7a25f2faeac0d43f</t>
  </si>
  <si>
    <t>276e697e74e8b5264465139a480db556</t>
  </si>
  <si>
    <t>4b2a1011b48</t>
  </si>
  <si>
    <t>8d98429cfe4996bc0b9f2720bd17e8e4</t>
  </si>
  <si>
    <t>c182177f5143ffc7b4736a01edfbf808</t>
  </si>
  <si>
    <t>d796b1242dc89cedffe596d14517f2ac</t>
  </si>
  <si>
    <t>olja101181</t>
  </si>
  <si>
    <t>837c5c90d8b5eb9b6e5c2eb7b974488f</t>
  </si>
  <si>
    <t>eb1806a51d28a37ee4ec2cbabb3c4943</t>
  </si>
  <si>
    <t>7d0df4f46505d83bc7949dd1fb9c0db8</t>
  </si>
  <si>
    <t>SdKfz171</t>
  </si>
  <si>
    <t>3769496e6b0d4469a61216c0be05724c</t>
  </si>
  <si>
    <t>b37de860e1d219a26a3bee8e7c7fdaec</t>
  </si>
  <si>
    <t>6967cabefd763ac1a1a88e11159957db</t>
  </si>
  <si>
    <t>jsmjcty2</t>
  </si>
  <si>
    <t>2b5287fcc59ffbde8d4d13e65f7d4623</t>
  </si>
  <si>
    <t>506b389f31ce601885e06cfe78c5cb43</t>
  </si>
  <si>
    <t>669ffc150d1f875819183addfc842cab</t>
  </si>
  <si>
    <t>eumeamo7</t>
  </si>
  <si>
    <t>09b219c74721d68a9acef01c60aa0e7f</t>
  </si>
  <si>
    <t>9711ea4eddb5ffa6e2c657b91d1aedab</t>
  </si>
  <si>
    <t>b6cb572e168a99f5209eae6a906cf65c</t>
  </si>
  <si>
    <t>39123k47</t>
  </si>
  <si>
    <t>50e8571f63b905742572e69d6eb3e5ee</t>
  </si>
  <si>
    <t>5f654b85d1ca7737aaf49cda647d73da</t>
  </si>
  <si>
    <t>48bafc503cbdbf5e49ca9725f980e241</t>
  </si>
  <si>
    <t>kanuee45</t>
  </si>
  <si>
    <t>10dc58e7a19b92914d4f6e3fb837d1bf</t>
  </si>
  <si>
    <t>83f253e0315d43ea7e93817b769b0f84</t>
  </si>
  <si>
    <t>9d2f75377ac0ab991d40c91fd27e52fd</t>
  </si>
  <si>
    <t>kpi1c2a0</t>
  </si>
  <si>
    <t>a6fe8c61ff75076f7b6a43bf3a3bceee</t>
  </si>
  <si>
    <t>227def7a37ab169f7342b1fce13be208</t>
  </si>
  <si>
    <t>9ed98e5c3e9685aa3de82c99009a2ed3</t>
  </si>
  <si>
    <t>m19011971s</t>
  </si>
  <si>
    <t>193ab79992e900196a3f097e8b0ccf3c</t>
  </si>
  <si>
    <t>a901e12154cfdeb93a16849f58c32733</t>
  </si>
  <si>
    <t>0b9a54438fba2dc0d39be8f7c6c71a58</t>
  </si>
  <si>
    <t>Applega1</t>
  </si>
  <si>
    <t>ce6a409508263dbecec870a21d3ada2f</t>
  </si>
  <si>
    <t>399f6084dd04312397c377dfefabb413</t>
  </si>
  <si>
    <t>6988ec3aba1eaddf2435141bf10487ca</t>
  </si>
  <si>
    <t>jonasbrothers321</t>
  </si>
  <si>
    <t>8e80a4a1096216f54e35010ebc167c85</t>
  </si>
  <si>
    <t>15c44884f02a80865b4da80b09f352f1</t>
  </si>
  <si>
    <t>056f2914fd9a607d48f5491a53b4deb5</t>
  </si>
  <si>
    <t>viktorij5641</t>
  </si>
  <si>
    <t>c641dcfeb8dc56e7e9adb643c4641647</t>
  </si>
  <si>
    <t>55b72dcd61cf51f23f69ebd8e4c6c7e9</t>
  </si>
  <si>
    <t>04dac8afe0ca501587bad66f6b5ce5ad</t>
  </si>
  <si>
    <t>5h5qdhzw</t>
  </si>
  <si>
    <t>a977b380b7060c6b3f30d29368826803</t>
  </si>
  <si>
    <t>1293375a79d7e3649b89a0d2763dc39b</t>
  </si>
  <si>
    <t>2b9ff3efc4a999ecfacd18c4bbc57a2e</t>
  </si>
  <si>
    <t>m7cLXe1z</t>
  </si>
  <si>
    <t>a70cea03d7867d77427f551586cf86ec</t>
  </si>
  <si>
    <t>f101eed47814bceb09af6b5b300c1d96</t>
  </si>
  <si>
    <t>74e37ee1078418fb58433aaf0fdd5a9a</t>
  </si>
  <si>
    <t>Ew2eQnzi</t>
  </si>
  <si>
    <t>e3d5ef1debf962a2605e79dd74daa776</t>
  </si>
  <si>
    <t>1a335bf94de9844887a23a679794f527</t>
  </si>
  <si>
    <t>5903d9e9a8884c8c04ad16559446735a</t>
  </si>
  <si>
    <t>cuddler1</t>
  </si>
  <si>
    <t>1ece41b40ec08d1476f65712912254cc</t>
  </si>
  <si>
    <t>44e031a337b0b9e98adf1cfcc8f77758</t>
  </si>
  <si>
    <t>229979fce5174c17d4645bf8752dae1e</t>
  </si>
  <si>
    <t>df3sypro2000</t>
  </si>
  <si>
    <t>001dd0ac45643e930321b197694cc694</t>
  </si>
  <si>
    <t>4316a99cef0e544143c1f5105b12dcbb</t>
  </si>
  <si>
    <t>67b2bad64c2f7ae974140d1742539665</t>
  </si>
  <si>
    <t>h031082y</t>
  </si>
  <si>
    <t>5621f89369311b155b5c9910b70c55ff</t>
  </si>
  <si>
    <t>c75b6f19bcecfd376dd58bb721377008</t>
  </si>
  <si>
    <t>ffc150a160d37e92012c196b6af4160d</t>
  </si>
  <si>
    <t>a005ny005</t>
  </si>
  <si>
    <t>15310df94530a9069c0bbd037f4fd046</t>
  </si>
  <si>
    <t>34a3056f20bcb37b9cb66a22e26f9726</t>
  </si>
  <si>
    <t>52b14869c15726dda86b87cb93666a74</t>
  </si>
  <si>
    <t>tirpitz7</t>
  </si>
  <si>
    <t>8d93dc879392002906149aee4db2d9d5</t>
  </si>
  <si>
    <t>d708e930c13b33b6e25a501b38a03425</t>
  </si>
  <si>
    <t>210dc1fd8cb4e4e43cb4961b28fac275</t>
  </si>
  <si>
    <t>111111olie4451</t>
  </si>
  <si>
    <t>1308730ae7353cebebce2faeec801ccc</t>
  </si>
  <si>
    <t>540d6954b2559be4a516decf97b0fed7</t>
  </si>
  <si>
    <t>e60408e9a55027070e3caf0550d2b4df</t>
  </si>
  <si>
    <t>LetmeIn646</t>
  </si>
  <si>
    <t>f27f2749e2f313477fdf0bcc29346596</t>
  </si>
  <si>
    <t>a02bbe4d894b8c1aaaf3a92c3564671b</t>
  </si>
  <si>
    <t>6d6354ece40846bf7fca65dfabd5d9d4</t>
  </si>
  <si>
    <t>gUnq8eoyPx7W</t>
  </si>
  <si>
    <t>15a56b14aa92eee18a6980fb20d88277</t>
  </si>
  <si>
    <t>6c51deb9d6d7306a9077cd64d52275b1</t>
  </si>
  <si>
    <t>231badb19b93e44f47da1bd64a8147f2</t>
  </si>
  <si>
    <t>4JdmPumn</t>
  </si>
  <si>
    <t>f87c3f1eabd9c5aced095dfd0c86b2f0</t>
  </si>
  <si>
    <t>a7ea73f77f1a58bf25213e78eca0ac66</t>
  </si>
  <si>
    <t>292903fa88d000b48ebdacd12eaf124e</t>
  </si>
  <si>
    <t>Cedjhjdf352</t>
  </si>
  <si>
    <t>d02ce25cc285624a7035471dd5b20130</t>
  </si>
  <si>
    <t>c3c5a88064f7e4dd97b0c6c76375affe</t>
  </si>
  <si>
    <t>af089cedf4fb105aca50a170c2b545de</t>
  </si>
  <si>
    <t>kirill92cool</t>
  </si>
  <si>
    <t>548d0d6fc0a9c969df0e85971c51108c</t>
  </si>
  <si>
    <t>01754e9196ac1f867bf0e9a595791523</t>
  </si>
  <si>
    <t>aa1cbddbb1667f7227bcfdb25772f85c</t>
  </si>
  <si>
    <t>4oeJq8Bj</t>
  </si>
  <si>
    <t>991dbc531b752009915c8809a4760fb3</t>
  </si>
  <si>
    <t>3888ea70fc201532f37479d22ae7af12</t>
  </si>
  <si>
    <t>ef4cdd3117793b9fd593d7488409626d</t>
  </si>
  <si>
    <t>INUYASHA1</t>
  </si>
  <si>
    <t>b4cc5bbddf1a7fe6d07bb94c7d216b40</t>
  </si>
  <si>
    <t>3ac68caa540610b9c1e36ea9e25c87e2</t>
  </si>
  <si>
    <t>c5aa3124b1adad080927ce4d144c6b33</t>
  </si>
  <si>
    <t>sn45432697</t>
  </si>
  <si>
    <t>e8c32a1b6868609d052e07372aeff3d9</t>
  </si>
  <si>
    <t>6135a44355556559af9dc057164bc9a4</t>
  </si>
  <si>
    <t>caff9d47f432b83739e6395e2757c863</t>
  </si>
  <si>
    <t>m1scpar5j</t>
  </si>
  <si>
    <t>9f038814aa55cb5b87b129697b808770</t>
  </si>
  <si>
    <t>4cbb30bd7693c9c3d8db35a75ae3354a</t>
  </si>
  <si>
    <t>23f9d50ecd20ccc464f4ad45a3328948</t>
  </si>
  <si>
    <t>2517nyvotaga</t>
  </si>
  <si>
    <t>cd89a8da3115956311ba3bdba0535312</t>
  </si>
  <si>
    <t>63e0c3b4c2b083bb2ebd02494889fe89</t>
  </si>
  <si>
    <t>e60a95f3f443e37f5a47210d9b340a05</t>
  </si>
  <si>
    <t>29375RMI4180C</t>
  </si>
  <si>
    <t>bf3a7c5aa624110a7fa724e95a7c7be7</t>
  </si>
  <si>
    <t>b155a30178672e4d025a0b27bda682bb</t>
  </si>
  <si>
    <t>ebeb757ff15e42e209af67037776f107</t>
  </si>
  <si>
    <t>217562tk</t>
  </si>
  <si>
    <t>fd8c0624beafc9a83b1f27ef0d440531</t>
  </si>
  <si>
    <t>700022178646d83109774dc31bc19256</t>
  </si>
  <si>
    <t>95cd3fc01819b69d1a4900e6fe3d293c</t>
  </si>
  <si>
    <t>steambo21</t>
  </si>
  <si>
    <t>f75efc7355a7fb954308754301d75f6b</t>
  </si>
  <si>
    <t>090ee6bd52981030219ad97bf38575ba</t>
  </si>
  <si>
    <t>faa82036538b8f367fcf7bfd4c63b789</t>
  </si>
  <si>
    <t>russia95</t>
  </si>
  <si>
    <t>03e8a3cfb2f9e218c1cd2fa870d95ea2</t>
  </si>
  <si>
    <t>db4cd0db36b5d7e3cd5789c80b419d62</t>
  </si>
  <si>
    <t>6b34fe24ac2ff8103f6fce1f0da2ef57</t>
  </si>
  <si>
    <t>atc6x4mm</t>
  </si>
  <si>
    <t>df7c13d2189cd1d7983819c6327d5e85</t>
  </si>
  <si>
    <t>af5781ee471b6bae169f417bafdef4ea</t>
  </si>
  <si>
    <t>21218cca77804d2ba1922c33e0151105</t>
  </si>
  <si>
    <t>3fu4vq7j</t>
  </si>
  <si>
    <t>8a96e86fea81d1a5e41dacc03b771369</t>
  </si>
  <si>
    <t>b35cfb8a5626ffb6716992a21e48ccd2</t>
  </si>
  <si>
    <t>a01183854d7e784f0455d559f4327d55</t>
  </si>
  <si>
    <t>scootergiuseppe1</t>
  </si>
  <si>
    <t>12a68b133d020a00afa27c7ac9bcc516</t>
  </si>
  <si>
    <t>560495a0a3a9b5fe328ac34bd39baacd</t>
  </si>
  <si>
    <t>05f3672ba34409136aa71b8d00070d1b</t>
  </si>
  <si>
    <t>g135789o</t>
  </si>
  <si>
    <t>6d7879e6a42a172b09ba177ee381bdc9</t>
  </si>
  <si>
    <t>99e12a7bc28743998c4e9d88d175b4ec</t>
  </si>
  <si>
    <t>b4cc344d25a2efe540adbf2678e2304c</t>
  </si>
  <si>
    <t>11111987n</t>
  </si>
  <si>
    <t>2664a2595a77b8f133b1690b176a71b0</t>
  </si>
  <si>
    <t>5ef5d11f09757f0f6a64627ba94db779</t>
  </si>
  <si>
    <t>72b302bf297a228a75730123efef7c41</t>
  </si>
  <si>
    <t>2wcR4e8p</t>
  </si>
  <si>
    <t>6110d84fe2dbfd03f4b0fc75fc28fb1f</t>
  </si>
  <si>
    <t>d7921df9ac492a204e82b102fc679eb0</t>
  </si>
  <si>
    <t>2077e4a6bafa9b4e7b55e1fff16818af</t>
  </si>
  <si>
    <t>8yssim88</t>
  </si>
  <si>
    <t>bec894ed0fecacd62f1de73c37052e5f</t>
  </si>
  <si>
    <t>b926e58aac36b1504ad473702c346fc4</t>
  </si>
  <si>
    <t>3af00c6cad11f7ab5db4467b66ce503e</t>
  </si>
  <si>
    <t>1two30six</t>
  </si>
  <si>
    <t>20facf1c03432335ba5bb99000fa1363</t>
  </si>
  <si>
    <t>bbfb6cb845f1936920bf2a070195dba7</t>
  </si>
  <si>
    <t>039ca3fbe13a10d3d93ff513f7769119</t>
  </si>
  <si>
    <t>WESTERN49</t>
  </si>
  <si>
    <t>fd9cb932d3b86cbe10d6134c9b0e20a3</t>
  </si>
  <si>
    <t>8079ab5fd0e11bc15937a2de1a0ad78a</t>
  </si>
  <si>
    <t>cc989606b586f33918fe0552dec367c8</t>
  </si>
  <si>
    <t>qayyumzat6</t>
  </si>
  <si>
    <t>b5c0679c7993b1a4d983e8a278a344bb</t>
  </si>
  <si>
    <t>5daad3179d7cf6ea8d77b889e8f4d710</t>
  </si>
  <si>
    <t>1d01384154bc50ecef7edf07a2bec214</t>
  </si>
  <si>
    <t>27milo27</t>
  </si>
  <si>
    <t>699c0dd3ccfcb9a8062352830eff917b</t>
  </si>
  <si>
    <t>93a8d38ae1abbc8bcc9aafa00a1cc761</t>
  </si>
  <si>
    <t>02c75fb22c75b23dc963c7eb91a062cc</t>
  </si>
  <si>
    <t>pedro421126</t>
  </si>
  <si>
    <t>ece8b55fd4daf785512da008f16cd051</t>
  </si>
  <si>
    <t>5c5e11d0fa3e1d8e1abfad347ae7960e</t>
  </si>
  <si>
    <t>a53f3929621dba1306f8a61588f52f55</t>
  </si>
  <si>
    <t>luvon9439</t>
  </si>
  <si>
    <t>b19050615307520259f4b054a45abcac</t>
  </si>
  <si>
    <t>adadfb0caba5c1e12e709b3ad8e8c3cd</t>
  </si>
  <si>
    <t>acae273a5a5c88b46b36d65a25f5f435</t>
  </si>
  <si>
    <t>d4qhoh5t</t>
  </si>
  <si>
    <t>9a0cfe1fe6d555075ef833bfe1b09243</t>
  </si>
  <si>
    <t>2dea50e7494982b71ccfa5a046996ee2</t>
  </si>
  <si>
    <t>3a23bb515e06d0e944ff916e79a7775c</t>
  </si>
  <si>
    <t>05161223Max</t>
  </si>
  <si>
    <t>b5afd92e6083de267d1a9fb67aec1937</t>
  </si>
  <si>
    <t>adf6215b239f4b0e8f6ca06894125b0e</t>
  </si>
  <si>
    <t>fe546279a62683de8ca334b673420696</t>
  </si>
  <si>
    <t>RF880506</t>
  </si>
  <si>
    <t>214b41e02f8c3daacabdbc0566159ec1</t>
  </si>
  <si>
    <t>e24b4d3cf19a6e4cf93f52661d1d688e</t>
  </si>
  <si>
    <t>d5aa1729c8c253e5d917a5264855eab8</t>
  </si>
  <si>
    <t>Davalka911</t>
  </si>
  <si>
    <t>3c31ccd79d71f623c193409b787e7723</t>
  </si>
  <si>
    <t>8f9e05d7782e83a71bfb29849b1e30d2</t>
  </si>
  <si>
    <t>98a8d3f11b400ddc06d7343375b71a84</t>
  </si>
  <si>
    <t>dem3ycu2</t>
  </si>
  <si>
    <t>bafdd12bd966da42ddc0c61acfc5f9c7</t>
  </si>
  <si>
    <t>425d8165d4fd765c6f1462c26d51d013</t>
  </si>
  <si>
    <t>7ca955bd92ca8b00548ddf36d2e79217</t>
  </si>
  <si>
    <t>cdzdqe9x</t>
  </si>
  <si>
    <t>b50021774115b92b53dc5ff5d07399f7</t>
  </si>
  <si>
    <t>7d7d7511d1c39415129c7f33cb788a0d</t>
  </si>
  <si>
    <t>eb0a191797624dd3a48fa681d3061212</t>
  </si>
  <si>
    <t>ally1992</t>
  </si>
  <si>
    <t>5d71244a18d6956e9a7bccede139e805</t>
  </si>
  <si>
    <t>639f65f38e015a01f0035cb215dcf805</t>
  </si>
  <si>
    <t>b0fc08a18d29407428cbac5d2e5cc682</t>
  </si>
  <si>
    <t>rommel44</t>
  </si>
  <si>
    <t>e3d081c2fc797b31290421f7c80af6a0</t>
  </si>
  <si>
    <t>55200a7b09b029140149e28bd009b23a</t>
  </si>
  <si>
    <t>880cbc1ed48043cbcdaa7286e058ef7f</t>
  </si>
  <si>
    <t>chrisblnchris83</t>
  </si>
  <si>
    <t>14df2cc47b10d11660ec6955ef66548d</t>
  </si>
  <si>
    <t>0f0f67ad5b3dc173cdf1aa3d3065887d</t>
  </si>
  <si>
    <t>e35cf7b66449df565f93c607d5a81d09</t>
  </si>
  <si>
    <t>amoremio1965</t>
  </si>
  <si>
    <t>c696517f7688d7cd15006298016fc041</t>
  </si>
  <si>
    <t>2e7d50252f794ec97b938a2b51420b72</t>
  </si>
  <si>
    <t>c2d628ba98ed491776c9335e988e2e3b</t>
  </si>
  <si>
    <t>moshatinkor3</t>
  </si>
  <si>
    <t>4a67a1dcc514f64c1b44c9b0806dbaaa</t>
  </si>
  <si>
    <t>b52f41f8de60319b30cc188b3b2e9f85</t>
  </si>
  <si>
    <t>e358bf645a205cf15efa983b5517d945</t>
  </si>
  <si>
    <t>04021987a</t>
  </si>
  <si>
    <t>6f067538952d688328dc64ab87ea29fa</t>
  </si>
  <si>
    <t>679f876d153156aa98fee57491533fce</t>
  </si>
  <si>
    <t>81a57538bea3f6e953f6a459eb767357</t>
  </si>
  <si>
    <t>19a04a10</t>
  </si>
  <si>
    <t>078dddfccf9f2b8c1dea1cb820360e47</t>
  </si>
  <si>
    <t>b9823b874d887cf372d87774d12f97b0</t>
  </si>
  <si>
    <t>9f05aa4202e4ce8d6a72511dc735cce9</t>
  </si>
  <si>
    <t>RUsifi83</t>
  </si>
  <si>
    <t>d95697156a3e217acd394d9a3b770cff</t>
  </si>
  <si>
    <t>f81849561ebf4c39e2278cca036411f3</t>
  </si>
  <si>
    <t>0a909ffe7be1ffe2ec130aa243a64c26</t>
  </si>
  <si>
    <t>twilight25</t>
  </si>
  <si>
    <t>2e7c8b83a6278268b9ac4258fdce3f04</t>
  </si>
  <si>
    <t>f66abde2a7618c4df7eb22f9847a5300</t>
  </si>
  <si>
    <t>a37b2a637d2541a600d707648460397e</t>
  </si>
  <si>
    <t>1258963a</t>
  </si>
  <si>
    <t>161191e909d71b662768bc09308332f9</t>
  </si>
  <si>
    <t>9409a8ba53461d9ffe15aba1af4e3775</t>
  </si>
  <si>
    <t>f4eb27cea7255cea4d1ffabf593372e8</t>
  </si>
  <si>
    <t>2398497i</t>
  </si>
  <si>
    <t>e1a39143f6d923ddfdb2735b3bc7230a</t>
  </si>
  <si>
    <t>c18a8071d31758b71822b0b42f03f14b</t>
  </si>
  <si>
    <t>d5d630d4355544115ee3ade77a6141ee</t>
  </si>
  <si>
    <t>m3704607t</t>
  </si>
  <si>
    <t>c00259c1b5106b6774e8b5c1a798eec1</t>
  </si>
  <si>
    <t>29f972585310b025fb31d299e9c661e0</t>
  </si>
  <si>
    <t>781e5e245d69b566979b86e28d23f2c7</t>
  </si>
  <si>
    <t>3377595sls</t>
  </si>
  <si>
    <t>b2bddcfe643cc3458006fc53125f98d0</t>
  </si>
  <si>
    <t>0a357a9c1ee159bb80be1436c8dd4b5b</t>
  </si>
  <si>
    <t>7516c3b35580b3490248629cff5e498c</t>
  </si>
  <si>
    <t>bdsm1066</t>
  </si>
  <si>
    <t>7bb0bd521e7d970911d46fe0b46a7af1</t>
  </si>
  <si>
    <t>47650b8a5162c59206301b0ee23dab0b</t>
  </si>
  <si>
    <t>dea56e47f1c62c30b83b70eb281a6c39</t>
  </si>
  <si>
    <t>123098rammstein</t>
  </si>
  <si>
    <t>7d18305de7c8b4a13c12c61472b7e9d6</t>
  </si>
  <si>
    <t>58d59650839438d52535b3cc92192cf8</t>
  </si>
  <si>
    <t>61a590f1b9b5548efbae70fd7bcf45b3</t>
  </si>
  <si>
    <t>fagotti1983</t>
  </si>
  <si>
    <t>0933a4bac5cd1ad66f4fafa3f9bac3f7</t>
  </si>
  <si>
    <t>969023c7e7e095f958b5daa06d027be1</t>
  </si>
  <si>
    <t>fef7185dd6e69d561bc286f3fe6e391f</t>
  </si>
  <si>
    <t>24AiMHUjYGzjI</t>
  </si>
  <si>
    <t>7f5fdf0d6f52607beabbd8906b48d344</t>
  </si>
  <si>
    <t>93e38acffbc4824c138a4b6c31355329</t>
  </si>
  <si>
    <t>d8ae5776067290c4712fa454006c8ec6</t>
  </si>
  <si>
    <t>george06</t>
  </si>
  <si>
    <t>f0729fe7a75850704870095bc2570b79</t>
  </si>
  <si>
    <t>7c4698839e0bb5e42299d7ffccffbbf0</t>
  </si>
  <si>
    <t>bb36feaac46d7aaab418138b578fd7e0</t>
  </si>
  <si>
    <t>cowboysmoudiz7</t>
  </si>
  <si>
    <t>e3c9f4aad176634f344a802b5dfec2c5</t>
  </si>
  <si>
    <t>c6df64058c4347b4f622ea575d8b1c4b</t>
  </si>
  <si>
    <t>f34c903e17cfeea18e499d4627eeb3ec</t>
  </si>
  <si>
    <t>cMU3eKOx</t>
  </si>
  <si>
    <t>c3f231d06aa6f2bd8f8f443ebdfb6e12</t>
  </si>
  <si>
    <t>2f50ab258af5febd79933581f3752dc6</t>
  </si>
  <si>
    <t>118d9d423bca17680b7fd7eadcbf1099</t>
  </si>
  <si>
    <t>michigan00</t>
  </si>
  <si>
    <t>994c9cfa7e6fe2c8bf4fe8625f8a3087</t>
  </si>
  <si>
    <t>f4bd5de5574fef386aacacb5a18111d7</t>
  </si>
  <si>
    <t>a41d81871cc00919542ac86f493b9b76</t>
  </si>
  <si>
    <t>251082sveta</t>
  </si>
  <si>
    <t>34df1b44658533b1f84de9659c09e49a</t>
  </si>
  <si>
    <t>b67a2ce36da3ddd7e465d040602c9801</t>
  </si>
  <si>
    <t>6530b306e711eed33930984698b492da</t>
  </si>
  <si>
    <t>11MOOCHI</t>
  </si>
  <si>
    <t>c174ae8950c8eb61db7466f1b5d527c6</t>
  </si>
  <si>
    <t>50bff485b1b4758b10a1a86c1171f9f3</t>
  </si>
  <si>
    <t>bb74d0bb07f632e47ed7a921cd51ab7c</t>
  </si>
  <si>
    <t>clq5xt76</t>
  </si>
  <si>
    <t>385c25b6b157470c8a1fee34c287d563</t>
  </si>
  <si>
    <t>e0478008fd060a94da968e85720f1c4e</t>
  </si>
  <si>
    <t>9d5e3ecdeb4cdb7acfd63075ae046672</t>
  </si>
  <si>
    <t>03xs0rar</t>
  </si>
  <si>
    <t>a3a8d33723404a07a89181015c3d4527</t>
  </si>
  <si>
    <t>c3785e96be162a75b881118c1318ffe1</t>
  </si>
  <si>
    <t>316928e0d260556eaccb6627f2ed657b</t>
  </si>
  <si>
    <t>zaries13</t>
  </si>
  <si>
    <t>6911d8edaaa4c3596bd9f2b4c5106c35</t>
  </si>
  <si>
    <t>f4bce78f32364986455a934493707681</t>
  </si>
  <si>
    <t>58df15f1ee036a80f1abc8b3f948aaa4</t>
  </si>
  <si>
    <t>iw2bccnp</t>
  </si>
  <si>
    <t>e612175697d0d5fb09e66974a7de2588</t>
  </si>
  <si>
    <t>bc3e13dbcc7815357eaec354edbc49b4</t>
  </si>
  <si>
    <t>65f8d971a27bb720a297dc12a2558638</t>
  </si>
  <si>
    <t>upsups4372</t>
  </si>
  <si>
    <t>7ba81b398647313ccb94e0ed664572a1</t>
  </si>
  <si>
    <t>946e4724a806c1753d60338cd2f48203</t>
  </si>
  <si>
    <t>58b3994b2fc2536ee6d208039d3f8849</t>
  </si>
  <si>
    <t>lolo0613</t>
  </si>
  <si>
    <t>3b6fde85683acec963e7407ebef61223</t>
  </si>
  <si>
    <t>9f952bc6550fb3c2e25f536eb4f9d50f</t>
  </si>
  <si>
    <t>e5e9b41c8f1ad39ffb22df4a7aa7d876</t>
  </si>
  <si>
    <t>9l9b4j6a</t>
  </si>
  <si>
    <t>543c81601964492b56c5dc2cd7de4227</t>
  </si>
  <si>
    <t>ad61e79a512780560d444c41e25670c4</t>
  </si>
  <si>
    <t>28a34010e84b881fb087359c7e280a08</t>
  </si>
  <si>
    <t>juk348774</t>
  </si>
  <si>
    <t>6570a7e3e915011f629a0ab69e5d7a35</t>
  </si>
  <si>
    <t>c715e75d9c09d39ed9766cabde7efbee</t>
  </si>
  <si>
    <t>6da89cd09ab7937478a1d47d20938536</t>
  </si>
  <si>
    <t>tinyweenie1</t>
  </si>
  <si>
    <t>cb1a15e5a074a7faf6766b624752233e</t>
  </si>
  <si>
    <t>5c2216df767875f85202a3fa9a7c9d7a</t>
  </si>
  <si>
    <t>ba952731f97fb058035aa399b1cb3d5c</t>
  </si>
  <si>
    <t>zyys9sfcn</t>
  </si>
  <si>
    <t>b9792041d1c1a36815ba8aad5f073234</t>
  </si>
  <si>
    <t>29c0acb3f4a74214dd140af085a380d0</t>
  </si>
  <si>
    <t>bee783ee2974595487357e195ef38ca2</t>
  </si>
  <si>
    <t>97zcvhe786</t>
  </si>
  <si>
    <t>56197e007d5858ae6429d51bc9ef4898</t>
  </si>
  <si>
    <t>3a6363bc61d572d765bfc44784657995</t>
  </si>
  <si>
    <t>4b2fb63731e470a4911460210170abaa</t>
  </si>
  <si>
    <t>islandz9</t>
  </si>
  <si>
    <t>2dcdeb27ef388f05d1e1db04b87d822f</t>
  </si>
  <si>
    <t>0066351360fb04e92feb7af519dc394a</t>
  </si>
  <si>
    <t>f9e1f3ae15198f819fbc3449479401bf</t>
  </si>
  <si>
    <t>Ktyjxrf88</t>
  </si>
  <si>
    <t>f5b09cb6d6be5e7b0555ee07b27bbc67</t>
  </si>
  <si>
    <t>c5fcb771734b84e9a0ee8d2a183b0f4d</t>
  </si>
  <si>
    <t>90253759ffa2cbdc7fb565401037df70</t>
  </si>
  <si>
    <t>farmatseft84</t>
  </si>
  <si>
    <t>bdb9adedc275991847cf68a9f1714c5f</t>
  </si>
  <si>
    <t>98574d838ef4fe0e4e76375d8bd632dd</t>
  </si>
  <si>
    <t>3c9c03d6008a5adf42c2a55dd4a1a9f2</t>
  </si>
  <si>
    <t>8nopx77XzP</t>
  </si>
  <si>
    <t>ebe36f0da5ade11dbbb35dd3fffe1fb4</t>
  </si>
  <si>
    <t>fbce8c3e10f90c50119942fc18d19724</t>
  </si>
  <si>
    <t>9fab6755cd2e8817d3e73b0978ca54a6</t>
  </si>
  <si>
    <t>cmslegcv64</t>
  </si>
  <si>
    <t>31d9dd4dde82255c196c68e20666acbd</t>
  </si>
  <si>
    <t>49514c7d8b4aa6a8eeb7958e183e6beb</t>
  </si>
  <si>
    <t>733d7be2196ff70efaf6913fc8bdcabf</t>
  </si>
  <si>
    <t>vjzbhbirf84</t>
  </si>
  <si>
    <t>54e02ea83aeddbf207847dc41ffcee09</t>
  </si>
  <si>
    <t>46cc10a11991a11e6c129a728fede808</t>
  </si>
  <si>
    <t>9e9d7a08e048e9d604b79460b54969c3</t>
  </si>
  <si>
    <t>x82030005</t>
  </si>
  <si>
    <t>b5681962ceeb9f82168c1a5dcbc1269d</t>
  </si>
  <si>
    <t>15dc23c6a1baf14e726ac42714cefb8e</t>
  </si>
  <si>
    <t>0691df26da82d6eb2e5da8924628db63</t>
  </si>
  <si>
    <t>22101991n</t>
  </si>
  <si>
    <t>e851d81b18bf019811513b5538b9079e</t>
  </si>
  <si>
    <t>6a9e7b05f19802f3f09cf8e603c98520</t>
  </si>
  <si>
    <t>portugal</t>
  </si>
  <si>
    <t>ae0eea6eb6d63f98da42de867c47a0f8</t>
  </si>
  <si>
    <t>jardoc26</t>
  </si>
  <si>
    <t>f754d02978aa314f74c7ac894d7e212b</t>
  </si>
  <si>
    <t>863e7f3b01d4412a440baeb97593abeb</t>
  </si>
  <si>
    <t>laura</t>
  </si>
  <si>
    <t>680e89809965ec41e64dc7e447f175ab</t>
  </si>
  <si>
    <t>1Babygap</t>
  </si>
  <si>
    <t>222968825dbb5686bea82ff0653b9dec</t>
  </si>
  <si>
    <t>5c0ab692da4e2a071ccb06e041490a24</t>
  </si>
  <si>
    <t>f63f4fbc9f8c85d409f2f59f2b9e12d5</t>
  </si>
  <si>
    <t>75ce2dXH</t>
  </si>
  <si>
    <t>04d021389aa499b369e51f244018baef</t>
  </si>
  <si>
    <t>b2e1361b841b5641efc3765ae185d5af</t>
  </si>
  <si>
    <t>marvin</t>
  </si>
  <si>
    <t>dba0079f1cb3a3b56e102dd5e04fa2af</t>
  </si>
  <si>
    <t>flores69</t>
  </si>
  <si>
    <t>028553280a26c8a6a28feabaf59c8b33</t>
  </si>
  <si>
    <t>65aaf0197bd9e9e47ecc381d4fa361b8</t>
  </si>
  <si>
    <t>denise</t>
  </si>
  <si>
    <t>968c58d88d981b4ee15e2c8cb1fab06d</t>
  </si>
  <si>
    <t>9phantom9</t>
  </si>
  <si>
    <t>49e1e646f6fe674ca1013c27a314c9c7</t>
  </si>
  <si>
    <t>1ca9693838917bfeb08e584d115ca615</t>
  </si>
  <si>
    <t>tigers</t>
  </si>
  <si>
    <t>a90f4589534f75e93dbccd20329ed946</t>
  </si>
  <si>
    <t>a2929008</t>
  </si>
  <si>
    <t>08cdc5fae0d1919a38e4e9022abb1eb0</t>
  </si>
  <si>
    <t>e6ac1e606227af100bc3b14b22cec51d</t>
  </si>
  <si>
    <t>volleyball</t>
  </si>
  <si>
    <t>91111fb1f8b088438d80367df81cb6cf</t>
  </si>
  <si>
    <t>boxsk000</t>
  </si>
  <si>
    <t>6a0e63409967182e6a4c7124af563f79</t>
  </si>
  <si>
    <t>44e3eafbf2746e217556b88e0e64549a</t>
  </si>
  <si>
    <t>jasper</t>
  </si>
  <si>
    <t>02b0732024cad6ad3dc2989bc82a1ef5</t>
  </si>
  <si>
    <t>q13zenit</t>
  </si>
  <si>
    <t>c21e32e0880c8ab4fe5146d46f4df89b</t>
  </si>
  <si>
    <t>354125932af1b64c6769d1bb77c966de</t>
  </si>
  <si>
    <t>rockstar</t>
  </si>
  <si>
    <t>d2feb9b6718bb374dfdd689380676954</t>
  </si>
  <si>
    <t>ilovemax123</t>
  </si>
  <si>
    <t>aa7fd98c85a8123aeb8bfce82b03893b</t>
  </si>
  <si>
    <t>3d46d2b6c2c71ee846a48b56738c06ab</t>
  </si>
  <si>
    <t>january</t>
  </si>
  <si>
    <t>467b6140fe3bb958f2332983914de787</t>
  </si>
  <si>
    <t>DASHA15432</t>
  </si>
  <si>
    <t>b5135574a7191587793ca2b24cbb42b7</t>
  </si>
  <si>
    <t>a03e7c66b53f19017c474b94693af5e7</t>
  </si>
  <si>
    <t>fuckoff</t>
  </si>
  <si>
    <t>2aee1c40199c7754da766e61452612cc</t>
  </si>
  <si>
    <t>bright01</t>
  </si>
  <si>
    <t>8a3cea182d526dbcb39340db1c9ac93f</t>
  </si>
  <si>
    <t>c3a3189252be9f0bef8b99e4ccc5fdcc</t>
  </si>
  <si>
    <t>alicia</t>
  </si>
  <si>
    <t>e94ef563867e9c9df3fcc999bdb045f5</t>
  </si>
  <si>
    <t>fusion99</t>
  </si>
  <si>
    <t>756b490b8f390fd22c2df48f6c3231b0</t>
  </si>
  <si>
    <t>337070761024b722041025b674ac4520</t>
  </si>
  <si>
    <t>nicholas</t>
  </si>
  <si>
    <t>532ab4d2bbcc461398d494905db10c95</t>
  </si>
  <si>
    <t>vitaliimytk123vitamin</t>
  </si>
  <si>
    <t>2af357920e01ae840e7b258211998709</t>
  </si>
  <si>
    <t>af067cc41c828e77deae3b46d6faae4e</t>
  </si>
  <si>
    <t>flowers</t>
  </si>
  <si>
    <t>7d37c580f9c36fa004af865448a6e278</t>
  </si>
  <si>
    <t>2943defaming</t>
  </si>
  <si>
    <t>2a3faeb360c31ca6b37d7a6c56cc7cbc</t>
  </si>
  <si>
    <t>c385af091f8179b4e42415a43678839c</t>
  </si>
  <si>
    <t>cristian</t>
  </si>
  <si>
    <t>b08c8c585b6d67164c163767076445d6</t>
  </si>
  <si>
    <t>katya89637633201</t>
  </si>
  <si>
    <t>9a29c2e7b0ccead75095d948fcd14fda</t>
  </si>
  <si>
    <t>1d49963d1893afe27f6dae7ab6008ca5</t>
  </si>
  <si>
    <t>tintin</t>
  </si>
  <si>
    <t>069a6a9ccaaca7967a0c43cb5e161187</t>
  </si>
  <si>
    <t>fuckyouwanwan201</t>
  </si>
  <si>
    <t>78375145937d106a1a533aebda6213ea</t>
  </si>
  <si>
    <t>be26144037bea3a041ae5c94dfc2fadb</t>
  </si>
  <si>
    <t>bianca</t>
  </si>
  <si>
    <t>83de6260ed1dbe549bd23d31c4b8af81</t>
  </si>
  <si>
    <t>wados35rus</t>
  </si>
  <si>
    <t>11668b2641b820771384f3192130f67f</t>
  </si>
  <si>
    <t>e60d38bb7e0d7569674d901fbdc57190</t>
  </si>
  <si>
    <t>chrisbrown</t>
  </si>
  <si>
    <t>361519f98f2c121f3abd457adc415ad9</t>
  </si>
  <si>
    <t>mugcbp69</t>
  </si>
  <si>
    <t>737a15747adf33f1becc635d8800be5d</t>
  </si>
  <si>
    <t>d0b09cbccd0084dc8726ebe1cb2fa9c1</t>
  </si>
  <si>
    <t>chester</t>
  </si>
  <si>
    <t>365816905f5e9c148e20273719fe163d</t>
  </si>
  <si>
    <t>shrikant123</t>
  </si>
  <si>
    <t>7d0dde815b5de66e3517ab2d621d92a0</t>
  </si>
  <si>
    <t>4068d616b48f64967f7f4ba912107891</t>
  </si>
  <si>
    <t>6d071901727aec1ba6d8e2497ef5b709</t>
  </si>
  <si>
    <t>306west1</t>
  </si>
  <si>
    <t>74804783e05d6a7bdff4bd9fd4ce222d</t>
  </si>
  <si>
    <t>bfd3fc543f8bfb32e1be8476502c8af1</t>
  </si>
  <si>
    <t>smokey</t>
  </si>
  <si>
    <t>82e4010701956651c3f653309879aec4</t>
  </si>
  <si>
    <t>growers1488</t>
  </si>
  <si>
    <t>8826558900f3d48db252b17cf47dc4e4</t>
  </si>
  <si>
    <t>8daebe343707cbb6b8e5f353feb65936</t>
  </si>
  <si>
    <t>silver</t>
  </si>
  <si>
    <t>97f014516561ef487ec368d6158eb3f4</t>
  </si>
  <si>
    <t>A901aa907</t>
  </si>
  <si>
    <t>c8727aa9ea0615036bb416ee071aa9fc</t>
  </si>
  <si>
    <t>e3cf4285ca79646f9885366a7eb1db7c</t>
  </si>
  <si>
    <t>internet</t>
  </si>
  <si>
    <t>c3581516868fb3b71746931cac66390e</t>
  </si>
  <si>
    <t>ha7fcikx</t>
  </si>
  <si>
    <t>07ff1bf387793899af57572d170b7f5f</t>
  </si>
  <si>
    <t>bdf1f8224222931f613359b5e36fac35</t>
  </si>
  <si>
    <t>sweet</t>
  </si>
  <si>
    <t>e549a200372db9f3fcfac9f384e4ac2d</t>
  </si>
  <si>
    <t>wer678ok</t>
  </si>
  <si>
    <t>d4e74c755b0e16bedb2c697e2cc0a5f6</t>
  </si>
  <si>
    <t>2cf7a991e5bad26b7bca37dd576f5e73</t>
  </si>
  <si>
    <t>strawberry</t>
  </si>
  <si>
    <t>495bf9840649ee1ec953d99f8e769889</t>
  </si>
  <si>
    <t>andreadj_elo4ka</t>
  </si>
  <si>
    <t>5e350531d1d28f63fc4f352ec70213e5</t>
  </si>
  <si>
    <t>384abc0927fdd62bc1f23e65206581e1</t>
  </si>
  <si>
    <t>garfield</t>
  </si>
  <si>
    <t>97c2bd1615963162bd4e0caca037ba9e</t>
  </si>
  <si>
    <t>65YBH2lCfQktc</t>
  </si>
  <si>
    <t>241fd99596e0c791203cb07d57b772c5</t>
  </si>
  <si>
    <t>25fac319aa29e87c51f52030604802f8</t>
  </si>
  <si>
    <t>dennis</t>
  </si>
  <si>
    <t>7daacea5f373b4c1c054158b126d317f</t>
  </si>
  <si>
    <t>fatal107</t>
  </si>
  <si>
    <t>922f8c14203052ffc3b2f58288831ac7</t>
  </si>
  <si>
    <t>3ef684bf07639350aee9bf3dab17bd7e</t>
  </si>
  <si>
    <t>panget</t>
  </si>
  <si>
    <t>6f2ad44768d2414e685f107a487893ad</t>
  </si>
  <si>
    <t>nitish777</t>
  </si>
  <si>
    <t>8055cdc8ab30da7101e34dcb1bc18ac6</t>
  </si>
  <si>
    <t>4d045f6e2be2dfdaa6eaf40746318191</t>
  </si>
  <si>
    <t>francis</t>
  </si>
  <si>
    <t>d0ab7fe6c314f4fe5b6c18a0157c96b4</t>
  </si>
  <si>
    <t>cg11v0207</t>
  </si>
  <si>
    <t>aa215d3668aef6b5ff5b2c3ff6157137</t>
  </si>
  <si>
    <t>14a84925d40332d9803c1138489c183a</t>
  </si>
  <si>
    <t>cassie</t>
  </si>
  <si>
    <t>2399e46aa831d42539b97c97c27f4648</t>
  </si>
  <si>
    <t>f00ville</t>
  </si>
  <si>
    <t>225a28ede138e8f676f9b143a12fda78</t>
  </si>
  <si>
    <t>da7c8d4c4e5d2984733a0dbff243fd3d</t>
  </si>
  <si>
    <t>benfica</t>
  </si>
  <si>
    <t>41d823ab960ef49973ce628377d7bf5d</t>
  </si>
  <si>
    <t>kradan76</t>
  </si>
  <si>
    <t>23995a098c5cb63ecddbbce1d2dcad5f</t>
  </si>
  <si>
    <t>3d66c1d6809b3dad8e4d8a804ed106e0</t>
  </si>
  <si>
    <t>love123</t>
  </si>
  <si>
    <t>45fb45cd49d4fffa0c72db7e59450d4f</t>
  </si>
  <si>
    <t>1wtiqbex</t>
  </si>
  <si>
    <t>49fa9bda5fc92ce75e3b020a918ce706</t>
  </si>
  <si>
    <t>86731d0116340682185836864db572ca</t>
  </si>
  <si>
    <t>7d0710824ff191f6a0086a7e3891641e</t>
  </si>
  <si>
    <t>toady420</t>
  </si>
  <si>
    <t>61a47dce472f4c276b85323ce29e204f</t>
  </si>
  <si>
    <t>0cb68f6e5f61306af70c13cd3e7d6670</t>
  </si>
  <si>
    <t>asdfgh</t>
  </si>
  <si>
    <t>a152e841783914146e4bcd4f39100686</t>
  </si>
  <si>
    <t>1234pttt</t>
  </si>
  <si>
    <t>4b295664ea7abf45290f5cd97390cca0</t>
  </si>
  <si>
    <t>d2f81c5e3381f5db500da26bdeebefa6</t>
  </si>
  <si>
    <t>lollipop</t>
  </si>
  <si>
    <t>9039d6f4e642291c6074fc5812ab1cc7</t>
  </si>
  <si>
    <t>werdna1964</t>
  </si>
  <si>
    <t>551ba0f80c215be9575cf9377b204864</t>
  </si>
  <si>
    <t>2fe561e47d3a0cb5dbacf8739eb60240</t>
  </si>
  <si>
    <t>olivia</t>
  </si>
  <si>
    <t>47bc17dc1a2f164967f55325d866c75c</t>
  </si>
  <si>
    <t>050791artqq</t>
  </si>
  <si>
    <t>4d33731a3c1499b80887392125cdbd44</t>
  </si>
  <si>
    <t>d644081c23e9a5abfab256e0c91dba0d</t>
  </si>
  <si>
    <t>cancer</t>
  </si>
  <si>
    <t>a99dca5593185c498b63a5eed917bd4f</t>
  </si>
  <si>
    <t>jagrap71</t>
  </si>
  <si>
    <t>1c13eb982500f55ab21fff00a8c0ad11</t>
  </si>
  <si>
    <t>4bd3e89a0cc685537af526728c7b3ea8</t>
  </si>
  <si>
    <t>camila</t>
  </si>
  <si>
    <t>f5ffc847c2072ffb5fda82edd30bc19f</t>
  </si>
  <si>
    <t>111nagan</t>
  </si>
  <si>
    <t>3ca97921d223be1bf541b88ae12bcc55</t>
  </si>
  <si>
    <t>08e7e2ccf74a8edccfbcb4a3f03a5da5</t>
  </si>
  <si>
    <t>qwertyuiop</t>
  </si>
  <si>
    <t>6eea9b7ef19179a06954edd0f6c05ceb</t>
  </si>
  <si>
    <t>bamdph12</t>
  </si>
  <si>
    <t>e92aa4fac18b3f64954a4241c64570b5</t>
  </si>
  <si>
    <t>365c7f544808c16f45c2e84b17f1c8ff</t>
  </si>
  <si>
    <t>superstar</t>
  </si>
  <si>
    <t>53066aee5deb25f2805c369c101abd81</t>
  </si>
  <si>
    <t>002155603292f</t>
  </si>
  <si>
    <t>54185732468d848a5bf33c3b70d0ae79</t>
  </si>
  <si>
    <t>3069656373d13f3acb3037287f16c9b5</t>
  </si>
  <si>
    <t>harrypotter</t>
  </si>
  <si>
    <t>1ff61e91349d3f6623a81ccd3d881fa1</t>
  </si>
  <si>
    <t>tolko232009tvoya0</t>
  </si>
  <si>
    <t>7c3f1ab00f4c6c40bd4e6cfb8d527843</t>
  </si>
  <si>
    <t>a9b573fa46b5574b12391c48852f4280</t>
  </si>
  <si>
    <t>ihateyou</t>
  </si>
  <si>
    <t>427cfcf3ec4976e13e28f977fb791473</t>
  </si>
  <si>
    <t>bangbang6</t>
  </si>
  <si>
    <t>4184c1f3fb7a54f9eb6cc2a48df7cbd9</t>
  </si>
  <si>
    <t>87640907f7bcaf990d59063b0ff44c7d</t>
  </si>
  <si>
    <t>charles</t>
  </si>
  <si>
    <t>a5410ee37744c574ba5790034ea08f79</t>
  </si>
  <si>
    <t>liin2233</t>
  </si>
  <si>
    <t>4dc5ab0ca88b5bde2f33d80e0c6c7b8c</t>
  </si>
  <si>
    <t>e703fa3c47753c29f94f39127f54fc14</t>
  </si>
  <si>
    <t>monique</t>
  </si>
  <si>
    <t>6c4f158d214fab78e77b36922dad2ba3</t>
  </si>
  <si>
    <t>4e183p1us</t>
  </si>
  <si>
    <t>eec9ce56d1b3d0d9d3bbd948ea94d940</t>
  </si>
  <si>
    <t>c1a667ab50b2e8dbb45bdae798a62496</t>
  </si>
  <si>
    <t>midnight</t>
  </si>
  <si>
    <t>1506aeeb8c3a699b1e3c87db03156428</t>
  </si>
  <si>
    <t>brown9337</t>
  </si>
  <si>
    <t>35c28465b7bcfe685a3024286f829e85</t>
  </si>
  <si>
    <t>918729360b9c7a1074d3589ca2a6d5fb</t>
  </si>
  <si>
    <t>vincent</t>
  </si>
  <si>
    <t>b15ab3f829f0f897fe507ef548741afb</t>
  </si>
  <si>
    <t>1Kaitangata3</t>
  </si>
  <si>
    <t>8b1d91bed922dba9571911071b9da122</t>
  </si>
  <si>
    <t>9048795b39a2aa2700826fedf6e98031</t>
  </si>
  <si>
    <t>christine</t>
  </si>
  <si>
    <t>723e1489a45d2cbaefec82eee410abd5</t>
  </si>
  <si>
    <t>lind2883</t>
  </si>
  <si>
    <t>de21b7de437f345c3eca63399a994e4d</t>
  </si>
  <si>
    <t>a8005d82433fb4f1976cb632ec4f30b5</t>
  </si>
  <si>
    <t>apples</t>
  </si>
  <si>
    <t>daeccf0ad3c1fc8c8015205c332f5b42</t>
  </si>
  <si>
    <t>am4284164</t>
  </si>
  <si>
    <t>26dc8bc272e947e9ff54fb4acec68f20</t>
  </si>
  <si>
    <t>1603368ec15a211de5f28a1da3823ff8</t>
  </si>
  <si>
    <t>scorpio</t>
  </si>
  <si>
    <t>72dabe497516c268bc78ed8a0f3c2a73</t>
  </si>
  <si>
    <t>Grdev2795</t>
  </si>
  <si>
    <t>b96e5ff491dd9c902c15d145e39de7c4</t>
  </si>
  <si>
    <t>5b293427a77143737cbdddf3c7eb487d</t>
  </si>
  <si>
    <t>jordan23</t>
  </si>
  <si>
    <t>1c885e23b850f482244d2d726dccdf19</t>
  </si>
  <si>
    <t>BIGDADDY2</t>
  </si>
  <si>
    <t>42a7589136b1be9e3db26457b9764017</t>
  </si>
  <si>
    <t>lorena</t>
  </si>
  <si>
    <t>62a90ccff3fd73694bf6281bb234b09a</t>
  </si>
  <si>
    <t>sully1066</t>
  </si>
  <si>
    <t>c15b683f1a5d5a27a2afb922c1d9deb0</t>
  </si>
  <si>
    <t>andreea</t>
  </si>
  <si>
    <t>6c48441b0d58474e829857663a937488</t>
  </si>
  <si>
    <t>q199w1809</t>
  </si>
  <si>
    <t>491db475fc1c865a4a2075f028dd19df</t>
  </si>
  <si>
    <t>61516b90298e590479d4810329c26ddc</t>
  </si>
  <si>
    <t>mercedes</t>
  </si>
  <si>
    <t>d9eaabe53adedb62bc74b7eb0a9477d4</t>
  </si>
  <si>
    <t>disney04</t>
  </si>
  <si>
    <t>507db6143a3569ee15eb50041c0c7a5f</t>
  </si>
  <si>
    <t>3c2f532cd8af8a97484a2a845c69aef8</t>
  </si>
  <si>
    <t>katherine</t>
  </si>
  <si>
    <t>c832493e09c0a0f136ce8f8edd4fba9e</t>
  </si>
  <si>
    <t>83Ey32Ds</t>
  </si>
  <si>
    <t>8e32eadbac88936a1b4d028bc0a2a982</t>
  </si>
  <si>
    <t>c5c9f5f99b587a878072a051b5a259bc</t>
  </si>
  <si>
    <t>charmed</t>
  </si>
  <si>
    <t>ba9f9c72cb0514a4c9724d7de2289c3f</t>
  </si>
  <si>
    <t>ninten60</t>
  </si>
  <si>
    <t>f6a62482b40149c0bb90b506afa28cce</t>
  </si>
  <si>
    <t>adebd5d627f491d7ffc467339a996a3b</t>
  </si>
  <si>
    <t>abigail</t>
  </si>
  <si>
    <t>37f299007792a4e9dec1481bca604016</t>
  </si>
  <si>
    <t>423252fff</t>
  </si>
  <si>
    <t>ea7a85d5d415c0406c996a844f38b882</t>
  </si>
  <si>
    <t>798f515f53b04b28f0b4cbcf0e7454ae</t>
  </si>
  <si>
    <t>rafael</t>
  </si>
  <si>
    <t>9135d8523ad3da99d8a4eb83afac13d1</t>
  </si>
  <si>
    <t>pjkjnfhtd170661</t>
  </si>
  <si>
    <t>4e3bb03e1f7dc54d4609b38671b2a643</t>
  </si>
  <si>
    <t>a2f7ea2d88035ff040f22da6721e4a82</t>
  </si>
  <si>
    <t>icecream</t>
  </si>
  <si>
    <t>c969b336246b9de94b0694eeb3268c90</t>
  </si>
  <si>
    <t>2798dago</t>
  </si>
  <si>
    <t>94b675ff2cc1f1ad980c8092377a0b98</t>
  </si>
  <si>
    <t>f91f46ea11b2bf21ba86c894db5d2f8c</t>
  </si>
  <si>
    <t>mexico</t>
  </si>
  <si>
    <t>4edfc924721abb774d5447bade86ea5d</t>
  </si>
  <si>
    <t>amormio12</t>
  </si>
  <si>
    <t>150560db9d66ac6995e1f2353b154882</t>
  </si>
  <si>
    <t>dc48b7a3bc6eaf1b19bab6b665fe16c9</t>
  </si>
  <si>
    <t>brianna</t>
  </si>
  <si>
    <t>524921d63ccf2d701b7e449f99c38470</t>
  </si>
  <si>
    <t>hzucy6yqh</t>
  </si>
  <si>
    <t>113da84e2e81d65d005c0a8ee16a1bc9</t>
  </si>
  <si>
    <t>e7b572b9d187a63f2b2e8c3b8969213f</t>
  </si>
  <si>
    <t>nirvana</t>
  </si>
  <si>
    <t>7242d6c91121f8e2e87803855c028e55</t>
  </si>
  <si>
    <t>pozy26645</t>
  </si>
  <si>
    <t>a310288b0b83741adc9e9f0f93954b8a</t>
  </si>
  <si>
    <t>d70f8b59b36276c78cdb0643c7bf6d3e</t>
  </si>
  <si>
    <t>aaliyah</t>
  </si>
  <si>
    <t>8be00be9adc4c758de9a23a6f31f03be</t>
  </si>
  <si>
    <t>fy.nrf24091992</t>
  </si>
  <si>
    <t>c5dbfc3aff0e9fc2463c7b626fcfef6f</t>
  </si>
  <si>
    <t>caf7f69effe72245b803a6214d8561ba</t>
  </si>
  <si>
    <t>pookie</t>
  </si>
  <si>
    <t>2fbbe62353fe90ec503a402686c9809f</t>
  </si>
  <si>
    <t>kapuki12</t>
  </si>
  <si>
    <t>969474c4c06096be3999e71b7c2dc572</t>
  </si>
  <si>
    <t>5bd438e7a2df982597136af385b97acf</t>
  </si>
  <si>
    <t>johncena</t>
  </si>
  <si>
    <t>e8d25b4208b80008a9e15c8698640e85</t>
  </si>
  <si>
    <t>timeout23</t>
  </si>
  <si>
    <t>dab8cf9964d4f463ec95b9b88db7d9a4</t>
  </si>
  <si>
    <t>bfb582157d6f1a337ee517377ff184c9</t>
  </si>
  <si>
    <t>lovelove</t>
  </si>
  <si>
    <t>a1e7f048b6ec3c6ff2b7bdbe51086bee</t>
  </si>
  <si>
    <t>192837465z</t>
  </si>
  <si>
    <t>5fd0759ff9362ddde62dc2dcfa83f073</t>
  </si>
  <si>
    <t>fucker</t>
  </si>
  <si>
    <t>aac0a9daa4185875786c9ed154f0dece</t>
  </si>
  <si>
    <t>1421carl</t>
  </si>
  <si>
    <t>7df0dcd593534c95b9deaaed7bc7ae4c</t>
  </si>
  <si>
    <t>abcdef</t>
  </si>
  <si>
    <t>e80b5017098950fc58aad83c8c14978e</t>
  </si>
  <si>
    <t>newdgcman71</t>
  </si>
  <si>
    <t>373b2d1746d54219a5df4c56a1418d1c</t>
  </si>
  <si>
    <t>ea8f15054550eb6a83bcbace91569732</t>
  </si>
  <si>
    <t>benjamin</t>
  </si>
  <si>
    <t>5d9f71b71b207b9e665820c0dce67bdb</t>
  </si>
  <si>
    <t>lexsus2426</t>
  </si>
  <si>
    <t>cc0667bf00183801695652ba5a84eaf6</t>
  </si>
  <si>
    <t>8aaa1328d19b6e845475c65edac72108</t>
  </si>
  <si>
    <t>e04755387e5b5968ec213e41f70c1d46</t>
  </si>
  <si>
    <t>indrajk80</t>
  </si>
  <si>
    <t>86a1330257bd661b55fc5e69e6841716</t>
  </si>
  <si>
    <t>bd361f8ceb6850c76871f3d4fe3d1a60</t>
  </si>
  <si>
    <t>gangsta</t>
  </si>
  <si>
    <t>ddd7343823819eafe6498885c4ba0cf0</t>
  </si>
  <si>
    <t>6mADBksu</t>
  </si>
  <si>
    <t>5c1ba24b8d53c92df80233b480419036</t>
  </si>
  <si>
    <t>f3532f295ee751050c999069357bf93e</t>
  </si>
  <si>
    <t>brooke</t>
  </si>
  <si>
    <t>111ee1e76425203d730ec83762eb5ae4</t>
  </si>
  <si>
    <t>catdog22</t>
  </si>
  <si>
    <t>eed8dd6140c707394e166a3139f35ee7</t>
  </si>
  <si>
    <t>b739c35496b3ecaffa171b2911c52736</t>
  </si>
  <si>
    <t>1a100d2c0dab19c4430e7d73762b3423</t>
  </si>
  <si>
    <t>03cc7vph</t>
  </si>
  <si>
    <t>b3515ec16f0b3b79192455627de8cad3</t>
  </si>
  <si>
    <t>0ac0de351898af378c2654650bf7a4c5</t>
  </si>
  <si>
    <t>hiphop</t>
  </si>
  <si>
    <t>f4e72bc32f2c636059d5f3ba44323921</t>
  </si>
  <si>
    <t>g0gan012</t>
  </si>
  <si>
    <t>605614e7f07ab861eadc5e7ceca23631</t>
  </si>
  <si>
    <t>be337ac38f52c770712c7f81b032d8e8</t>
  </si>
  <si>
    <t>aaaaaa</t>
  </si>
  <si>
    <t>0b4e7a0e5fe84ad35fb5f95b9ceeac79</t>
  </si>
  <si>
    <t>gators24</t>
  </si>
  <si>
    <t>aad9bad0311ecc83ab49f9c42360160d</t>
  </si>
  <si>
    <t>865d68b64db7b063bc694849d758e095</t>
  </si>
  <si>
    <t>mybaby</t>
  </si>
  <si>
    <t>1eef2ed29ebc81347aa56dce2995da6d</t>
  </si>
  <si>
    <t>w28x8ORu</t>
  </si>
  <si>
    <t>ed1533e639426d7df4a14a15b2b07b25</t>
  </si>
  <si>
    <t>0639856843d60093a0c91f0905663691</t>
  </si>
  <si>
    <t>sergio</t>
  </si>
  <si>
    <t>3bffa4ebdf4874e506c2b12405796aa5</t>
  </si>
  <si>
    <t>21111976j</t>
  </si>
  <si>
    <t>795e3297f0685018f1daa7b80f031d04</t>
  </si>
  <si>
    <t>a79505d6b9c045aeafb71074c590afee</t>
  </si>
  <si>
    <t>welcome</t>
  </si>
  <si>
    <t>40be4e59b9a2a2b5dffb918c0e86b3d7</t>
  </si>
  <si>
    <t>pizza5555</t>
  </si>
  <si>
    <t>a238880d6ff7e3f89ae6a6353e76a869</t>
  </si>
  <si>
    <t>870547d79eb3d19cf6fe052018c0cca2</t>
  </si>
  <si>
    <t>metallica</t>
  </si>
  <si>
    <t>3c2234a7ce973bc1700e0c743d6a819c</t>
  </si>
  <si>
    <t>Ura61179979</t>
  </si>
  <si>
    <t>a14dcd4038a6e4ee9b62dcae94a35cab</t>
  </si>
  <si>
    <t>63b7680ddafaceb8678edf7cd2a05f68</t>
  </si>
  <si>
    <t>julian</t>
  </si>
  <si>
    <t>338c23e8eafc19ec9236404deac0bef4</t>
  </si>
  <si>
    <t>08181994j</t>
  </si>
  <si>
    <t>05220b2b9b32afb853c0f2a891764bd0</t>
  </si>
  <si>
    <t>b0324a63ca2cf05d19b6f6f1fb943fc6</t>
  </si>
  <si>
    <t>travis</t>
  </si>
  <si>
    <t>7985139ae9b6efb45373e3e36e444224</t>
  </si>
  <si>
    <t>7erHw5g8</t>
  </si>
  <si>
    <t>a652ff465cb86dd76074f3859a16f61b</t>
  </si>
  <si>
    <t>05defdae4d780c7fd7b99810ff14c308</t>
  </si>
  <si>
    <t>myspace1</t>
  </si>
  <si>
    <t>8352269ae368edfeacfa7c1213c35015</t>
  </si>
  <si>
    <t>Darren01</t>
  </si>
  <si>
    <t>8594f20b6ae032348aa93fb02ba3031e</t>
  </si>
  <si>
    <t>dd7d0ed073820deda953f922f2001872</t>
  </si>
  <si>
    <t>babyblue</t>
  </si>
  <si>
    <t>84095f68a0dea40e8bc54cb6505d68fe</t>
  </si>
  <si>
    <t>09ulrike</t>
  </si>
  <si>
    <t>3eae9a4f10a550209ad97e648e3674ed</t>
  </si>
  <si>
    <t>sabrina</t>
  </si>
  <si>
    <t>00e45749508fe15ca1af3397eab8db78</t>
  </si>
  <si>
    <t>hs96hNKY</t>
  </si>
  <si>
    <t>b8dbe4eb4479bcc89695841e1fbd570f</t>
  </si>
  <si>
    <t>16d16325d43a72bd49cf04495a4d1802</t>
  </si>
  <si>
    <t>michael1</t>
  </si>
  <si>
    <t>8f9b97bf3fad640ca17e9627e6bba1fd</t>
  </si>
  <si>
    <t>hw77nuq9</t>
  </si>
  <si>
    <t>9c1864227973874d0eca13c14f8a1d8c</t>
  </si>
  <si>
    <t>f492427d228c87490d5094857c4ea906</t>
  </si>
  <si>
    <t>jeffrey</t>
  </si>
  <si>
    <t>6a27f10aef159701c7a5ff07f0fb0a78</t>
  </si>
  <si>
    <t>05051993z</t>
  </si>
  <si>
    <t>e645598c264cbca689f7cc6378a35e4e</t>
  </si>
  <si>
    <t>4356f20cbe44eae567659ae8788d63a8</t>
  </si>
  <si>
    <t>stephen</t>
  </si>
  <si>
    <t>7ff36797539130f77445f48da5d4a126</t>
  </si>
  <si>
    <t>lust9797</t>
  </si>
  <si>
    <t>719aa6bf6d34e65dcc68285286ee7de9</t>
  </si>
  <si>
    <t>7a960c1a9cb510f4ef7ab5e71272e421</t>
  </si>
  <si>
    <t>love</t>
  </si>
  <si>
    <t>b5c0b187fe309af0f4d35982fd961d7e</t>
  </si>
  <si>
    <t>george22</t>
  </si>
  <si>
    <t>f5e009088c08eb1a57be295ee18d40d2</t>
  </si>
  <si>
    <t>8de8f867423b03b7c6eb0ec2e8178c5f</t>
  </si>
  <si>
    <t>dakota</t>
  </si>
  <si>
    <t>d3319241a1cc6afc192403fb279a8b7d</t>
  </si>
  <si>
    <t>jups2703</t>
  </si>
  <si>
    <t>da041a5237aad82059eabe04eb7384b9</t>
  </si>
  <si>
    <t>ea5cfd1cd22e3b2089e400da1b219d07</t>
  </si>
  <si>
    <t>catherine</t>
  </si>
  <si>
    <t>5eb59a1c45ec8d0eafe705c45aa15ce1</t>
  </si>
  <si>
    <t>Eztc3xyw</t>
  </si>
  <si>
    <t>10ee1454f011142a53a3d7d03c50fa1a</t>
  </si>
  <si>
    <t>6f1e130adf5068f7755740aa337ffaef</t>
  </si>
  <si>
    <t>badboy</t>
  </si>
  <si>
    <t>ab003765f3424bf8e2c8d1d69762d72c</t>
  </si>
  <si>
    <t>stuart29com</t>
  </si>
  <si>
    <t>f5d438e1e669ba6f14050108cfd0bfab</t>
  </si>
  <si>
    <t>4be04ad6525a829d5c83d6b3c0623ac9</t>
  </si>
  <si>
    <t>fernanda</t>
  </si>
  <si>
    <t>b98a5a57d055dbabf959dcd6f36509ef</t>
  </si>
  <si>
    <t>kurumi36</t>
  </si>
  <si>
    <t>464a280b20bd738a306f99dec2b505d9</t>
  </si>
  <si>
    <t>c48c64b09091acd811739ff4b71fbb4a</t>
  </si>
  <si>
    <t>westlife</t>
  </si>
  <si>
    <t>93d7803512926d31e46561b1d990a4cf</t>
  </si>
  <si>
    <t>ashtan19</t>
  </si>
  <si>
    <t>f83231a3be90f6a0f261ead70bfa4f5e</t>
  </si>
  <si>
    <t>a720150de58e5d2f9119a419e2c1f4f6</t>
  </si>
  <si>
    <t>blondie</t>
  </si>
  <si>
    <t>d05560f6566db54140c1c5adf58cf70f</t>
  </si>
  <si>
    <t>jcaskb31</t>
  </si>
  <si>
    <t>6981adddd85d329dd5c59941df47bada</t>
  </si>
  <si>
    <t>30af0e954501e15ac6820479f03de784</t>
  </si>
  <si>
    <t>sasuke</t>
  </si>
  <si>
    <t>93207db25ad357906be2fd0c3f65f3dc</t>
  </si>
  <si>
    <t>55555lena</t>
  </si>
  <si>
    <t>739b049d7361b73cdc33ef9f719f2194</t>
  </si>
  <si>
    <t>37a15d339a00a50f3d0538ae2ccdaa30</t>
  </si>
  <si>
    <t>smiley</t>
  </si>
  <si>
    <t>d1b145842e9b731a66eef0ee6fc33497</t>
  </si>
  <si>
    <t>gbplfnj11</t>
  </si>
  <si>
    <t>d8ff7d0704fd4562ec821f8041910522</t>
  </si>
  <si>
    <t>14b32159545867ac08cc429fdb0eb8b8</t>
  </si>
  <si>
    <t>jackson</t>
  </si>
  <si>
    <t>b41779690b83f182acc67d6388c7bac9</t>
  </si>
  <si>
    <t>access82</t>
  </si>
  <si>
    <t>a0780d18d4a3b39b46e5a73c27cbba49</t>
  </si>
  <si>
    <t>6bade3a149137109dd6cb633b6f06c74</t>
  </si>
  <si>
    <t>simple</t>
  </si>
  <si>
    <t>8dbdda48fb8748d6746f1965824e966a</t>
  </si>
  <si>
    <t>HelMutVeNt1956</t>
  </si>
  <si>
    <t>f16679ce6420d2a5c5c6ee72fc75cd52</t>
  </si>
  <si>
    <t>48009012d6e85e5d1d16c5d6f7f783b6</t>
  </si>
  <si>
    <t>melanie</t>
  </si>
  <si>
    <t>73aaec6dc33b96597d8019f7553e96a2</t>
  </si>
  <si>
    <t>wisdom33</t>
  </si>
  <si>
    <t>f7bc8b88b6946ea8e4189e5a01ae0cd7</t>
  </si>
  <si>
    <t>8e92fdf5eb27d9e17519bb53f8cdab8c</t>
  </si>
  <si>
    <t>steaua</t>
  </si>
  <si>
    <t>5a8f6e521f21feca7f1b47533dc55e81</t>
  </si>
  <si>
    <t>6ka1op6c</t>
  </si>
  <si>
    <t>7b4385f1b3f4881e8c19c70f042c793c</t>
  </si>
  <si>
    <t>52887b596f242c3745c57689d93981f8</t>
  </si>
  <si>
    <t>dolphins</t>
  </si>
  <si>
    <t>01b3f378798d72bf73c8050d76707e0a</t>
  </si>
  <si>
    <t>Abilityre3</t>
  </si>
  <si>
    <t>7aed229caafac0418584d27eb9feff21</t>
  </si>
  <si>
    <t>871f58aa29f51f7a1c5dce828042f75c</t>
  </si>
  <si>
    <t>roberto</t>
  </si>
  <si>
    <t>c1bfc188dba59d2681648aa0e6ca8c8e</t>
  </si>
  <si>
    <t>Kirill0666000Black&amp;White2BakaiK30</t>
  </si>
  <si>
    <t>3bd1716426ad0aa0d9a037e5f6ff2a27</t>
  </si>
  <si>
    <t>70a1d6530b2e08511bde9e7ff6b31a7a</t>
  </si>
  <si>
    <t>fluffy</t>
  </si>
  <si>
    <t>ce7bcda695c30aa2f9e5f390c820d985</t>
  </si>
  <si>
    <t>yPjjyVXffp32</t>
  </si>
  <si>
    <t>fa6abf8be9c457480d7bb1eeb2e4a76e</t>
  </si>
  <si>
    <t>fff2a48b3c62074f25bd7baeff31ec78</t>
  </si>
  <si>
    <t>teresa</t>
  </si>
  <si>
    <t>5f0cbc3f99acb914d429cfdf23dd75e3</t>
  </si>
  <si>
    <t>28031988m</t>
  </si>
  <si>
    <t>5e89a42466350f93ae1477b4f6cf82a2</t>
  </si>
  <si>
    <t>74beeb70932291a6237d3cef940b9308</t>
  </si>
  <si>
    <t>piglet</t>
  </si>
  <si>
    <t>a9781d0ca6abb43812a28783ccb3bbaa</t>
  </si>
  <si>
    <t>soroca123</t>
  </si>
  <si>
    <t>944588085245a89fa9257c6ac71976e1</t>
  </si>
  <si>
    <t>7ec76e806a015e6c4cc1674715cfea0a</t>
  </si>
  <si>
    <t>ronald</t>
  </si>
  <si>
    <t>5af0a0feb2094f43bebb50c518c1ebfe</t>
  </si>
  <si>
    <t>b00144507</t>
  </si>
  <si>
    <t>b44fa7d8f56b3593b327d3bf19cf33fb</t>
  </si>
  <si>
    <t>fab315cef04e1cf845cb734556015915</t>
  </si>
  <si>
    <t>slideshow</t>
  </si>
  <si>
    <t>f3d279e1b58a1e25c092b018f035d406</t>
  </si>
  <si>
    <t>700439jo</t>
  </si>
  <si>
    <t>be10210e54eb3120e459b0d4311a4ffe</t>
  </si>
  <si>
    <t>1dd9c580bb64436a647c953fc3ddb697</t>
  </si>
  <si>
    <t>asdfghjkl</t>
  </si>
  <si>
    <t>c44a471bd78cc6c2fea32b9fe028d30a</t>
  </si>
  <si>
    <t>Alessia230975</t>
  </si>
  <si>
    <t>6c1ed1205d969294b0ae48d7ddca46b5</t>
  </si>
  <si>
    <t>95d20ea1d970d9b8fea4282ac2531785</t>
  </si>
  <si>
    <t>minnie</t>
  </si>
  <si>
    <t>c6c0329bba537835e48e2be9a8e9c8f7</t>
  </si>
  <si>
    <t>0smuhts2r</t>
  </si>
  <si>
    <t>acaa9115cffdd3feeedd64a0ebedb126</t>
  </si>
  <si>
    <t>661b4fb3857489737702f6d2742e7c97</t>
  </si>
  <si>
    <t>newyork</t>
  </si>
  <si>
    <t>369389d19e24204b4927e30dd7c39efc</t>
  </si>
  <si>
    <t>qwerty1812</t>
  </si>
  <si>
    <t>cbec1eb86f8670b164243a0e336de571</t>
  </si>
  <si>
    <t>91054d07d1a17839ddaaee2280d41980</t>
  </si>
  <si>
    <t>jason</t>
  </si>
  <si>
    <t>2b877b4b825b48a9a0950dd5bd1f264d</t>
  </si>
  <si>
    <t>Snoop1995</t>
  </si>
  <si>
    <t>724028a35e43fff39ce882867007f7a7</t>
  </si>
  <si>
    <t>eccd6efa2a117ffff9f82dfa9df05c2d</t>
  </si>
  <si>
    <t>raymond</t>
  </si>
  <si>
    <t>f2a415aa78c7621831da5995e1447242</t>
  </si>
  <si>
    <t>e79hCqe1</t>
  </si>
  <si>
    <t>4e2ec5192db4af45988325bd04f588b4</t>
  </si>
  <si>
    <t>8b43e723e41d35a8dca7202818986ca4</t>
  </si>
  <si>
    <t>santiago</t>
  </si>
  <si>
    <t>a6f30815a43f38ec6de95b9a9d74da37</t>
  </si>
  <si>
    <t>p4axjzcfnc</t>
  </si>
  <si>
    <t>55b981b627c47c095fb1f6984dee7e87</t>
  </si>
  <si>
    <t>073628671ac82d39ebefe3b5b81324a5</t>
  </si>
  <si>
    <t>jayson</t>
  </si>
  <si>
    <t>9eef6a1f927654f24801f58fe67bb1d4</t>
  </si>
  <si>
    <t>1YK8xR1B</t>
  </si>
  <si>
    <t>f0d8196400dd95e2372126b1fb393e76</t>
  </si>
  <si>
    <t>389652785408f31f66d118a6d542de30</t>
  </si>
  <si>
    <t>8ddcff3a80f4189ca1c9d4d902c3c909</t>
  </si>
  <si>
    <t>helljigsaw21</t>
  </si>
  <si>
    <t>27e176e61076cd4208e25149fe0a8ca9</t>
  </si>
  <si>
    <t>5bc7939ce1cf9eb4e9b7c69f37d848b6</t>
  </si>
  <si>
    <t>723d505516e0c197e42a6be3c0af910e</t>
  </si>
  <si>
    <t>cosi200907</t>
  </si>
  <si>
    <t>e3de870007e2a7d5657a12c69ff45b17</t>
  </si>
  <si>
    <t>240977d055935774e29437b7f53411ee</t>
  </si>
  <si>
    <t>jerome</t>
  </si>
  <si>
    <t>2bb010060d682fee5ad19d973a9a4d2a</t>
  </si>
  <si>
    <t>1155main</t>
  </si>
  <si>
    <t>99d8a2a1ac84aaa2e185db9469fc9fef</t>
  </si>
  <si>
    <t>0ef03c5a74ea32686f9908a909d67ab4</t>
  </si>
  <si>
    <t>gandako</t>
  </si>
  <si>
    <t>eb633d0d9a524624a35378c8402c0dc2</t>
  </si>
  <si>
    <t>200114nov</t>
  </si>
  <si>
    <t>cbfbe9a6493467f3442366fd969ddb4c</t>
  </si>
  <si>
    <t>a51fa46264ef2ac05d69f011c0a3d98d</t>
  </si>
  <si>
    <t>muffin</t>
  </si>
  <si>
    <t>9944fe83a25e72559c62d612485de579</t>
  </si>
  <si>
    <t>starwarsMachin4</t>
  </si>
  <si>
    <t>9408b2f046d1551fc574d5730765ad21</t>
  </si>
  <si>
    <t>27e26ee52b767d1c60b5215afeb2b49f</t>
  </si>
  <si>
    <t>gatita</t>
  </si>
  <si>
    <t>b9b7fe7d39f3de43b42bc5e03388bf22</t>
  </si>
  <si>
    <t>20051971t</t>
  </si>
  <si>
    <t>cd25cf02ecb34f83eb34539268a71865</t>
  </si>
  <si>
    <t>860730e1a32cd9b191166b011fb01e67</t>
  </si>
  <si>
    <t>babyko</t>
  </si>
  <si>
    <t>dd16cde0e70366049724a2d23130ca36</t>
  </si>
  <si>
    <t>manuel00000</t>
  </si>
  <si>
    <t>71d6d1dd4206ada7cbb8c744d1fd8ff9</t>
  </si>
  <si>
    <t>94c674bb860a537e4cf790f9538f42a8</t>
  </si>
  <si>
    <t>b6af3f19458ec8e6faff8ee1e0440ecb</t>
  </si>
  <si>
    <t>numpty1599</t>
  </si>
  <si>
    <t>bcda491b848c209e660648cbe03fe595</t>
  </si>
  <si>
    <t>13f31518eefe4727768d4cd42d13eb1f</t>
  </si>
  <si>
    <t>sweetheart</t>
  </si>
  <si>
    <t>eb415b465d61eada8661cb4bda71a4e7</t>
  </si>
  <si>
    <t>donttry1</t>
  </si>
  <si>
    <t>0bdbadfd89bff8212c9e82833dcb2058</t>
  </si>
  <si>
    <t>314c77a7a2c6fe158f09f0b3ce0be194</t>
  </si>
  <si>
    <t>chivas</t>
  </si>
  <si>
    <t>a17b48e31806e6bb63f64cafb2b06780</t>
  </si>
  <si>
    <t>jehuty01</t>
  </si>
  <si>
    <t>04c99795421e413150e9a9e4e9de7119</t>
  </si>
  <si>
    <t>6a56f4b8a8d7f4815ec7c89b01c618d1</t>
  </si>
  <si>
    <t>ladybug</t>
  </si>
  <si>
    <t>7eef7295c50d70615433858746056bca</t>
  </si>
  <si>
    <t>juvch1985</t>
  </si>
  <si>
    <t>175f9bb0bed774f3a8b0f968282add4d</t>
  </si>
  <si>
    <t>ec8f5db7bde065d78b0f9597365df61b</t>
  </si>
  <si>
    <t>kitty</t>
  </si>
  <si>
    <t>cd880b726e0a0dbd4237f10d15da46f4</t>
  </si>
  <si>
    <t>Lumina90</t>
  </si>
  <si>
    <t>a0db6c95d158bfe0181c0aa98b07bd5f</t>
  </si>
  <si>
    <t>3ff5e7c1f4f9418c1a3b0bd2e934b8bf</t>
  </si>
  <si>
    <t>popcorn</t>
  </si>
  <si>
    <t>33da7a40473c1637f1a2e142f4925194</t>
  </si>
  <si>
    <t>Novikov444</t>
  </si>
  <si>
    <t>c7d1bfc9f8288f759514959cf780e37e</t>
  </si>
  <si>
    <t>838f0d189cf53dcea272c3eebfdc4f4d</t>
  </si>
  <si>
    <t>alberto</t>
  </si>
  <si>
    <t>177dacb14b34103960ec27ba29bd686b</t>
  </si>
  <si>
    <t>8905914456evgeni</t>
  </si>
  <si>
    <t>2ade9bda963e1c28e5511b4a3a79c491</t>
  </si>
  <si>
    <t>59bf812906da04189fcc694b4e5852b7</t>
  </si>
  <si>
    <t>valeria</t>
  </si>
  <si>
    <t>7902b7c0be5cedb6fbada8d4c7fc42a0</t>
  </si>
  <si>
    <t>hye9gtsg</t>
  </si>
  <si>
    <t>702acd063ea1488d733e3b4408ecc952</t>
  </si>
  <si>
    <t>3a905d2ce18fffe00fd2000b2ff2e791</t>
  </si>
  <si>
    <t>cookies</t>
  </si>
  <si>
    <t>55e7dd3016ce4ac57b9a0f56af12f7c2</t>
  </si>
  <si>
    <t>harley4b</t>
  </si>
  <si>
    <t>85ff5d61bbeb5d651eeb5c45ccf2638e</t>
  </si>
  <si>
    <t>a9be8d19ec0bcd9af2ff1824f3e02770</t>
  </si>
  <si>
    <t>leslie</t>
  </si>
  <si>
    <t>21bb5bb51758eab175d4d640334abba0</t>
  </si>
  <si>
    <t>49F2W4f3nbhV6</t>
  </si>
  <si>
    <t>60da8414ed5e5fd8fb0b7ab9fb597541</t>
  </si>
  <si>
    <t>abae5e6ba7ae06e39371d4c8e8d63079</t>
  </si>
  <si>
    <t>jenny</t>
  </si>
  <si>
    <t>ebe6941ee8a10c14dc933ae37a0f43fc</t>
  </si>
  <si>
    <t>sacj5qjt</t>
  </si>
  <si>
    <t>cd94f2878bdcf566448307a94790952e</t>
  </si>
  <si>
    <t>96908e32531be7cba4621f7aadbb7454</t>
  </si>
  <si>
    <t>nicole1</t>
  </si>
  <si>
    <t>83769c7a7f7d8fb000576db03ed47dc9</t>
  </si>
  <si>
    <t>2w2w2w040883</t>
  </si>
  <si>
    <t>1c0659bd330599b2794aaf15684c30c6</t>
  </si>
  <si>
    <t>b750b021060134f2489911e430b5fcf1</t>
  </si>
  <si>
    <t>432f45b44c432414d2f97df0e5743818</t>
  </si>
  <si>
    <t>xkcr46erb</t>
  </si>
  <si>
    <t>de1f7935379d0329315edc2cf0ac200d</t>
  </si>
  <si>
    <t>b3855cb1b24ee2a10a6738bf74fcb672</t>
  </si>
  <si>
    <t>leonardo</t>
  </si>
  <si>
    <t>020e60c6a84db8c5d4c2d56a4e4fe082</t>
  </si>
  <si>
    <t>eyncie197</t>
  </si>
  <si>
    <t>e95a39ac414b7a874e4b98973ee26944</t>
  </si>
  <si>
    <t>e247e24de39bab580cfeeeaf1f747bc4</t>
  </si>
  <si>
    <t>jayjay</t>
  </si>
  <si>
    <t>61a3dd5599a14ade5de91c212073acc2</t>
  </si>
  <si>
    <t>6ay33evc</t>
  </si>
  <si>
    <t>330de54a217b111b92a47462b81597b4</t>
  </si>
  <si>
    <t>eeed60f236784220769bb59fc52e2dca</t>
  </si>
  <si>
    <t>liliana</t>
  </si>
  <si>
    <t>22113d5561c167c117d38d6a2fbacf0b</t>
  </si>
  <si>
    <t>baw13456</t>
  </si>
  <si>
    <t>a96ccd22241ad8641f43667bea7765b0</t>
  </si>
  <si>
    <t>dexter</t>
  </si>
  <si>
    <t>a125a6b2a71e23adc002ac7fbe1a1042</t>
  </si>
  <si>
    <t>48ly0iu8</t>
  </si>
  <si>
    <t>7f6a40e5883f16a9874c645603f1b431</t>
  </si>
  <si>
    <t>307cddebbffa0626d17aeef6ee52d979</t>
  </si>
  <si>
    <t>sexygirl</t>
  </si>
  <si>
    <t>cac2186ca0dc9e8fad64e24ca2803b6b</t>
  </si>
  <si>
    <t>12051994m</t>
  </si>
  <si>
    <t>2c65a27e28ec3be72dbaf3a9350064eb</t>
  </si>
  <si>
    <t>5342f0c77f48fc0e092c4df0b99971fc</t>
  </si>
  <si>
    <t>2467d3744600858cc9026d5ac6005305</t>
  </si>
  <si>
    <t>maestro1</t>
  </si>
  <si>
    <t>d4930cb9a8f17c5d9b0543052bd1e898</t>
  </si>
  <si>
    <t>5dece94c121bcb873bfdc7241d7e3e19</t>
  </si>
  <si>
    <t>amores</t>
  </si>
  <si>
    <t>5d9aa1bc9ea084a3421c3341011e2482</t>
  </si>
  <si>
    <t>domin8rr</t>
  </si>
  <si>
    <t>9ff588e2fde4074e663588ba612ab372</t>
  </si>
  <si>
    <t>5036daba8e90d126006b8ac562d40884</t>
  </si>
  <si>
    <t>rockon</t>
  </si>
  <si>
    <t>b43b770788d71abc92442cc450c4c966</t>
  </si>
  <si>
    <t>k981003i</t>
  </si>
  <si>
    <t>e5bf6d797ce3761983f41f579e483dcb</t>
  </si>
  <si>
    <t>5333dde2f269ad7d3f2d4851ab3c0da9</t>
  </si>
  <si>
    <t>christ</t>
  </si>
  <si>
    <t>0123d11995f4c8d8cc48b8d5c46cc263</t>
  </si>
  <si>
    <t>club2345club2345</t>
  </si>
  <si>
    <t>47966db8a7665229d7022092b0844e34</t>
  </si>
  <si>
    <t>8ad759a40cb4e767d0c512587f5a42e0</t>
  </si>
  <si>
    <t>babydoll</t>
  </si>
  <si>
    <t>c95774a3f31fb607bd026f29fdbdb863</t>
  </si>
  <si>
    <t>554c5Dca</t>
  </si>
  <si>
    <t>e47fd28faa9e78968a16ac26cb8b365f</t>
  </si>
  <si>
    <t>ba55860e0a540b582a57eb54f1d0311f</t>
  </si>
  <si>
    <t>anthony1</t>
  </si>
  <si>
    <t>dedcd3e6accaed3c85bb27318deb0ea0</t>
  </si>
  <si>
    <t>1979pavel</t>
  </si>
  <si>
    <t>68827237323c182f16f5ffe4df119aab</t>
  </si>
  <si>
    <t>marcus</t>
  </si>
  <si>
    <t>49c167d7cd66dc64a474c261860ba50f</t>
  </si>
  <si>
    <t>00oooo0P0000020000R</t>
  </si>
  <si>
    <t>bde62fb71e014c79e02020d9daade94c</t>
  </si>
  <si>
    <t>52ccfda1cdafd0f4e7f5dac380b461f1</t>
  </si>
  <si>
    <t>bitch1</t>
  </si>
  <si>
    <t>162ed102bec5260332bd2248e0abcde9</t>
  </si>
  <si>
    <t>jaime801</t>
  </si>
  <si>
    <t>c6a033a8b874364cb1b9ae8ee3df66a6</t>
  </si>
  <si>
    <t>86e57885aaf1c0a7ffb0f1ce140180a1</t>
  </si>
  <si>
    <t>fatima</t>
  </si>
  <si>
    <t>b5d5f67b30809413156655abdda382a3</t>
  </si>
  <si>
    <t>jndcd123</t>
  </si>
  <si>
    <t>7d0b055238576f34e32563dd718b6f28</t>
  </si>
  <si>
    <t>c042deccec402e3f71a6a9e44e5c6663</t>
  </si>
  <si>
    <t>miamor</t>
  </si>
  <si>
    <t>7bc2442d6a7ddb1b3bcabac2d86c6e2e</t>
  </si>
  <si>
    <t>legman11</t>
  </si>
  <si>
    <t>9de6c59981916f46ac0ef6803c9d3842</t>
  </si>
  <si>
    <t>aac8ab7af56fec098f7d94e4dbf8174e</t>
  </si>
  <si>
    <t>lover</t>
  </si>
  <si>
    <t>58f3907ef81dee7443834b0f76d247e5</t>
  </si>
  <si>
    <t>passworhoneykiss1</t>
  </si>
  <si>
    <t>076379a86c4dcbe18d1981b4c6d6d5d0</t>
  </si>
  <si>
    <t>324b202e814e71a08482fc024cd3daf7</t>
  </si>
  <si>
    <t>chris1</t>
  </si>
  <si>
    <t>50fdef3fc386e2c6729f628309cf0b62</t>
  </si>
  <si>
    <t>lollipop52460</t>
  </si>
  <si>
    <t>e1ca6ef4ca3e1f857f9328c649cb76db</t>
  </si>
  <si>
    <t>3e20ce5b5fe9b34513c64cb9510e4cec</t>
  </si>
  <si>
    <t>single</t>
  </si>
  <si>
    <t>dd5c07036f2975ff4bce568b6511d3bc</t>
  </si>
  <si>
    <t>zanzibar24</t>
  </si>
  <si>
    <t>b7cf36dd05b559651fb29cfccc07491f</t>
  </si>
  <si>
    <t>4b8b4bb96ece2f554266a82568debcc4</t>
  </si>
  <si>
    <t>eeyore</t>
  </si>
  <si>
    <t>456c5a41af2eb09ac0ba0eb64f614887</t>
  </si>
  <si>
    <t>taras2402</t>
  </si>
  <si>
    <t>a9d484de417f80aa4f99492c08b8570f</t>
  </si>
  <si>
    <t>Iy{;6MbD[Um</t>
  </si>
  <si>
    <t>e623fc066db287aa2639cae6aad9cd6c</t>
  </si>
  <si>
    <t>lalala</t>
  </si>
  <si>
    <t>9aa6e5f2256c17d2d430b100032b997c</t>
  </si>
  <si>
    <t>00arreis</t>
  </si>
  <si>
    <t>67ec3db1158420561864dcc48c94b453</t>
  </si>
  <si>
    <t>5e32d1da85e56e44cccb5f2f7e111c61</t>
  </si>
  <si>
    <t>46f227e9cf17e2e1e88b14e679047bd9</t>
  </si>
  <si>
    <t>manutd87</t>
  </si>
  <si>
    <t>680c635b72a392cfc0bd27f28fbb72e6</t>
  </si>
  <si>
    <t>ruiryMoBc['8B</t>
  </si>
  <si>
    <t>6142a9d13e286994114de98e12ed427a</t>
  </si>
  <si>
    <t>scooter</t>
  </si>
  <si>
    <t>e8fbc1f03504ddffc52a9e6dab5e204d</t>
  </si>
  <si>
    <t>xFyVWG4k</t>
  </si>
  <si>
    <t>a167f607eb59e4d97ea57ffeb9747908</t>
  </si>
  <si>
    <t>bbcbbd848dac1a908dda92aa3046926b</t>
  </si>
  <si>
    <t>natasha</t>
  </si>
  <si>
    <t>6275e26419211d1f526e674d97110e15</t>
  </si>
  <si>
    <t>prodigy534611</t>
  </si>
  <si>
    <t>5c4f6c22dd240870547d0b9d8896fb35</t>
  </si>
  <si>
    <t>350607037c9d93a238bf8d28e0f9fad5</t>
  </si>
  <si>
    <t>skittles</t>
  </si>
  <si>
    <t>27c07e1c9bcd1ac7e5e995ed92534d77</t>
  </si>
  <si>
    <t>alicia69</t>
  </si>
  <si>
    <t>eb509b3152e7cf4954a64640d57ff0e5</t>
  </si>
  <si>
    <t>9ab3b6aa3aa3e0a6344b5eb0c6661ce5</t>
  </si>
  <si>
    <t>brooklyn</t>
  </si>
  <si>
    <t>766f0081408dd1691fc99860d9922c1b</t>
  </si>
  <si>
    <t>1942cent</t>
  </si>
  <si>
    <t>02ba7783a794760f939dfd1460e3deb0</t>
  </si>
  <si>
    <t>264652a24886e7bc0f9a2e32cb4b5c0a</t>
  </si>
  <si>
    <t>colombia</t>
  </si>
  <si>
    <t>25446782e2ccaf0afdb03e5d61d0fbb9</t>
  </si>
  <si>
    <t>bigfoot303</t>
  </si>
  <si>
    <t>53cc74d4784fd3851672e98b7202eea1</t>
  </si>
  <si>
    <t>602e3c65734beac62efb4495033e4a2d</t>
  </si>
  <si>
    <t>36e1a5072c78359066ed7715f5ff3da8</t>
  </si>
  <si>
    <t>redrock51</t>
  </si>
  <si>
    <t>4b8a4db7dc0ba76d7a28a1430802974d</t>
  </si>
  <si>
    <t>86b5f5f63767e9612d744dcb56e76288</t>
  </si>
  <si>
    <t>teddybear</t>
  </si>
  <si>
    <t>3f24aac267377d2f8a53f1ebb3d49223</t>
  </si>
  <si>
    <t>ybrf12345</t>
  </si>
  <si>
    <t>a936b70168b68f4f90188c602fc66738</t>
  </si>
  <si>
    <t>569fe3a36810e6956b97c46e5c98f908</t>
  </si>
  <si>
    <t>winnie</t>
  </si>
  <si>
    <t>da4c5332661cad24dc34553651312cda</t>
  </si>
  <si>
    <t>ohiyass2</t>
  </si>
  <si>
    <t>371f19fff8ff90b5fa6828133b63898b</t>
  </si>
  <si>
    <t>e5a2cd503bba099bf88cb4266e3431ba</t>
  </si>
  <si>
    <t>happy</t>
  </si>
  <si>
    <t>56ab24c15b72a457069c5ea42fcfc640</t>
  </si>
  <si>
    <t>MdViKOy8rNvt</t>
  </si>
  <si>
    <t>dc9557c4add21722ce066d5d31209684</t>
  </si>
  <si>
    <t>ce3b54fe752053d0a27056aa87bc5b57</t>
  </si>
  <si>
    <t>manutd</t>
  </si>
  <si>
    <t>2419c459e9ad2d94f4a5c887b3ca18cb</t>
  </si>
  <si>
    <t>mepc6658512</t>
  </si>
  <si>
    <t>4161402a177cc170246db9f6e63b81ac</t>
  </si>
  <si>
    <t>0a6448f58e04eccafd51c03acd58c75b</t>
  </si>
  <si>
    <t>123456a</t>
  </si>
  <si>
    <t>9cbf8a4dcb8e30682b927f352d6559a0</t>
  </si>
  <si>
    <t>79qqfy6A</t>
  </si>
  <si>
    <t>15fc8254b8be770457d2f85c18a2df49</t>
  </si>
  <si>
    <t>8c47e77d3561c217a6361971316fc6e2</t>
  </si>
  <si>
    <t>britney</t>
  </si>
  <si>
    <t>757550ecd97318ce9a1867bb96d026e5</t>
  </si>
  <si>
    <t>wopper58</t>
  </si>
  <si>
    <t>f8d8820c94818cca7ef781d3592a9fdb</t>
  </si>
  <si>
    <t>d81bf1856f9e6976de1b2daa6663db41</t>
  </si>
  <si>
    <t>katrina</t>
  </si>
  <si>
    <t>3d7f65f5dcc8ef953f7d9a06f2477cc4</t>
  </si>
  <si>
    <t>NAuZD4Jh</t>
  </si>
  <si>
    <t>a741a25bfd649dcf1c7e62f9876ae65c</t>
  </si>
  <si>
    <t>b638467ad398935d7354ebe19d93e3d5</t>
  </si>
  <si>
    <t>christina</t>
  </si>
  <si>
    <t>e311dd5fd4cdbba780ea0d0062df7788</t>
  </si>
  <si>
    <t>Bs6wtkbf</t>
  </si>
  <si>
    <t>385f6da72d0985982d7e0cd9eb2b0c7a</t>
  </si>
  <si>
    <t>1183cb15ab481485172cb8fed8bf5d84</t>
  </si>
  <si>
    <t>pasaway</t>
  </si>
  <si>
    <t>0204fcc0b9c16071eb1edc656d30a8ec</t>
  </si>
  <si>
    <t>narik1999</t>
  </si>
  <si>
    <t>eb17398b731b405ed07430fb93f5a9ed</t>
  </si>
  <si>
    <t>e470c6c3d99af7232650d47021bb5ec7</t>
  </si>
  <si>
    <t>cocacola</t>
  </si>
  <si>
    <t>6253e1406b64bbe6ba7b00ac0bf81257</t>
  </si>
  <si>
    <t>9130249924g</t>
  </si>
  <si>
    <t>95df4f19eaecbcdcea8acb33983f36ae</t>
  </si>
  <si>
    <t>bd9685e92c16ea1b8fb7213a017fa25b</t>
  </si>
  <si>
    <t>mahal</t>
  </si>
  <si>
    <t>8ad92b1af7e1d426219a319d4f9853ff</t>
  </si>
  <si>
    <t>ilove577</t>
  </si>
  <si>
    <t>01d1fefc2c212c9429a1d7c1d8d704e5</t>
  </si>
  <si>
    <t>e283724ae082b260a1f30345881f1092</t>
  </si>
  <si>
    <t>grace</t>
  </si>
  <si>
    <t>15e5c87b18c1289d45bb4a72961b58e8</t>
  </si>
  <si>
    <t>3698563nono</t>
  </si>
  <si>
    <t>a8db50a9d3233792c6cf6eda77925550</t>
  </si>
  <si>
    <t>4850c32a9c354b9c01a2bd501b79af3b</t>
  </si>
  <si>
    <t>linda</t>
  </si>
  <si>
    <t>eaf450085c15c3b880c66d0b78f2c041</t>
  </si>
  <si>
    <t>864b99z75</t>
  </si>
  <si>
    <t>a136290ae8e6d8343a9cd0c3ff0a3dfe</t>
  </si>
  <si>
    <t>7759014aef244666ff3cef8e55d85e09</t>
  </si>
  <si>
    <t>albert</t>
  </si>
  <si>
    <t>6c5bc43b443975b806740d8e41146479</t>
  </si>
  <si>
    <t>AZaz1970</t>
  </si>
  <si>
    <t>fde76ab4a23b220fc259b61635a89e67</t>
  </si>
  <si>
    <t>4^ibryMoB9yh,</t>
  </si>
  <si>
    <t>4565e637412478b76fbe283f80f9369a</t>
  </si>
  <si>
    <t>tatiana</t>
  </si>
  <si>
    <t>3e57f7ee22713728335920e979ed0bde</t>
  </si>
  <si>
    <t>fkbyf969696</t>
  </si>
  <si>
    <t>3e23bae6e2da9862a2de2c6366610c1b</t>
  </si>
  <si>
    <t>08f09a91364b4353fb7b9d2e095e2ac5</t>
  </si>
  <si>
    <t>london</t>
  </si>
  <si>
    <t>bc180dbc583491c00f8a1cd134f7517b</t>
  </si>
  <si>
    <t>111111abefastcash</t>
  </si>
  <si>
    <t>b17066982b46bf861cc960ea689e9416</t>
  </si>
  <si>
    <t>b9192f5fba08c459f73aae6d9e498ffb</t>
  </si>
  <si>
    <t>cantik</t>
  </si>
  <si>
    <t>1cdac5ad084879e80e5b67c51baa9095</t>
  </si>
  <si>
    <t>12345q2q1</t>
  </si>
  <si>
    <t>02fb579d83fbfd8a84678d3c4d84121f</t>
  </si>
  <si>
    <t>31ee30f0e986e956dd589e05b3e2f186</t>
  </si>
  <si>
    <t>124bd1296bec0d9d93c7b52a71ad8d5b</t>
  </si>
  <si>
    <t>hgyde635</t>
  </si>
  <si>
    <t>1f84192e0946024aba20cdc620b1cf40</t>
  </si>
  <si>
    <t>690c0608be2ffee1f03b1dc822435a42</t>
  </si>
  <si>
    <t>lakers</t>
  </si>
  <si>
    <t>0ffb5cc0ee5648aa55290f0f89f5f8d8</t>
  </si>
  <si>
    <t>zoloto077</t>
  </si>
  <si>
    <t>383ea1ef0600842027ce6fe368f42f05</t>
  </si>
  <si>
    <t>Tui;yMoB9yh,</t>
  </si>
  <si>
    <t>c637589dd12a79957fb3e7ca1f37e315</t>
  </si>
  <si>
    <t>marie</t>
  </si>
  <si>
    <t>b3725122c9d3bfef5664619e08e31877</t>
  </si>
  <si>
    <t>Bickert265</t>
  </si>
  <si>
    <t>778681590df5cfae18898b2b4edbeab8</t>
  </si>
  <si>
    <t>61e5a640e51dd09e2aa11d6774c1fbc6</t>
  </si>
  <si>
    <t>teiubesc</t>
  </si>
  <si>
    <t>6c6a8a82c58ed133045c2f96469c90e1</t>
  </si>
  <si>
    <t>92dZjO6S!R_r</t>
  </si>
  <si>
    <t>024a424c62ab0e742dd99dfecc1c6c8d</t>
  </si>
  <si>
    <t>e570ac54aa3a52087cd16154697b1daf</t>
  </si>
  <si>
    <t>e40f01afbb1b9ae3dd6747ced5bca532</t>
  </si>
  <si>
    <t>396576JI</t>
  </si>
  <si>
    <t>23b15221ed47603182e00161b1c570e3</t>
  </si>
  <si>
    <t>ae9bb670a2e17a97baf125b321f3c82e</t>
  </si>
  <si>
    <t>charlotte</t>
  </si>
  <si>
    <t>a6008231fa64ff879ecb286a657b6a99</t>
  </si>
  <si>
    <t>fyutkmol15</t>
  </si>
  <si>
    <t>c0dc9410e410279cc13f1e7c5bb9d882</t>
  </si>
  <si>
    <t>7bcca668f1022ec7569b330b85251cbc</t>
  </si>
  <si>
    <t>natalia</t>
  </si>
  <si>
    <t>c1ed60949799e3adcd72928bb3314fe0</t>
  </si>
  <si>
    <t>0d284e5e</t>
  </si>
  <si>
    <t>4937d39a19ae2277ce800115424540ae</t>
  </si>
  <si>
    <t>c85a9501eea7f2ebb15a269ead5fb59c</t>
  </si>
  <si>
    <t>francisco</t>
  </si>
  <si>
    <t>117735823fadae51db091c7d63e60eb0</t>
  </si>
  <si>
    <t>fl0rentina</t>
  </si>
  <si>
    <t>c845e2d3a3768782a7d4fbc9d4dc9cd9</t>
  </si>
  <si>
    <t>9dd989cca531dcf083739b86216fb80c</t>
  </si>
  <si>
    <t>amorcito</t>
  </si>
  <si>
    <t>ece678fabf47f7d0743bf0a80734987d</t>
  </si>
  <si>
    <t>pipillo989</t>
  </si>
  <si>
    <t>f04a85f352dec089e1102af447eb21fb</t>
  </si>
  <si>
    <t>ae8194ef6f19fc071ef6e564c5ccff78</t>
  </si>
  <si>
    <t>smile</t>
  </si>
  <si>
    <t>3ddaeb82fbba964fb3461d4e4f1342eb</t>
  </si>
  <si>
    <t>6je6by9s</t>
  </si>
  <si>
    <t>4bc52df96049977743e6aa1204503cd6</t>
  </si>
  <si>
    <t>f71bb5b6c8bb7a42944b678b2abeb615</t>
  </si>
  <si>
    <t>paola</t>
  </si>
  <si>
    <t>72a86026abb289634ec64d7f3b544f0c</t>
  </si>
  <si>
    <t>jss32747</t>
  </si>
  <si>
    <t>18887a3ac5c181a5f979b153007ccf51</t>
  </si>
  <si>
    <t>69d1f448dded9fee419002a36125ff96</t>
  </si>
  <si>
    <t>angelito</t>
  </si>
  <si>
    <t>b67912b31fcba0a3173f45f2058226fe</t>
  </si>
  <si>
    <t>mastermikey3106</t>
  </si>
  <si>
    <t>5103f7c225220f3ab6d42c0de889d317</t>
  </si>
  <si>
    <t>42ff4b54496a1e5c886715031705dab7</t>
  </si>
  <si>
    <t>manchester</t>
  </si>
  <si>
    <t>018a9567ea15470312c40d3e5d6bbcd4</t>
  </si>
  <si>
    <t>jjjjjjj1</t>
  </si>
  <si>
    <t>85ace564aa85e1618c6cbbd544a48c6d</t>
  </si>
  <si>
    <t>Iy{;6Mboym</t>
  </si>
  <si>
    <t>8eac411d0d98352f8f6ea391feaaee90</t>
  </si>
  <si>
    <t>hahaha</t>
  </si>
  <si>
    <t>101a6ec9f938885df0a44f20458d2eb4</t>
  </si>
  <si>
    <t>prudnikov1997</t>
  </si>
  <si>
    <t>9698ba24eb8b1c28d6f71d940dccdcc2</t>
  </si>
  <si>
    <t>91b2c8f92b194ca94006482c0b9e6cf4</t>
  </si>
  <si>
    <t>elephant</t>
  </si>
  <si>
    <t>e4b48fd541b3dcb99cababc87c2ee88f</t>
  </si>
  <si>
    <t>myrto12345</t>
  </si>
  <si>
    <t>2deae2f7f2cf27f31beef817061aa6d1</t>
  </si>
  <si>
    <t>2339f2806faafc842deec42359cd6103</t>
  </si>
  <si>
    <t>mommy1</t>
  </si>
  <si>
    <t>efadae721c5b55a3126dfed3f46c7428</t>
  </si>
  <si>
    <t>Htb368Cv</t>
  </si>
  <si>
    <t>e2d22bf3a56c4d146cc5ee38e9705c1e</t>
  </si>
  <si>
    <t>30c5ff5dedbd3685d2ea3f91546ec039</t>
  </si>
  <si>
    <t>shelby</t>
  </si>
  <si>
    <t>25e884082d818b76b462409f19f7795f</t>
  </si>
  <si>
    <t>grosul2004</t>
  </si>
  <si>
    <t>06f50f34eeaea3922efd967148dcc6c3</t>
  </si>
  <si>
    <t>15a4314e586f5f6f66b794dcea6206ab</t>
  </si>
  <si>
    <t>4607e782c4d86fd5364d7e4508bb10d9</t>
  </si>
  <si>
    <t>7raW6k9L</t>
  </si>
  <si>
    <t>8b9dead5aeebb3ad37962176fb4630b7</t>
  </si>
  <si>
    <t>ruiryMoBDoh9</t>
  </si>
  <si>
    <t>3b7997d38bebfd4ca5d6a5f4106c39b4</t>
  </si>
  <si>
    <t>kelsey</t>
  </si>
  <si>
    <t>f0f02c8573be5de9dd53c49f3cd28656</t>
  </si>
  <si>
    <t>460210alex</t>
  </si>
  <si>
    <t>f735b41f2ed81a71b9c1954a3707b0e4</t>
  </si>
  <si>
    <t>f3a64b666c957b5cc9080bcd24c7723a</t>
  </si>
  <si>
    <t>genesis</t>
  </si>
  <si>
    <t>289ffeb2a745ccf51ca89a297f47e382</t>
  </si>
  <si>
    <t>mm260628</t>
  </si>
  <si>
    <t>701ccd84dc98ef00855a11f57d9af74c</t>
  </si>
  <si>
    <t>e3d6b639b3f8f2bd450e980fd09da09d</t>
  </si>
  <si>
    <t>amigos</t>
  </si>
  <si>
    <t>c2b592488a765722513420108c466524</t>
  </si>
  <si>
    <t>80qJRNtA1SIGM</t>
  </si>
  <si>
    <t>a828573bc9415b06f288296e2221df31</t>
  </si>
  <si>
    <t>6aa31cc8deae41723ca623dad8f74792</t>
  </si>
  <si>
    <t>snickers</t>
  </si>
  <si>
    <t>ce922d89a6c244fb0c5aff66bc46e9be</t>
  </si>
  <si>
    <t>shit3112</t>
  </si>
  <si>
    <t>1f79b3a30918d90f847074a3a706ed25</t>
  </si>
  <si>
    <t>5a4b24ba879eba882654e58be85f1289</t>
  </si>
  <si>
    <t>xavier</t>
  </si>
  <si>
    <t>0f5366b3b19afc3184d23bc73d8cd311</t>
  </si>
  <si>
    <t>17lera98</t>
  </si>
  <si>
    <t>08b67bc5b442e5a0bd4fc0e0e8a0d12c</t>
  </si>
  <si>
    <t>To;yMoB[kl</t>
  </si>
  <si>
    <t>2f04dda0456cd6c414612f4628f4bbd2</t>
  </si>
  <si>
    <t>turtle</t>
  </si>
  <si>
    <t>d4705b9f42c96eeb0b9fb53266013516</t>
  </si>
  <si>
    <t>5VuoYDPN</t>
  </si>
  <si>
    <t>c1794ae65e1056d35ab1bb5cc855ee05</t>
  </si>
  <si>
    <t>2a97e2afd44d617529ef26415d3dfbf6</t>
  </si>
  <si>
    <t>marlon</t>
  </si>
  <si>
    <t>c8f759a539858b08e9e46251b1ae9f09</t>
  </si>
  <si>
    <t>1971crow</t>
  </si>
  <si>
    <t>ca393916e8d98a2be6bd320387818f5a</t>
  </si>
  <si>
    <t>8ef7207ab75e5292eeaf1c1c1f80309d</t>
  </si>
  <si>
    <t>linkinpark</t>
  </si>
  <si>
    <t>a5b6e34b25f4722b811d371e957aea29</t>
  </si>
  <si>
    <t>dem42476</t>
  </si>
  <si>
    <t>a88dd489ecee72a77118a2b01d9f24d0</t>
  </si>
  <si>
    <t>c21ad811be035868c8cd2e594f37b316</t>
  </si>
  <si>
    <t>claire</t>
  </si>
  <si>
    <t>182e500f562c7b95a2ae0b4dd9f47bb2</t>
  </si>
  <si>
    <t>Cnfcbr054</t>
  </si>
  <si>
    <t>d9423007d4e0f1109f28b4d7dd453a76</t>
  </si>
  <si>
    <t>ce3091e7bd5e6c489a22f84ab363a9a4</t>
  </si>
  <si>
    <t>stupid</t>
  </si>
  <si>
    <t>fc0586aca6e42cffade83252446d0613</t>
  </si>
  <si>
    <t>89625105440weer</t>
  </si>
  <si>
    <t>30b807b056d5242522bde56a1bc7d9f8</t>
  </si>
  <si>
    <t>1b6b4882031cb089e0875c140ea268ef</t>
  </si>
  <si>
    <t>83b4ef5ae4bb360c96628aecda974200</t>
  </si>
  <si>
    <t>alex13061981</t>
  </si>
  <si>
    <t>9cb8ebb9563b180203ed1b3197be3490</t>
  </si>
  <si>
    <t>ff471e1e1e1cd4c09e2ba18f639748a7</t>
  </si>
  <si>
    <t>marina</t>
  </si>
  <si>
    <t>ce5225d01c39d2567bc229501d9e610d</t>
  </si>
  <si>
    <t>molodeznaya14</t>
  </si>
  <si>
    <t>7101109e644d8953ebb5da749b3b3a65</t>
  </si>
  <si>
    <t>16a3b824f761333f81cbe0cedd0ebff3</t>
  </si>
  <si>
    <t>garcia</t>
  </si>
  <si>
    <t>bbb5ff6dc3826b999a5cf0c2e7b2c889</t>
  </si>
  <si>
    <t>andav1s538</t>
  </si>
  <si>
    <t>e9543648c72f42e4b5244ca96576f3c0</t>
  </si>
  <si>
    <t>cf0468ec68d2ce4c03ec2e97674f9e75</t>
  </si>
  <si>
    <t>fuckyou1</t>
  </si>
  <si>
    <t>5edc3bed517dbf9865fb815552c1eb21</t>
  </si>
  <si>
    <t>stasishin1989</t>
  </si>
  <si>
    <t>034fcdd00309a9201537895e6eef8342</t>
  </si>
  <si>
    <t>a070ecd99c1e1f3f3177feecb2479c14</t>
  </si>
  <si>
    <t>diego</t>
  </si>
  <si>
    <t>078c007bd92ddec308ae2f5115c1775d</t>
  </si>
  <si>
    <t>claudio3353317</t>
  </si>
  <si>
    <t>869818c84880d298306c26f08878aba7</t>
  </si>
  <si>
    <t>4218b2044edc93d09d4624ed7bc76f8f</t>
  </si>
  <si>
    <t>brandy</t>
  </si>
  <si>
    <t>6c29e9cc4042d972b15ff0304e636886</t>
  </si>
  <si>
    <t>cbr35410</t>
  </si>
  <si>
    <t>9ff79f36a5c34e3da93267e99c79f122</t>
  </si>
  <si>
    <t>45a986adfc58320aca5081d866586bba</t>
  </si>
  <si>
    <t>letmein</t>
  </si>
  <si>
    <t>0d107d09f5bbe40cade3de5c71e9e9b7</t>
  </si>
  <si>
    <t>summerjohn777y</t>
  </si>
  <si>
    <t>914c0e979a85704c3dc4355da7bfdd18</t>
  </si>
  <si>
    <t>ea0a7687393a91a36da7c2748e6de4ed</t>
  </si>
  <si>
    <t>hockey</t>
  </si>
  <si>
    <t>df0349ce110b69f03b4def8012ae4970</t>
  </si>
  <si>
    <t>ramadog1</t>
  </si>
  <si>
    <t>6eed00fdb659b46c7edab67bfb24e2bf</t>
  </si>
  <si>
    <t>962d1d9b0978a694daa69d9e0783157c</t>
  </si>
  <si>
    <t>73882ab1fa529d7273da0db6b49cc4f3</t>
  </si>
  <si>
    <t>geretezqeg1950</t>
  </si>
  <si>
    <t>9cf204cc47044d4104b98aacad122da4</t>
  </si>
  <si>
    <t>10909308903815cdaf4e90a08d5ab5f0</t>
  </si>
  <si>
    <t>sharon</t>
  </si>
  <si>
    <t>215a6517848319b70f3f450da480d888</t>
  </si>
  <si>
    <t>n3yuj4s57rg</t>
  </si>
  <si>
    <t>16302117ee24227eb9706d5113a8567d</t>
  </si>
  <si>
    <t>a6c31ea58429adfb809ac1053cbedcfa</t>
  </si>
  <si>
    <t>bonnie</t>
  </si>
  <si>
    <t>eb5ba7c977d21014520ad3ee0432d10f</t>
  </si>
  <si>
    <t>3xEbP6sy</t>
  </si>
  <si>
    <t>77f41e353af45eacad002bc2ed37b675</t>
  </si>
  <si>
    <t>f5cb3e6791f52fce1eed7d32f7baca20</t>
  </si>
  <si>
    <t>spider</t>
  </si>
  <si>
    <t>f1a81d782dea6a19bdca383bffe68452</t>
  </si>
  <si>
    <t>NSSkorod538Nad</t>
  </si>
  <si>
    <t>f1079afe9f318fc45426796e62d0309b</t>
  </si>
  <si>
    <t>8fa666604de18723a58dbe372b9068d9</t>
  </si>
  <si>
    <t>iverson</t>
  </si>
  <si>
    <t>c4d3dd2961dbbfcb8f7f3659bd331fa0</t>
  </si>
  <si>
    <t>g1759392g</t>
  </si>
  <si>
    <t>8920de8c858c2eae6ae62bd9329ba8fb</t>
  </si>
  <si>
    <t>b30fff4963f171438f0d0cdae556baec</t>
  </si>
  <si>
    <t>andrei</t>
  </si>
  <si>
    <t>b2d09b73eb5ad0228f9cb2e51485a45f</t>
  </si>
  <si>
    <t>chopin02</t>
  </si>
  <si>
    <t>767f9f8a70fe5af257f336991f3e9355</t>
  </si>
  <si>
    <t>fa74bbbdde71ee7700002ff50d75ad5e</t>
  </si>
  <si>
    <t>justine</t>
  </si>
  <si>
    <t>b55050b2f605b7cf0d48346ff3d432d3</t>
  </si>
  <si>
    <t>amit1515</t>
  </si>
  <si>
    <t>01d66fc7fc8e4c0e45113c31d1743931</t>
  </si>
  <si>
    <t>81a6addbca79b5e849b664c75f952c67</t>
  </si>
  <si>
    <t>frankie</t>
  </si>
  <si>
    <t>d30c7f7381508c2fcd7139aaa67ce48e</t>
  </si>
  <si>
    <t>ft62md67sz88ir90</t>
  </si>
  <si>
    <t>364bdaddad7ec33e9f80ce25bda91ad3</t>
  </si>
  <si>
    <t>cd2b06cabec78064120c19f2edbc1e64</t>
  </si>
  <si>
    <t>pimpin</t>
  </si>
  <si>
    <t>b9a982bcc46e98b3aa86e7bc526b869f</t>
  </si>
  <si>
    <t>15021972a</t>
  </si>
  <si>
    <t>96a35ffa74c095724a8cf88041fa483a</t>
  </si>
  <si>
    <t>6ef888be8085c0ff2c89d9a6a78899e5</t>
  </si>
  <si>
    <t>disney</t>
  </si>
  <si>
    <t>f240a4a08ef4d49a9b643168779d8491</t>
  </si>
  <si>
    <t>parcour.1996</t>
  </si>
  <si>
    <t>6f0473136b07039ea3383dcd86bfae6a</t>
  </si>
  <si>
    <t>b1a8aaf43db3d9572928f7b7e78048f7</t>
  </si>
  <si>
    <t>rabbit</t>
  </si>
  <si>
    <t>a51e47f646375ab6bf5dd2c42d3e6181</t>
  </si>
  <si>
    <t>idvabb3r</t>
  </si>
  <si>
    <t>de628e4423dedc01dba4fa4726b3defe</t>
  </si>
  <si>
    <t>14af41724b4874f11ab4805273494651</t>
  </si>
  <si>
    <t>01cfcd4f6b8770febfb40cb906715822</t>
  </si>
  <si>
    <t>987654321qw</t>
  </si>
  <si>
    <t>1a598ed2644264e3b176d68cbb8d9609</t>
  </si>
  <si>
    <t>4^ibryMoBDoh9</t>
  </si>
  <si>
    <t>2fc74fa4848e7e51da918bc88ee6e201</t>
  </si>
  <si>
    <t>fashion</t>
  </si>
  <si>
    <t>4f4b914d6db35e19101ff003c4e7ea3a</t>
  </si>
  <si>
    <t>Pysk14311</t>
  </si>
  <si>
    <t>b20f03bc9c07e96820d62fe853fca035</t>
  </si>
  <si>
    <t>d1ebe594d61b33662cf04a13ad5ad86b</t>
  </si>
  <si>
    <t>soccer1</t>
  </si>
  <si>
    <t>3b386370c5717a890e2f6a500793fe56</t>
  </si>
  <si>
    <t>9jnmb8y6</t>
  </si>
  <si>
    <t>f175f5cb304c282d29f3e26539d2ef60</t>
  </si>
  <si>
    <t>4d684065f080c430984846b198c3853e</t>
  </si>
  <si>
    <t>red123</t>
  </si>
  <si>
    <t>3c86ddb270471569a6b02000d54b570c</t>
  </si>
  <si>
    <t>990151egor</t>
  </si>
  <si>
    <t>c2cb24a4143171f37b2b4efe5a6b9eef</t>
  </si>
  <si>
    <t>cda291a87d8df844a090f71ec9d9d439</t>
  </si>
  <si>
    <t>bestfriend</t>
  </si>
  <si>
    <t>fcc0a3cfc6dc4927303cbe22ccff9d7f</t>
  </si>
  <si>
    <t>INDIA200</t>
  </si>
  <si>
    <t>c298d43e1d9718c2e5006e936e380537</t>
  </si>
  <si>
    <t>f4e678c6def1d770f5fd8f7bc035e067</t>
  </si>
  <si>
    <t>england</t>
  </si>
  <si>
    <t>f48861ca24e26a23a923ca68657079f4</t>
  </si>
  <si>
    <t>e7hstivw</t>
  </si>
  <si>
    <t>182b140dbe8696a6b930dbc4fc1a9aa6</t>
  </si>
  <si>
    <t>e35dcdf92d516c99ad47d3b7411f8dd4</t>
  </si>
  <si>
    <t>hermosa</t>
  </si>
  <si>
    <t>bfa32395b5a4ad9c8205a407c0248786</t>
  </si>
  <si>
    <t>u9028079535</t>
  </si>
  <si>
    <t>7d2f47f60e650a253c92204003e4220e</t>
  </si>
  <si>
    <t>beb46ac28e74bbfb4be2066c9bacac4e</t>
  </si>
  <si>
    <t>d964173dc44da83eeafa3aebbee9a1a0</t>
  </si>
  <si>
    <t>andrey1992</t>
  </si>
  <si>
    <t>7237a6583e1dee95365b92ea8289ea4c</t>
  </si>
  <si>
    <t>1bc83e484036b1064d210b2f85599891</t>
  </si>
  <si>
    <t>qazwsx</t>
  </si>
  <si>
    <t>76419c58730d9f35de7ac538c2fd6737</t>
  </si>
  <si>
    <t>rodeo195</t>
  </si>
  <si>
    <t>27fbcb4b847fe8d1e028cfb50d07f5a3</t>
  </si>
  <si>
    <t>3a5c833d490969b01a5aae64b8555c43</t>
  </si>
  <si>
    <t>bandit</t>
  </si>
  <si>
    <t>23d45b337ff85d0a326a79082f7c6f50</t>
  </si>
  <si>
    <t>rustik321</t>
  </si>
  <si>
    <t>ba54ea5a740c77f4f037fa18fc22002b</t>
  </si>
  <si>
    <t>d2178c1eb510a04f92297490b47fb56e</t>
  </si>
  <si>
    <t>danny</t>
  </si>
  <si>
    <t>b7bee6b36bd35b773132d4e3a74c2bb5</t>
  </si>
  <si>
    <t>Xyh14you</t>
  </si>
  <si>
    <t>8fc8274c2e1e5bedf509434eb3b595e9</t>
  </si>
  <si>
    <t>08674838968b727340786c10ced25df1</t>
  </si>
  <si>
    <t>allison</t>
  </si>
  <si>
    <t>4651d80cfa79f4933bc5408665394e9c</t>
  </si>
  <si>
    <t>l27e05x88</t>
  </si>
  <si>
    <t>79981c6474d21f19c241fa2ae86f2dbc</t>
  </si>
  <si>
    <t>emily</t>
  </si>
  <si>
    <t>b02ae5aaefe3f7090668df034b0f2324</t>
  </si>
  <si>
    <t>star1701</t>
  </si>
  <si>
    <t>7ce1f68686895bbc78956425d09a7738</t>
  </si>
  <si>
    <t>53743811f7d5c5b42d518071adf80ca7</t>
  </si>
  <si>
    <t>4badaee57fed5610012a296273158f5f</t>
  </si>
  <si>
    <t>5L8o8DoW</t>
  </si>
  <si>
    <t>3619ea4373478401e15a31712c6d3987</t>
  </si>
  <si>
    <t>3d22db5f44384203b7e2dd499782984e</t>
  </si>
  <si>
    <t>lucky1</t>
  </si>
  <si>
    <t>0535db92912a4a69db3c38f4b4dbff2e</t>
  </si>
  <si>
    <t>sathias23</t>
  </si>
  <si>
    <t>848020440d63b7cb5cf60b06166e9288</t>
  </si>
  <si>
    <t>9ff1a976d685811cabb3f0f68f93ed04</t>
  </si>
  <si>
    <t>sporting</t>
  </si>
  <si>
    <t>d6d78c3165f36a6585caf50953ace0d8</t>
  </si>
  <si>
    <t>13031962n</t>
  </si>
  <si>
    <t>ba8d8b27179f80b481d07ec10748d8e6</t>
  </si>
  <si>
    <t>614238f2d4b471c8716319902162cd1a</t>
  </si>
  <si>
    <t>miranda</t>
  </si>
  <si>
    <t>1ee1877c6655ecc71dfead311c771bd0</t>
  </si>
  <si>
    <t>street87</t>
  </si>
  <si>
    <t>e20e30d6420a6758db3d77f4e9b6bd4f</t>
  </si>
  <si>
    <t>3728594fe8739928c4a54417e403de26</t>
  </si>
  <si>
    <t>dallas</t>
  </si>
  <si>
    <t>09f8316e29649a7f795f414ba3860fc0</t>
  </si>
  <si>
    <t>cjq9f1xn</t>
  </si>
  <si>
    <t>ae2537577ac1b6e7f2d6815a947d32d0</t>
  </si>
  <si>
    <t>hearts</t>
  </si>
  <si>
    <t>3de177cbd4543b1321b2697415fd97f4</t>
  </si>
  <si>
    <t>c237ad8d</t>
  </si>
  <si>
    <t>ed851ec77a7fb5c7e046d51e64bd8598</t>
  </si>
  <si>
    <t>1bd49f2374c79f80d0afd76a7387d301</t>
  </si>
  <si>
    <t>camille</t>
  </si>
  <si>
    <t>3bdae171e077adbc3dca25941e524fc5</t>
  </si>
  <si>
    <t>DREAM1390</t>
  </si>
  <si>
    <t>cfffb22845cef385f3ee1df15fac5426</t>
  </si>
  <si>
    <t>0422f89fd30f64208798a4a76dfd7804</t>
  </si>
  <si>
    <t>wilson</t>
  </si>
  <si>
    <t>abd7372bba55577590736ef6cb3533c6</t>
  </si>
  <si>
    <t>helpmaksim20</t>
  </si>
  <si>
    <t>964bac1f367b8a109583d9b0972f5b9d</t>
  </si>
  <si>
    <t>68abe9ee2b938baf9321db5c07c45579</t>
  </si>
  <si>
    <t>potter</t>
  </si>
  <si>
    <t>937ee4af1a7a08949afa0ac110229fce</t>
  </si>
  <si>
    <t>qwerty080890</t>
  </si>
  <si>
    <t>64285523020eac7fe88085493e0f3d74</t>
  </si>
  <si>
    <t>3861b67d922f1afa5c4d0ffdb90786dd</t>
  </si>
  <si>
    <t>pumpkin</t>
  </si>
  <si>
    <t>edf8377563f7fa2897df6aa434ad305e</t>
  </si>
  <si>
    <t>CwVru44o</t>
  </si>
  <si>
    <t>10e09725332e89c1ab98286f5e3cd41f</t>
  </si>
  <si>
    <t>1c07f8adffe15ca8ea05072ff7d2aca1</t>
  </si>
  <si>
    <t>iloveu2</t>
  </si>
  <si>
    <t>3eefa0acfb10305e37424871cc41bf2f</t>
  </si>
  <si>
    <t>1Dweller</t>
  </si>
  <si>
    <t>92f1155776b3518c2bbb8272fde6bc48</t>
  </si>
  <si>
    <t>384e5c7326a0682e0c8cf368b26e6fcb</t>
  </si>
  <si>
    <t>number1</t>
  </si>
  <si>
    <t>1a08d4399aa1cca3c1e1468f4fd2f4f9</t>
  </si>
  <si>
    <t>soroka1857</t>
  </si>
  <si>
    <t>971e4c9e39c807358c654b78c1ec3748</t>
  </si>
  <si>
    <t>36afc03fe3f8562811d5c32af4ead27b</t>
  </si>
  <si>
    <t>katie</t>
  </si>
  <si>
    <t>8a52072cee5d17cc7bf85d6ca431fffa</t>
  </si>
  <si>
    <t>12VdLLRXOsWdc</t>
  </si>
  <si>
    <t>d8242779e2bf65c1f7db8cdbaea80fe2</t>
  </si>
  <si>
    <t>2754d57013cdcd26cbe9ee3cb2e6da5f</t>
  </si>
  <si>
    <t>guitar</t>
  </si>
  <si>
    <t>4c39e90d6a5c38a3f8a9b1f05840f240</t>
  </si>
  <si>
    <t>vfvf310368</t>
  </si>
  <si>
    <t>b3efa1d81687e4187cdb6d9cca0fa6b3</t>
  </si>
  <si>
    <t>d772eb4b52aeaf3b2a73157a92f98265</t>
  </si>
  <si>
    <t>0f5aaaf14d9a2d371853e46119abba27</t>
  </si>
  <si>
    <t>dogstyle1994</t>
  </si>
  <si>
    <t>f1b037c3aa95824b2be4ef9fcc4dfde0</t>
  </si>
  <si>
    <t>58ef5dbb91ec07cc256900281bf771a9</t>
  </si>
  <si>
    <t>truelove</t>
  </si>
  <si>
    <t>deb06d2508b80d2ad76b3f19c33dcd77</t>
  </si>
  <si>
    <t>rise7UP980</t>
  </si>
  <si>
    <t>31547d7c8665b4c9b654350c24957f6b</t>
  </si>
  <si>
    <t>1e794a99a2bafca584db889c3d3d72f2</t>
  </si>
  <si>
    <t>jayden</t>
  </si>
  <si>
    <t>8dd9333088e0a42e327e322baad6c00c</t>
  </si>
  <si>
    <t>grjH6jkN</t>
  </si>
  <si>
    <t>37a9b9557997a0c72728957443f790e7</t>
  </si>
  <si>
    <t>fe427084a78a7da5e8c4647f145b7ee5</t>
  </si>
  <si>
    <t>savannah</t>
  </si>
  <si>
    <t>be5d95a4f10556292622619c7b40ca37</t>
  </si>
  <si>
    <t>bebraveatanytime7</t>
  </si>
  <si>
    <t>28b02404e8ce4e85d90e1d45efb7e6df</t>
  </si>
  <si>
    <t>0bf0c86c577e2e9f98b2e8666858b143</t>
  </si>
  <si>
    <t>hottie1</t>
  </si>
  <si>
    <t>707cb3c826647debf71ad02f7a90c4c3</t>
  </si>
  <si>
    <t>falkon3249</t>
  </si>
  <si>
    <t>ce7e2ba330ebb13f25efa5a3b78671af</t>
  </si>
  <si>
    <t>ae1275f8e6872e5ffb89301cc121213c</t>
  </si>
  <si>
    <t>phoenix</t>
  </si>
  <si>
    <t>b3d97746dbb45e92dc083db205e1fd14</t>
  </si>
  <si>
    <t>Lh3lK7YvI</t>
  </si>
  <si>
    <t>6bd3c502f9cfb4a0d6e995c1ab67e27a</t>
  </si>
  <si>
    <t>ruiryMoBdko9B</t>
  </si>
  <si>
    <t>c61239bec36b783bea9b0ac5a61bc684</t>
  </si>
  <si>
    <t>monster</t>
  </si>
  <si>
    <t>8bf4e6addd72a9c4c4714708d2941528</t>
  </si>
  <si>
    <t>H2xVEVV0RA7jc</t>
  </si>
  <si>
    <t>8e99eae31da77641d68f8e6a769b8d97</t>
  </si>
  <si>
    <t>4af4c2bb5038f69bb76a55929970506d</t>
  </si>
  <si>
    <t>player</t>
  </si>
  <si>
    <t>912af0dff974604f1321254ca8ff38b6</t>
  </si>
  <si>
    <t>3u4ri8njd2</t>
  </si>
  <si>
    <t>a50e20efbe8655572caf190f6d4808e9</t>
  </si>
  <si>
    <t>66309196fcb49f6fc8c1d457b4306d8f</t>
  </si>
  <si>
    <t>ganda</t>
  </si>
  <si>
    <t>145353cd147486f9635429afdf8b922c</t>
  </si>
  <si>
    <t>kristen69</t>
  </si>
  <si>
    <t>6b1300465294a5d4917e6bc5586bd19c</t>
  </si>
  <si>
    <t>Kbib;yMoBg0,lB</t>
  </si>
  <si>
    <t>dfb653555bd7bbe7187ccf7ad2d516b7</t>
  </si>
  <si>
    <t>people</t>
  </si>
  <si>
    <t>12a032ce9179c32a6c7ab397b9d871fa</t>
  </si>
  <si>
    <t>nabi1808</t>
  </si>
  <si>
    <t>5872f78b337b39906140a16d136fd30d</t>
  </si>
  <si>
    <t>Tui;yMoBg0</t>
  </si>
  <si>
    <t>183fc6fb77953c5d10b427fb51b27e93</t>
  </si>
  <si>
    <t>scotland</t>
  </si>
  <si>
    <t>b0ce0b49f97d8a86489af489955d5605</t>
  </si>
  <si>
    <t>smalweer23</t>
  </si>
  <si>
    <t>93a1ebeecd13c2b45aded785f7429e26</t>
  </si>
  <si>
    <t>fe4c823b62cc2e0be1417c43d9353354</t>
  </si>
  <si>
    <t>nelson</t>
  </si>
  <si>
    <t>a4e360681676c770121e891f8c407572</t>
  </si>
  <si>
    <t>nascar19</t>
  </si>
  <si>
    <t>52a87d7f92b13dbe2ecbe291ff5aafad</t>
  </si>
  <si>
    <t>92bcd7ed60771876febe866394dd8a6c</t>
  </si>
  <si>
    <t>jasmin</t>
  </si>
  <si>
    <t>d3dde2723247d8d5fc3f76dceb3d4324</t>
  </si>
  <si>
    <t>lisa221201</t>
  </si>
  <si>
    <t>ba1ebe1809863ab34576ea7f5697d453</t>
  </si>
  <si>
    <t>20a83377bd4dfdb64e93ccef171eb6aa</t>
  </si>
  <si>
    <t>timothy</t>
  </si>
  <si>
    <t>ecb97d53d2d35b8ba98cf82a8d78cad9</t>
  </si>
  <si>
    <t>812700lokha</t>
  </si>
  <si>
    <t>f8f7d5bf90a6c4d41bfc2c356d93ddcf</t>
  </si>
  <si>
    <t>Iy{;6Mb0b,</t>
  </si>
  <si>
    <t>cf5ce04056d6727c5198a963b684dfdf</t>
  </si>
  <si>
    <t>onelove</t>
  </si>
  <si>
    <t>5b90576bedb2cc04c86a9e924ce42faf</t>
  </si>
  <si>
    <t>skunkS12</t>
  </si>
  <si>
    <t>13a0d80256421dedae7800f64e8f4aa8</t>
  </si>
  <si>
    <t>f07791d67153f8d794325d30f449e1ef</t>
  </si>
  <si>
    <t>ilovehim</t>
  </si>
  <si>
    <t>07a238e126c5d031a67b4f6f50c5c5a2</t>
  </si>
  <si>
    <t>uU4f0ak7</t>
  </si>
  <si>
    <t>6e14704ed8c57fabf20cd91da4cbaad2</t>
  </si>
  <si>
    <t>124b2ea9e59a786fb1f9d93f11923d27</t>
  </si>
  <si>
    <t>shakira</t>
  </si>
  <si>
    <t>4340dff52bc5f37b8b55171e3bfb6e30</t>
  </si>
  <si>
    <t>fkj2546v2</t>
  </si>
  <si>
    <t>ebc0d1b9e23a6960e9168bee8b229fb9</t>
  </si>
  <si>
    <t>5d7920bce3a87bbaea12c058b263b62a</t>
  </si>
  <si>
    <t>estrellita</t>
  </si>
  <si>
    <t>c26af9f32815ec696fc19aedde845107</t>
  </si>
  <si>
    <t>5183018marina</t>
  </si>
  <si>
    <t>b4cf9c7a77476eb905def97a5944163e</t>
  </si>
  <si>
    <t>To;yMoBg0a</t>
  </si>
  <si>
    <t>51162b770427633901774cb561e35705</t>
  </si>
  <si>
    <t>bubble</t>
  </si>
  <si>
    <t>a3fa9e0b6b24b1cada4b756c0d240444</t>
  </si>
  <si>
    <t>cytoxan17</t>
  </si>
  <si>
    <t>98e4581df633ab79182261bc12691b4c</t>
  </si>
  <si>
    <t>09f74ca54eaac9cf08079dfaa328daca</t>
  </si>
  <si>
    <t>smiles</t>
  </si>
  <si>
    <t>a9b268f14068bd5eb8a3130f42c0f704</t>
  </si>
  <si>
    <t>021064467dom</t>
  </si>
  <si>
    <t>bcb73f7f91e563520616d9a382a7bb4b</t>
  </si>
  <si>
    <t>076e2aff123483ac5feccc6ec09b7c67</t>
  </si>
  <si>
    <t>brandon1</t>
  </si>
  <si>
    <t>59d99109673040cd8bccd641d50dad9a</t>
  </si>
  <si>
    <t>BRETHREN1</t>
  </si>
  <si>
    <t>10d30ec52c649bd39f5c881c6e685c81</t>
  </si>
  <si>
    <t>6fc052299e129e5330bc070ac07799b0</t>
  </si>
  <si>
    <t>sparky</t>
  </si>
  <si>
    <t>a269d17349ce29a77a89c7ec4ed0c3d4</t>
  </si>
  <si>
    <t>151048qwe</t>
  </si>
  <si>
    <t>d9299e659b9451a4c52aeda4887de40f</t>
  </si>
  <si>
    <t>ec7a1d839200b3e9e3f764118c8f03ba</t>
  </si>
  <si>
    <t>barney</t>
  </si>
  <si>
    <t>73d94ca09de7d23b853273b035cbc752</t>
  </si>
  <si>
    <t>deutschland201</t>
  </si>
  <si>
    <t>a22e91787224e35304f4bc1562fd06d0</t>
  </si>
  <si>
    <t>76b944d625d25d5d9f6f0a9457e668bd</t>
  </si>
  <si>
    <t>sweets</t>
  </si>
  <si>
    <t>2c6bbccfa2585dc527e46d74edd05c8d</t>
  </si>
  <si>
    <t>83705ghtabrcbc</t>
  </si>
  <si>
    <t>cdbd2acbaa4df24c264d4b742ab149a0</t>
  </si>
  <si>
    <t>e9600ee412d968a7b91ccab7b46ef8cc</t>
  </si>
  <si>
    <t>parola</t>
  </si>
  <si>
    <t>8287458823facb8ff918dbfabcd22ccb</t>
  </si>
  <si>
    <t>marton45</t>
  </si>
  <si>
    <t>bff05068216e477cb073e2fccefb539b</t>
  </si>
  <si>
    <t>1982eb67e35874c604dc883c4b8e9781</t>
  </si>
  <si>
    <t>evelyn</t>
  </si>
  <si>
    <t>8fbb8264c5040ec3ef3320336afa435a</t>
  </si>
  <si>
    <t>jabil777</t>
  </si>
  <si>
    <t>dcb1f5346b39858f00fba157f03b7256</t>
  </si>
  <si>
    <t>c8b1ffc6ac22e04c9abf5691d2815a36</t>
  </si>
  <si>
    <t>familia</t>
  </si>
  <si>
    <t>2a9480c6a9d2fac0dfaddbc42632af67</t>
  </si>
  <si>
    <t>52089len</t>
  </si>
  <si>
    <t>78f96073777fd0f91e88e40ec8cd5ea1</t>
  </si>
  <si>
    <t>5fddfef45cdd14fe3759d64f2797ea1e</t>
  </si>
  <si>
    <t>love12</t>
  </si>
  <si>
    <t>eb35422d524597fe2e060035d76a585a</t>
  </si>
  <si>
    <t>EHPF4m@totalsupercuties</t>
  </si>
  <si>
    <t>80faa64ff1898aeb032a2ff42057de4d</t>
  </si>
  <si>
    <t>31db6563e7d068a23a2c793755cadeee</t>
  </si>
  <si>
    <t>nikki</t>
  </si>
  <si>
    <t>6814a9d9bb0f943f55ce4ed71fc0481a</t>
  </si>
  <si>
    <t>7comics7</t>
  </si>
  <si>
    <t>e07703e6b99101ae21241a248a199b8e</t>
  </si>
  <si>
    <t>8f595a85fa4b859982099843331bd1d7</t>
  </si>
  <si>
    <t>motorola</t>
  </si>
  <si>
    <t>750379b5926e9f728aa6c253d37e3792</t>
  </si>
  <si>
    <t>roswell4</t>
  </si>
  <si>
    <t>11899a6e79f718ac46753abfd0edfbfc</t>
  </si>
  <si>
    <t>dd1cdb461eec6f148f6921db4f34ec6f</t>
  </si>
  <si>
    <t>florida</t>
  </si>
  <si>
    <t>24408ce3f09b31f9d3454ee6ea81bb63</t>
  </si>
  <si>
    <t>Dahudahu21</t>
  </si>
  <si>
    <t>d5c49c06b37e074cc6c3334ae6b27524</t>
  </si>
  <si>
    <t>fb2337a47ffae3c629cf19a1bc0f62df</t>
  </si>
  <si>
    <t>omarion</t>
  </si>
  <si>
    <t>110a77b804afd7a5c05950f3a6d7aee6</t>
  </si>
  <si>
    <t>kappakg197</t>
  </si>
  <si>
    <t>aef48b9b6b461ee30420c58f912f8575</t>
  </si>
  <si>
    <t>ec6da28e386e6d07d9328cc32faffc84</t>
  </si>
  <si>
    <t>monkeys</t>
  </si>
  <si>
    <t>a94dc7d578c98d16eb719dbeefc705c3</t>
  </si>
  <si>
    <t>27071963mama</t>
  </si>
  <si>
    <t>a60aeb6406b91aa84d65133a25c55584</t>
  </si>
  <si>
    <t>c9a980d28fc105df504d19430a72073b</t>
  </si>
  <si>
    <t>loverboy</t>
  </si>
  <si>
    <t>e7ffec49eb01e2dab35c19fe5b6969a1</t>
  </si>
  <si>
    <t>dkjb7734</t>
  </si>
  <si>
    <t>3b3d62f2e760d06df374ed82f054b461</t>
  </si>
  <si>
    <t>cc7ba6f404f9608c2019971bdaaf8971</t>
  </si>
  <si>
    <t>elijah</t>
  </si>
  <si>
    <t>a6ebe407fa6e2337cb2deb573d17791e</t>
  </si>
  <si>
    <t>8271e0c5</t>
  </si>
  <si>
    <t>5af08135ca9d0733552bb36bf73832df</t>
  </si>
  <si>
    <t>14250c8928425484019a0ff10c74095b</t>
  </si>
  <si>
    <t>joanna</t>
  </si>
  <si>
    <t>d979871f68a9e367eb3a5df8be7c4bf4</t>
  </si>
  <si>
    <t>OK5004ot</t>
  </si>
  <si>
    <t>43193de0d9cacb6c91bbf2b8820ecbd6</t>
  </si>
  <si>
    <t>65973f276f3f4f617f807c734e26c86a</t>
  </si>
  <si>
    <t>canada</t>
  </si>
  <si>
    <t>c2aadac2ca30ca8aadfbe331ae180d28</t>
  </si>
  <si>
    <t>7685646q</t>
  </si>
  <si>
    <t>f5ddcb5b35bdda3c21c2de7a157be20f</t>
  </si>
  <si>
    <t>02eb66594cb62ed7d125f364752d88a1</t>
  </si>
  <si>
    <t>ronnie</t>
  </si>
  <si>
    <t>b071c0c8d6adc66a3c2eb1b9b87d6d5c</t>
  </si>
  <si>
    <t>ruslin4ik</t>
  </si>
  <si>
    <t>340885d1caf12c132e0503af1c21c8c7</t>
  </si>
  <si>
    <t>34ff6f5f125830099cab34f9079572df</t>
  </si>
  <si>
    <t>mamita</t>
  </si>
  <si>
    <t>ecbe67ec064547ee4a5786956f2ed1c0</t>
  </si>
  <si>
    <t>20z554l5p</t>
  </si>
  <si>
    <t>8725029989d3f97210b938022d817c1b</t>
  </si>
  <si>
    <t>1344f593aab25f69ec2ad4de0e5e2559</t>
  </si>
  <si>
    <t>emmanuel</t>
  </si>
  <si>
    <t>0d0de813c1105498e3435dd2fbf7fa26</t>
  </si>
  <si>
    <t>Fs4k58Cd</t>
  </si>
  <si>
    <t>7294d9c0193a8341d33ff84cb2bd84e2</t>
  </si>
  <si>
    <t>31736906736f524e765ad8f3f234804a</t>
  </si>
  <si>
    <t>thunder</t>
  </si>
  <si>
    <t>5c7686c0284e0875b26de99c1008e998</t>
  </si>
  <si>
    <t>kefkas69</t>
  </si>
  <si>
    <t>7beb7419b04e77bf688d769398611d67</t>
  </si>
  <si>
    <t>9cf728303917907dc271341042613d80</t>
  </si>
  <si>
    <t>c8c605999f3d8352d7bb792cf3fdb25b</t>
  </si>
  <si>
    <t>OMab5weI</t>
  </si>
  <si>
    <t>76e4e885c1a3b635668d23df16e3ebde</t>
  </si>
  <si>
    <t>9af5821bf56f2a9adb42a2f3f34f4c2b</t>
  </si>
  <si>
    <t>broken</t>
  </si>
  <si>
    <t>54ddc3c7d064822eed932015d8740336</t>
  </si>
  <si>
    <t>1bruitas</t>
  </si>
  <si>
    <t>5b568301de52c49f0f442f1438e18c47</t>
  </si>
  <si>
    <t>72356d3d1639fb5b0bc86d3fe3862bbc</t>
  </si>
  <si>
    <t>rodrigo</t>
  </si>
  <si>
    <t>2e247e2eb505c42b362e80ed4d05b078</t>
  </si>
  <si>
    <t>holodok90</t>
  </si>
  <si>
    <t>d90d25149fcb87030cfe7aa0125a4ffd</t>
  </si>
  <si>
    <t>7e2b3279b5131d3116c9465734702e44</t>
  </si>
  <si>
    <t>maryjane</t>
  </si>
  <si>
    <t>7b81a7a76693d0321b9498e12e4f4759</t>
  </si>
  <si>
    <t>010964ndv</t>
  </si>
  <si>
    <t>e2358355a1e7d49df0a6883136fd5c9b</t>
  </si>
  <si>
    <t>1c08fab9bf77295e80940718aaac816e</t>
  </si>
  <si>
    <t>westside</t>
  </si>
  <si>
    <t>860c84f47cdd9aa067183ebf8cdb8fa0</t>
  </si>
  <si>
    <t>n53hmasd</t>
  </si>
  <si>
    <t>593a42e4cd3c0811302bc04bd39bf8b6</t>
  </si>
  <si>
    <t>e09fbbc0dc430b53b4eb58e5d0cce287</t>
  </si>
  <si>
    <t>california</t>
  </si>
  <si>
    <t>c6698873b4f14b995c9e66ad0d8f29e3</t>
  </si>
  <si>
    <t>roadtr9p</t>
  </si>
  <si>
    <t>871e836db0dfdf8909e8780216af62ce</t>
  </si>
  <si>
    <t>cba737028905211a48f9a7639ba77910</t>
  </si>
  <si>
    <t>lucky</t>
  </si>
  <si>
    <t>339a65e93299ad8d72c42b263aa23117</t>
  </si>
  <si>
    <t>markjames33</t>
  </si>
  <si>
    <t>7a61521fcf97a3c66cce59688c021954</t>
  </si>
  <si>
    <t>45570556e61332ee49c3cedddabdee97</t>
  </si>
  <si>
    <t>mauricio</t>
  </si>
  <si>
    <t>110eff7d40a3779f4513c1be6f8fffcf</t>
  </si>
  <si>
    <t>seagirt1</t>
  </si>
  <si>
    <t>00e6730f26047a4a756bbe3bf3edbdd8</t>
  </si>
  <si>
    <t>f2e3592099bab7dfcb6a25855da9ede5</t>
  </si>
  <si>
    <t>yankees</t>
  </si>
  <si>
    <t>1d10ca7f8fe2615bf72a249a7d34d6b9</t>
  </si>
  <si>
    <t>nata6031976</t>
  </si>
  <si>
    <t>2253821af528c1bc1645f5ea6b06b5d5</t>
  </si>
  <si>
    <t>3639a684545352f539b0280c737222eb</t>
  </si>
  <si>
    <t>jackass</t>
  </si>
  <si>
    <t>c25a68128b55eab863ac1bfcfbb4c80a</t>
  </si>
  <si>
    <t>6Rk5RbrG</t>
  </si>
  <si>
    <t>8a220f6ce02ca0475994e714a295435e</t>
  </si>
  <si>
    <t>Iy{;6MbKiumv'</t>
  </si>
  <si>
    <t>c2b2d6ecaca7631abb36326397885b35</t>
  </si>
  <si>
    <t>jamaica</t>
  </si>
  <si>
    <t>770105b98be2fdd6a6f096d29ca5632c</t>
  </si>
  <si>
    <t>mxz231c9</t>
  </si>
  <si>
    <t>6296c74020917746e3e9b3cc7b96e177</t>
  </si>
  <si>
    <t>3c73c0843d9dbcd9cea9b8242dbf692f</t>
  </si>
  <si>
    <t>justin1</t>
  </si>
  <si>
    <t>ecd339c75bf9d2b3c38874f07f8ee309</t>
  </si>
  <si>
    <t>8stgwz7b</t>
  </si>
  <si>
    <t>4184b5ce8cf30a2dc76270c44e02ba81</t>
  </si>
  <si>
    <t>ruiryMoB;'KBfu</t>
  </si>
  <si>
    <t>3be721a75ab8854d4bbb491b66d0888f</t>
  </si>
  <si>
    <t>amigas</t>
  </si>
  <si>
    <t>1fa674092c265abb37bb3bcbcf4bf688</t>
  </si>
  <si>
    <t>12kostya42</t>
  </si>
  <si>
    <t>dd3375224e6493e5f36e06d20a6352f3</t>
  </si>
  <si>
    <t>18600e7c469bc6996084998dfedbc5ab</t>
  </si>
  <si>
    <t>preciosa</t>
  </si>
  <si>
    <t>f141009cf56f2ff4f8e847e929c9de91</t>
  </si>
  <si>
    <t>1994vitalik_16</t>
  </si>
  <si>
    <t>9d126e8369af8ce62640e49aa3bcebfb</t>
  </si>
  <si>
    <t>4dcba72f697cfe4d8ea13d4bdce45ec0</t>
  </si>
  <si>
    <t>shopping</t>
  </si>
  <si>
    <t>b2fe440cb7a0b127f1a90ffea296313b</t>
  </si>
  <si>
    <t>Anakonda11</t>
  </si>
  <si>
    <t>7ac4498dfbd72b13c2bdb649e82fc210</t>
  </si>
  <si>
    <t>a3ab850b6b8a9797a743fe9d7fee1f9e</t>
  </si>
  <si>
    <t>flores</t>
  </si>
  <si>
    <t>ee384a02e22087ee9ddcaacea9009b94</t>
  </si>
  <si>
    <t>evilmatt1</t>
  </si>
  <si>
    <t>b80f33bb0b486c1b6b117d4b9a93c7e7</t>
  </si>
  <si>
    <t>edb7dee1cd3f146f9cd922d3f6f51d09</t>
  </si>
  <si>
    <t>mariah</t>
  </si>
  <si>
    <t>ac1bbc3b39f2b3fe9a45111fc9db1ca4</t>
  </si>
  <si>
    <t>2R4CFiNg</t>
  </si>
  <si>
    <t>59425d35086beb9ae24dfb9266489591</t>
  </si>
  <si>
    <t>286e0e6acaa8ef7ffb29575089d5a1f8</t>
  </si>
  <si>
    <t>matrix</t>
  </si>
  <si>
    <t>21b72c0b7adc5c7b4a50ffcb90d92dd6</t>
  </si>
  <si>
    <t>saigon100</t>
  </si>
  <si>
    <t>bfa889388fc083e87941a48ed985aa1d</t>
  </si>
  <si>
    <t>7e1ad04d692d0b7ec490020878e41493</t>
  </si>
  <si>
    <t>isabella</t>
  </si>
  <si>
    <t>4181cb6c6456c16239f2ae8496d7ce0a</t>
  </si>
  <si>
    <t>dska8fki</t>
  </si>
  <si>
    <t>4cfbdf5c01c1950da136e36b248b1413</t>
  </si>
  <si>
    <t>892d65139de6839c802bb2b78ed9a1eb</t>
  </si>
  <si>
    <t>tennis</t>
  </si>
  <si>
    <t>1fbfb23351e3580651395ab721f5e935</t>
  </si>
  <si>
    <t>r34627!200</t>
  </si>
  <si>
    <t>6471c99cf823c2fd52641037c8fef921</t>
  </si>
  <si>
    <t>4186502c56572515b5d72b9f7e493e5b</t>
  </si>
  <si>
    <t>trinity</t>
  </si>
  <si>
    <t>ee2055701c742262f93d083f854350b9</t>
  </si>
  <si>
    <t>aureola720041988</t>
  </si>
  <si>
    <t>80d638064a54035da77ed54d69e500d6</t>
  </si>
  <si>
    <t>0b78266bda5bf250530b81bc0c1eb50f</t>
  </si>
  <si>
    <t>jorge</t>
  </si>
  <si>
    <t>d67326a22642a324aa1b0745f2f17abb</t>
  </si>
  <si>
    <t>KCc5E7TUQ2hHo</t>
  </si>
  <si>
    <t>5f7020e8d1f48dd2796a8076be145b1d</t>
  </si>
  <si>
    <t>00f697cf706bc1a2280be63245866394</t>
  </si>
  <si>
    <t>sunflower</t>
  </si>
  <si>
    <t>e5e7105d5c05d9c0cc5944ff1341b533</t>
  </si>
  <si>
    <t>L1vd63g4as</t>
  </si>
  <si>
    <t>15d000c1209068c0aaa9e769b48299d6</t>
  </si>
  <si>
    <t>e4b350a85ce8598778fb66b338f24a63</t>
  </si>
  <si>
    <t>kathleen</t>
  </si>
  <si>
    <t>312e2d6f2bf243142bc8d1a89da8c8a5</t>
  </si>
  <si>
    <t>boyka918807074</t>
  </si>
  <si>
    <t>0567e468a1f4880a7cc359100fc64507</t>
  </si>
  <si>
    <t>Tui;yMoB0b9,yjo</t>
  </si>
  <si>
    <t>03a7ca97bd0a88c7c02e60e21e0d86ae</t>
  </si>
  <si>
    <t>bradley</t>
  </si>
  <si>
    <t>8fcd96eb01e8614d5cf444e5fd9f06f8</t>
  </si>
  <si>
    <t>db123456789</t>
  </si>
  <si>
    <t>1ae7ff87a4a75eb670a8224d42828f4c</t>
  </si>
  <si>
    <t>28785086655093cbfbcf0326a3b6cd0e</t>
  </si>
  <si>
    <t>cupcake</t>
  </si>
  <si>
    <t>e229dca52dbfa50c12f80f746c8d6867</t>
  </si>
  <si>
    <t>516677alex</t>
  </si>
  <si>
    <t>304eef447d5801babc90b04f401075df</t>
  </si>
  <si>
    <t>6068b38150e982e0febff163f8f31fe4</t>
  </si>
  <si>
    <t>hector</t>
  </si>
  <si>
    <t>3ab9071536d62f29aa8b3fd39141f6ad</t>
  </si>
  <si>
    <t>kler1953</t>
  </si>
  <si>
    <t>6275b9484451061d651c00361fecc9f1</t>
  </si>
  <si>
    <t>975aa2fd4d2c33b37bbe212538f3b8c3</t>
  </si>
  <si>
    <t>martinez</t>
  </si>
  <si>
    <t>d2f0c294711426f440af6c188232e774</t>
  </si>
  <si>
    <t>9jm8jpip</t>
  </si>
  <si>
    <t>e16c155c48280f47838b8e4bfb26ee86</t>
  </si>
  <si>
    <t>1bf1ba1e8d5a5bd56cfe54a5e5290802</t>
  </si>
  <si>
    <t>elaine</t>
  </si>
  <si>
    <t>fb47bb2639a2df6c3b4d36ab33a274ff</t>
  </si>
  <si>
    <t>firebird15</t>
  </si>
  <si>
    <t>7e5132abc2429c63620d88e82c272514</t>
  </si>
  <si>
    <t>531e9ece993a7794483abe2eca97f0a6</t>
  </si>
  <si>
    <t>robbie</t>
  </si>
  <si>
    <t>fa774183ab00517107b0a5bf61f91e97</t>
  </si>
  <si>
    <t>180593kate</t>
  </si>
  <si>
    <t>0c764e73f15196311415229b3aec03be</t>
  </si>
  <si>
    <t>df733e48ef6df3e6a208c8515416f658</t>
  </si>
  <si>
    <t>friendster</t>
  </si>
  <si>
    <t>13c118619ac5fa90813ae735175369ac</t>
  </si>
  <si>
    <t>v1k1ngvlad</t>
  </si>
  <si>
    <t>d404afa0bb2310dbfafb8aa0227fd7a1</t>
  </si>
  <si>
    <t>913f9f603f937083bb1a01219b13f8ff</t>
  </si>
  <si>
    <t>cheche</t>
  </si>
  <si>
    <t>4fe705bb8b349da9588e746cda9dbe2d</t>
  </si>
  <si>
    <t>6k868432</t>
  </si>
  <si>
    <t>88b3957416ec95fea860d98b1c7a721f</t>
  </si>
  <si>
    <t>To;yMoB.0Lnjv</t>
  </si>
  <si>
    <t>d39afa1a620c5af760884a3f69240a32</t>
  </si>
  <si>
    <t>gracie</t>
  </si>
  <si>
    <t>2dda225f10e719649b8d858cc4f5316d</t>
  </si>
  <si>
    <t>1Boxster</t>
  </si>
  <si>
    <t>28a17a1bae280029dcaab02cef635476</t>
  </si>
  <si>
    <t>95e60dda8f04c2f2d17cb7db90b61ff2</t>
  </si>
  <si>
    <t>connor</t>
  </si>
  <si>
    <t>da482d6cceae94fd796e6ee03cb690eb</t>
  </si>
  <si>
    <t>6gJ8Zx8N</t>
  </si>
  <si>
    <t>4abc3997fb2d0481121b9eede50393bb</t>
  </si>
  <si>
    <t>245209d06452bb6dfa30aaaebe783b40</t>
  </si>
  <si>
    <t>hello1</t>
  </si>
  <si>
    <t>203ad5ffa1d7c650ad681fdff3965cd2</t>
  </si>
  <si>
    <t>kijbeer5</t>
  </si>
  <si>
    <t>c7e323f182c3db0d97ad03c06721c575</t>
  </si>
  <si>
    <t>28b29ccf26065a43eb78a635fc86bf3b</t>
  </si>
  <si>
    <t>valentina</t>
  </si>
  <si>
    <t>ab3ab964804dc9ae20de3b02d379b1bd</t>
  </si>
  <si>
    <t>89UB95U0</t>
  </si>
  <si>
    <t>11ce42f91d54ab3c9739b3ec38600b64</t>
  </si>
  <si>
    <t>0b69c3ced773aa5b0d0101bad5837d23</t>
  </si>
  <si>
    <t>melody</t>
  </si>
  <si>
    <t>9818e2287e76d37753313e255e2428a2</t>
  </si>
  <si>
    <t>1general</t>
  </si>
  <si>
    <t>a22aef2465c72d25955a6261e869c33a</t>
  </si>
  <si>
    <t>86d6742b2065179af018a675f79e21e2</t>
  </si>
  <si>
    <t>darling</t>
  </si>
  <si>
    <t>c77f5eb4d7d525855522d7ac65c5487d</t>
  </si>
  <si>
    <t>vwxs4gqlbyu</t>
  </si>
  <si>
    <t>df069debc17593284896463c2449b639</t>
  </si>
  <si>
    <t>c761339bb67e65c9c5dfab49d749c31a</t>
  </si>
  <si>
    <t>sammy</t>
  </si>
  <si>
    <t>4385695633f8c6c8ab52592092cecf04</t>
  </si>
  <si>
    <t>gBY5RVxG</t>
  </si>
  <si>
    <t>e56a1c339ddbceec93ee012beb5fff6b</t>
  </si>
  <si>
    <t>994d514a98fdc2a51f6550f8f89629a0</t>
  </si>
  <si>
    <t>jamie</t>
  </si>
  <si>
    <t>1c138fd52ddd771388a5b4c410a9603a</t>
  </si>
  <si>
    <t>selena1225</t>
  </si>
  <si>
    <t>246fa16d1efb8ed4038c66e8e9d4981a</t>
  </si>
  <si>
    <t>04ca4e3733eaeef15ea01dd5941533fd</t>
  </si>
  <si>
    <t>santos</t>
  </si>
  <si>
    <t>114fdfefd3d69799f0b6f73ef764d405</t>
  </si>
  <si>
    <t>koneyko123</t>
  </si>
  <si>
    <t>dd5288c66995570e030f7b547b72ff94</t>
  </si>
  <si>
    <t>878e2982d1f166b1efa09ad8da072f3b</t>
  </si>
  <si>
    <t>abcdefg</t>
  </si>
  <si>
    <t>7ac66c0f148de9519b8bd264312c4d64</t>
  </si>
  <si>
    <t>210287hjvfy</t>
  </si>
  <si>
    <t>f2bd4b8945059b434fd48177e34594d5</t>
  </si>
  <si>
    <t>c6f088a0b851ff9fbc3c42c6e46b80fa</t>
  </si>
  <si>
    <t>joanne</t>
  </si>
  <si>
    <t>d1e01e8593616f445b5cd9f9043a5247</t>
  </si>
  <si>
    <t>e8WgagefyvyT</t>
  </si>
  <si>
    <t>6fd24fbd661117d295085eac58d4aae2</t>
  </si>
  <si>
    <t>6f500810330efd0ee62455d88bfd2451</t>
  </si>
  <si>
    <t>candy</t>
  </si>
  <si>
    <t>c48ba993d35c3abe0380f91738fe2a34</t>
  </si>
  <si>
    <t>memenono2</t>
  </si>
  <si>
    <t>0abec5bbb3bea0432652421ff48ec3ca</t>
  </si>
  <si>
    <t>587a5c554860e3d745235b3f8e563222</t>
  </si>
  <si>
    <t>fuckyou2</t>
  </si>
  <si>
    <t>9c32165b252bc57cdd0b6e55d4d514f7</t>
  </si>
  <si>
    <t>kucjiota51e</t>
  </si>
  <si>
    <t>70f8d5b1fc34b0a8defbd8f29b3458f1</t>
  </si>
  <si>
    <t>fc0900d4191ba0c07b4056e4d807e87c</t>
  </si>
  <si>
    <t>loser</t>
  </si>
  <si>
    <t>6cb59bcb03e7a1edbe7573bc367307e8</t>
  </si>
  <si>
    <t>cfk938sh2</t>
  </si>
  <si>
    <t>712e9e430b6ac63906a88835a8595e01</t>
  </si>
  <si>
    <t>806d5ea57f80d50e21e37e5355af64a1</t>
  </si>
  <si>
    <t>dominic</t>
  </si>
  <si>
    <t>850ab44cce67bf2c5457c6dca6181d60</t>
  </si>
  <si>
    <t>drabiv777</t>
  </si>
  <si>
    <t>840b4e61acc381555c0feee4986f7dab</t>
  </si>
  <si>
    <t>890c85f853b18b5ee6d72943300ffc48</t>
  </si>
  <si>
    <t>pebbles</t>
  </si>
  <si>
    <t>e4aa8eab2296e27a327354cbb0b2c5d2</t>
  </si>
  <si>
    <t>A00071188</t>
  </si>
  <si>
    <t>50e3b9320e29b1c65d44e1c45a0ba6df</t>
  </si>
  <si>
    <t>ef46e464e7c9d96bd5b25c094730b929</t>
  </si>
  <si>
    <t>sunshine1</t>
  </si>
  <si>
    <t>d5c0607301ad5d5c1528962a83992ac8</t>
  </si>
  <si>
    <t>1Foossoo</t>
  </si>
  <si>
    <t>37dcfa7708a2b3ad8164835204e220b9</t>
  </si>
  <si>
    <t>20e6e0de6f0619ca6783cc3438e91537</t>
  </si>
  <si>
    <t>swimming</t>
  </si>
  <si>
    <t>f853b10af73a04a4c8b35b2ade1f40b9</t>
  </si>
  <si>
    <t>u63gcbv1</t>
  </si>
  <si>
    <t>a9bb470bec0875a7759abe671af8ca24</t>
  </si>
  <si>
    <t>072d8f33964112b3f905f6540ac33fd4</t>
  </si>
  <si>
    <t>millie</t>
  </si>
  <si>
    <t>c51e7a23a59ef8d76892f207b517eaf0</t>
  </si>
  <si>
    <t>xxl21xxl</t>
  </si>
  <si>
    <t>1ef323db04fe250fcceb9435bf510cde</t>
  </si>
  <si>
    <t>866a61431676a5ffae0fd832ff9f9bce</t>
  </si>
  <si>
    <t>loving</t>
  </si>
  <si>
    <t>6bfd92047eb517377d11334978696a5c</t>
  </si>
  <si>
    <t>ZyXEL069</t>
  </si>
  <si>
    <t>59c7c79e0636ca40fb9ba11f6019d81c</t>
  </si>
  <si>
    <t>1c0e4520a0c39964a3b1a8890bb03e1e</t>
  </si>
  <si>
    <t>gangster</t>
  </si>
  <si>
    <t>e2a01d1603e3403d4c76ef14618b79ce</t>
  </si>
  <si>
    <t>corndawg12</t>
  </si>
  <si>
    <t>471ed31a3431fd93aea4f837c0b88ac1</t>
  </si>
  <si>
    <t>4369cfc788b449183ae8c80d0cc3c405</t>
  </si>
  <si>
    <t>blessed</t>
  </si>
  <si>
    <t>940e126f00a5c2f4bcc0179581798b52</t>
  </si>
  <si>
    <t>89406465gasa</t>
  </si>
  <si>
    <t>d40ba4462bd6d649fbd7b1de31b61054</t>
  </si>
  <si>
    <t>04e6f90fb7342211eb81e4a1e573dde3</t>
  </si>
  <si>
    <t>compaq</t>
  </si>
  <si>
    <t>16ad5892d13a0b7c9220684e52a548b1</t>
  </si>
  <si>
    <t>Viking27</t>
  </si>
  <si>
    <t>e416f25fdc87e787e0bfc4ef29b830e8</t>
  </si>
  <si>
    <t>626879f89e0cf33fb557f725fb3516db</t>
  </si>
  <si>
    <t>taurus</t>
  </si>
  <si>
    <t>ebf25e7a04657c89193770a7489d1cac</t>
  </si>
  <si>
    <t>south1940</t>
  </si>
  <si>
    <t>8355bc59806a9fbe9dba6ffabb91c340</t>
  </si>
  <si>
    <t>f403ea7c9a960dce993c29734534d505</t>
  </si>
  <si>
    <t>gloria</t>
  </si>
  <si>
    <t>8d281a60d6d637903d4eccd26ddb0104</t>
  </si>
  <si>
    <t>newage73</t>
  </si>
  <si>
    <t>ab711a8356084de4510cc169e0e6baa3</t>
  </si>
  <si>
    <t>bbb6fdd94252c3b6bbfa78596f5f9eab</t>
  </si>
  <si>
    <t>tyler</t>
  </si>
  <si>
    <t>ccb4a9130f39cc557558b9248360f43f</t>
  </si>
  <si>
    <t>dAVId510</t>
  </si>
  <si>
    <t>e83be3fd83c3b66de366ffe89c80e8a3</t>
  </si>
  <si>
    <t>c6bf2fb5a51faf5dbead26741f30aa50</t>
  </si>
  <si>
    <t>aaron</t>
  </si>
  <si>
    <t>449a36b6689d841d7d27f31b4b7cc73a</t>
  </si>
  <si>
    <t>Cuate196</t>
  </si>
  <si>
    <t>44da54973d94518e3724c2612eefe0f2</t>
  </si>
  <si>
    <t>afe3a35549c14e725e2f5531e063752d</t>
  </si>
  <si>
    <t>darkangel</t>
  </si>
  <si>
    <t>211455c1c6bf5f0b92326e818d6597f1</t>
  </si>
  <si>
    <t>OQasE421</t>
  </si>
  <si>
    <t>d464133f43b0616a89b6f140392fd8a3</t>
  </si>
  <si>
    <t>c6cbd4648a66464b356ed8efccd6bd07</t>
  </si>
  <si>
    <t>kitkat</t>
  </si>
  <si>
    <t>f0bf97d2f85c040963f47c03888434c4</t>
  </si>
  <si>
    <t>490567gg</t>
  </si>
  <si>
    <t>60f3a06aba5746cde6b54a44c1e6ca1e</t>
  </si>
  <si>
    <t>f181103cf17a85580bc9700ada75470a</t>
  </si>
  <si>
    <t>megan</t>
  </si>
  <si>
    <t>99c307a7bcd9067efb2967906eef4b87</t>
  </si>
  <si>
    <t>76WcB3YP5IkZc</t>
  </si>
  <si>
    <t>7f49a041c84d94b7f796a06ae776df77</t>
  </si>
  <si>
    <t>7c7437b114802b05c1ba5d011bb33df0</t>
  </si>
  <si>
    <t>dreams</t>
  </si>
  <si>
    <t>0d78658b259edcf59d78044457275aa4</t>
  </si>
  <si>
    <t>Frettchen2</t>
  </si>
  <si>
    <t>af61756f9927afd1f8cdf244ace80fc8</t>
  </si>
  <si>
    <t>7e5522df87bc18af824765d34f3f8a4d</t>
  </si>
  <si>
    <t>sweetpea</t>
  </si>
  <si>
    <t>cf57824e8a2f015c71a3b077159c721f</t>
  </si>
  <si>
    <t>11makc91</t>
  </si>
  <si>
    <t>e3a242dc904838f4919833fd38690f9c</t>
  </si>
  <si>
    <t>6b6493a3fd4a289f6d34a80a333133a6</t>
  </si>
  <si>
    <t>bettyboop</t>
  </si>
  <si>
    <t>48ba8e06dfa768bc9fa3cace359f8232</t>
  </si>
  <si>
    <t>rechtzeitig2005</t>
  </si>
  <si>
    <t>fefdcd9517fbdfab3b7c4660f9ccc2d7</t>
  </si>
  <si>
    <t>2d7131847fcf73eec975e7bda5cce171</t>
  </si>
  <si>
    <t>jessica1</t>
  </si>
  <si>
    <t>5c4f350a9c666e2549b00e5848eee75e</t>
  </si>
  <si>
    <t>4s5pil2hx</t>
  </si>
  <si>
    <t>378c667a7f6b2cb4c2bf201794b2103d</t>
  </si>
  <si>
    <t>97990619c13320fffdcc0ed93e2821a4</t>
  </si>
  <si>
    <t>cynthia</t>
  </si>
  <si>
    <t>3a9357ba0b1007ca3bf5f354dd737d78</t>
  </si>
  <si>
    <t>kat294669</t>
  </si>
  <si>
    <t>0970208c2c40c66ccf502e39f81a089d</t>
  </si>
  <si>
    <t>d2c5643a023637b323ebf8b33c51a145</t>
  </si>
  <si>
    <t>cheyenne</t>
  </si>
  <si>
    <t>a2cc4daf3f5addd78bbe897f6c95a4c6</t>
  </si>
  <si>
    <t>Fuckyou0</t>
  </si>
  <si>
    <t>5703eb561702979d8d522680ad9fab35</t>
  </si>
  <si>
    <t>6dcaa05c52681e1dcdc74a74cba19080</t>
  </si>
  <si>
    <t>ferrari</t>
  </si>
  <si>
    <t>0911054d8ad47cc256400031197f3e97</t>
  </si>
  <si>
    <t>feb151982</t>
  </si>
  <si>
    <t>87c24e9a69b6bcfcc14eecc96950f900</t>
  </si>
  <si>
    <t>3fcd05273bcd8ca2b6d15bda549ee77a</t>
  </si>
  <si>
    <t>dustin</t>
  </si>
  <si>
    <t>04d0336a64806a7d94e9055d2bfe409a</t>
  </si>
  <si>
    <t>cfvnfrjq54</t>
  </si>
  <si>
    <t>a258175e0c7b84c7af4ee73725f5c8d1</t>
  </si>
  <si>
    <t>4^ibryMoB=yp,'8]</t>
  </si>
  <si>
    <t>c22e5f011ec416a9584169379db71aa0</t>
  </si>
  <si>
    <t>iubire</t>
  </si>
  <si>
    <t>22ceb364b8cac2b32bf7a93d71e9a53b</t>
  </si>
  <si>
    <t>4Wg566zd</t>
  </si>
  <si>
    <t>5b01f07e0c3d85d43b786a86ee181944</t>
  </si>
  <si>
    <t>8da6214f5e3e239eaa75e9618b321fc9</t>
  </si>
  <si>
    <t>a123456</t>
  </si>
  <si>
    <t>dc483e80a7a0bd9ef71d8cf973673924</t>
  </si>
  <si>
    <t>synyster1</t>
  </si>
  <si>
    <t>96956661bee1a13e097221c610effff6</t>
  </si>
  <si>
    <t>;ui;yMoBl6-.0</t>
  </si>
  <si>
    <t>bde1e659c54cb2f6cf1aefac80455b30</t>
  </si>
  <si>
    <t>snowball</t>
  </si>
  <si>
    <t>3b9787927ecbf1b5a270ce1ff8566872</t>
  </si>
  <si>
    <t>photo47b</t>
  </si>
  <si>
    <t>0e42534359ad95c0d2bca2774d9f3bce</t>
  </si>
  <si>
    <t>af42f9d59ddcf4d436e4a89c30976fa4</t>
  </si>
  <si>
    <t>purple1</t>
  </si>
  <si>
    <t>38fd93fd1dbb6b68391d94c76e2447d5</t>
  </si>
  <si>
    <t>asdfghblaze1</t>
  </si>
  <si>
    <t>7bf62ae7dab2a6a05930c8be6cd86a11</t>
  </si>
  <si>
    <t>8746dd0eb7625ecedc915d0b66cb1a2c</t>
  </si>
  <si>
    <t>violet</t>
  </si>
  <si>
    <t>d1d813a48d99f0e102f7d0a1b9068001</t>
  </si>
  <si>
    <t>car100975</t>
  </si>
  <si>
    <t>fbcce4850e41a25014f2f2893a694c63</t>
  </si>
  <si>
    <t>ea8085f5c9dd61642dbcce6dc2a3f387</t>
  </si>
  <si>
    <t>darren</t>
  </si>
  <si>
    <t>971ef6d73b20a633967633686c8e124a</t>
  </si>
  <si>
    <t>blazimtohell4</t>
  </si>
  <si>
    <t>63bda28484c14c251349d76cf0c752fb</t>
  </si>
  <si>
    <t>ac900ee6fce73160356e1dd3d44f1ca1</t>
  </si>
  <si>
    <t>starwars</t>
  </si>
  <si>
    <t>5badcaf789d3d1d09794d8f021f40f0e</t>
  </si>
  <si>
    <t>buddha1111ahddub</t>
  </si>
  <si>
    <t>d3649f820536c029d847bec2e2b0ac34</t>
  </si>
  <si>
    <t>4085907634b3b06fcc0349e0959e428e</t>
  </si>
  <si>
    <t>bestfriends</t>
  </si>
  <si>
    <t>96ecedbb834280e3b1b56816e12f6b15</t>
  </si>
  <si>
    <t>854638898k</t>
  </si>
  <si>
    <t>106f3eab8f4556857b50c10bffa40d5c</t>
  </si>
  <si>
    <t>94436dbc9386f1ee41bc66826487b5e1</t>
  </si>
  <si>
    <t>inlove</t>
  </si>
  <si>
    <t>857659774af0490b65d62b4f15c74a2a</t>
  </si>
  <si>
    <t>Hz8xYTCL</t>
  </si>
  <si>
    <t>b580d77169577bbc564561d432507aea</t>
  </si>
  <si>
    <t>e6193bbaab352a95e3d540a7bd1a13f9</t>
  </si>
  <si>
    <t>kelly</t>
  </si>
  <si>
    <t>ae074a5692dfb7c26aae5147e52ceb40</t>
  </si>
  <si>
    <t>yakov2729</t>
  </si>
  <si>
    <t>6ea8bbf587903ed0eac28252b14b44bf</t>
  </si>
  <si>
    <t>f5055c4dd8e16116d0ec54f50aa60ad3</t>
  </si>
  <si>
    <t>batista</t>
  </si>
  <si>
    <t>43c9060a762d3b7bd230f9ce40df61ce</t>
  </si>
  <si>
    <t>peter6996</t>
  </si>
  <si>
    <t>d74330271f61278fd2401d18e98dd760</t>
  </si>
  <si>
    <t>=p;yMoBl6-l;ylfbB</t>
  </si>
  <si>
    <t>95400f9490833b2e268617180839a9e1</t>
  </si>
  <si>
    <t>karla</t>
  </si>
  <si>
    <t>5fcd162c2418ef549b7b912976468942</t>
  </si>
  <si>
    <t>mycroft5</t>
  </si>
  <si>
    <t>1ddc3f1b0646b8e30eb8042cd22a24f8</t>
  </si>
  <si>
    <t>0f2c561c5a4a80c69eb6c9b63750e235</t>
  </si>
  <si>
    <t>sophia</t>
  </si>
  <si>
    <t>2ee0272b8e1a9705dc3ebe91c10b32f4</t>
  </si>
  <si>
    <t>ytgj6tlbvrf</t>
  </si>
  <si>
    <t>335d53e4269e2e36494a8872499a5d95</t>
  </si>
  <si>
    <t>af3dfe7506228bd17f8d98bff47b6dcf</t>
  </si>
  <si>
    <t>chacha</t>
  </si>
  <si>
    <t>86b86014d1f8ca4f6054db174be70841</t>
  </si>
  <si>
    <t>20062008zxcvb</t>
  </si>
  <si>
    <t>3ffb98d11ebcfe55ebe8285f897f77f7</t>
  </si>
  <si>
    <t>ac3098b07c3c51d5e5be6e51cc946579</t>
  </si>
  <si>
    <t>biteme</t>
  </si>
  <si>
    <t>5ef64bad8f9d7e0c85f821580e4d6629</t>
  </si>
  <si>
    <t>75condorcet</t>
  </si>
  <si>
    <t>9f05e045e767d03993b0edb64f83b820</t>
  </si>
  <si>
    <t>52f3d530adf9fd338ca92012df3dff14</t>
  </si>
  <si>
    <t>marian</t>
  </si>
  <si>
    <t>61de80355d479505de9c731f12460625</t>
  </si>
  <si>
    <t>1moloshenko1</t>
  </si>
  <si>
    <t>2f7a24b5c9fa525304a7c24e02431251</t>
  </si>
  <si>
    <t>e440d5ee6c0bc51595aa960553772a9b</t>
  </si>
  <si>
    <t>sydney</t>
  </si>
  <si>
    <t>a8113a9b4f61b178cd1fea4efa5bf4c8</t>
  </si>
  <si>
    <t>OI33bioC</t>
  </si>
  <si>
    <t>ac338538257933a46ea6e39f595bbb92</t>
  </si>
  <si>
    <t>af5903e71d751568869380e100455da4</t>
  </si>
  <si>
    <t>sexyme</t>
  </si>
  <si>
    <t>302097470061ccda5cb7df1891dcd0ab</t>
  </si>
  <si>
    <t>f2c0l1m1</t>
  </si>
  <si>
    <t>cb94b03ae9329bc63006eab228731cd7</t>
  </si>
  <si>
    <t>ddb747285df7ed4d11089dcadc3dc3b9</t>
  </si>
  <si>
    <t>pogiako</t>
  </si>
  <si>
    <t>213311d0722e191141a06b0adaa37a4b</t>
  </si>
  <si>
    <t>Ag2mB6ES</t>
  </si>
  <si>
    <t>b618a4d2c5d0947928abb6461d67c52f</t>
  </si>
  <si>
    <t>b0e5643b1e53e4ebcec4b6f58ea9ab95</t>
  </si>
  <si>
    <t>gerald</t>
  </si>
  <si>
    <t>380891959a0754c24a7ad3525c2d1e77</t>
  </si>
  <si>
    <t>necropsia1</t>
  </si>
  <si>
    <t>b0f281511c045fd9ede090d794121b3f</t>
  </si>
  <si>
    <t>c42a5f6981429f292af74ff83e8960a7</t>
  </si>
  <si>
    <t>jordan1</t>
  </si>
  <si>
    <t>02585943f61e1cb91be167f1fbcdddce</t>
  </si>
  <si>
    <t>1amaraver</t>
  </si>
  <si>
    <t>805461f6c7a429b345c10fe4aee46455</t>
  </si>
  <si>
    <t>02d958e78f840a7a0381734d5159fe71</t>
  </si>
  <si>
    <t>9a286406c252a3d14218228974e1f567</t>
  </si>
  <si>
    <t>FkKHz2dm</t>
  </si>
  <si>
    <t>cc4a5bd8775bc8b90ee81d9c1b563e0b</t>
  </si>
  <si>
    <t>5cf09033dd922a02f10264f55604f29b</t>
  </si>
  <si>
    <t>daddy1</t>
  </si>
  <si>
    <t>25f91520f22005da43a125ccf41a3a26</t>
  </si>
  <si>
    <t>shin2727</t>
  </si>
  <si>
    <t>43486564078f656ca516077373cf6898</t>
  </si>
  <si>
    <t>c59d81b34bb46e8fd97beb55d5982220</t>
  </si>
  <si>
    <t>zachary</t>
  </si>
  <si>
    <t>0905a74d4251fc1b2ec794738a81f324</t>
  </si>
  <si>
    <t>shahin056</t>
  </si>
  <si>
    <t>c80faca723627d869e16237ac4215515</t>
  </si>
  <si>
    <t>7a697f2bc7cfcc46228d8ad3ac2b85fc</t>
  </si>
  <si>
    <t>daddysgirl</t>
  </si>
  <si>
    <t>d6ebd5e9d8119e88e28a6b547f66ab5f</t>
  </si>
  <si>
    <t>4u2me123</t>
  </si>
  <si>
    <t>a0dd614275a2a641a96bc50f84b90bb4</t>
  </si>
  <si>
    <t>f264ebf988b1d0e30baeef4a413b7a1e</t>
  </si>
  <si>
    <t>billabong</t>
  </si>
  <si>
    <t>c61a71b89ce304b78bce33cb56f9cffa</t>
  </si>
  <si>
    <t>26alewa26</t>
  </si>
  <si>
    <t>ec2504125c0c226aa924b7905649c53b</t>
  </si>
  <si>
    <t>28a24b35e8f80211f1f4e232bc4230be</t>
  </si>
  <si>
    <t>carebear</t>
  </si>
  <si>
    <t>94804c0a8c1771947cfba8ec3e0a4c30</t>
  </si>
  <si>
    <t>53213rus</t>
  </si>
  <si>
    <t>359a1b54d11d4f2201bac14591c90fa5</t>
  </si>
  <si>
    <t>6b6ed5870e467d67cc4ca174a991ac16</t>
  </si>
  <si>
    <t>froggy</t>
  </si>
  <si>
    <t>eea342a57c9313484e2b73715a5cbdb1</t>
  </si>
  <si>
    <t>bones767</t>
  </si>
  <si>
    <t>fa687f623ca573edd76e79eb39a1367c</t>
  </si>
  <si>
    <t>cf599050704c39d5a569efd658b0d3a8</t>
  </si>
  <si>
    <t>pinky</t>
  </si>
  <si>
    <t>daea4d0b55ef6c16f04b8997a51e7e6a</t>
  </si>
  <si>
    <t>17151715S</t>
  </si>
  <si>
    <t>e1caef65200b450d54db7bea35c768d1</t>
  </si>
  <si>
    <t>a4ee2728f7e0c80df0b0c205cdfcafe7</t>
  </si>
  <si>
    <t>erika</t>
  </si>
  <si>
    <t>f7f7591403c6c431053920223069550a</t>
  </si>
  <si>
    <t>dallasenesaydinhan20</t>
  </si>
  <si>
    <t>61e92455fa6e301e38bee51747175907</t>
  </si>
  <si>
    <t>53a0e960eee750a1eb6ce27dea178013</t>
  </si>
  <si>
    <t>oscar</t>
  </si>
  <si>
    <t>f156e7995d521f30e6c59a3d6c75e1e5</t>
  </si>
  <si>
    <t>darina2000</t>
  </si>
  <si>
    <t>b9b0ddae668230e1c7d9cd9ca72828fa</t>
  </si>
  <si>
    <t>6cf1d75268b6f42fb96f2a67448b54b2</t>
  </si>
  <si>
    <t>skater</t>
  </si>
  <si>
    <t>a765884f4d99cc66fb7e2abc9ffe4156</t>
  </si>
  <si>
    <t>30081982n</t>
  </si>
  <si>
    <t>af91f63f52ccb6b679e768f43c5ae1bf</t>
  </si>
  <si>
    <t>c403274bee537ec2cb3a4f480521999e</t>
  </si>
  <si>
    <t>raiders</t>
  </si>
  <si>
    <t>7698cf26bd6b7ee9081db738d960ce46</t>
  </si>
  <si>
    <t>bahamas72</t>
  </si>
  <si>
    <t>346cb99677b89fd9c4d9da2265f78a1a</t>
  </si>
  <si>
    <t>9c4e73f720f33835ae14e5dadd188837</t>
  </si>
  <si>
    <t>nenita</t>
  </si>
  <si>
    <t>ceed632380b362a25161651616c439df</t>
  </si>
  <si>
    <t>power4tt</t>
  </si>
  <si>
    <t>9b883d51e5d175a961853c886630d740</t>
  </si>
  <si>
    <t>8c3a4f04ef92f5ebf117da16dd5eece6</t>
  </si>
  <si>
    <t>tigger1</t>
  </si>
  <si>
    <t>a3178a0f2081d2fedeb501b3e0960443</t>
  </si>
  <si>
    <t>v7277229</t>
  </si>
  <si>
    <t>5218ec85aa76fd4f71e2feddaada0924</t>
  </si>
  <si>
    <t>480219cc47f3b3d6acab9f8a7611b885</t>
  </si>
  <si>
    <t>ashley1</t>
  </si>
  <si>
    <t>869d980db607a9a1123dfe171861c526</t>
  </si>
  <si>
    <t>b0987224803</t>
  </si>
  <si>
    <t>20d719ad222188b78c77ddc3ec20a4ae</t>
  </si>
  <si>
    <t>f278df21548ea36c804f1d9b15387688</t>
  </si>
  <si>
    <t>charlie1</t>
  </si>
  <si>
    <t>b6a412f7c63d71e4117daeb14e63f5cd</t>
  </si>
  <si>
    <t>nastya2010nastya</t>
  </si>
  <si>
    <t>578b26c45d8e79f429b6b800ceaa2050</t>
  </si>
  <si>
    <t>0ae882e13cd2cfabba0a0118ea272361</t>
  </si>
  <si>
    <t>gatito</t>
  </si>
  <si>
    <t>ad7a5ca44f37892d599891e5ef0272fb</t>
  </si>
  <si>
    <t>h3ugeit2</t>
  </si>
  <si>
    <t>8aad06d107bd0b825372143639efa9e3</t>
  </si>
  <si>
    <t>69ca94c19312393d1b5e0333601cf131</t>
  </si>
  <si>
    <t>lokita</t>
  </si>
  <si>
    <t>bdb94eaf79e29c026bf6edebaff40f0c</t>
  </si>
  <si>
    <t>yurii0000</t>
  </si>
  <si>
    <t>04fb525988390db2dad0bf7122a302e9</t>
  </si>
  <si>
    <t>ef94d51ee9ea3ea9ab7cf99305d1f269</t>
  </si>
  <si>
    <t>maldita</t>
  </si>
  <si>
    <t>cc1dfdc6f3a871e08cdc631c44a79a9d</t>
  </si>
  <si>
    <t>dke7vqmg</t>
  </si>
  <si>
    <t>84ecc8cda5617a55ec91db2a15bf9545</t>
  </si>
  <si>
    <t>fa41fa06c96ba3db4d47a87fb7141153</t>
  </si>
  <si>
    <t>buttercup</t>
  </si>
  <si>
    <t>fde24d80ac225175b4be937fdb1fab97</t>
  </si>
  <si>
    <t>ssj12112007m</t>
  </si>
  <si>
    <t>4ba479f7410d0a17c621f7ecaf0d660e</t>
  </si>
  <si>
    <t>2719859c1616fccf7fa9ed3bad8e90bc</t>
  </si>
  <si>
    <t>nichole</t>
  </si>
  <si>
    <t>1cb0231ebaa3f6f532b93ddec20fae32</t>
  </si>
  <si>
    <t>4hpkq1npxjh7</t>
  </si>
  <si>
    <t>25e661bd40579102cfe37412fb877bab</t>
  </si>
  <si>
    <t>1eb9212d3d47b1d623a5df684258051c</t>
  </si>
  <si>
    <t>bambam</t>
  </si>
  <si>
    <t>89e2c8f458dda133118ac4a0a762cb3d</t>
  </si>
  <si>
    <t>kvv1ssari4</t>
  </si>
  <si>
    <t>0901e9de2521b21a36561bd36928a5c8</t>
  </si>
  <si>
    <t>c1cc3531b7e8c8f8d4b38e9cf8c78768</t>
  </si>
  <si>
    <t>nothing</t>
  </si>
  <si>
    <t>3e47b75000b0924b6c9ba5759a7cf15d</t>
  </si>
  <si>
    <t>whity666</t>
  </si>
  <si>
    <t>928e5238625fbedf415a7c442f922a93</t>
  </si>
  <si>
    <t>649e3ca2331755a2d3858473bfeb208f</t>
  </si>
  <si>
    <t>glitter</t>
  </si>
  <si>
    <t>817e2b1df8f30b873b2349a50841238c</t>
  </si>
  <si>
    <t>170909vin</t>
  </si>
  <si>
    <t>fd25500a9868da515ad1606ba533fe37</t>
  </si>
  <si>
    <t>f71b1770b0acf44d2ef27f4b1890f928</t>
  </si>
  <si>
    <t>bella</t>
  </si>
  <si>
    <t>e7e9ec3723447a642f762b2b6a15cfd7</t>
  </si>
  <si>
    <t>210409ak</t>
  </si>
  <si>
    <t>721522df7a8d95b1d8d5cf186d7e68f2</t>
  </si>
  <si>
    <t>80ffd8a071822c509dcdfea0116ad112</t>
  </si>
  <si>
    <t>amber</t>
  </si>
  <si>
    <t>59548977279905234b7ed3b1710837f2</t>
  </si>
  <si>
    <t>500a160k</t>
  </si>
  <si>
    <t>6a9c3745bd6c7784714d689e1512f9d4</t>
  </si>
  <si>
    <t>b63a2b1dbf5d7ecbe331d94a74c910f0</t>
  </si>
  <si>
    <t>apple</t>
  </si>
  <si>
    <t>1f3870be274f6c49b3e31a0c6728957f</t>
  </si>
  <si>
    <t>yatt1111</t>
  </si>
  <si>
    <t>45e681a32c02632bb48a31666054a83a</t>
  </si>
  <si>
    <t>1f7b3f2ce9e338caf4d6758f93d8a221</t>
  </si>
  <si>
    <t>55587a910882016321201e6ebbc9f595</t>
  </si>
  <si>
    <t>hotboy11552</t>
  </si>
  <si>
    <t>479e76cbc2ef8dbc8d4a38ed30622ced</t>
  </si>
  <si>
    <t>357ca4c60e6a820eb687f6c2bb86984b</t>
  </si>
  <si>
    <t>sister</t>
  </si>
  <si>
    <t>daffd55e1b8020c7a60a7b6e36afb775</t>
  </si>
  <si>
    <t>htp716a0</t>
  </si>
  <si>
    <t>f64527da8a8e175fe37b04371bc73360</t>
  </si>
  <si>
    <t>c1fe833f13fe5545da5c4a5cff64eb79</t>
  </si>
  <si>
    <t>zacefron</t>
  </si>
  <si>
    <t>1e5f750323590f7d1784b54d1abc188f</t>
  </si>
  <si>
    <t>6955948kk</t>
  </si>
  <si>
    <t>18946e5edc8515843a91226f955922f8</t>
  </si>
  <si>
    <t>8ace973bfcb3e632494887ee467339ed</t>
  </si>
  <si>
    <t>tokiohotel</t>
  </si>
  <si>
    <t>3041f9f8baacf54fe72af0d1ac50041d</t>
  </si>
  <si>
    <t>.kbz261272</t>
  </si>
  <si>
    <t>42fb13e8ff3796b9a98607225c701277</t>
  </si>
  <si>
    <t>8e915543bdd900605897da8388a38e09</t>
  </si>
  <si>
    <t>loveya</t>
  </si>
  <si>
    <t>b45e9e98cbcdb6254686ed17277e912b</t>
  </si>
  <si>
    <t>grbrlolgrbrlol1</t>
  </si>
  <si>
    <t>0d636a4d2e5a2fb82c621ba4f5bc2296</t>
  </si>
  <si>
    <t>050fc4b80c6df3292ff603b002cfbaea</t>
  </si>
  <si>
    <t>lindsey</t>
  </si>
  <si>
    <t>102de5e5a79546e1830aee94c18cc933</t>
  </si>
  <si>
    <t>phimly23011989</t>
  </si>
  <si>
    <t>e952f7b75f6ceb815cb5d5253273689f</t>
  </si>
  <si>
    <t>d4d8ae9cb8da75ca6827fd97fb22c1f7</t>
  </si>
  <si>
    <t>money</t>
  </si>
  <si>
    <t>9726255eec083aa56dc0449a21b33190</t>
  </si>
  <si>
    <t>hugeldidu1</t>
  </si>
  <si>
    <t>4e0796cebc9a4f87dd1e7f93b0bfb39b</t>
  </si>
  <si>
    <t>ca399f4b202056eb998e557b8c81cb8f</t>
  </si>
  <si>
    <t>lovebug</t>
  </si>
  <si>
    <t>f25e84eda60b2c0915410f75d941d14c</t>
  </si>
  <si>
    <t>zolushka61</t>
  </si>
  <si>
    <t>0b5d8cbbecaa57eb0f55b9591140d86f</t>
  </si>
  <si>
    <t>57e458ef27a22b60b6b85b8f1a86ad2f</t>
  </si>
  <si>
    <t>bubblegum</t>
  </si>
  <si>
    <t>a4b4971263b4dc3a8751d85390793d6d</t>
  </si>
  <si>
    <t>aaa249735aaa</t>
  </si>
  <si>
    <t>9cd80968c242fa5a6b1e71ca1168e1a1</t>
  </si>
  <si>
    <t>503afba117f7b9e7b4ff0c88d6ac6de0</t>
  </si>
  <si>
    <t>marissa</t>
  </si>
  <si>
    <t>09206edac18b8a4d7ecd3df6c1985d7f</t>
  </si>
  <si>
    <t>hz2R2zYX</t>
  </si>
  <si>
    <t>3d237abfcb257bf20540c1ae01507a1f</t>
  </si>
  <si>
    <t>8019bbea50064e2d5fb06e43bd80b17c</t>
  </si>
  <si>
    <t>dreamer</t>
  </si>
  <si>
    <t>170b77ad8c3d9b365fef9e58974f1b87</t>
  </si>
  <si>
    <t>vapme673</t>
  </si>
  <si>
    <t>3eaa0e1f4468a81030337e9e56e0c3c1</t>
  </si>
  <si>
    <t>e72ee7179abe35f4033dc20d598d7657</t>
  </si>
  <si>
    <t>darkness</t>
  </si>
  <si>
    <t>9b7d722b58370498cd39104b2d971978</t>
  </si>
  <si>
    <t>00099988p</t>
  </si>
  <si>
    <t>2aa78a68a842d1728631b8490b9fab0b</t>
  </si>
  <si>
    <t>5437b349e93f3b481b8ccbc85ed1cf39</t>
  </si>
  <si>
    <t>cecilia</t>
  </si>
  <si>
    <t>d432eb18017c004fd305969713a17aa8</t>
  </si>
  <si>
    <t>FEROG012753</t>
  </si>
  <si>
    <t>5682faa7d3b1b9ee56e845112447a348</t>
  </si>
  <si>
    <t>fe3fca899bc068740dab193791a0107f</t>
  </si>
  <si>
    <t>lollypop</t>
  </si>
  <si>
    <t>702cc6ea8896531338876af10ed95a17</t>
  </si>
  <si>
    <t>1Sylvain</t>
  </si>
  <si>
    <t>5a91b61eb7ee4c535eedccfee656e1dd</t>
  </si>
  <si>
    <t>17b98154e630a917b5e5fab2abf577b9</t>
  </si>
  <si>
    <t>nicolas</t>
  </si>
  <si>
    <t>deb97a759ee7b8ba42e02dddf2b412fe</t>
  </si>
  <si>
    <t>4p061ka8</t>
  </si>
  <si>
    <t>a8a9ad7a01c1c7bb737641c930a52c03</t>
  </si>
  <si>
    <t>0e78738accac4149adf09776119d2346</t>
  </si>
  <si>
    <t>google</t>
  </si>
  <si>
    <t>c822c1b63853ed273b89687ac505f9fa</t>
  </si>
  <si>
    <t>keat4550r</t>
  </si>
  <si>
    <t>be0bfc5cfdb3e0e23588750687f12abf</t>
  </si>
  <si>
    <t>9176659d473cb507135feda464beda67</t>
  </si>
  <si>
    <t>lindsay</t>
  </si>
  <si>
    <t>dd7405dcdf0150da2765874534a649b0</t>
  </si>
  <si>
    <t>ag7qh6w3S3</t>
  </si>
  <si>
    <t>44617174801a9b0d5dcb09952f001c59</t>
  </si>
  <si>
    <t>27b014d560ba4008a4cc72ba52915a2e</t>
  </si>
  <si>
    <t>cooper</t>
  </si>
  <si>
    <t>cd21b93cfd8d6824dc2bce1a19decaf7</t>
  </si>
  <si>
    <t>joeboy25</t>
  </si>
  <si>
    <t>bcff894aea48d9a50ee1d4fa8c7e7ac1</t>
  </si>
  <si>
    <t>786a092af823c9d110fbf74ee10309b4</t>
  </si>
  <si>
    <t>passion</t>
  </si>
  <si>
    <t>074b62fb6c21b84e6b5846e6bb001f67</t>
  </si>
  <si>
    <t>maverickniteman74</t>
  </si>
  <si>
    <t>e653893cc23d25ed7e73b73b9b430b23</t>
  </si>
  <si>
    <t>47ea8be4536a9a85c2071c00cccc1346</t>
  </si>
  <si>
    <t>kristine</t>
  </si>
  <si>
    <t>002f48e213c339f5d1d839185dcc8e7f</t>
  </si>
  <si>
    <t>garrik777</t>
  </si>
  <si>
    <t>3922a992c36414ca79e734caaedb952f</t>
  </si>
  <si>
    <t>d097126eea70e2cf6a2045188ae3578c</t>
  </si>
  <si>
    <t>green</t>
  </si>
  <si>
    <t>9f27410725ab8cc8854a2769c7a516b8</t>
  </si>
  <si>
    <t>molson12</t>
  </si>
  <si>
    <t>158fc16b69cc3bb10062ec21943f7fbf</t>
  </si>
  <si>
    <t>9b72f2360c53b0a605ca032c3039fe1d</t>
  </si>
  <si>
    <t>puppies</t>
  </si>
  <si>
    <t>679f34ba1ec7d7ee1f1718acc24f53d7</t>
  </si>
  <si>
    <t>466u573u68</t>
  </si>
  <si>
    <t>ef9cab4504bf892022ee776c43175813</t>
  </si>
  <si>
    <t>83e56a75374bca2f30b7a43dcd9628c7</t>
  </si>
  <si>
    <t>ariana</t>
  </si>
  <si>
    <t>af5d97f43ff2fb264b7d18042a5c6112</t>
  </si>
  <si>
    <t>wskhjqm0</t>
  </si>
  <si>
    <t>b0559a0dd43a311c587fffe7ad0ffc57</t>
  </si>
  <si>
    <t>804f3219ffee7c6f897ad844a84e2ad6</t>
  </si>
  <si>
    <t>fuckme</t>
  </si>
  <si>
    <t>79cfdd0e92b120faadd7eb253eb800d0</t>
  </si>
  <si>
    <t>170882edo</t>
  </si>
  <si>
    <t>1b751d209fcac353b5c438422aed8329</t>
  </si>
  <si>
    <t>540eba760ed26276a9cab50024c266e2</t>
  </si>
  <si>
    <t>chubby</t>
  </si>
  <si>
    <t>66d7a6240337642cccc3ad123cc21b40</t>
  </si>
  <si>
    <t>Muramas1</t>
  </si>
  <si>
    <t>de8c01c18d39a766227051dfb164ced9</t>
  </si>
  <si>
    <t>f5ffc769526aae9c9424adbd242d661b</t>
  </si>
  <si>
    <t>raquel</t>
  </si>
  <si>
    <t>690c0ca1d95dd5731d948c48d9f3ae8a</t>
  </si>
  <si>
    <t>hannah49</t>
  </si>
  <si>
    <t>af30a2abc6b27e7a4c4e8905e6e14c3c</t>
  </si>
  <si>
    <t>fc81dcc9e02092c905174f7896942ff7</t>
  </si>
  <si>
    <t>lonely</t>
  </si>
  <si>
    <t>7e49f5a0a99ac099b460e85139819e2f</t>
  </si>
  <si>
    <t>cutie1234</t>
  </si>
  <si>
    <t>7fb88d2bb78c34532416ecafac1c69a5</t>
  </si>
  <si>
    <t>e5925e5b259927a43c4dcd35c8befddc</t>
  </si>
  <si>
    <t>anderson</t>
  </si>
  <si>
    <t>89ba023086e37a345839e0c6a0d272eb</t>
  </si>
  <si>
    <t>woodie69</t>
  </si>
  <si>
    <t>199bae974c0ab5a7f9066da0e8806a6a</t>
  </si>
  <si>
    <t>7f8e4021841850acccfdd6abffb1b30e</t>
  </si>
  <si>
    <t>sammie</t>
  </si>
  <si>
    <t>ec239fa8d419f6ee5868d0de020f03a7</t>
  </si>
  <si>
    <t>6KfsS2Cq</t>
  </si>
  <si>
    <t>33d1a04651ff5556c0910a0eba0c9f50</t>
  </si>
  <si>
    <t>942bb8f309480d726c01db2f6012baee</t>
  </si>
  <si>
    <t>sexybitch</t>
  </si>
  <si>
    <t>5a25238fda6d5cc0b4f72b1e5665b03e</t>
  </si>
  <si>
    <t>delement012</t>
  </si>
  <si>
    <t>3fe097cbf24ee79f5318541d0803130d</t>
  </si>
  <si>
    <t>mario</t>
  </si>
  <si>
    <t>de2f15d014d40b93578d255e6221fd60</t>
  </si>
  <si>
    <t>G9vmW9fg</t>
  </si>
  <si>
    <t>b77d0ca3ac88c8b0c6d99e8c041573cc</t>
  </si>
  <si>
    <t>03926799f7e89761eb88ffa1df922f07</t>
  </si>
  <si>
    <t>butter</t>
  </si>
  <si>
    <t>d74fdde2944f475adc4a85e349d4ee7b</t>
  </si>
  <si>
    <t>chan1556</t>
  </si>
  <si>
    <t>2d31ab959dd081371052158e9e9099bf</t>
  </si>
  <si>
    <t>4a0d83d88e845a3b6ba0503e890113ff</t>
  </si>
  <si>
    <t>willow</t>
  </si>
  <si>
    <t>592cec0a3fc4d8cf9b6e57a09bff554b</t>
  </si>
  <si>
    <t>L77169505G</t>
  </si>
  <si>
    <t>c24def8b95bf8a4b5639eeab34ac372a</t>
  </si>
  <si>
    <t>e323022471c5a771741f064949dccbc4</t>
  </si>
  <si>
    <t>roxana</t>
  </si>
  <si>
    <t>119dd1bd86728b407fe82fce1f8b9369</t>
  </si>
  <si>
    <t>MdxH4XBK3oEOg</t>
  </si>
  <si>
    <t>352f5663a5b68eac1f22ea0eb285160b</t>
  </si>
  <si>
    <t>78dd171b42b12dadfd43debffca58974</t>
  </si>
  <si>
    <t>mememe</t>
  </si>
  <si>
    <t>46756b989b1050a317258e6d5e8e9891</t>
  </si>
  <si>
    <t>truffle8</t>
  </si>
  <si>
    <t>67cba0233dc28f081af10e4dc39740dc</t>
  </si>
  <si>
    <t>547caa345460c1d85c2f54c93a783223</t>
  </si>
  <si>
    <t>caroline</t>
  </si>
  <si>
    <t>e1c565c5b1da2a3b81712427d06f5b34</t>
  </si>
  <si>
    <t>8900x299n</t>
  </si>
  <si>
    <t>2a2bef30f4068fa8647311b41d9c926b</t>
  </si>
  <si>
    <t>susana</t>
  </si>
  <si>
    <t>3f06a7247d5c04d0618552dd3276ac40</t>
  </si>
  <si>
    <t>eventp74062</t>
  </si>
  <si>
    <t>505e1cdf0c3e31104ed2b971a0389631</t>
  </si>
  <si>
    <t>01db0e10f5bdc0a73da7efd32e9e0b7d</t>
  </si>
  <si>
    <t>kristen</t>
  </si>
  <si>
    <t>f52b06185d58a5eb571ec260092f099f</t>
  </si>
  <si>
    <t>ckenz123</t>
  </si>
  <si>
    <t>ba75dc5f0d29ece2ffd2962cbf71c85e</t>
  </si>
  <si>
    <t>6eb675424fe67d4712405b65ba60ecaf</t>
  </si>
  <si>
    <t>baller</t>
  </si>
  <si>
    <t>2141b17fb8b9c95b77e9eeccdc7e8010</t>
  </si>
  <si>
    <t>alenenok1</t>
  </si>
  <si>
    <t>df12c9365da4e5af3426ac9ce2779b80</t>
  </si>
  <si>
    <t>a51e49d74c64d5f2b98d39d472253a6b</t>
  </si>
  <si>
    <t>hotstuff</t>
  </si>
  <si>
    <t>2522c8a5837a7c180888dfc71ef7bdb2</t>
  </si>
  <si>
    <t>craig196</t>
  </si>
  <si>
    <t>6846fccb1e0e7439a099df7eaf47e83d</t>
  </si>
  <si>
    <t>324933b70ca9ff4eecf6097b51f5c67a</t>
  </si>
  <si>
    <t>carter</t>
  </si>
  <si>
    <t>a886f2ee22888badbce90eac740c49be</t>
  </si>
  <si>
    <t>2B8iTCb7</t>
  </si>
  <si>
    <t>9e675246cb878a8db2777b3a788df633</t>
  </si>
  <si>
    <t>24a3ab45a31a777def9d043fbcd0dda7</t>
  </si>
  <si>
    <t>stacey</t>
  </si>
  <si>
    <t>b9066808309e7b228d070046223bdf38</t>
  </si>
  <si>
    <t>1994kkkk</t>
  </si>
  <si>
    <t>1b0508222671c7e0efd1f06f559f792b</t>
  </si>
  <si>
    <t>e2289e5c7172a26606648145edfe5145</t>
  </si>
  <si>
    <t>babylove</t>
  </si>
  <si>
    <t>bc9c455e479f0832abac6d4c8de5a426</t>
  </si>
  <si>
    <t>sasa57016</t>
  </si>
  <si>
    <t>31b5e6d00f640e482e1dd5cab781afa5</t>
  </si>
  <si>
    <t>4aa5ef383698a1650c4a3b52eae06c73</t>
  </si>
  <si>
    <t>angelina</t>
  </si>
  <si>
    <t>4e3d821e1e6207e6acd0e02bc3099e5a</t>
  </si>
  <si>
    <t>0cusmacerata</t>
  </si>
  <si>
    <t>c0b57ef1d8ba9e20055866e29e5dee15</t>
  </si>
  <si>
    <t>miller</t>
  </si>
  <si>
    <t>f0af962ddbc82430e947390b2f3f6e49</t>
  </si>
  <si>
    <t>ncc1701dravegurl115</t>
  </si>
  <si>
    <t>3509eaaa9f2452287e3ebde6b7fc26fe</t>
  </si>
  <si>
    <t>4873c22671d42b306a5c167ee2d1e1b4</t>
  </si>
  <si>
    <t>scorpion</t>
  </si>
  <si>
    <t>3f8da8d150df71f64db5f8e96438c567</t>
  </si>
  <si>
    <t>iloveyoutarlet999</t>
  </si>
  <si>
    <t>5612536bc1b8eef4da3cd1dfccb14352</t>
  </si>
  <si>
    <t>d31814b7da8e260349c25168f9ca8a18</t>
  </si>
  <si>
    <t>sierra</t>
  </si>
  <si>
    <t>a008a5e02ec40d9facee2ea028073662</t>
  </si>
  <si>
    <t>89094114320alina</t>
  </si>
  <si>
    <t>71e8d9d49d8d141467c2dfb96f7fe4d6</t>
  </si>
  <si>
    <t>f382af4ff19d18420f385914f2df6171</t>
  </si>
  <si>
    <t>playgirl</t>
  </si>
  <si>
    <t>e31e4b8649f194982a63a4fbef38cff3</t>
  </si>
  <si>
    <t>EM86GPPm</t>
  </si>
  <si>
    <t>9b43452dcc18b0781f5513bf762cd0ff</t>
  </si>
  <si>
    <t>27db5f1a1227b056aaada2c8760cd727</t>
  </si>
  <si>
    <t>sweet16</t>
  </si>
  <si>
    <t>1cd2dba5ccc114eafaa0ca076e0fbc73</t>
  </si>
  <si>
    <t>Woodman784</t>
  </si>
  <si>
    <t>3d3f6a52b14b899f3fbe9c691e24e240</t>
  </si>
  <si>
    <t>5b83954999272129fdaeb9af273f71ed</t>
  </si>
  <si>
    <t>d6a9a933c8aafc51e55ac0662b6e4d4a</t>
  </si>
  <si>
    <t>777se7my77</t>
  </si>
  <si>
    <t>c973d4dcba7c12b8b7278993449d9d0a</t>
  </si>
  <si>
    <t>7f2a73eeef001350a0b06fd206c9894f</t>
  </si>
  <si>
    <t>rocker</t>
  </si>
  <si>
    <t>d4ed17ec4bca7d7d87efb949a3293d68</t>
  </si>
  <si>
    <t>sasha235</t>
  </si>
  <si>
    <t>76ca5b99d1d67f69a67c1f601d6a68e5</t>
  </si>
  <si>
    <t>ac6b8f55bf15e558683c3b804446c28c</t>
  </si>
  <si>
    <t>bhebhe</t>
  </si>
  <si>
    <t>1908c38a42785acc0f427ce773f9a2f7</t>
  </si>
  <si>
    <t>rollins25</t>
  </si>
  <si>
    <t>4bb83dc3907fae4ace1cdad71cd44c25</t>
  </si>
  <si>
    <t>gustavo</t>
  </si>
  <si>
    <t>4c96f8324e3ba54a99e78249b95daa30</t>
  </si>
  <si>
    <t>int2210598</t>
  </si>
  <si>
    <t>c7656bee8ec5b7263567a08f18929c54</t>
  </si>
  <si>
    <t>a7257a9439c4106d71120777e534aae7</t>
  </si>
  <si>
    <t>marcos</t>
  </si>
  <si>
    <t>c5e3539121c4944f2bbe097b425ee774</t>
  </si>
  <si>
    <t>lfybkjdf59</t>
  </si>
  <si>
    <t>5e66548169a3ca4ea5367f2ad674e78a</t>
  </si>
  <si>
    <t>5cc5700355f9ef8c606527bcc29cc76f</t>
  </si>
  <si>
    <t>chance</t>
  </si>
  <si>
    <t>1ea287f2ecbfd355c05b14f134d85007</t>
  </si>
  <si>
    <t>761101zzz</t>
  </si>
  <si>
    <t>b24016d13129265faa737bc526cf9639</t>
  </si>
  <si>
    <t>7fc5971b3ef1ee8916987e7bf2ab567f</t>
  </si>
  <si>
    <t>123qwe</t>
  </si>
  <si>
    <t>46f94c8de14fb36680850768ff1b7f2a</t>
  </si>
  <si>
    <t>monkey05059505</t>
  </si>
  <si>
    <t>6acd4aed026a897348deb6614259bb8c</t>
  </si>
  <si>
    <t>kayla</t>
  </si>
  <si>
    <t>16616347a7a5a764fe271009b247211a</t>
  </si>
  <si>
    <t>rnt172317</t>
  </si>
  <si>
    <t>f7919e996792aeae6c0cb0b5afa7accd</t>
  </si>
  <si>
    <t>fdfa9f24a7dd0f9f4b684321952362f4</t>
  </si>
  <si>
    <t>james1</t>
  </si>
  <si>
    <t>1613f36d06342303f69469f5a1b29c21</t>
  </si>
  <si>
    <t>2colt45s</t>
  </si>
  <si>
    <t>c54fc7b2234b8161be98cfb0267c252d</t>
  </si>
  <si>
    <t>8fc37d3e74391ffc514b34ae50a2ca4f</t>
  </si>
  <si>
    <t>football1</t>
  </si>
  <si>
    <t>f6bca54ae53b1e1d57a20a6cebd7a99e</t>
  </si>
  <si>
    <t>25101990igor</t>
  </si>
  <si>
    <t>6783a8063a08e63c6c56e133ecd682e6</t>
  </si>
  <si>
    <t>4e0b9e82b2034538b52fcdbc78206dce</t>
  </si>
  <si>
    <t>eagles</t>
  </si>
  <si>
    <t>58e50f904aab05ac687efc1635421d78</t>
  </si>
  <si>
    <t>1alireza</t>
  </si>
  <si>
    <t>1b6675cc70d66dfcc8161624e1fb634f</t>
  </si>
  <si>
    <t>4e2360cd708e151a3c52c91adc63cd02</t>
  </si>
  <si>
    <t>loveme1</t>
  </si>
  <si>
    <t>83342ebd6d6b90da1f8fa319a0a38f44</t>
  </si>
  <si>
    <t>sfhk02581</t>
  </si>
  <si>
    <t>55aa9c31dbca8bbfbba2200f8afd82a4</t>
  </si>
  <si>
    <t>9300f89b36ed5cbad7236d2f0202fe9b</t>
  </si>
  <si>
    <t>milagros</t>
  </si>
  <si>
    <t>227b4681552e67c7418b4488d0a52ac5</t>
  </si>
  <si>
    <t>xbcgf4535</t>
  </si>
  <si>
    <t>a9c7fdd992d10f60dfeb2342ea69fbc8</t>
  </si>
  <si>
    <t>stella</t>
  </si>
  <si>
    <t>430244540aa38ff181545cb0d539f038</t>
  </si>
  <si>
    <t>amg52523452</t>
  </si>
  <si>
    <t>1a88a8c61f900f9ec759a100740e2cde</t>
  </si>
  <si>
    <t>lilmama</t>
  </si>
  <si>
    <t>d55e2b075670edeff3abb2d23bf5b6c1</t>
  </si>
  <si>
    <t>QQRPnZsfW6HKE</t>
  </si>
  <si>
    <t>1653d51fdd677db733990ecf56f74b75</t>
  </si>
  <si>
    <t>beyonce</t>
  </si>
  <si>
    <t>88f1798e205c841fe851b42095329f84</t>
  </si>
  <si>
    <t>WqaVl2qcdptZE</t>
  </si>
  <si>
    <t>4fa4caef5ffc1129326a8849857e43eb</t>
  </si>
  <si>
    <t>lovely1</t>
  </si>
  <si>
    <t>a05a591bf45bb59a87a6e79153c90ede</t>
  </si>
  <si>
    <t>caytoluna8</t>
  </si>
  <si>
    <t>3865c501347ca77cee606d8d8fd70ef5</t>
  </si>
  <si>
    <t>rocky</t>
  </si>
  <si>
    <t>5bab541acd761a3093d7c4202b6e1da9</t>
  </si>
  <si>
    <t>gghmppc2</t>
  </si>
  <si>
    <t>8677fc62f6f42a53c10df61b6469ebe2</t>
  </si>
  <si>
    <t>daddy</t>
  </si>
  <si>
    <t>093ec71f562ba6cbf5825b7c9a48f19e</t>
  </si>
  <si>
    <t>trustno1azenseb</t>
  </si>
  <si>
    <t>ee411dca7544f96f0baad9c5a6e31048</t>
  </si>
  <si>
    <t>0a4ba9c6b712519ba4d311d28e7f257a</t>
  </si>
  <si>
    <t>catdog</t>
  </si>
  <si>
    <t>cfa590c5b4c51852821cc9a7669cfcd1</t>
  </si>
  <si>
    <t>felipe76</t>
  </si>
  <si>
    <t>931b28c4b4738ba2cdcda40f1c6f07db</t>
  </si>
  <si>
    <t>f43ac21f9f2e5788b88396da46982699</t>
  </si>
  <si>
    <t>armando</t>
  </si>
  <si>
    <t>7b64d09060db17ca6b96c0af99575903</t>
  </si>
  <si>
    <t>123OFGAM</t>
  </si>
  <si>
    <t>63de4d9248f36f8b186a13c71f3d4e66</t>
  </si>
  <si>
    <t>margarita</t>
  </si>
  <si>
    <t>e45bba48e1a1bfa964839e478cbe0034</t>
  </si>
  <si>
    <t>4CpSCwfJ</t>
  </si>
  <si>
    <t>897a2a38fc8b75d21cf408b91874501a</t>
  </si>
  <si>
    <t>858915f1d2d425959fd4da867ba6b599</t>
  </si>
  <si>
    <t>Mansfield1</t>
  </si>
  <si>
    <t>389f145db01d9d1afc939cf331cf6b07</t>
  </si>
  <si>
    <t>loves</t>
  </si>
  <si>
    <t>a102c4a959dfe7efdd3a4e112bee0407</t>
  </si>
  <si>
    <t>okrugla3</t>
  </si>
  <si>
    <t>824fffa19c9abd41eb09414a63e1f3a0</t>
  </si>
  <si>
    <t>lolita</t>
  </si>
  <si>
    <t>1ac0d72d238c86b2029c8419ba2574a2</t>
  </si>
  <si>
    <t>mdmmc288</t>
  </si>
  <si>
    <t>eae0225f45ef2c9ef36b16b272f8c78e</t>
  </si>
  <si>
    <t>50888e564181f796e8cf85644b69f309</t>
  </si>
  <si>
    <t>a28f05f5f45fe2d8a900736c8935fe44</t>
  </si>
  <si>
    <t>rb080974</t>
  </si>
  <si>
    <t>72fc4174991da5c8a94e38676734b426</t>
  </si>
  <si>
    <t>40786899c32ea8e682f4a6694555bc2b</t>
  </si>
  <si>
    <t>gerard</t>
  </si>
  <si>
    <t>64d8be661d8a79416eb6662db51e7118</t>
  </si>
  <si>
    <t>chakib161</t>
  </si>
  <si>
    <t>d2f17da6b23eb2878a0df4083f7795e0</t>
  </si>
  <si>
    <t>undertaker</t>
  </si>
  <si>
    <t>16bdcbc8fcf5533f54f64ff9c05bbf5e</t>
  </si>
  <si>
    <t>artem730223</t>
  </si>
  <si>
    <t>99d51809efb1f5b59145e6f4aa04c061</t>
  </si>
  <si>
    <t>amistad</t>
  </si>
  <si>
    <t>22e50a0d885aab3dc40a5dff63f20579</t>
  </si>
  <si>
    <t>angel111</t>
  </si>
  <si>
    <t>cd66886563bdb96b71f24b787ec9948c</t>
  </si>
  <si>
    <t>d943b3765d8a8b162130af0d72227245</t>
  </si>
  <si>
    <t>williams</t>
  </si>
  <si>
    <t>44e7cdc8f1386a1820b02f504f38317d</t>
  </si>
  <si>
    <t>6er2nalumi</t>
  </si>
  <si>
    <t>0a5b8cd112c275ffbfe1896d711b03a2</t>
  </si>
  <si>
    <t>5d8e56d39a321d725197f92622682abf</t>
  </si>
  <si>
    <t>qwerty1</t>
  </si>
  <si>
    <t>6dbd0fe19c9a301c4708287780df41a2</t>
  </si>
  <si>
    <t>bittner1</t>
  </si>
  <si>
    <t>35b4aaee8dd7ef9988a85ebb413fe791</t>
  </si>
  <si>
    <t>f42e1fa4fe29f2e3ff59b782b19e1bdc</t>
  </si>
  <si>
    <t>freddy</t>
  </si>
  <si>
    <t>eda56def9e82a3936a75aff3f4e66330</t>
  </si>
  <si>
    <t>Skyrion1</t>
  </si>
  <si>
    <t>3f704d01ecc6798f5467317f27ff509a</t>
  </si>
  <si>
    <t>f499451b005bb3312d755e48b351cc3d</t>
  </si>
  <si>
    <t>capricorn</t>
  </si>
  <si>
    <t>99976a7747583f3638cb85020ed24ac9</t>
  </si>
  <si>
    <t>chacha05</t>
  </si>
  <si>
    <t>ff8d7421ecca71d02df689489227370c</t>
  </si>
  <si>
    <t>f3f71b1a9b2531684d246c897370c741</t>
  </si>
  <si>
    <t>caitlin</t>
  </si>
  <si>
    <t>2698b9129df8bff255b13562392bf895</t>
  </si>
  <si>
    <t>dinar35642</t>
  </si>
  <si>
    <t>a4c12f7c5999ca991b33f3c5f86a9ccc</t>
  </si>
  <si>
    <t>4db76de2364c11a4de0ec041de509053</t>
  </si>
  <si>
    <t>bryan</t>
  </si>
  <si>
    <t>7d4ef62de50874a4db33e6da3ff79f75</t>
  </si>
  <si>
    <t>elsayed22</t>
  </si>
  <si>
    <t>e45e4c0e6b7f4c8b317b0c8df1e53c03</t>
  </si>
  <si>
    <t>delfin</t>
  </si>
  <si>
    <t>a62b1fca6b53d6670a84aa2c7b373b27</t>
  </si>
  <si>
    <t>akira6T92</t>
  </si>
  <si>
    <t>38e56930b975932a9038106b4a5b418b</t>
  </si>
  <si>
    <t>c93ccfa8d745a84bf1cd385125328b36</t>
  </si>
  <si>
    <t>dance</t>
  </si>
  <si>
    <t>3355d92c04a3332339b767f9278405ff</t>
  </si>
  <si>
    <t>7N9PH262</t>
  </si>
  <si>
    <t>58ddddf4ffe6e82a57f2e8d1768d1248</t>
  </si>
  <si>
    <t>cheerleader</t>
  </si>
  <si>
    <t>6bd70990c385c621c645033d14b4ef4a</t>
  </si>
  <si>
    <t>jamrock20</t>
  </si>
  <si>
    <t>c12aeb82a54b7ca3a8b66d18054fb28c</t>
  </si>
  <si>
    <t>password2</t>
  </si>
  <si>
    <t>6cb75f652a9b52798eb6cf2201057c73</t>
  </si>
  <si>
    <t>7347bell</t>
  </si>
  <si>
    <t>7a937fdaa88876d09051ca48fe5309f7</t>
  </si>
  <si>
    <t>8de1a22c24fdce4c434771ab840d06f5</t>
  </si>
  <si>
    <t>PASSWORD</t>
  </si>
  <si>
    <t>319f4d26e3c536b5dd871bb2c52e3178</t>
  </si>
  <si>
    <t>R4U37LD3</t>
  </si>
  <si>
    <t>50adc005442eff82a028d912a977a289</t>
  </si>
  <si>
    <t>b149fdba510655d73505717fcb310ac9</t>
  </si>
  <si>
    <t>martha</t>
  </si>
  <si>
    <t>3003051f6d158f6687b8a820c46bfa80</t>
  </si>
  <si>
    <t>9065097698n</t>
  </si>
  <si>
    <t>dded4921de8c64e8561f598e7cbe49ab</t>
  </si>
  <si>
    <t>afb29de912750428cab42adc8e3b8581</t>
  </si>
  <si>
    <t>lizzie</t>
  </si>
  <si>
    <t>ceb8bc5d1d1b7564314231077287d9d3</t>
  </si>
  <si>
    <t>a1702170</t>
  </si>
  <si>
    <t>f6f6edaa9a5e4a25832539b1e62878cd</t>
  </si>
  <si>
    <t>7740eb1b9a1b49babbbf17d893a0239b</t>
  </si>
  <si>
    <t>georgia</t>
  </si>
  <si>
    <t>c0cdd82ce092b01267bdd88a8bfbb1f4</t>
  </si>
  <si>
    <t>y7bikhcv</t>
  </si>
  <si>
    <t>e52c945712c064193ac44ea247509abd</t>
  </si>
  <si>
    <t>08e105af467491df693a65a0f69051a2</t>
  </si>
  <si>
    <t>matthew1</t>
  </si>
  <si>
    <t>7edeb90a6ed6e0141e9f28faca7f3af6</t>
  </si>
  <si>
    <t>ucyq8wq4</t>
  </si>
  <si>
    <t>ac7d53efd17d91628edba58fdd79d957</t>
  </si>
  <si>
    <t>2eb4b0fcd0c66a9830d79678ca3c05ec</t>
  </si>
  <si>
    <t>enrique</t>
  </si>
  <si>
    <t>8b9127934238e9a03691225c734a0a71</t>
  </si>
  <si>
    <t>aleksandris@65</t>
  </si>
  <si>
    <t>08859d0f9792d49979be67db76959245</t>
  </si>
  <si>
    <t>fedd696dd0412c6e366b4baafb852036</t>
  </si>
  <si>
    <t>zxcvbn</t>
  </si>
  <si>
    <t>b427ebd39c845eb5417b7f7aaf1f9724</t>
  </si>
  <si>
    <t>TRM5mast</t>
  </si>
  <si>
    <t>d371bde5834d6a86ca9dbfc8d1ae7424</t>
  </si>
  <si>
    <t>6921845ebccd01c43e6cdf499f7d17a6</t>
  </si>
  <si>
    <t>badgirl</t>
  </si>
  <si>
    <t>a38564f4ea119ec8f1b9fa214859baab</t>
  </si>
  <si>
    <t>mapanao12</t>
  </si>
  <si>
    <t>56c02eb5d6be1396b6444eb8092a75c0</t>
  </si>
  <si>
    <t>3dafea6fe70878cc9cf258d293726a8b</t>
  </si>
  <si>
    <t>andrew1</t>
  </si>
  <si>
    <t>1e3cf6a218d8e9d0866ad89e7baa41d4</t>
  </si>
  <si>
    <t>123123sweet68tweet5</t>
  </si>
  <si>
    <t>542199c4323dbfc4da647c80ce619ac7</t>
  </si>
  <si>
    <t>975637456dcf1f300df61d5f641311af</t>
  </si>
  <si>
    <t>6dd9aa0b0606270d0875acb21546bedb</t>
  </si>
  <si>
    <t>tiontor1974</t>
  </si>
  <si>
    <t>611dd8483ed912e9d973be8f0eb743f4</t>
  </si>
  <si>
    <t>f0509219efd3aa455f32eba9ca99539a</t>
  </si>
  <si>
    <t>1bbd886460827015e5d605ed44252251</t>
  </si>
  <si>
    <t>riH5VFwW</t>
  </si>
  <si>
    <t>912a8202af390b96b95bf917d746fd76</t>
  </si>
  <si>
    <t>011b8a83022ddde16114b44bb2474315</t>
  </si>
  <si>
    <t>dancing</t>
  </si>
  <si>
    <t>611f1f7a0bc943f5eee6b2411f21be3b</t>
  </si>
  <si>
    <t>fyutkbyf51</t>
  </si>
  <si>
    <t>ba7f955ac57ab5e32576200303712b31</t>
  </si>
  <si>
    <t>4ae086c759932ae29c5e098b225e271e</t>
  </si>
  <si>
    <t>cuteme</t>
  </si>
  <si>
    <t>acd4b2c6a52764d815fb510c7fe5b33e</t>
  </si>
  <si>
    <t>yankeeslonelyboy444</t>
  </si>
  <si>
    <t>32266335000cd4be94cdeae521c2979d</t>
  </si>
  <si>
    <t>63b284342b72b7313ae66b69143123b5</t>
  </si>
  <si>
    <t>booger</t>
  </si>
  <si>
    <t>d615e0078551be8111ad222380b2cdbc</t>
  </si>
  <si>
    <t>klondike38</t>
  </si>
  <si>
    <t>85b4f28e49fd65082db32f6e878f8b52</t>
  </si>
  <si>
    <t>0b0430a888cdde7cd5498a6fc2d5b066</t>
  </si>
  <si>
    <t>amelia</t>
  </si>
  <si>
    <t>176226b2d51002d2590f048881560569</t>
  </si>
  <si>
    <t>born1986</t>
  </si>
  <si>
    <t>c29cf4f04c52e96352989a0128bbb8bf</t>
  </si>
  <si>
    <t>5259e3ba20bb78b99444b2cd9c982802</t>
  </si>
  <si>
    <t>vampire</t>
  </si>
  <si>
    <t>1c020611e3b753925ffc8af8745c0556</t>
  </si>
  <si>
    <t>346m5310</t>
  </si>
  <si>
    <t>9b3070680a33f1531601b83a4116a000</t>
  </si>
  <si>
    <t>0fe73d8289bc3bf6deb24cc2c0a7be2e</t>
  </si>
  <si>
    <t>skyline</t>
  </si>
  <si>
    <t>f5ddf8166360017ab573e218b2b7809c</t>
  </si>
  <si>
    <t>159357666ab</t>
  </si>
  <si>
    <t>1bfbf48ff25909ceb87f22cef0c55e3a</t>
  </si>
  <si>
    <t>ec57f8280250356bb81a2704bd402436</t>
  </si>
  <si>
    <t>chiquita</t>
  </si>
  <si>
    <t>ab7d7f7b966a5bc9739e3659c18db0b1</t>
  </si>
  <si>
    <t>wfswem2jmcn</t>
  </si>
  <si>
    <t>6c071b229a117a2a8bf392f54b7f464b</t>
  </si>
  <si>
    <t>946409508d6eba123d6595e813179e06</t>
  </si>
  <si>
    <t>angeles</t>
  </si>
  <si>
    <t>76bfaf88ae4d178d004bad31146faeed</t>
  </si>
  <si>
    <t>weemo195</t>
  </si>
  <si>
    <t>6e6e7a6b4d4dae6414785a4833df0f17</t>
  </si>
  <si>
    <t>2ab3567c9cb2b574387596e49989b367</t>
  </si>
  <si>
    <t>scoobydoo</t>
  </si>
  <si>
    <t>38371fef7d829c7f8b0e2fedf7a04334</t>
  </si>
  <si>
    <t>85danvir</t>
  </si>
  <si>
    <t>120186869a40e5173a75d083b85613fa</t>
  </si>
  <si>
    <t>26114e62e6c10b44b220de6e02bae1d7</t>
  </si>
  <si>
    <t>janine</t>
  </si>
  <si>
    <t>67c8502addf697b4f86bda78d53b1950</t>
  </si>
  <si>
    <t>xasan1990</t>
  </si>
  <si>
    <t>ca6513a881f6172e381575f101787f58</t>
  </si>
  <si>
    <t>c118f7e5322d34c88cad24f48a1aec8a</t>
  </si>
  <si>
    <t>tamara</t>
  </si>
  <si>
    <t>6f61924695bee393771882cc1e0e3096</t>
  </si>
  <si>
    <t>JVSyp6KL</t>
  </si>
  <si>
    <t>a2d3ae37291e91aab04aec161463f6a2</t>
  </si>
  <si>
    <t>4b615e27e9b3d86a2055e73809cf40c5</t>
  </si>
  <si>
    <t>carlitos</t>
  </si>
  <si>
    <t>86c06093b9c9351bcea13ba73dcf9502</t>
  </si>
  <si>
    <t>5VzRXz3P</t>
  </si>
  <si>
    <t>17a93c3d88f53698ec7ab8754053c25b</t>
  </si>
  <si>
    <t>b8396efa0d4237b514d7653343b826f1</t>
  </si>
  <si>
    <t>money1</t>
  </si>
  <si>
    <t>516bc9f8846654e478a2584516e1d0b4</t>
  </si>
  <si>
    <t>nm16061973</t>
  </si>
  <si>
    <t>872c9e163c0787f446995a0a66fe4d5c</t>
  </si>
  <si>
    <t>ec56acc3af8cf66ef1d85fef2de7688b</t>
  </si>
  <si>
    <t>sheila</t>
  </si>
  <si>
    <t>66dcaf1b4f523b9cc54d3aeba25c1fc1</t>
  </si>
  <si>
    <t>078FaYXv</t>
  </si>
  <si>
    <t>19c9dd932b93a3302b5ae48c6207b92b</t>
  </si>
  <si>
    <t>cf316e5af4b28e59d8f5dc6a0c4a4e53</t>
  </si>
  <si>
    <t>justme</t>
  </si>
  <si>
    <t>0babab16fabc4cf5ecf2f68d54ef6cfc</t>
  </si>
  <si>
    <t>datito01</t>
  </si>
  <si>
    <t>1ca4c4524f64383d8d4447cbbec9c3b2</t>
  </si>
  <si>
    <t>ireland</t>
  </si>
  <si>
    <t>a66f852274a441f4f9676b070c0c64db</t>
  </si>
  <si>
    <t>KickAss1</t>
  </si>
  <si>
    <t>299d7150fd9b1258e5c9e3e51871875f</t>
  </si>
  <si>
    <t>b08b5cf253afae0005bed5e6962d33b2</t>
  </si>
  <si>
    <t>kittycat</t>
  </si>
  <si>
    <t>0ed5819ead9c9e11ddf202ae0b2993e4</t>
  </si>
  <si>
    <t>ipzfrab8</t>
  </si>
  <si>
    <t>58cf3223b98a7bbdb563c25149e79bd4</t>
  </si>
  <si>
    <t>228de1d74152e506b690874e1fd97fd7</t>
  </si>
  <si>
    <t>hotdog</t>
  </si>
  <si>
    <t>9d1ce632ce21568d9dd2e41f5aa7a149</t>
  </si>
  <si>
    <t>bi581228</t>
  </si>
  <si>
    <t>b002e89806b89126fc33f5f0913c87e4</t>
  </si>
  <si>
    <t>caccdccb00b3c7c5c5c47d7f4dcc37af</t>
  </si>
  <si>
    <t>yamaha</t>
  </si>
  <si>
    <t>501a60a2b28ba8e6a95ce30c11877fda</t>
  </si>
  <si>
    <t>net080910</t>
  </si>
  <si>
    <t>c95d638872ded2b15ffb50013e94978b</t>
  </si>
  <si>
    <t>aefe78d8b38bb4afa63493b2b8eb687e</t>
  </si>
  <si>
    <t>tristan</t>
  </si>
  <si>
    <t>898a090de9398bff31633e458a9f99b7</t>
  </si>
  <si>
    <t>porsche0911</t>
  </si>
  <si>
    <t>61713cb3f3e5db4dcb9e225c56a22f8a</t>
  </si>
  <si>
    <t>a0efd139b238569240e148871c985ab1</t>
  </si>
  <si>
    <t>harvey</t>
  </si>
  <si>
    <t>3d83f27f0845faf9fa80e1a8f0f7ea75</t>
  </si>
  <si>
    <t>JULIE123</t>
  </si>
  <si>
    <t>9e25693888d344eecec0abea3d011bed</t>
  </si>
  <si>
    <t>311c3c3773717ee79f9be888b7b331a2</t>
  </si>
  <si>
    <t>israel</t>
  </si>
  <si>
    <t>3f8454b7f2c12cebb1622b6b0dfd1021</t>
  </si>
  <si>
    <t>kfpfhtd1996</t>
  </si>
  <si>
    <t>6973549cf65a4978ccb33df98972d779</t>
  </si>
  <si>
    <t>87ef1a9862548d7361e8bf2c57f253ba</t>
  </si>
  <si>
    <t>legolas</t>
  </si>
  <si>
    <t>03f690195f59c32d566cfb79383e01c8</t>
  </si>
  <si>
    <t>bilgisayar30</t>
  </si>
  <si>
    <t>c86f9320b42f32d2f44d26dbf663ac0e</t>
  </si>
  <si>
    <t>30bf0f130f0baf96710fe95c1c27c724</t>
  </si>
  <si>
    <t>michelle1</t>
  </si>
  <si>
    <t>4d27f59252be0fc1d2d11105a635790b</t>
  </si>
  <si>
    <t>passtercio_1982</t>
  </si>
  <si>
    <t>e5c6fd5fc6929b90bfdc1b0d813280db</t>
  </si>
  <si>
    <t>97210bcef15e4b4752c10571d41a2c1e</t>
  </si>
  <si>
    <t>maddie</t>
  </si>
  <si>
    <t>bde33ad99d5ff1a28be9c820170abb7a</t>
  </si>
  <si>
    <t>a17jikkz</t>
  </si>
  <si>
    <t>b19dfdd5a9da4a7cc055428ceaf60df8</t>
  </si>
  <si>
    <t>d06f59b4b8a864551e822c4038ba3194</t>
  </si>
  <si>
    <t>angie</t>
  </si>
  <si>
    <t>ca611ff5688d31eecbe58cd802d812d7</t>
  </si>
  <si>
    <t>11235813sol</t>
  </si>
  <si>
    <t>8304ab614a62208df143ed288b198296</t>
  </si>
  <si>
    <t>1f271720129aba53d04763c49f4ddcb1</t>
  </si>
  <si>
    <t>cinderella</t>
  </si>
  <si>
    <t>583fea53729bcb119bc1099a0dc5e73d</t>
  </si>
  <si>
    <t>phwpU3sBgo4Zg</t>
  </si>
  <si>
    <t>f8ac819d9f07876806d760577c080aec</t>
  </si>
  <si>
    <t>b8f3b851ed8af12ed08740ee97fbce12</t>
  </si>
  <si>
    <t>jesuschrist</t>
  </si>
  <si>
    <t>4e671d1f5972f2fe1d8a3215db5167fd</t>
  </si>
  <si>
    <t>dr1976mr</t>
  </si>
  <si>
    <t>72623209be9ac91feb010d31cc9689c4</t>
  </si>
  <si>
    <t>a4058fb8c92f61f40b54d55c09a30063</t>
  </si>
  <si>
    <t>lester</t>
  </si>
  <si>
    <t>21426b290d975ec5d264c38031da8fac</t>
  </si>
  <si>
    <t>5Strings</t>
  </si>
  <si>
    <t>1a0be618a201a8d52afd0624e9109bcf</t>
  </si>
  <si>
    <t>afc1b0ee9780328fe7e0653bc2228cfb</t>
  </si>
  <si>
    <t>ashton</t>
  </si>
  <si>
    <t>014cf0a8b3db0da6fb767f8aa9c96ec3</t>
  </si>
  <si>
    <t>qrewbb16</t>
  </si>
  <si>
    <t>3d3709e024d3ca1b0a3c63c2e73c8ce4</t>
  </si>
  <si>
    <t>3792969ee35b2df26aea89303ac6d7e8</t>
  </si>
  <si>
    <t>ilovejesus</t>
  </si>
  <si>
    <t>391b0faa493ef8c22764116926185295</t>
  </si>
  <si>
    <t>W8S1NZR2A</t>
  </si>
  <si>
    <t>34936445d5bf75de7af6de3ec6eb79cb</t>
  </si>
  <si>
    <t>tazmania</t>
  </si>
  <si>
    <t>3f7f2c13134df712822cd003ebcb3959</t>
  </si>
  <si>
    <t>niche1893</t>
  </si>
  <si>
    <t>e36629e86eb69ed951f44882c0e45b3c</t>
  </si>
  <si>
    <t>5fffbfc32a6e8a0bdebd4022d4107af8</t>
  </si>
  <si>
    <t>remember</t>
  </si>
  <si>
    <t>dc3c99bb4e249a95567a2bf7d5f327ed</t>
  </si>
  <si>
    <t>true2luv</t>
  </si>
  <si>
    <t>d83f4188ecf2901c32f50f54b78a636f</t>
  </si>
  <si>
    <t>2ca0970b3f4d2b3a8bcc21154edea897</t>
  </si>
  <si>
    <t>xxxxxx</t>
  </si>
  <si>
    <t>dad3a37aa9d50688b5157698acfd7aee</t>
  </si>
  <si>
    <t>seash123</t>
  </si>
  <si>
    <t>ffab7cf03970457842fe48eecbc0894e</t>
  </si>
  <si>
    <t>tekiero</t>
  </si>
  <si>
    <t>4d3c4b3b4f843d807043c53b0723aa45</t>
  </si>
  <si>
    <t>hlebinio0101</t>
  </si>
  <si>
    <t>b5526d3a45bc7c49f9c3516332238135</t>
  </si>
  <si>
    <t>thebest</t>
  </si>
  <si>
    <t>e022516b41f20607ff76f00c7f594692</t>
  </si>
  <si>
    <t>zzzxxxccc111</t>
  </si>
  <si>
    <t>cc6f5364d03cfe8531a594a76f5d96ca</t>
  </si>
  <si>
    <t>764b78b3c4a2517a22d8c14bb0ca12a4</t>
  </si>
  <si>
    <t>princesita</t>
  </si>
  <si>
    <t>00d0761b89d5a45887ed77eb33da3d13</t>
  </si>
  <si>
    <t>$y5AJEnU3Ary2a</t>
  </si>
  <si>
    <t>a620955e813793cf9bf53692020af255</t>
  </si>
  <si>
    <t>21d41284e18d3c164e6ea7c60cddf2f8</t>
  </si>
  <si>
    <t>lucky7</t>
  </si>
  <si>
    <t>f02efd314f1bbaa8ff3906f40ff7565d</t>
  </si>
  <si>
    <t>femiii10</t>
  </si>
  <si>
    <t>295a166faabf58f26d85d309ab687891</t>
  </si>
  <si>
    <t>06140f6106796142da4d09ab23a86be7</t>
  </si>
  <si>
    <t>jesucristo</t>
  </si>
  <si>
    <t>bf0cf5a99e3544796adb2a60d587bc58</t>
  </si>
  <si>
    <t>katen6ka0972912501</t>
  </si>
  <si>
    <t>39c006671cb8b4df119c0d6e284e20a1</t>
  </si>
  <si>
    <t>a335ae66bb1e16c647de3d7a5b018c0e</t>
  </si>
  <si>
    <t>peewee</t>
  </si>
  <si>
    <t>fae4b496d36f9e86afa21258fb1777f4</t>
  </si>
  <si>
    <t>mgdkrnkmr34</t>
  </si>
  <si>
    <t>fefac3707cf6204960b4424eee173eb3</t>
  </si>
  <si>
    <t>ee5fbef4986ba95f16b8e5504c5aeef7</t>
  </si>
  <si>
    <t>paloma</t>
  </si>
  <si>
    <t>a20df7f02202e665e6a7b674bbfb1fcc</t>
  </si>
  <si>
    <t>sooners22</t>
  </si>
  <si>
    <t>8092df6aae85f309ed66601072bce47e</t>
  </si>
  <si>
    <t>734ced8b30650768bbe0874d8a739961</t>
  </si>
  <si>
    <t>buddy1</t>
  </si>
  <si>
    <t>002d31273f3023b97aa745bc15393416</t>
  </si>
  <si>
    <t>cjkysirj835</t>
  </si>
  <si>
    <t>186f3bd036cf73cb76e8fff5f5c402ce</t>
  </si>
  <si>
    <t>7d0b0465e4aeefcfed0f83cea6d6303c</t>
  </si>
  <si>
    <t>deedee</t>
  </si>
  <si>
    <t>305b06b5aef518b151544a85ea643017</t>
  </si>
  <si>
    <t>4qePbMs6</t>
  </si>
  <si>
    <t>e822738089af73cee2a3e9d53c18df2a</t>
  </si>
  <si>
    <t>3956e6dbf417dade05dd35d69f12e89f</t>
  </si>
  <si>
    <t>miriam</t>
  </si>
  <si>
    <t>277f8d77fceb01b44add2092ff8bbc33</t>
  </si>
  <si>
    <t>kx8dEVyzwg</t>
  </si>
  <si>
    <t>70e6897cd01c4cda88d9b718e862c140</t>
  </si>
  <si>
    <t>b232c3cb059f6ddbdcc9c365ef05f32f</t>
  </si>
  <si>
    <t>april</t>
  </si>
  <si>
    <t>37d153a06c79e99e4de5889dbe2e7c57</t>
  </si>
  <si>
    <t>a89226708209</t>
  </si>
  <si>
    <t>01529c1ad30d13e56ec8955eefbb8932</t>
  </si>
  <si>
    <t>747dd2f2568e9ced11c91cb87b2b56f7</t>
  </si>
  <si>
    <t>patches</t>
  </si>
  <si>
    <t>6b0d3600d50944ab08b6145722eaa7c2</t>
  </si>
  <si>
    <t>tolar4291</t>
  </si>
  <si>
    <t>b9df44620e7bae14572f69ae9112f6a4</t>
  </si>
  <si>
    <t>3b6779488d03eb3eea710a947f6ab2c8</t>
  </si>
  <si>
    <t>regina</t>
  </si>
  <si>
    <t>221182760f5b980c97c7a74a94d57364</t>
  </si>
  <si>
    <t>adultery3290</t>
  </si>
  <si>
    <t>aa93511b519dfe4f9488d9186bebf764</t>
  </si>
  <si>
    <t>cf1ee061506cf769c1f0e27b0ba90676</t>
  </si>
  <si>
    <t>janice</t>
  </si>
  <si>
    <t>33c3b540d3fd85d539f72d48b5f2615e</t>
  </si>
  <si>
    <t>iuxnenko11</t>
  </si>
  <si>
    <t>31632ae6a8cbb86b70519b614ea89a83</t>
  </si>
  <si>
    <t>d9a982e30423e594a60fb4f9202f9acf</t>
  </si>
  <si>
    <t>cowboys</t>
  </si>
  <si>
    <t>72a97fb793d496318518aebc7e9298b2</t>
  </si>
  <si>
    <t>ptktym2010</t>
  </si>
  <si>
    <t>a0cde8f86f11576f47bf81b98f6cc3f8</t>
  </si>
  <si>
    <t>db8d6d564bd3d6cb0ef0f727854188e0</t>
  </si>
  <si>
    <t>myself</t>
  </si>
  <si>
    <t>0bf83831ea4a1fb853e6d38ff5d43737</t>
  </si>
  <si>
    <t>siroj1995</t>
  </si>
  <si>
    <t>58cb34fc0ff7a1f7d8b100a84ea91cfa</t>
  </si>
  <si>
    <t>01dd99419e5ceca90273a476f46e5398</t>
  </si>
  <si>
    <t>lipgloss</t>
  </si>
  <si>
    <t>3798804381576f2fe776c1263366bae5</t>
  </si>
  <si>
    <t>djkrjdf007</t>
  </si>
  <si>
    <t>2a942508b2b6b2e7b52960b3934c8308</t>
  </si>
  <si>
    <t>jazmin</t>
  </si>
  <si>
    <t>848069be239e0652978632c56c11b487</t>
  </si>
  <si>
    <t>xk2L6AT6</t>
  </si>
  <si>
    <t>07bc67c58efd88ffc3c3a710b162757f</t>
  </si>
  <si>
    <t>9cb73492ccc0986a014dc8c47aca5925</t>
  </si>
  <si>
    <t>rosita</t>
  </si>
  <si>
    <t>2d979f8c869461e578862aa6c5467cea</t>
  </si>
  <si>
    <t>adeloya2</t>
  </si>
  <si>
    <t>afe11cb1deda26f12d9634f6d41041a5</t>
  </si>
  <si>
    <t>9f624f2c6e042486d4d7df248cf15e85</t>
  </si>
  <si>
    <t>happy1</t>
  </si>
  <si>
    <t>3b03c7ea09871a75dce2e403ef28111f</t>
  </si>
  <si>
    <t>23ornot2</t>
  </si>
  <si>
    <t>1bf59a3447d3e84086b5d1d1a1a3f584</t>
  </si>
  <si>
    <t>f2646065eeb5e713a8929826f4104da8</t>
  </si>
  <si>
    <t>felipe</t>
  </si>
  <si>
    <t>7e04da88cbb8cc933c7b89fbfe121cca</t>
  </si>
  <si>
    <t>ggwPNinn11131230</t>
  </si>
  <si>
    <t>4a4d786aeaaa495b94149705d8d3b3e4</t>
  </si>
  <si>
    <t>chichi</t>
  </si>
  <si>
    <t>4805df3f93d2fd44d85d536abab5b7a8</t>
  </si>
  <si>
    <t>puitsfleuri57811</t>
  </si>
  <si>
    <t>0a3d05d348175a5939b721e6564d72c4</t>
  </si>
  <si>
    <t>1cedbf5cbcc15a95da1f0abd8b60fa02</t>
  </si>
  <si>
    <t>pangit</t>
  </si>
  <si>
    <t>850fdea720e5d80c4fc4ffe21b3d894b</t>
  </si>
  <si>
    <t>san27dra</t>
  </si>
  <si>
    <t>3f7ad92d0aca3b8353bd85eb77629f1a</t>
  </si>
  <si>
    <t>8b80bf8ca401fc5dc0dc6c8f037980e5</t>
  </si>
  <si>
    <t>mierda</t>
  </si>
  <si>
    <t>14f87ec1e760d16c0380c74ec7678b04</t>
  </si>
  <si>
    <t>15temmuz</t>
  </si>
  <si>
    <t>7e0954a1d6c793432999958ae50fc369</t>
  </si>
  <si>
    <t>245d9b426856bb8e1e5e82e69d9061bf</t>
  </si>
  <si>
    <t>genius</t>
  </si>
  <si>
    <t>5912d7bfd10f631f1715bf85bbb72d97</t>
  </si>
  <si>
    <t>fo9kz695</t>
  </si>
  <si>
    <t>554427ef20671e5177cbb093ff45115b</t>
  </si>
  <si>
    <t>b447202c48e1e206a20136e3f34a7653</t>
  </si>
  <si>
    <t>b64f1a77b1b317d347f5cb79332c86d2</t>
  </si>
  <si>
    <t>bigpig23</t>
  </si>
  <si>
    <t>def26252ce31302ada5e1eadd27a230b</t>
  </si>
  <si>
    <t>12ad3bd70c16a998a882972ef804c6b8</t>
  </si>
  <si>
    <t>hernandez</t>
  </si>
  <si>
    <t>f57661026a1df28b21b4d6c200d63a60</t>
  </si>
  <si>
    <t>SL3PG3mJ</t>
  </si>
  <si>
    <t>46ca209190912c2e8f0c50e3a455df89</t>
  </si>
  <si>
    <t>d823a769f9d7c257491b5b7d11707897</t>
  </si>
  <si>
    <t>awesome</t>
  </si>
  <si>
    <t>be121740bf988b2225a313fa1f107ca1</t>
  </si>
  <si>
    <t>Qbz9Ba6e</t>
  </si>
  <si>
    <t>04e4b64e7353c9b6bfa9a10eaab6dc13</t>
  </si>
  <si>
    <t>a9f3e60bcd677759bffdf26bb48fee00</t>
  </si>
  <si>
    <t>walter</t>
  </si>
  <si>
    <t>841d93525b9f0960ceaf38f4fdf22e2e</t>
  </si>
  <si>
    <t>18021975s</t>
  </si>
  <si>
    <t>696e7b07cd2723b6768cd93369c42d45</t>
  </si>
  <si>
    <t>89596fd5343680bcdbcd82ebdfabfb5a</t>
  </si>
  <si>
    <t>tinker</t>
  </si>
  <si>
    <t>bae382c188d0a07282e0a6535d5aa3ce</t>
  </si>
  <si>
    <t>672184nk</t>
  </si>
  <si>
    <t>dde003fe688c3dc96ddb3bea5110392e</t>
  </si>
  <si>
    <t>2ae5051a0e1825168130a68f5b15f849</t>
  </si>
  <si>
    <t>arturo</t>
  </si>
  <si>
    <t>65deafcf3c1ad1751415736c4cc11f76</t>
  </si>
  <si>
    <t>cachalot2001</t>
  </si>
  <si>
    <t>3ada1116b51fb749c047eb06255dd4be</t>
  </si>
  <si>
    <t>b18da47172f1155ec103e346ec439606</t>
  </si>
  <si>
    <t>silvia</t>
  </si>
  <si>
    <t>e5cb7c411f1d9a67f68deff4a954cfbc</t>
  </si>
  <si>
    <t>kingconnor677</t>
  </si>
  <si>
    <t>c1d73d7918b5d609da354ff60f53730c</t>
  </si>
  <si>
    <t>d3c0015e1794463d30e4499abc8ade1e</t>
  </si>
  <si>
    <t>melvin</t>
  </si>
  <si>
    <t>dabd018f98476c1f6eb2f23e8d9b8920</t>
  </si>
  <si>
    <t>77bronco</t>
  </si>
  <si>
    <t>ad2b46177b158f6df546ddcc82fcdb37</t>
  </si>
  <si>
    <t>d901b4c458de2b63c00f0c21dc202f87</t>
  </si>
  <si>
    <t>celeste</t>
  </si>
  <si>
    <t>e138262cdff78ec6b6db6a3183fc28f4</t>
  </si>
  <si>
    <t>canguro1</t>
  </si>
  <si>
    <t>55fd24f504c167ef9e2fae217f1e0c2a</t>
  </si>
  <si>
    <t>47e8b51ec1f90a703edd05ef2b4a9a6e</t>
  </si>
  <si>
    <t>pussycat</t>
  </si>
  <si>
    <t>fd316a211a7178c6fbf09c4c2ac6fa05</t>
  </si>
  <si>
    <t>635102irina</t>
  </si>
  <si>
    <t>fedf88513cbaabfd18aed6171e8b52ae</t>
  </si>
  <si>
    <t>1781e4129c7011da379d53b4193cad52</t>
  </si>
  <si>
    <t>gorgeous</t>
  </si>
  <si>
    <t>c09d2644aa265a0b675c380b14fe0922</t>
  </si>
  <si>
    <t>monroe8foe</t>
  </si>
  <si>
    <t>be6c7f19eb382e613c57a2c765fe6239</t>
  </si>
  <si>
    <t>1c440f4701ecd2d03f4bf09697f0230d</t>
  </si>
  <si>
    <t>david1</t>
  </si>
  <si>
    <t>5ff84c7646419ffeb65cb5625de99723</t>
  </si>
  <si>
    <t>4944cabbages</t>
  </si>
  <si>
    <t>9ba160a1fda8f6cab57ea7c110aaf0d3</t>
  </si>
  <si>
    <t>34d49fa96eebd2c2a79cb3bc97ac16d7</t>
  </si>
  <si>
    <t>molly</t>
  </si>
  <si>
    <t>ed6658e6f22583ed66fb5e5e735b9e63</t>
  </si>
  <si>
    <t>c4dffd76</t>
  </si>
  <si>
    <t>ee2fd185ec4b377633c9568a9137b6a8</t>
  </si>
  <si>
    <t>e0f8d4aa4cc5dae426082fe747ea1807</t>
  </si>
  <si>
    <t>honeyko</t>
  </si>
  <si>
    <t>cd170e03a6fe75cebaf146bffc1a66d7</t>
  </si>
  <si>
    <t>8DotSQZ6</t>
  </si>
  <si>
    <t>9c8dfd621be6301d77b7405506173de4</t>
  </si>
  <si>
    <t>44f5e8effcafedb1801f3b2eba27a1f2</t>
  </si>
  <si>
    <t>mylife</t>
  </si>
  <si>
    <t>239439e63009758454c246c459399c8d</t>
  </si>
  <si>
    <t>irena111075</t>
  </si>
  <si>
    <t>e0941a50c0ff3cba0a82be0108ad5a2f</t>
  </si>
  <si>
    <t>animal</t>
  </si>
  <si>
    <t>1e4483e833025ac10e6184e75cb2d19d</t>
  </si>
  <si>
    <t>24Gabusk</t>
  </si>
  <si>
    <t>9a298ace184b74627249f41498edff26</t>
  </si>
  <si>
    <t>e6601ac184312a0b03d61d6bbfe7c398</t>
  </si>
  <si>
    <t>penguin</t>
  </si>
  <si>
    <t>24f7ca5f6ff1a5afb9032aa5e533ad95</t>
  </si>
  <si>
    <t>pavlo1979</t>
  </si>
  <si>
    <t>9f3b8a53174f8e9840c014334a05e9fa</t>
  </si>
  <si>
    <t>7e0d8b79cdd3457cb1b7df840b669891</t>
  </si>
  <si>
    <t>babyboo</t>
  </si>
  <si>
    <t>0a1209c812b23a7b1c4ce664e3036822</t>
  </si>
  <si>
    <t>ezuc7e4t</t>
  </si>
  <si>
    <t>0fb87fe3a54c2b6d2f9e854417cff545</t>
  </si>
  <si>
    <t>c645c48512190f0411ee9b472d48ef66</t>
  </si>
  <si>
    <t>loveu</t>
  </si>
  <si>
    <t>5b0535cca532b8ae920269ab4bedec21</t>
  </si>
  <si>
    <t>LJEP8328tOeV</t>
  </si>
  <si>
    <t>6afe1d363eba8628dd2b1ce61f679ef2</t>
  </si>
  <si>
    <t>ce3d7079aa1542cf2fb7498ce8418e77</t>
  </si>
  <si>
    <t>simpsons</t>
  </si>
  <si>
    <t>39b4fb4846c99c1d41a4e015da0b60bc</t>
  </si>
  <si>
    <t>tshira80</t>
  </si>
  <si>
    <t>75e22c94b54ae0807f92080becbf7cde</t>
  </si>
  <si>
    <t>7eef24e7a5347615222e5b4d5cb5fcad</t>
  </si>
  <si>
    <t>lupita</t>
  </si>
  <si>
    <t>51f4325b2859484f6fb0a5a400cf65c1</t>
  </si>
  <si>
    <t>aqwert112</t>
  </si>
  <si>
    <t>6a61fb5c5e5a84133039aff3941dbbfb</t>
  </si>
  <si>
    <t>ok&lt;bdkx]6d</t>
  </si>
  <si>
    <t>cf02ede0d13863e599c9c475b8c51876</t>
  </si>
  <si>
    <t>boomer</t>
  </si>
  <si>
    <t>f49a2d8a11396bdab11fc873893c8fd7</t>
  </si>
  <si>
    <t>crolic80</t>
  </si>
  <si>
    <t>7bcc31a2a73c24aebce3f86890f3a592</t>
  </si>
  <si>
    <t>2d8a3c1b3eb430b28545a48e0bfcb3b8</t>
  </si>
  <si>
    <t>panthers</t>
  </si>
  <si>
    <t>7d07a1df8110fe550c6ad2f88d3c7e98</t>
  </si>
  <si>
    <t>baller27</t>
  </si>
  <si>
    <t>277cb64ccc03db805e2e3f6a420d9ede</t>
  </si>
  <si>
    <t>1bb70905b7a0158b8c98a7fc38a35dc5</t>
  </si>
  <si>
    <t>hollywood</t>
  </si>
  <si>
    <t>13a224ef920af18191b809f1a9d48c19</t>
  </si>
  <si>
    <t>7n4gi4jh</t>
  </si>
  <si>
    <t>ac9df13fcdbf1d29aaffa799c75bb867</t>
  </si>
  <si>
    <t>6c3628a78213ea8702013fd551d19ddb</t>
  </si>
  <si>
    <t>alfredo</t>
  </si>
  <si>
    <t>5c2bf15004e661d7b7c9394617143d07</t>
  </si>
  <si>
    <t>EQu2YMu5a#AhEm</t>
  </si>
  <si>
    <t>76ccbab7fda6d2a12e116247879f1ab8</t>
  </si>
  <si>
    <t>6a1a63cb54b9f0f024f5b41b0ca4f25b</t>
  </si>
  <si>
    <t>musica</t>
  </si>
  <si>
    <t>ddc88111e7c6437760bf9c1e7f267b47</t>
  </si>
  <si>
    <t>margae44</t>
  </si>
  <si>
    <t>971fe84c3c5a12fa2fa6862e77fe0a78</t>
  </si>
  <si>
    <t>1fd960ebbcf88c70229da58996a99e76</t>
  </si>
  <si>
    <t>johnson</t>
  </si>
  <si>
    <t>79ab945544e5bc017a2317b6146ed3aa</t>
  </si>
  <si>
    <t>pinkfloyd1971</t>
  </si>
  <si>
    <t>6565681fefd2cd59f720e13207e9b388</t>
  </si>
  <si>
    <t>a378df807b2fd72943282a5358169bf8</t>
  </si>
  <si>
    <t>ilovegod</t>
  </si>
  <si>
    <t>186d7a2bc7bd26c5237d077c3939f089</t>
  </si>
  <si>
    <t>TRIALTEST01</t>
  </si>
  <si>
    <t>7a2b800d3c5aa2d1d37e36199e1ea381</t>
  </si>
  <si>
    <t>0a4bf83629c46655d396ed8f4e2d316b</t>
  </si>
  <si>
    <t>hawaii</t>
  </si>
  <si>
    <t>6e8b08a1285fda750437a1677b0d3286</t>
  </si>
  <si>
    <t>itsover1</t>
  </si>
  <si>
    <t>b5fcf04438de73ea7320988f1cd1d177</t>
  </si>
  <si>
    <t>68a208e488da2d3b1ca24eadb463444e</t>
  </si>
  <si>
    <t>sparkle</t>
  </si>
  <si>
    <t>5aa910da8a49fd01d52e96843945c921</t>
  </si>
  <si>
    <t>p199313m</t>
  </si>
  <si>
    <t>2554a0df5b11a36c8cefe1c3d13996ea</t>
  </si>
  <si>
    <t>7c23748d490b860f2d5f6310668c624c</t>
  </si>
  <si>
    <t>kristina</t>
  </si>
  <si>
    <t>15ab465b07f1e770d2ca747ca567384a</t>
  </si>
  <si>
    <t>3151020s</t>
  </si>
  <si>
    <t>f7420e3a65b3c9d8ce80148593778299</t>
  </si>
  <si>
    <t>ac8c37b8d2041512fb73d055b05c6245</t>
  </si>
  <si>
    <t>sexymama</t>
  </si>
  <si>
    <t>bb62773279b6b88e1926c2aad8b61392</t>
  </si>
  <si>
    <t>Lila0876</t>
  </si>
  <si>
    <t>89e1ce8cd7b8eb7c09ca038c88c1ad62</t>
  </si>
  <si>
    <t>900f322c3d87f732d1e4babb9493ffe0</t>
  </si>
  <si>
    <t>crazy</t>
  </si>
  <si>
    <t>297aae72cc4d0d068f46a9158469e34d</t>
  </si>
  <si>
    <t>11FG22BA</t>
  </si>
  <si>
    <t>2399f52cdb4ff07388eb42d8678e9e0b</t>
  </si>
  <si>
    <t>1a6de2e43dd60b93e27c9fb663e27edb</t>
  </si>
  <si>
    <t>valerie</t>
  </si>
  <si>
    <t>6818bab4da85a3a138cdfa35cfc7a64f</t>
  </si>
  <si>
    <t>blueclaw2</t>
  </si>
  <si>
    <t>19ae4ed32d1ee682db00aefb40645a97</t>
  </si>
  <si>
    <t>ba4e38acc846dfa984fb73bfb0be4fb8</t>
  </si>
  <si>
    <t>spencer</t>
  </si>
  <si>
    <t>942b9a7505b687fbf417803b120702b2</t>
  </si>
  <si>
    <t>divya4150</t>
  </si>
  <si>
    <t>bdc033e65627055e012116e5f2c4004e</t>
  </si>
  <si>
    <t>dc03d13391ee1050831110b30a565fa1</t>
  </si>
  <si>
    <t>scarface</t>
  </si>
  <si>
    <t>1f65f18952eaf3c8aedeb7f7e2ea6cda</t>
  </si>
  <si>
    <t>ol88ol22</t>
  </si>
  <si>
    <t>e095009d129f5d4f31aedaf94c269cb5</t>
  </si>
  <si>
    <t>10ecb6b40725985e26176de3cb3c53a2</t>
  </si>
  <si>
    <t>hardcore</t>
  </si>
  <si>
    <t>fe81a4f28e6bd176efc8184d58544e66</t>
  </si>
  <si>
    <t>CkHT2cu1YjSWU</t>
  </si>
  <si>
    <t>5cdce9bf5385aacd4d527d19e66301a5</t>
  </si>
  <si>
    <t>a2388ac11cf0ff7303c546584e7543bc</t>
  </si>
  <si>
    <t>a8698009bce6d1b8c2128eddefc25aad</t>
  </si>
  <si>
    <t>alenka24061982</t>
  </si>
  <si>
    <t>cb4f6577136c6685827878728398cc9a</t>
  </si>
  <si>
    <t>9adcdfde40397a2467fd7449fd3c3600</t>
  </si>
  <si>
    <t>dd4b21e9ef71e1291183a46b913ae6f2</t>
  </si>
  <si>
    <t>gingerfenrir11</t>
  </si>
  <si>
    <t>83d8207a74b4dcad5238549257b040b6</t>
  </si>
  <si>
    <t>4a251b901a70aed297832118fa8eb368</t>
  </si>
  <si>
    <t>winter</t>
  </si>
  <si>
    <t>f6432274349b5cb93433f8ed886a3f37</t>
  </si>
  <si>
    <t>goro03121978</t>
  </si>
  <si>
    <t>f7f2560c70841a8ad276e7f30c87741f</t>
  </si>
  <si>
    <t>230599ee0f804f96a196d5dd585f81d3</t>
  </si>
  <si>
    <t>hailey</t>
  </si>
  <si>
    <t>93d2f1dce3ee89ce5b05e9e057ac925e</t>
  </si>
  <si>
    <t>nazarbai2011</t>
  </si>
  <si>
    <t>7a4b404f26d33eff97dee8364086c31c</t>
  </si>
  <si>
    <t>5c18f3e4166fe7fa3568d380a7a2a3d7</t>
  </si>
  <si>
    <t>trixie</t>
  </si>
  <si>
    <t>7d055a0d2791d1313454f923356ef122</t>
  </si>
  <si>
    <t>hnhrz0weye</t>
  </si>
  <si>
    <t>deb6adb1cabdb2e796b478a9be1377a6</t>
  </si>
  <si>
    <t>ea6e9944dfacbb0eef5b81f13c648499</t>
  </si>
  <si>
    <t>hayden</t>
  </si>
  <si>
    <t>a417816ec35f5e1f31688bd9c52754a3</t>
  </si>
  <si>
    <t>yarlakov198</t>
  </si>
  <si>
    <t>ebf72e3a6f80e4502dc0a24b46e8649c</t>
  </si>
  <si>
    <t>a7cc076ceead94611d8891082cd7af30</t>
  </si>
  <si>
    <t>micheal</t>
  </si>
  <si>
    <t>b78d7cd4555821042a70d9ec034b0dea</t>
  </si>
  <si>
    <t>licenado1</t>
  </si>
  <si>
    <t>cf598322ff7ea4cd414f271a2b38ddfe</t>
  </si>
  <si>
    <t>7163f92adf7e8eb5efc52098df4a6000</t>
  </si>
  <si>
    <t>wesley</t>
  </si>
  <si>
    <t>a09f91f8be77e65b371a64bf1d8305c9</t>
  </si>
  <si>
    <t>nightwolf132</t>
  </si>
  <si>
    <t>398afa26423f14ff90db555636540b3e</t>
  </si>
  <si>
    <t>1a186ffac9059b3574038738b7d80473</t>
  </si>
  <si>
    <t>8cc946123dcf3c00c15de91c11db056f</t>
  </si>
  <si>
    <t>mn6jh7uy</t>
  </si>
  <si>
    <t>7f7b43d4304a11085ee43fcc17674469</t>
  </si>
  <si>
    <t>5f5d06e7a8e9e76bdd0b798dd0aa0769</t>
  </si>
  <si>
    <t>6fb42da0e32e07b61c9f0251fe627a9c</t>
  </si>
  <si>
    <t>uhwef89361986gj</t>
  </si>
  <si>
    <t>5ded59464299e60e134c38563373c3d8</t>
  </si>
  <si>
    <t>304cbea4134fd89091648d4b6b436870</t>
  </si>
  <si>
    <t>marisol</t>
  </si>
  <si>
    <t>e8b129f85d154480f40cbb0ffe177766</t>
  </si>
  <si>
    <t>Alfit1982mag74</t>
  </si>
  <si>
    <t>34a9b166d22d4bf1972700dbc9e15bf4</t>
  </si>
  <si>
    <t>f0e2ac6fb00e046b2092d5001020a223</t>
  </si>
  <si>
    <t>nikita</t>
  </si>
  <si>
    <t>b00a50c448238a71ed479f81fa4d9066</t>
  </si>
  <si>
    <t>MV8dSxyR</t>
  </si>
  <si>
    <t>991685b9369e1166d3613ccf86d1b7a4</t>
  </si>
  <si>
    <t>7217e600d2a3af3b8d03c3b84e114366</t>
  </si>
  <si>
    <t>daisy</t>
  </si>
  <si>
    <t>df4b892324bbb648f27734b55c206b4b</t>
  </si>
  <si>
    <t>letmeintunis68</t>
  </si>
  <si>
    <t>692abc6ae46f321c88451cd3b9c936a5</t>
  </si>
  <si>
    <t>217705393b053a33ed966d341ff07f0b</t>
  </si>
  <si>
    <t>jeremiah</t>
  </si>
  <si>
    <t>4b8c9c9ad8aacf241196afc2f82aefc1</t>
  </si>
  <si>
    <t>lopupi42</t>
  </si>
  <si>
    <t>c82a0158ecf6dfef6136b105b1085f41</t>
  </si>
  <si>
    <t>76ba23fdb580190cbf5ec1755bcd5539</t>
  </si>
  <si>
    <t>pineapple</t>
  </si>
  <si>
    <t>9dee45a24efffc78483a02cfcfd83433</t>
  </si>
  <si>
    <t>01041974h</t>
  </si>
  <si>
    <t>0342b09ffc122252dfef0b8e0df6ff57</t>
  </si>
  <si>
    <t>1ec8abe6a234fad2c7c3f3cfcc2998a5</t>
  </si>
  <si>
    <t>mhine</t>
  </si>
  <si>
    <t>b5cf4e3f417db6283de345b00da02187</t>
  </si>
  <si>
    <t>apr162008</t>
  </si>
  <si>
    <t>b70b4ac166b746e4a631f99c12ee7cd0</t>
  </si>
  <si>
    <t>36da92d7cddb7aa1370b6f83d0e72016</t>
  </si>
  <si>
    <t>isaiah</t>
  </si>
  <si>
    <t>562348edd2ded080999f748733fcc1b9</t>
  </si>
  <si>
    <t>101010messi</t>
  </si>
  <si>
    <t>b4cc330b7fbfb052420bb094d0dbff68</t>
  </si>
  <si>
    <t>60dd5c7a2e3fdcb31f5d9da161c25b84</t>
  </si>
  <si>
    <t>christmas</t>
  </si>
  <si>
    <t>3d4fe7a00bc6fb52a91685d038733d6f</t>
  </si>
  <si>
    <t>mastermaggi58</t>
  </si>
  <si>
    <t>df03f8f8a46c1b2dbaf98e41112fa949</t>
  </si>
  <si>
    <t>45929b094a9d55be2cb3c1b73fc63c34</t>
  </si>
  <si>
    <t>cesar</t>
  </si>
  <si>
    <t>6f597c1ddab467f7bf5498aad1b41899</t>
  </si>
  <si>
    <t>121212interceptor</t>
  </si>
  <si>
    <t>d2158179c1a46cb19ac971505823c3c3</t>
  </si>
  <si>
    <t>133db47b633e34415c17f09ffebb0723</t>
  </si>
  <si>
    <t>lolipop</t>
  </si>
  <si>
    <t>568fe0733df32240a4e83a1545f9e747</t>
  </si>
  <si>
    <t>5H6S1ElZ</t>
  </si>
  <si>
    <t>0507ed445ac8d73f253b794450f561c5</t>
  </si>
  <si>
    <t>688af1f705faefa25930cdbb9e01861a</t>
  </si>
  <si>
    <t>butterfly1</t>
  </si>
  <si>
    <t>d37fec497a6b76d2139dccec3c6f125f</t>
  </si>
  <si>
    <t>mwz88888</t>
  </si>
  <si>
    <t>41258209f4ad0fe0a94710f9d1f9bce5</t>
  </si>
  <si>
    <t>0d4cc90a7be867e0fa17bf0e8e1bb67a</t>
  </si>
  <si>
    <t>chloe</t>
  </si>
  <si>
    <t>559a7f208866f0063b1ea8d5ca2ee816</t>
  </si>
  <si>
    <t>2IG04OUc</t>
  </si>
  <si>
    <t>17281df4331a3f0413e0968005e8e7f2</t>
  </si>
  <si>
    <t>347bc9d89d009d3e50632e83222e069b</t>
  </si>
  <si>
    <t>lawrence</t>
  </si>
  <si>
    <t>e02d90ea127f923d273786d055b6208e</t>
  </si>
  <si>
    <t>7b5EZmkt</t>
  </si>
  <si>
    <t>1d53f6ea34bb80c3eb7e9ac17da2ea15</t>
  </si>
  <si>
    <t>3a7c5f9bb68536ec9f643468bda0c890</t>
  </si>
  <si>
    <t>xbox360</t>
  </si>
  <si>
    <t>e803adae1f5acc155699ad43e9b77629</t>
  </si>
  <si>
    <t>naka1752</t>
  </si>
  <si>
    <t>55db8f935a43df2d5d5ecd67ec7bae86</t>
  </si>
  <si>
    <t>6a4ff33b8771d9946cc8d92c144b4a75</t>
  </si>
  <si>
    <t>sheena</t>
  </si>
  <si>
    <t>1861d297772b6e5e36339b54ebd5a65d</t>
  </si>
  <si>
    <t>15092005m</t>
  </si>
  <si>
    <t>8a03ea99d77dc423b56347e80c8bbc01</t>
  </si>
  <si>
    <t>6fad691fcab0915ac83be12339fdb328</t>
  </si>
  <si>
    <t>murphy</t>
  </si>
  <si>
    <t>25ee0c0c5392c0faf8d475917da10ba4</t>
  </si>
  <si>
    <t>ABCD1324!</t>
  </si>
  <si>
    <t>e8a450e0ffffa45d99246d2f434198b1</t>
  </si>
  <si>
    <t>e683492614a4d84dc46374b6c4d4cf9d</t>
  </si>
  <si>
    <t>madalina</t>
  </si>
  <si>
    <t>143585abf6fcc8c2f0d8d2fb64dab4cf</t>
  </si>
  <si>
    <t>5DVtveyi</t>
  </si>
  <si>
    <t>53425991a207d0bfe2f3042c442a0c01</t>
  </si>
  <si>
    <t>18d54febd774e62a911a9be9c1c19d3f</t>
  </si>
  <si>
    <t>anamaria</t>
  </si>
  <si>
    <t>6238cb036a4229f33c2aac007631f50a</t>
  </si>
  <si>
    <t>losh3947</t>
  </si>
  <si>
    <t>facb4d913f4261aff545fccbe95d80af</t>
  </si>
  <si>
    <t>6800921c84a74a70f5e6e631f0188767</t>
  </si>
  <si>
    <t>gateway</t>
  </si>
  <si>
    <t>3e21ab62fb17400301d9f0156b6c3031</t>
  </si>
  <si>
    <t>oseng2828</t>
  </si>
  <si>
    <t>a989a771b96906dd2b59addd644ab4d5</t>
  </si>
  <si>
    <t>1e749020e6ab0e15ff37d3dfab6c9117</t>
  </si>
  <si>
    <t>debbie</t>
  </si>
  <si>
    <t>60e8c535fa34ce89e1b06c43695c0191</t>
  </si>
  <si>
    <t>kn6AByJ8</t>
  </si>
  <si>
    <t>724781e7f8f54405bc7ef49aa21ac3c7</t>
  </si>
  <si>
    <t>fa0aa520523e1ee3f7efc53739b9c0ca</t>
  </si>
  <si>
    <t>yourmom</t>
  </si>
  <si>
    <t>dc1aff2bf63f0a9fe7144d8ad5639ecd</t>
  </si>
  <si>
    <t>reinan10r</t>
  </si>
  <si>
    <t>c5fb02d2559f3a498b8e777acc7bb07a</t>
  </si>
  <si>
    <t>2fb74878c0b0cabd5cd043f85b55885f</t>
  </si>
  <si>
    <t>blonde</t>
  </si>
  <si>
    <t>030fddce742683537afcac81fdf2d1d1</t>
  </si>
  <si>
    <t>ljxrf2011</t>
  </si>
  <si>
    <t>5c3469d77db3f93144a73e26d2cbc520</t>
  </si>
  <si>
    <t>a8707f8aa9fadec5054e2378e59693a0</t>
  </si>
  <si>
    <t>jasmine1</t>
  </si>
  <si>
    <t>7de4f64e85fc3eddf0eb4ccfffb390a3</t>
  </si>
  <si>
    <t>brianna17</t>
  </si>
  <si>
    <t>fa14216d075090a187e3d78aa8c2fde4</t>
  </si>
  <si>
    <t>9b5c6e5021f146749c6cebff4a3a27b8</t>
  </si>
  <si>
    <t>please</t>
  </si>
  <si>
    <t>6050ce63e4bce6764cb34cac51fb44d1</t>
  </si>
  <si>
    <t>Glodal12</t>
  </si>
  <si>
    <t>50fb63085fa090cdeac1baf1626c2b39</t>
  </si>
  <si>
    <t>7ea4617836de255be30df3ebaae6db9c</t>
  </si>
  <si>
    <t>bubbles1</t>
  </si>
  <si>
    <t>b40570d67e2051457ff8438906e62146</t>
  </si>
  <si>
    <t>kiss121208</t>
  </si>
  <si>
    <t>f0d5a732eafedb515231135d6cdd9481</t>
  </si>
  <si>
    <t>01ea15508240cbf08b505f04d0ec8a81</t>
  </si>
  <si>
    <t>jimmy</t>
  </si>
  <si>
    <t>c2fe677a63ffd5b7ffd8facbf327dad0</t>
  </si>
  <si>
    <t>ik8gir8f</t>
  </si>
  <si>
    <t>e4b752bd99c2b1cdf78e1102d6d942fd</t>
  </si>
  <si>
    <t>181838466c136ec4fa2cd8ebf4a58904</t>
  </si>
  <si>
    <t>beatriz</t>
  </si>
  <si>
    <t>323242097368577e6f3aac03c6dcedb6</t>
  </si>
  <si>
    <t>Gandalf6</t>
  </si>
  <si>
    <t>be0ae3460d9213fd0c7ad3537e6585e6</t>
  </si>
  <si>
    <t>58a1213750980c8fbabd27dcb61fc2a6</t>
  </si>
  <si>
    <t>poopoo</t>
  </si>
  <si>
    <t>207bd7a73609ff57272e77582b8e2f6f</t>
  </si>
  <si>
    <t>ceiling7</t>
  </si>
  <si>
    <t>a4ef8715ee3e7e011695c56aed075033</t>
  </si>
  <si>
    <t>3ec3b150102970b846556f27594db010</t>
  </si>
  <si>
    <t>diamonds</t>
  </si>
  <si>
    <t>544dbde5d650532f0b4d5543c32a8312</t>
  </si>
  <si>
    <t>care2ywo</t>
  </si>
  <si>
    <t>ad8bfd1785f9dd249a7a52d122b3bb3a</t>
  </si>
  <si>
    <t>f648832eabf1de5b269307760e59682e</t>
  </si>
  <si>
    <t>whitney</t>
  </si>
  <si>
    <t>5efd5935913b175e4ea16e9bd9b6f53a</t>
  </si>
  <si>
    <t>blackdog13</t>
  </si>
  <si>
    <t>c542d40a45a20698353a472899afa7bc</t>
  </si>
  <si>
    <t>d965de9c8d9b2cfea5eefd5ef3851c65</t>
  </si>
  <si>
    <t>friendship</t>
  </si>
  <si>
    <t>93349189c5d0219ba8b20ca7cbf068a1</t>
  </si>
  <si>
    <t>7HFR5DGB</t>
  </si>
  <si>
    <t>92692a7bc296611d6b328690cbe87812</t>
  </si>
  <si>
    <t>c429bfa149a9a2d913ddaa2c0839ad64</t>
  </si>
  <si>
    <t>sweetness</t>
  </si>
  <si>
    <t>f808b73354b7861dc13eb0a3587a623e</t>
  </si>
  <si>
    <t>eu0lwbc3</t>
  </si>
  <si>
    <t>8ffc0234449643b7b01d3dfa806bfa59</t>
  </si>
  <si>
    <t>8eee4f634ae6abdccd2223065ab516f0</t>
  </si>
  <si>
    <t>pauline</t>
  </si>
  <si>
    <t>ea33803f90c77f6cab6b04f9ef52beb1</t>
  </si>
  <si>
    <t>khaz8sak</t>
  </si>
  <si>
    <t>d262937ce589a042c319a5b753449da2</t>
  </si>
  <si>
    <t>fe716d41945d3a9fc17f12daefa50509</t>
  </si>
  <si>
    <t>desiree</t>
  </si>
  <si>
    <t>9ad64c9a277f345e5ee97bb6375330dd</t>
  </si>
  <si>
    <t>12041993q</t>
  </si>
  <si>
    <t>a99a0cf300bfef4a216ef2530b8acb8e</t>
  </si>
  <si>
    <t>77b5243cd6793f99fcd6dd758af4e9be</t>
  </si>
  <si>
    <t>trouble</t>
  </si>
  <si>
    <t>6cee2033f74468edae63e3142e3ed403</t>
  </si>
  <si>
    <t>alecia99</t>
  </si>
  <si>
    <t>691bc5a7b92efe906d8d5534a9de8d5f</t>
  </si>
  <si>
    <t>3950686460ff1fdde91594d826460548</t>
  </si>
  <si>
    <t>6cf82ee1020caef069e753c67a97a70d</t>
  </si>
  <si>
    <t>oliverm1</t>
  </si>
  <si>
    <t>7b5138806d04ea93f3548bc487543e38</t>
  </si>
  <si>
    <t>71021bf4da458867aaa6982ff840fb9e</t>
  </si>
  <si>
    <t>united</t>
  </si>
  <si>
    <t>3db1a73a245aa55c61204c56c8d99f6d</t>
  </si>
  <si>
    <t>IN2498MY</t>
  </si>
  <si>
    <t>e3dd623b3b8007f3191a7e8ae307cd73</t>
  </si>
  <si>
    <t>cbd8ef841002f3524b7a79ffc0aafe93</t>
  </si>
  <si>
    <t>marley</t>
  </si>
  <si>
    <t>b8475e743330c36f9080fb8f64f837b6</t>
  </si>
  <si>
    <t>pg007275</t>
  </si>
  <si>
    <t>34eaacf01e25e6ad7c68f0ea4d666806</t>
  </si>
  <si>
    <t>fd1897a65d4cac02d11d32926d3fdf7a</t>
  </si>
  <si>
    <t>brian</t>
  </si>
  <si>
    <t>cbd44f8b5b48a51f7dab98abcdf45d4e</t>
  </si>
  <si>
    <t>nastusa196</t>
  </si>
  <si>
    <t>780e4dd8457fcab9fb7de4967c4677a1</t>
  </si>
  <si>
    <t>8de8e85d0bf750835946f1424274e5c3</t>
  </si>
  <si>
    <t>barbara</t>
  </si>
  <si>
    <t>4d6c4d6b5b6c7fd2c43727ce32a56f4e</t>
  </si>
  <si>
    <t>12587412Z</t>
  </si>
  <si>
    <t>0970789ce3b9c5fb394cd8e08181079c</t>
  </si>
  <si>
    <t>e900fd4de1894e56d94d5ea19ccd3567</t>
  </si>
  <si>
    <t>hannah1</t>
  </si>
  <si>
    <t>f29bfcf86e073e184d50a9eb9b285c60</t>
  </si>
  <si>
    <t>q5522350</t>
  </si>
  <si>
    <t>0c58b97511aabfd87d7b4d0af5caf0e7</t>
  </si>
  <si>
    <t>f8c6052a568756cccf3c2d78ce16026d</t>
  </si>
  <si>
    <t>bananas</t>
  </si>
  <si>
    <t>ec121ff80513ae58ed478d5c5787075b</t>
  </si>
  <si>
    <t>BdYy6A8D</t>
  </si>
  <si>
    <t>6a42f320bd80bb0cf91157341081e26f</t>
  </si>
  <si>
    <t>8b86103bb6c8999a602847cdd6478005</t>
  </si>
  <si>
    <t>julius</t>
  </si>
  <si>
    <t>30e6d8432ce54710f9c09f305e7b9829</t>
  </si>
  <si>
    <t>serina00</t>
  </si>
  <si>
    <t>916530ac29e0c18190caeeed748a3fae</t>
  </si>
  <si>
    <t>6a35fa64bbedc330db6d504104e6eecd</t>
  </si>
  <si>
    <t>leanne</t>
  </si>
  <si>
    <t>e6ba6a95e92ab02920655918863e5bf8</t>
  </si>
  <si>
    <t>11111gfgf</t>
  </si>
  <si>
    <t>a415cd9009a074d03d49a6905c63a421</t>
  </si>
  <si>
    <t>7457d577f844d261394cd314f970d4f7</t>
  </si>
  <si>
    <t>sandy</t>
  </si>
  <si>
    <t>d686a53fb86a6c31fa6faa1d9333267e</t>
  </si>
  <si>
    <t>niles190380</t>
  </si>
  <si>
    <t>a111f0acb674bd477077cc2c71a1afa5</t>
  </si>
  <si>
    <t>227c30bd84a34760916a27453cd802cd</t>
  </si>
  <si>
    <t>marie1</t>
  </si>
  <si>
    <t>79d35af29088dd656b10bbe74a64aba2</t>
  </si>
  <si>
    <t>gandalf5</t>
  </si>
  <si>
    <t>9e1d3db70e9c2519c07a5255ecbef0c3</t>
  </si>
  <si>
    <t>10a659d00c0cbf8760d0c1011e4131c1</t>
  </si>
  <si>
    <t>anita</t>
  </si>
  <si>
    <t>83349cbdac695f3943635a4fd1aaa7d0</t>
  </si>
  <si>
    <t>unity520</t>
  </si>
  <si>
    <t>3c469554cf095eba914201190a955cf5</t>
  </si>
  <si>
    <t>c484774251c56ba24b9ed8ed792ec396</t>
  </si>
  <si>
    <t>lover1</t>
  </si>
  <si>
    <t>b82f53de2a048b93e3454e155012b992</t>
  </si>
  <si>
    <t>aprils10</t>
  </si>
  <si>
    <t>0035214712cb382a2915b30324ba851b</t>
  </si>
  <si>
    <t>667393f34e0badf67aa7749d99dc9c39</t>
  </si>
  <si>
    <t>chicago</t>
  </si>
  <si>
    <t>10189466c646898c1fcf2363b5cf038d</t>
  </si>
  <si>
    <t>HoZ26mkEM</t>
  </si>
  <si>
    <t>ffb203f7c0392399621651c1f95edbc3</t>
  </si>
  <si>
    <t>833e7e3ab259b177f190c118239ebba8</t>
  </si>
  <si>
    <t>twinkle</t>
  </si>
  <si>
    <t>b2e9c66d3b49ce3d50986a881ced739d</t>
  </si>
  <si>
    <t>xfgfxfgf8923116434889231160080</t>
  </si>
  <si>
    <t>328e2f0402758c5e1923ed7611cd4729</t>
  </si>
  <si>
    <t>ce590b85ed0f1742d0a170b562c87026</t>
  </si>
  <si>
    <t>pantera</t>
  </si>
  <si>
    <t>2d58b0ac72f929ca9ad3238ade9eab69</t>
  </si>
  <si>
    <t>2717west</t>
  </si>
  <si>
    <t>0e4384a4ee57b9bf190432f69c5e36b4</t>
  </si>
  <si>
    <t>a1f3deb02a16c185813f745cf11ae305</t>
  </si>
  <si>
    <t>february</t>
  </si>
  <si>
    <t>8eb8e307a6d649bc7fb51443a06a216f</t>
  </si>
  <si>
    <t>L6mZ4xAn0Q</t>
  </si>
  <si>
    <t>4e488a996ba831e51f037db9df35c2c1</t>
  </si>
  <si>
    <t>cb3cc2c14f75addcaf36660baabcad5f</t>
  </si>
  <si>
    <t>birthday</t>
  </si>
  <si>
    <t>cf673f7ee88828c9fb8f6acf2cb08403</t>
  </si>
  <si>
    <t>oWJh68AR</t>
  </si>
  <si>
    <t>6daf7813ba4d94db21189980f99d11c8</t>
  </si>
  <si>
    <t>e838c3e4e89c6cdcf29bc1865729ac2f</t>
  </si>
  <si>
    <t>shadow1</t>
  </si>
  <si>
    <t>098939feed3ba17f87863b86e532e208</t>
  </si>
  <si>
    <t>Venya888</t>
  </si>
  <si>
    <t>b2de73f9118624ac612a2e25771861cc</t>
  </si>
  <si>
    <t>e3dc630c8c9abe0d631ac41243d70275</t>
  </si>
  <si>
    <t>qwert</t>
  </si>
  <si>
    <t>a384b6463fc216a5f8ecb6670f86456a</t>
  </si>
  <si>
    <t>tritij2222</t>
  </si>
  <si>
    <t>cda5a72ecf680991f47dd6fe3a70efca</t>
  </si>
  <si>
    <t>6792a0971a97e3c72e115857f199618f</t>
  </si>
  <si>
    <t>bebita</t>
  </si>
  <si>
    <t>44ff6ab7f7f73f0fc3499835aef19227</t>
  </si>
  <si>
    <t>7hCB7hxB</t>
  </si>
  <si>
    <t>0263fb3300a5355d5094f5093da07603</t>
  </si>
  <si>
    <t>0a55fd1689fb5909dc3d001a8eeeb5fa</t>
  </si>
  <si>
    <t>5e8667a439c68f5145dd2fcbecf02209</t>
  </si>
  <si>
    <t>eptate11</t>
  </si>
  <si>
    <t>506149f38032e3adcd0b10a453249bca</t>
  </si>
  <si>
    <t>d91b3e59dcd99958f638ca01712aa218</t>
  </si>
  <si>
    <t>twilight</t>
  </si>
  <si>
    <t>f567cb85556dea700061be2153b0da0d</t>
  </si>
  <si>
    <t>23012000priora2170vt</t>
  </si>
  <si>
    <t>3d18f98a58fbaffb686b4aa6f9dd561f</t>
  </si>
  <si>
    <t>e2e7cd8463b5d03c8376b08643a85dfe</t>
  </si>
  <si>
    <t>imissyou</t>
  </si>
  <si>
    <t>3fc44fddce2f58ec26b3871190982993</t>
  </si>
  <si>
    <t>1Voyager</t>
  </si>
  <si>
    <t>30ebd54ad2130046d0e6f233406fa3b0</t>
  </si>
  <si>
    <t>877ed4b5fb2cf600f002b88697988de4</t>
  </si>
  <si>
    <t>pollito</t>
  </si>
  <si>
    <t>7434fafe9980dfc097fb979ba9e14812</t>
  </si>
  <si>
    <t>mikesvs124</t>
  </si>
  <si>
    <t>4b2342fe81b964faf04172cba06b2546</t>
  </si>
  <si>
    <t>e4a4f3e4fcce69b4a5035e9265f1a27c</t>
  </si>
  <si>
    <t>ashlee</t>
  </si>
  <si>
    <t>eae021356dcaf663890f6ce62a66aae5</t>
  </si>
  <si>
    <t>qwer2476</t>
  </si>
  <si>
    <t>9e24297c028ab66aec34b0aa24cb8dbc</t>
  </si>
  <si>
    <t>ef8a0d47d4b5e44393f2be71c589a0af</t>
  </si>
  <si>
    <t>tucker</t>
  </si>
  <si>
    <t>6243e1116e9de008e4dcf0aa2700ca89</t>
  </si>
  <si>
    <t>3043124d</t>
  </si>
  <si>
    <t>ed01f8686c8e6a935179581bc21dde1d</t>
  </si>
  <si>
    <t>0e624e735152534ad9475cd67ef68d3c</t>
  </si>
  <si>
    <t>cookie1</t>
  </si>
  <si>
    <t>022b150ae5b6cbed66ae1201494bd24e</t>
  </si>
  <si>
    <t>1heatman</t>
  </si>
  <si>
    <t>7307a33f241ae53b258fed68033a153f</t>
  </si>
  <si>
    <t>62b61bb2bcbc0e747a42ed467a4db62c</t>
  </si>
  <si>
    <t>shelly</t>
  </si>
  <si>
    <t>de7de37a35074c337d73b6eaa9bd22dc</t>
  </si>
  <si>
    <t>Zv7c5Vz2</t>
  </si>
  <si>
    <t>e0254f6227e6430e9f1328dc0a1abbad</t>
  </si>
  <si>
    <t>7712961d24e2405d44108d12d42abf43</t>
  </si>
  <si>
    <t>catalina</t>
  </si>
  <si>
    <t>8ca7418bc7c0ebac7b28d867bd960f5b</t>
  </si>
  <si>
    <t>gemax488</t>
  </si>
  <si>
    <t>c701cdcba96c290bc4e74a4795822ccb</t>
  </si>
  <si>
    <t>f2b17f4612d760ba2b0ecbfb828091de</t>
  </si>
  <si>
    <t>98dae0e08c01f9e64dc3f9650eb5a714</t>
  </si>
  <si>
    <t>g00z8mm1t</t>
  </si>
  <si>
    <t>5d2e6a841f130afa6e4ef24541e2f27a</t>
  </si>
  <si>
    <t>59f1b5ba728ff01db727b9389c72578c</t>
  </si>
  <si>
    <t>beckham</t>
  </si>
  <si>
    <t>fa4ef43fb0f135c537222e2a74a5a844</t>
  </si>
  <si>
    <t>bianca1219</t>
  </si>
  <si>
    <t>200e6914593ac362f27ca94ebd696543</t>
  </si>
  <si>
    <t>27dc2abe5282fdf5d8a98a08e161daff</t>
  </si>
  <si>
    <t>simone</t>
  </si>
  <si>
    <t>47eb752bac1c08c75e30d9624b3e58b7</t>
  </si>
  <si>
    <t>6660125666rfn</t>
  </si>
  <si>
    <t>95de195fd90cbd64e83f06f740f7650c</t>
  </si>
  <si>
    <t>b849cae5501ca156cc05e78ebeefb9b7</t>
  </si>
  <si>
    <t>nursing</t>
  </si>
  <si>
    <t>5676cfe1da29ab42311b21eca342a9b3</t>
  </si>
  <si>
    <t>kirkland1</t>
  </si>
  <si>
    <t>996f4ab0a23e6fd90c61e4a6234bb70f</t>
  </si>
  <si>
    <t>2486a80d1d0c885a056eaf138acd4dd4</t>
  </si>
  <si>
    <t>iloveyou!</t>
  </si>
  <si>
    <t>03e4079b565ab2a47a2eff7f42ae45b8</t>
  </si>
  <si>
    <t>25856minu</t>
  </si>
  <si>
    <t>5888dd85a244d236192c75109c81a1ce</t>
  </si>
  <si>
    <t>39244265fcad7c33af4ae7944d8093e9</t>
  </si>
  <si>
    <t>eugene</t>
  </si>
  <si>
    <t>9741da9f7cdd416b0c4b63811770bd6e</t>
  </si>
  <si>
    <t>vw4sbbf6</t>
  </si>
  <si>
    <t>9d4d40b8ec1064bdf43f19e99eee7555</t>
  </si>
  <si>
    <t>c320ff6213288952533b50563dd87c6b</t>
  </si>
  <si>
    <t>torres</t>
  </si>
  <si>
    <t>b50ac41ec20631c7b6be72f070d8ff67</t>
  </si>
  <si>
    <t>Gumbo123</t>
  </si>
  <si>
    <t>099f3e130f56e66cd654f60bfe962cde</t>
  </si>
  <si>
    <t>77c6d7dc2e2db2d2afca0b8da2461786</t>
  </si>
  <si>
    <t>damian</t>
  </si>
  <si>
    <t>fe0b714aaecbd5c8961994c655d18a0d</t>
  </si>
  <si>
    <t>mmen6254</t>
  </si>
  <si>
    <t>9c24d75049ffde7f8fb49f920d6c131d</t>
  </si>
  <si>
    <t>4549574cc3cc6d5bbed77e55824606d8</t>
  </si>
  <si>
    <t>f5bb0c8de146c67b44babbf4e6584cc0</t>
  </si>
  <si>
    <t>sb14041966</t>
  </si>
  <si>
    <t>da08066f7dc215c3cd423446d8947351</t>
  </si>
  <si>
    <t>9b8d8356e8bf158e3bb810d061c36b3b</t>
  </si>
  <si>
    <t>joshua1</t>
  </si>
  <si>
    <t>0668cd3ad94306b8c1497453afb971c0</t>
  </si>
  <si>
    <t>rtf23opm-</t>
  </si>
  <si>
    <t>4a8336d21397b4861ea7c530c235b63d</t>
  </si>
  <si>
    <t>15526a5c02110fe7dc2424f6658ee7f0</t>
  </si>
  <si>
    <t>bobby</t>
  </si>
  <si>
    <t>a9c4cef5735770e657b7c25b9dcb807b</t>
  </si>
  <si>
    <t>mr790602</t>
  </si>
  <si>
    <t>d912556b3ed2eb0145af509a63972b51</t>
  </si>
  <si>
    <t>f7c53569a17991bda8d80c21c2aae1c8</t>
  </si>
  <si>
    <t>babyface</t>
  </si>
  <si>
    <t>13c710f7d9d2f13543172f90750c415f</t>
  </si>
  <si>
    <t>95eANvA7</t>
  </si>
  <si>
    <t>86e3d22b25a9f64f92a017ad4a5da3e1</t>
  </si>
  <si>
    <t>c567bb3e2e90c9ee303da2353baffe77</t>
  </si>
  <si>
    <t>andre</t>
  </si>
  <si>
    <t>19984dcaea13176bbb694f62ba6b5b35</t>
  </si>
  <si>
    <t>855UFiEA</t>
  </si>
  <si>
    <t>8706636a8690943d4b791ed8263b5987</t>
  </si>
  <si>
    <t>911a63934bd110674ae05c922e5e19bf</t>
  </si>
  <si>
    <t>donald</t>
  </si>
  <si>
    <t>0d343c0f0ca763f983c8042350059f56</t>
  </si>
  <si>
    <t>jueuteamo03</t>
  </si>
  <si>
    <t>03880d0099caf9ddb55d7b324aec8988</t>
  </si>
  <si>
    <t>fcb3900a190ff1d0336cc0c9cd7c983a</t>
  </si>
  <si>
    <t>daniel1</t>
  </si>
  <si>
    <t>3ed072248edbce552216199915ae28ef</t>
  </si>
  <si>
    <t>andrews45</t>
  </si>
  <si>
    <t>428985a3553226a1f18b7b44000ad86c</t>
  </si>
  <si>
    <t>e92918e9cc53429aecbb471c371f79e7</t>
  </si>
  <si>
    <t>panther</t>
  </si>
  <si>
    <t>b0d86da2d5b3aa15b61df214489f7c12</t>
  </si>
  <si>
    <t>12ivmd3U</t>
  </si>
  <si>
    <t>7e892625b14facf6cc802b3ee399b9ea</t>
  </si>
  <si>
    <t>68f81440857c409f84aa0ae026dc28b3</t>
  </si>
  <si>
    <t>dinamo</t>
  </si>
  <si>
    <t>48238b7f2aa5f76a1d1e119f8942ebe7</t>
  </si>
  <si>
    <t>dimka281206</t>
  </si>
  <si>
    <t>70c823e3ad7522df8c6004b404c5f893</t>
  </si>
  <si>
    <t>mommy</t>
  </si>
  <si>
    <t>2623e0d1f4e1a3093ee71672ec1c771a</t>
  </si>
  <si>
    <t>zanydog22</t>
  </si>
  <si>
    <t>beae441b19e9688a95a488477ef98f19</t>
  </si>
  <si>
    <t>1d96d869c2cf86ed7166e4fb77e0453e</t>
  </si>
  <si>
    <t>juliana</t>
  </si>
  <si>
    <t>49339465c068fb48e796b4e68bdd35d5</t>
  </si>
  <si>
    <t>zirvin123hcc</t>
  </si>
  <si>
    <t>1f1b9c02514cb5c846f338a6a1d72b07</t>
  </si>
  <si>
    <t>d485206c013675166deb1667637c8089</t>
  </si>
  <si>
    <t>cassandra</t>
  </si>
  <si>
    <t>121c60df0c03083d2693c251f15fdfb2</t>
  </si>
  <si>
    <t>staind131081</t>
  </si>
  <si>
    <t>bf716c8995a7ebe30e598da7f9551ba5</t>
  </si>
  <si>
    <t>e3baa011499502b3bc777158ea38633f</t>
  </si>
  <si>
    <t>d9yPP^d9g;mu</t>
  </si>
  <si>
    <t>70560f9e4660569d690953cce77ee3fd</t>
  </si>
  <si>
    <t>xitl[dkiIB</t>
  </si>
  <si>
    <t>c81f9690a55da4900af9dac7e46a67fc</t>
  </si>
  <si>
    <t>xitlbmTb4kr</t>
  </si>
  <si>
    <t>a46402758107d13c3b023c78c36a7e8c</t>
  </si>
  <si>
    <t>l6omiup4kr</t>
  </si>
  <si>
    <t>fdddc41a8e6d3ac304aa65da9c63ed97</t>
  </si>
  <si>
    <t>v6f,dkiIB</t>
  </si>
  <si>
    <t>367ce76d8a037856c7a148a70a64605f</t>
  </si>
  <si>
    <t>0bo9okdki</t>
  </si>
  <si>
    <t>9cac51931dc1d628a777d6ec6a2a160b</t>
  </si>
  <si>
    <t>ritr6mTKklok</t>
  </si>
  <si>
    <t>4978576960aa05953e75afb83b68fe43</t>
  </si>
  <si>
    <t>Tii,=k9b</t>
  </si>
  <si>
    <t>b3e99d6d75f656170f90da6b98b82717</t>
  </si>
  <si>
    <t>lkTkiIxitDp=oB</t>
  </si>
  <si>
    <t>22d4686891ea84d6817ed06f37db22fd</t>
  </si>
  <si>
    <t>vkipTii,</t>
  </si>
  <si>
    <t>195e8fa898765bbd7bf6ceaa553d5777</t>
  </si>
  <si>
    <t>,o6Jply,ryoTB</t>
  </si>
  <si>
    <t>4d78b6b547020c1644205e3e21c1f95a</t>
  </si>
  <si>
    <t>,sk;bmpk]yp</t>
  </si>
  <si>
    <t>a237d51d5d644ff55a78228889bec76a</t>
  </si>
  <si>
    <t>Kb]x;yMoTii,</t>
  </si>
  <si>
    <t>598079eb70414eeeed56420e3e3e02c5</t>
  </si>
  <si>
    <t>;b0kiIPkI</t>
  </si>
  <si>
    <t>968a5a0c5a26600759f1e03664866444</t>
  </si>
  <si>
    <t>xkSbskibpB</t>
  </si>
  <si>
    <t>a714c0a1b57d3bd2dce26bf2b617dc33</t>
  </si>
  <si>
    <t>gdupi9bpK</t>
  </si>
  <si>
    <t>528691eed7d7db9fdf3185ef79488ea2</t>
  </si>
  <si>
    <t>miyrpkdi[688]</t>
  </si>
  <si>
    <t>1dd53bdf0cb1e77f6f780e629e124ba4</t>
  </si>
  <si>
    <t>l;ylfbdki</t>
  </si>
  <si>
    <t>d3525f93c9a370a67936cd6fa5a19a9a</t>
  </si>
  <si>
    <t>xiy=Pk=u;b9</t>
  </si>
  <si>
    <t>b99d487e290cc4e46dc1a24f09b20c70</t>
  </si>
  <si>
    <t>4^,bKkl9iB</t>
  </si>
  <si>
    <t>84e4b27683ff2f15d224b3b838acd989</t>
  </si>
  <si>
    <t>l5kxy9pdii,</t>
  </si>
  <si>
    <t>681ccae88852ed8546cb68c637cd48f8</t>
  </si>
  <si>
    <t>0b9;bPPkI</t>
  </si>
  <si>
    <t>f8afc0072b7dee4573cf1ca2a2197d59</t>
  </si>
  <si>
    <t>xit=kdiKkl9iB</t>
  </si>
  <si>
    <t>d092aaf4dea8b15434ef9daef71c89e5</t>
  </si>
  <si>
    <t>vy0Xibp4kr</t>
  </si>
  <si>
    <t>57f1aef577539559c814ff1a002b7d96</t>
  </si>
  <si>
    <t>ly0Tii,</t>
  </si>
  <si>
    <t>01b4470621dcc8ecd954e21f9c4f08c8</t>
  </si>
  <si>
    <t>obg;K;bmpk</t>
  </si>
  <si>
    <t>acc77b1097e2ef6109a4be2a05e0407b</t>
  </si>
  <si>
    <t>[iipkdkK</t>
  </si>
  <si>
    <t>0f3390fa1688c4fc86353ebb4e11065b</t>
  </si>
  <si>
    <t>gvd]ydJIB</t>
  </si>
  <si>
    <t>959f73d05caf63645d895e06a90d3cab</t>
  </si>
  <si>
    <t>vTbxw9p</t>
  </si>
  <si>
    <t>ff8ca4ec67538dd60e3a486c62fdc38e</t>
  </si>
  <si>
    <t>xit=kTbxw9p</t>
  </si>
  <si>
    <t>300aca396fe2f31f041dcde86c0dd0d6</t>
  </si>
  <si>
    <t>ryoTdb0</t>
  </si>
  <si>
    <t>87c60ff8b17d3f4bf8f838202061cd9a</t>
  </si>
  <si>
    <t>LkDpokit</t>
  </si>
  <si>
    <t>ซาโยนาระ</t>
  </si>
  <si>
    <t>2c7f4ff44759b3ab1e30eb7a7527e9d0</t>
  </si>
  <si>
    <t>d^Uf[kp]kdjvo</t>
  </si>
  <si>
    <t>กู๊ดบายลาก่อน</t>
  </si>
  <si>
    <t>5bb47938fbd913d69f62b76e7a4546df</t>
  </si>
  <si>
    <t>wfhDxifg,99kmu</t>
  </si>
  <si>
    <t>ได้โปรดเมตตาที</t>
  </si>
  <si>
    <t>703c0b83384f1326abd96b31559b5228</t>
  </si>
  <si>
    <t>8tcoog9G,ihvp</t>
  </si>
  <si>
    <t>คะแนนเต็มร้อย</t>
  </si>
  <si>
    <t>f5721ec9d87ae4abd1b883c9ee494a8f</t>
  </si>
  <si>
    <t>g,njvwsij0t0[Lydmu</t>
  </si>
  <si>
    <t>เมื่อไหร่จะจบซักที</t>
  </si>
  <si>
    <t>974c289990b98040cff7d2d84623db78</t>
  </si>
  <si>
    <t>password number</t>
  </si>
  <si>
    <t xml:space="preserve">MD5 </t>
  </si>
  <si>
    <t>Brute force Guess time</t>
  </si>
  <si>
    <t>Found within 10 mins</t>
  </si>
  <si>
    <t>finding order</t>
  </si>
  <si>
    <t>Bcrypt hashed (10 rounds, minor b)</t>
  </si>
  <si>
    <t>Brute force Guess</t>
  </si>
  <si>
    <t>90f866c99c452510e902b9bc996ecd3e</t>
  </si>
  <si>
    <t>N/A (Expected 23 years)</t>
  </si>
  <si>
    <t>no</t>
  </si>
  <si>
    <t>N/A</t>
  </si>
  <si>
    <t>$2b$10$WAeNAhgl15gkZv1amNKvQuWn9xLusmbTdvjmGRmBlyZrSpcWPAAMK</t>
  </si>
  <si>
    <t>N/A (impossible)</t>
  </si>
  <si>
    <t>found rate</t>
  </si>
  <si>
    <t>yes</t>
  </si>
  <si>
    <t xml:space="preserve">N/A </t>
  </si>
  <si>
    <t>$2b$10$2A8k/bmAQ6kHFwdwfwQGDOoHl9CvdPq2te8uePwwhAcT3dVKV6GYi</t>
  </si>
  <si>
    <t>(Expected 77,000 years)</t>
  </si>
  <si>
    <t>MD5 thai - english</t>
  </si>
  <si>
    <t>$2b$10$667KwgxTKnH1BoPFA86miebuCeBUiMLjiOAaaQ0ZqqdPKQPb3MlNu</t>
  </si>
  <si>
    <t>MD5 rockyou</t>
  </si>
  <si>
    <t>$2b$10$sAC.pBTW0lpMzEOCLLXXauK5CblfdPBiifJf31cCK9k6VCnnnbtJi</t>
  </si>
  <si>
    <t>Bcrypt thai - english</t>
  </si>
  <si>
    <t>$2b$10$4Q7f2UxbcuK5/txE9cbVX.SnmBIoFCZFZGt/wm0.xAHuNFwmYOJFe</t>
  </si>
  <si>
    <t>Bcrypt rockyou</t>
  </si>
  <si>
    <t>$2b$10$fE4JVvCfXFY9FlIjQnJDnOGum60I5rOUflkOgCrEQ3nYY1pa/Nc4m</t>
  </si>
  <si>
    <t>$2b$10$bg.d9REebIxjOqxQds42qecF5PcYzGpQYggZoXTBr9uzkz.ZPUsey</t>
  </si>
  <si>
    <t>$2b$10$cLL2luQSxi230SRa36s5o.o3du782FEeAFcmaXWkYYwS/nhJeHMPu</t>
  </si>
  <si>
    <t>$2b$10$DgtRiMpiXEChg78QM.1KqeLrNc/YYmQTMr79ILo5fWkpR9jK9q86.</t>
  </si>
  <si>
    <t>$2b$10$WFWs/FqY7yYEdgbWC69wEe55UsWApchqE2TCuOHDrUgHHur6T7/V2</t>
  </si>
  <si>
    <t>$2b$10$CH1b.IM.X4nBqDVjkBk/SeGjTkOGlJhM63lF6J.UZLQPYKVEflSeq</t>
  </si>
  <si>
    <t>$2b$10$mdZiRCxmbAxTNEc5exUnheAGqSt2ykI6lSPdHBLzZC/H58ATx4BpK</t>
  </si>
  <si>
    <t>$2b$10$JPCCJQLTdDYl1lNxeDFXC.V4rDufPpJ3GDTkDmFJbVlO5zfm9duJa</t>
  </si>
  <si>
    <t>9ogxHomujr7j'9o</t>
  </si>
  <si>
    <t>ffcf7dea16ecc4981bdaaa8c6794165d</t>
  </si>
  <si>
    <t>$2b$10$lH8ogk4n8LETMjLDi0RQw.cpgILb/fSJ1kysp5TiKJYWWNIkwZtyC</t>
  </si>
  <si>
    <t>oheihvox]kgxHo</t>
  </si>
  <si>
    <t>952fb47cc3afe2c50f3f26e3bc23e870</t>
  </si>
  <si>
    <t>$2b$10$MZriQ6SkPqX/bO.GNEeWdO9VETgc9OGd9olUF.PaQbtK2Q.Yzdph.</t>
  </si>
  <si>
    <t>ohegpHox]k9kp</t>
  </si>
  <si>
    <t>2640b4659d4836e5b1e927b31e32b3aa</t>
  </si>
  <si>
    <t>$2b$10$tT8QMXT81ULscFP0HKv54OkVnRppPq59VTilZ3eUtNS.QRgaJJ0r2</t>
  </si>
  <si>
    <t>8[gfHdlihk'[hko</t>
  </si>
  <si>
    <t>c75a1a37fc04e1a8c7f7009bd6c964c4</t>
  </si>
  <si>
    <t>$2b$10$UqBuTcQRT8JWOAl1OshuwuB2rjDfUVeKcbeBpYH42Aktk7ok/2GMy</t>
  </si>
  <si>
    <t>-;kozjk:kd</t>
  </si>
  <si>
    <t>752b5663d9a84dd2008ee87f502b55aa</t>
  </si>
  <si>
    <t>$2b$10$6VYGzlEa/xlwTpOVgHn5T.XDd22GPkbUdSuTfrEWV40OtrGaqiOyW</t>
  </si>
  <si>
    <t>$2b$10$uaYSozgQRb1nvJ2cOOc5U.4nRLLSl1G4ir8uh8q5jCbssq8X/kt9y</t>
  </si>
  <si>
    <t>$2b$10$ebyWQ66CfE8VUrNaDsum/ObEsIuPP3FMnjQAkKPfRh.2TAd0olcBS</t>
  </si>
  <si>
    <t>$2b$10$lJ1zYhjOKhgD7Aza.MkWSOApZtx7UBTRTStnEGpBVxupXrKtJXiWG</t>
  </si>
  <si>
    <t>wfh8n[0tgvkLvd</t>
  </si>
  <si>
    <t>6ff73447bc2f7482fd1c446dd75667ef</t>
  </si>
  <si>
    <t>$2b$10$JN/DF0CcYs149Ay8X62TcuSsnwERNbLoegboOdxd76j7XQkgKTa6S</t>
  </si>
  <si>
    <t>$2b$10$ycTxQE68SpakdwVpZ4KHTu6yfOZGqmM7ibN5b4dUU./65kl4famaG</t>
  </si>
  <si>
    <t>$2b$10$uRe/CjEHz4ohCKKNeiAvQuPqPze1p082UMiFS.aKUb4vfUM3zacVO</t>
  </si>
  <si>
    <t>$2b$10$5T7ZVE6VpI0WC7yPIj1bgup9aRe6oRrPBdwjCHTtQ9EB92FG1BU/G</t>
  </si>
  <si>
    <t>gxHow'[hk'</t>
  </si>
  <si>
    <t>b3fb45c57ef33a036706d018f36d08e1</t>
  </si>
  <si>
    <t>$2b$10$7eXy.DzESY/d8sRLEgBX9.fvGKA.QQWiuiej3VffwcCah5WVT9LF2</t>
  </si>
  <si>
    <t>$2b$10$L6eUNiezi7jLQXq09R9SSuzXeTkHFn11iE840g6kyN9jLdUoI0rA6</t>
  </si>
  <si>
    <t>$2b$10$pR31Cse.OHpYDGCK/83TPeNSjXJtYa6VU801Hi2UuBEMi8Nc8EMyy</t>
  </si>
  <si>
    <t>$2b$10$E1lERaECl4wLviBxYzxQZuoX9oszpWmWlGSdkBmTREZoM3/tMwCBq</t>
  </si>
  <si>
    <t>$2b$10$q5NBTRCIi6KO/KCOXSMR9u4Oz7fQnzIOsUO4eMJ0G0LBz0kqJaMc6</t>
  </si>
  <si>
    <t>$2b$10$mBIhYYdJ4SJqSah8.J94feq34zSBuCE0RRVHlNdqprV2Q44hckpPu</t>
  </si>
  <si>
    <t>l;ylfuVt</t>
  </si>
  <si>
    <t>8b0bc7d47862c71fce6ac7f05dd5a5ae</t>
  </si>
  <si>
    <t>$2b$10$Vx8ktH.8Yk0FmwqWCwfOZuIVaIO.T2oHY8K5gUdhoLK60pFjY.Yf2</t>
  </si>
  <si>
    <t>$2b$10$umV5V2USEHdd6E6HVkTyfuLFWUq1eoPGlstxH3ZpWbtO2/DiaR5b6</t>
  </si>
  <si>
    <t>$2b$10$vtmWUQFsOUoarvatvNl2leCGaPe.f5c1wv2tyIJSGwXcuNu1XuLJa</t>
  </si>
  <si>
    <t>$2b$10$rlQk6DKOQ1sxQwz2lKvAwe1KL2buJZV4cnuZtU5326bUZqfTz6OIS</t>
  </si>
  <si>
    <t>$2b$10$gCG4CIlqJY5nYqU1NlGvMeO0NxmThaqL5SXo5drrTkhhdO9cG71hW</t>
  </si>
  <si>
    <t>$2b$10$rdSCTFwkZRgV.TJ/oytNceD5DCSocy0ouZ8XXQrj9yYmWHPXJKKUi</t>
  </si>
  <si>
    <t>$2b$10$.ECDJYjeQi.woCXSPlCwZuh.WrUb7NJB74ZqmvlyKOyFSdwBv1wxi</t>
  </si>
  <si>
    <t>$2b$10$qGLKkFfEjTb6glLwE9ec4.njzHV9hKNel/Vulf36ikDmrQWqICNUm</t>
  </si>
  <si>
    <t>$2b$10$GipCC0hUOSn9o3q9iJyXUOETwXbfS6C93am4rf89TzOxDFJylMA7K</t>
  </si>
  <si>
    <t>$2b$10$LOlcp/823deMdoFLnVWKyeS2MkZKMb8hF.yptzBkM3Vl9efNqQs26</t>
  </si>
  <si>
    <t>$2b$10$uj6VoOY1a.ewoOaIXlcUw.jcEfaa7M9kzIr69zeZFIKvvprLPpFW.</t>
  </si>
  <si>
    <t>$2b$10$Gko7Y2D4yaMYywSdivI8yO7fql1im31nPxUf7LubEIhKby2f6FF/O</t>
  </si>
  <si>
    <t>]'ci'8Ndyows,</t>
  </si>
  <si>
    <t>136fed746774295c2894eddd03f5bd2f</t>
  </si>
  <si>
    <t>$2b$10$tHzdQuBKyzkZAIOp6OoY0uTDRkoH4CNZ0N4MSKfIOVzFPkSRi0Xu2</t>
  </si>
  <si>
    <t>$2b$10$2Y7M5TV9D7q15EuGA/MLcOXuigSES.1p6nvxgIt/mZ.h4XRLCt1V2</t>
  </si>
  <si>
    <t>$2b$10$/.5sqnnyd.HM6nlOWCl3T.0GNiofTMCja8fWOTTMlc5tFlsOcbIaG</t>
  </si>
  <si>
    <t>akiN,-v'vp^j</t>
  </si>
  <si>
    <t>bff7f7672eb2bbbdcb259799aeee51e5</t>
  </si>
  <si>
    <t>$2b$10$oBZ.rbAc8VDclSdY1cBxgOxd4M4JVqGmTscZ6xkL0c8bUolx7QvlW</t>
  </si>
  <si>
    <t>$2b$10$zMRQV2gZt2Uy58y/2WM1duQVPdQepdRe1aUHF0W1ktvD8o9iYx4fS</t>
  </si>
  <si>
    <t>$2b$10$KrthSpjiOYxpL3Poj6seOux9tzIJtaex9s/YGdfl.2HwucIiSN7mC</t>
  </si>
  <si>
    <t>$2b$10$f3nlby4HVwhJw2JSi8FFI.I93RxeDYtpXTge..72oxDBh7P15XTGO</t>
  </si>
  <si>
    <t>$2b$10$duF5lF4.9UIzm1sswX8NEuy306aA/dmlX5TJyAzBdXxCQlT3gwn9i</t>
  </si>
  <si>
    <t>$2b$10$9gmswxdD3Y23BisaoECexuVY/pI.DlHdDKxXEygL9Huzga//Xk.4K</t>
  </si>
  <si>
    <t>$2b$10$JBJsm3QOvflb5NswsKcY5eJtXO5lexFn7oXRb6cDYDqmZRJJlmoeC</t>
  </si>
  <si>
    <t>gdH[g]g;]9jv</t>
  </si>
  <si>
    <t>a421358850beb6a7dc3f70fc6f88e557</t>
  </si>
  <si>
    <t>$2b$10$E7ZzAkMDw5GsQQRcVzZmYeXloOTHRDJEOCiJVIP7oz55G5yS02cmu</t>
  </si>
  <si>
    <t>$2b$10$Ffu1D87YHC2loyIAKh.qIO15H1qPNlF3BjofkB64RCg9ILdY7cZUq</t>
  </si>
  <si>
    <t>$2b$10$zVE0QrLPiC09OBlPPX6RJufqoOo/jx8U3daJsH/2LdTo.ZMNGYb8O</t>
  </si>
  <si>
    <t>Fs]fgd,vp^j</t>
  </si>
  <si>
    <t>992a09e83f1715fecca339c8b32bbd4b</t>
  </si>
  <si>
    <t>$2b$10$LhQPRI6YlM9QQDJkC0nUte2xNQDlccClpNMZG6doSxhSFwmRyHQm.</t>
  </si>
  <si>
    <t>g:biNa]j,vudc]h;</t>
  </si>
  <si>
    <t>285393bc757096604ff77dc767348193</t>
  </si>
  <si>
    <t>$2b$10$bf7xfQWgTSQ3ECeeuKCHi..NksDRbX5766Cnj9pDSi9gL2hjRBLrm</t>
  </si>
  <si>
    <t>$2b$10$prkm7wqSVGHF4OhuYX1GpeBezd5ZROXEtmSRVR2aHznwAgnvpInGG</t>
  </si>
  <si>
    <t>$2b$10$3B9BXIW1CAV1DrMgHeO3uuuwvxMY79T18.lEvIsTkL2KVrs5H.PIi</t>
  </si>
  <si>
    <t>Vu].shsojvp</t>
  </si>
  <si>
    <t>a5d9a88337a173d372764152ea7dce7b</t>
  </si>
  <si>
    <t>$2b$10$azL2qKlkG1whJ4EDGYDuz.lHpmc/V69LkuoXbJpQRG9J5vmBXqIXi</t>
  </si>
  <si>
    <t>$2b$10$BGJJfDu1rrNAep88H45V2.Rw0DlikZ0OM9xpcqSMTuNCvxf3zEtCu</t>
  </si>
  <si>
    <t>$2b$10$aZYk981QOi1sMwH8ZSy.GetzlENAo8YmwGB7NC4SF1wTrhhA7RIsW</t>
  </si>
  <si>
    <t>dJ;pg9uJp;s,^</t>
  </si>
  <si>
    <t>053a672f719bb8efbabe6cd2a4bc959f</t>
  </si>
  <si>
    <t>$2b$10$G/zTjnVzCHlt3kKMXDryTeFRAwCbNGOn0N1PqeHQZMw.VrW3KMFHS</t>
  </si>
  <si>
    <t>$2b$10$03Q0ER0qLcFAx1Kh2CozbuAWP36nCCKdnqucAT1kgkMfhUNWWeRNy</t>
  </si>
  <si>
    <t>$2b$10$DSjINSQNU0wDO9L8QLjHQ.yXuqONc7UE7/it8hkItbJFQLwli5InS</t>
  </si>
  <si>
    <t>$2b$10$fMhx/Jo8UbKiEunb49xnN.zgzyN4pVBrEg0Z/EZL3jqnuRwFB1wH2</t>
  </si>
  <si>
    <t>$2b$10$YL45BQq2BmS3qfAjszO.J.VnsuQQekEE2Pqm6LM4vex8vtvORjBae</t>
  </si>
  <si>
    <t>$2b$10$d6Z3q202imWW/fLwELWtbe1rsEcd0CrSuHelqlkVUkRQvJOKBRSLq</t>
  </si>
  <si>
    <t>$2b$10$mqFHzr1pKz6cpTcopYCEx.orfyN0/GHWPVYwsevJARISrcY7i3JX.</t>
  </si>
  <si>
    <t>$2b$10$jFf/vT3beo2gIXVzdfKEeu0hBegTaTZk81l7NESrOTG1ufGVQYXqW</t>
  </si>
  <si>
    <t>$2b$10$x0Oz.tK5bZFWqCTnPdfjp.g10mLAFj0A/dMkAITaBUSycCDqciN26</t>
  </si>
  <si>
    <t>$2b$10$dLrKx9LuFWrguq8h4z0adOD3HEDO2/.Wf.eSKQPNdtK13K8LcyRCW</t>
  </si>
  <si>
    <t>$2b$10$apBjAKsdhmRPbVGxhvmOa.E2/dPi4yiw1sM/o3j3R2fzjyQxTizAW</t>
  </si>
  <si>
    <t>$2b$10$54itSkeWEFUuen6hohU60eIYyIQyCR3QFxzaNpQGFSp3HXbNeOBZa</t>
  </si>
  <si>
    <t>$2b$10$jPao1sEz75Xo/kum5L/K4uE2IVfuBKBOR.B1kc13OwaVCu215x4iy</t>
  </si>
  <si>
    <t>$2b$10$kj1wETbj/jpov/zXR22yTutnDWXRenjWuTA58c33Isx7j7uP/INGS</t>
  </si>
  <si>
    <t>$2b$10$1ZuqeXl24r.W/SHTp1vrueS6oLc3GpbURJb.Yg2zxwRTLHxv.fIOq</t>
  </si>
  <si>
    <t>=kwmpgpHo</t>
  </si>
  <si>
    <t>5f398a928f7f1f81d408acc357a7ddb2</t>
  </si>
  <si>
    <t>$2b$10$BBdT3BcufHOVJmgwoMZKY.Yd5KtYR2temHEKgTvwN5XurlHp0E/bG</t>
  </si>
  <si>
    <t>$2b$10$jtWY5kQCIRkE/OuzdGkzxu/KvfpMU0R6oR63nTD4uB6shQB/pZWou</t>
  </si>
  <si>
    <t>gaio=NaikplN</t>
  </si>
  <si>
    <t>cf5cd27f247c342b174ebdc9df01909f</t>
  </si>
  <si>
    <t>$2b$10$fDOkemdvrq6VBsZsywFRYucw7NYcQJjVz.e1yEMq4eUXiMoesLJ7C</t>
  </si>
  <si>
    <t>Ffoym=HvdFdc]9</t>
  </si>
  <si>
    <t>c7e93ff5e6777c2297f63f82040ac2da</t>
  </si>
  <si>
    <t>$2b$10$s2IMLxMf1CT6vIYw1oQkhupHLqe.FWrFyiE7lb7t42v1HDw425PAe</t>
  </si>
  <si>
    <t>FmiLyrmN,nv5nv</t>
  </si>
  <si>
    <t>0511c530a8f01a4b44b82bf923cd77fe</t>
  </si>
  <si>
    <t>$2b$10$wYxVk2hh/xSmmg8tdma9UOCZfPRPcGRF.nLU4qTmIC5VdQ9QVu3O6</t>
  </si>
  <si>
    <t>$2b$10$lgj6SaHmOyLYsfLWLA8sb.4mXrlX1RfHfBg6wS1zQP6iLwR7PdPiW</t>
  </si>
  <si>
    <t>ditgxJkl9k'8N</t>
  </si>
  <si>
    <t>0fef0d93235e242c043f2e162b8c8842</t>
  </si>
  <si>
    <t>$2b$10$rhlhIVR1E1I8AIIKvKDml.73aaWEY7zrbYQ62jQ0vlnAmN7.kIizW</t>
  </si>
  <si>
    <t>ok&gt;bdk-hv,nv</t>
  </si>
  <si>
    <t>7cd1d4994569a3604671e4b2c07580cd</t>
  </si>
  <si>
    <t>$2b$10$0IrWTMsvoBiNLFSs/NrNaOIOSXYVnVEygY8WlAbSR8mVnsRq8BoJC</t>
  </si>
  <si>
    <t>$2b$10$gF4/XyPCr9pDNp57GMEDuej67QD.RssiHe9MGnUEnBtUNGWWUfFpm</t>
  </si>
  <si>
    <t>$2b$10$0T9sB2DlgAjz3wprY.PEiudTLNOpkWZUM3GWOZdhh9lJa2J/RF/By</t>
  </si>
  <si>
    <t>$2b$10$YuWYn/YJjIGdJAqP0QrKz.ynZQhD57cQPWx/xgXWGVJAf1lyx5gPy</t>
  </si>
  <si>
    <t>$2b$10$5Do5HlyyMUAjc3OwIQVM/O8le76TGwaXYhavlknB7W5vLbh.A1jsO</t>
  </si>
  <si>
    <t>$2b$10$hSkbVGsKO244KGKgk/lm8uwNF1XamUDQZ1h/ijA0DPSBUMM90EPoW</t>
  </si>
  <si>
    <t>zhkg=Hf9y;</t>
  </si>
  <si>
    <t>31b1f33d620b42f7f42155a2093473d7</t>
  </si>
  <si>
    <t>$2b$10$LGw1F8XvouwV1L.6bvnOSevc9dUWAQjHDfjNVJOURAtQY.iKr8Ddy</t>
  </si>
  <si>
    <t>$2b$10$VxuP1LMiyFExOcTVAisYTelwKZ/.b8Aa8.zt/Fd9gnITekSrffijO</t>
  </si>
  <si>
    <t>$2b$10$5839rAezsaVlGucQWiiTT./q6/IrddDFTcl23.E0g6DFLNPSpFfJ2</t>
  </si>
  <si>
    <t>$2b$10$X7.ta3R3k2V5EKQV87fFpOkbC3G43goht1MAklDHbSvFgyhKMa39u</t>
  </si>
  <si>
    <t>$2b$10$Wm1nPLVa7IRGKBQkmZLRBeYYg9F5MAdmDSl.LwGIlrurUrInrGHMa</t>
  </si>
  <si>
    <t>l,6fFoh9g]j,g]Hd</t>
  </si>
  <si>
    <t>5c7cf2fa53d92be1e32d7935cf83d6be</t>
  </si>
  <si>
    <t>$2b$10$5TZYyxxaE.2xr63aZVNaXeykx9lbse2ViwtFwOvk.Q1/HD8un348m</t>
  </si>
  <si>
    <t>g8lFmiLyrmN</t>
  </si>
  <si>
    <t>73c164e611ae2eed64d80f397caa7048</t>
  </si>
  <si>
    <t>$2b$10$Sfxc3TKv0Iwhd/JR2yiTluestocVxFZY0qvxF/6cP13Kr8nZnfitS</t>
  </si>
  <si>
    <t>waCkprdrk</t>
  </si>
  <si>
    <t>f71b61f60ab520539167a7a0fb901e02</t>
  </si>
  <si>
    <t>$2b$10$BqpGgZcLiVsaZZ58Ghpa0e0JJdl1eiuPIkc8WGRVX/GffpDlLmiSi</t>
  </si>
  <si>
    <t>lgxipNcv]dvVv]N</t>
  </si>
  <si>
    <t>2e587ecb2b956a84eea9d637a898a04a</t>
  </si>
  <si>
    <t>$2b$10$w0rCgSUl7dwNTjaF1L324uwtpjFf752PpKC.XzvFO7nBog3oGVLQK</t>
  </si>
  <si>
    <t>lkp=kiN0,nv5nv</t>
  </si>
  <si>
    <t>Fdfy'-v'.=h</t>
  </si>
  <si>
    <t>g,]Hfdkcafe</t>
  </si>
  <si>
    <t>diuo,kiNgdH9</t>
  </si>
  <si>
    <t>]b9g9bh]lF9iN</t>
  </si>
  <si>
    <t>Vy[=Hvxvvow]oN</t>
  </si>
  <si>
    <t>,kiNm.d]h[hko</t>
  </si>
  <si>
    <t>lF9iNpbh,cph,</t>
  </si>
  <si>
    <t>ihkogVnvoohvp</t>
  </si>
  <si>
    <t>8Ib9Lkl9iN</t>
  </si>
  <si>
    <t>;bmpkLkl9iN</t>
  </si>
  <si>
    <t>;b=k4kKkwmp</t>
  </si>
  <si>
    <t>4kKkvy'dAK</t>
  </si>
  <si>
    <t>ly'8,L7dKk</t>
  </si>
  <si>
    <t>xit;y9bLkl9iN</t>
  </si>
  <si>
    <t>gLiK{Lkl9iN</t>
  </si>
  <si>
    <t>gm8FoF]pulkilogmL</t>
  </si>
  <si>
    <t>Lb]xxitp6d9N</t>
  </si>
  <si>
    <t>r]tL7dKkrnho{ko</t>
  </si>
  <si>
    <t>Fxicdi,,bj'rnho{ko</t>
  </si>
  <si>
    <t>ga:[6Udg,lg:og0viN</t>
  </si>
  <si>
    <t>d^gdb]c,xlN</t>
  </si>
  <si>
    <t>w]oN8kg,ik</t>
  </si>
  <si>
    <t>8ko;kFxi</t>
  </si>
  <si>
    <t>w]mNi^,,nv5nv</t>
  </si>
  <si>
    <t>8bxc89Fxi</t>
  </si>
  <si>
    <t>Foh9=kiNm</t>
  </si>
  <si>
    <t>:k;fN8]k;fN</t>
  </si>
  <si>
    <t>g8pNgo,klg9viN</t>
  </si>
  <si>
    <t>FaF9hgvfbg9viN</t>
  </si>
  <si>
    <t>vvaabLl;um</t>
  </si>
  <si>
    <t>cx]4kKkgvHd:Ngril</t>
  </si>
  <si>
    <t>obpkpvvow]oN</t>
  </si>
  <si>
    <t>gd,,yolNFxi</t>
  </si>
  <si>
    <t>w]aNlfmyo.0</t>
  </si>
  <si>
    <t>c=iNl9viuj</t>
  </si>
  <si>
    <t>ab9golcmiHdgdviN</t>
  </si>
  <si>
    <t>lk,dUdC[y[pjv</t>
  </si>
  <si>
    <t>dkrpNgsjginv</t>
  </si>
  <si>
    <t>cViNiujrv9g9viN</t>
  </si>
  <si>
    <t>gd,vvaFmiolN</t>
  </si>
  <si>
    <t>LiuToP=yp</t>
  </si>
  <si>
    <t>dkiN9^olo6d</t>
  </si>
  <si>
    <t>obpkpcao9k:u</t>
  </si>
  <si>
    <t>;bmpkLkl9iNlo6d</t>
  </si>
  <si>
    <t>F]d-v'ly9;N</t>
  </si>
  <si>
    <t>Ffikgv,vo</t>
  </si>
  <si>
    <t>oydln[0bJ;F8oyo</t>
  </si>
  <si>
    <t>:kd6it0v,g;m</t>
  </si>
  <si>
    <t>F8oyopvfoydln[</t>
  </si>
  <si>
    <t>g:g]viN,^o</t>
  </si>
  <si>
    <t>Fxgd,jvoFd]fN</t>
  </si>
  <si>
    <t>Fxgd,vo</t>
  </si>
  <si>
    <t>dyx9yo:7[klt</t>
  </si>
  <si>
    <t>Ffgi,uFot</t>
  </si>
  <si>
    <t>VuFijcsj'F]d</t>
  </si>
  <si>
    <t>Fxgd,jvo</t>
  </si>
  <si>
    <t>;yogfviN;^c,o</t>
  </si>
  <si>
    <t>,kpg,F]fuh</t>
  </si>
  <si>
    <t>cv'diuhg[biNf</t>
  </si>
  <si>
    <t>db99br'KNl6omi</t>
  </si>
  <si>
    <t>dyPPkiy9oNri</t>
  </si>
  <si>
    <t>rb,rN=od;ik4iIN</t>
  </si>
  <si>
    <t>TodA9r'KN</t>
  </si>
  <si>
    <t>;i4ymiN=yp</t>
  </si>
  <si>
    <t>L64=yp;y&lt;oN</t>
  </si>
  <si>
    <t>Tokdi;ir'KN</t>
  </si>
  <si>
    <t>xig,L;iNr'KN</t>
  </si>
  <si>
    <t>To;y&lt;oN=yp</t>
  </si>
  <si>
    <t>Lbibomir'KN</t>
  </si>
  <si>
    <t>rb=Pkiy9oNri</t>
  </si>
  <si>
    <t>db99biy9oN;i</t>
  </si>
  <si>
    <t>Fi'giupol;od6s]k[</t>
  </si>
  <si>
    <t>gdK9iLkl9iN</t>
  </si>
  <si>
    <t>lok,du&gt;kcsj'=k9b</t>
  </si>
  <si>
    <t>rbrbT4yIRNLb]xt</t>
  </si>
  <si>
    <t>;yfFrTbN</t>
  </si>
  <si>
    <t>l;oly9;Nf6lb9</t>
  </si>
  <si>
    <t>l;oly9;Ngxbfg-kg-up;</t>
  </si>
  <si>
    <t>i5po9Nlj;o[688]</t>
  </si>
  <si>
    <t>i50ydipkopo9N</t>
  </si>
  <si>
    <t>i5po9Nwaahk</t>
  </si>
  <si>
    <t>ginvFfplki</t>
  </si>
  <si>
    <t>i5[ylxiy[vkdkL</t>
  </si>
  <si>
    <t>i59^hFfplki</t>
  </si>
  <si>
    <t>i5wa8;k,giH;l^'</t>
  </si>
  <si>
    <t>ginvlxufF[Um</t>
  </si>
  <si>
    <t>ginvgaviNiuj</t>
  </si>
  <si>
    <t>g8injv'[boFfplki</t>
  </si>
  <si>
    <t>gV]b8vxg9viN</t>
  </si>
  <si>
    <t>i5Ffplkixit0emk'</t>
  </si>
  <si>
    <t>lb'F9cvaibdk</t>
  </si>
  <si>
    <t>glnvF8ij'[y'8]kgmL</t>
  </si>
  <si>
    <t>crofhkpydKN</t>
  </si>
  <si>
    <t>dit9jkpgogTviNc]ofN</t>
  </si>
  <si>
    <t>,hkryoT6Nvksiy[</t>
  </si>
  <si>
    <t>odcdh;,k8viN</t>
  </si>
  <si>
    <t>;k&gt;gr=GSk9</t>
  </si>
  <si>
    <t>d;k'giogfupiN</t>
  </si>
  <si>
    <t>0itg-hc,johewo]N</t>
  </si>
  <si>
    <t>dbh'djkryoT6NduF8</t>
  </si>
  <si>
    <t>c,;ohe:u]</t>
  </si>
  <si>
    <t>lb'F9mtg]</t>
  </si>
  <si>
    <t>x]kF],kcv9c]o9bd</t>
  </si>
  <si>
    <t>odV^d9kF9</t>
  </si>
  <si>
    <t>du9kiNFxij'waahk</t>
  </si>
  <si>
    <t>du9kiN8]kllbdwaahk</t>
  </si>
  <si>
    <t>gxupFocdiofNwaahk</t>
  </si>
  <si>
    <t>c:HdF:Faovy]F9</t>
  </si>
  <si>
    <t>d]v'mv,lc9ofkiNf</t>
  </si>
  <si>
    <t>;bFv]k8]kllbd</t>
  </si>
  <si>
    <t>VkiNxwmp,k9i{ko</t>
  </si>
  <si>
    <t>w;Fv]bowaahk</t>
  </si>
  <si>
    <t>g=]F]8]kllbd</t>
  </si>
  <si>
    <t>miy,gxH9,k9i{ko</t>
  </si>
  <si>
    <t>gxupFowaahk,k9i{ko</t>
  </si>
  <si>
    <t>d]v'grviN8y==yo</t>
  </si>
  <si>
    <t>c:HdF:FaogmgoviN</t>
  </si>
  <si>
    <t>du9kiNwaahkF:F]</t>
  </si>
  <si>
    <t>$2b$08$ag1Vofr1vxDIijp/Krb6jOo3OsuU/0EvtCeoXTGlVQA8k2QhaG/O6</t>
  </si>
  <si>
    <t>$2b$08$RNe0CmEGISEf2dkT7QyvjeTZyM.J.kCeaNF6U7VJimXLJ3e0qbzfm</t>
  </si>
  <si>
    <t>$2b$08$D7exiknZvWPJ7gtGtWoNd.Yj7Rv0xSZRzWOBsmxHNsA6NCW7B5wSa</t>
  </si>
  <si>
    <t>$2b$08$VQWlDd3qTlMSHtLc3tz2T.Z6ltLb/wD4AtSn0JCM.9au66ng6B4vC</t>
  </si>
  <si>
    <t>$2b$08$sPQNHy3YMsb5Q6U.O7r9euQItw.kbXg4URXPNMWUJP8sWctjMg8hK</t>
  </si>
  <si>
    <t>$2b$08$uqQtZLK0eIAtdZqfwkDQ5OxwcnBoq4MvhXDWFLN59xD2Mg4iZTgje</t>
  </si>
  <si>
    <t>$2b$08$N1L0WrCumWw4Q5QDCbgzueUbcwh1sIiHRdGKaLRbn/NK545a77dQm</t>
  </si>
  <si>
    <t>$2b$08$HrDW8BdoxbKfNOjfALQoeulQtuNuF1pQrSgMyV7cO5CeQ/mH8ddNm</t>
  </si>
  <si>
    <t>$2b$08$BvTgYgDdZyk4h1tZqI3PQO36o4IrgmbGniE5b6xlqOEAQOYhOGAUq</t>
  </si>
  <si>
    <t>$2b$08$CPeBnYTSyYLDzyWYWxi/OuaBWJ21rQQu3jkTW3KxFHfOIB4WZ96qO</t>
  </si>
  <si>
    <t>$2b$08$X2R4l3hyt7u5oq0kpoF.Y.zcR0npDr201CaOz5vGhTdh/N/I5xGEC</t>
  </si>
  <si>
    <t>$2b$08$DhRKHu0QRqbeBztXcD4OMO5Cd0526uxqynAIK0pvF938l4WJm0do.</t>
  </si>
  <si>
    <t>$2b$08$3ccgbNelBTvInKiO1IzDEuuYT0pk9p7cVtbsa0AmxYTiHTo89sBvS</t>
  </si>
  <si>
    <t>$2b$08$EMBJmYOeIjoBpjBM3UpEBuVnKXRx7YmtXWTdbUoof3NCPZZcBuLAy</t>
  </si>
  <si>
    <t>$2b$08$cBcH1Q4Ueg6Ee8Xmedncm.sbZkAe48QCI.Rwni3ZGNJesQqy81iQ6</t>
  </si>
  <si>
    <t>$2b$08$.10KklUH0IqIwpCDvGvPiOhuGg4vbzunLvOENCw0rUH4M3nvybo82</t>
  </si>
  <si>
    <t>$2b$08$B/o9dajTeQazbw7S7oPOvuJJ1tovQQ04zMNL.mmS.oLFrKlGiG1wq</t>
  </si>
  <si>
    <t>$2b$08$816X7gGxD3wMVa2uSAzIPuvUfzw.Shbc6A.tbz0kB.MGTih/cipC.</t>
  </si>
  <si>
    <t>$2b$08$c5N6nvGw3MpfvMtZp1RuNe1qvFAuyEk8ooFGnFGLRuclDBleATg1W</t>
  </si>
  <si>
    <t>$2b$08$hdYQuiehFGjOuqKFNqHMEedQvpDN2JKPQKJlDpwLa/tD7ghDB6atC</t>
  </si>
  <si>
    <t>$2b$08$smAcrDaeHxEVEhzwjbbNbu/AN/lasacjR2KPchCyEbxstoEKhqsyu</t>
  </si>
  <si>
    <t>$2b$08$xlvg2IyAzEBbWkdZmLbuh.YB/kCDvAKVMzmBQyxC319Uis1YuPQbe</t>
  </si>
  <si>
    <t>e07c910b862c57bfea19c9038adcdaf7</t>
  </si>
  <si>
    <t>$2b$08$NZPtdw9L7QOzeaKJ0dVYJ.NWyfJRZj5cZ0DgjAtyy50rSvfyrFZFu</t>
  </si>
  <si>
    <t>$2b$08$CpULpw5JDjlzCESZ5adB7u2QMB8Q/iS/Tx19Znq36nvRMMCtcyoCa</t>
  </si>
  <si>
    <t>$2b$08$EWbxlCtchrOEVahdAEUSGuuKkIWcxXLmi.gMW39hEOWDFTNMBqfHS</t>
  </si>
  <si>
    <t>$2b$08$HUe8PugHwmlP7otIBtnAo.XtpwptaVIlU6VrwYRAp/roEzmtDtTAO</t>
  </si>
  <si>
    <t>$2b$08$EnTFfx61b9NZO2LbotxEG.RRImy3SewwN52lfq4XmLkzAVfYtQh2K</t>
  </si>
  <si>
    <t>$2b$08$HVq9CxTSo.qyKqWg.x.lI.o7GQj0xa0MMwYFiq9z91t2MdpMs7dbC</t>
  </si>
  <si>
    <t>$2b$08$AF5NNln6fjZnmpmm/jD11OjwNgcb4Al20HRMrZDexdP04GhbBEg6W</t>
  </si>
  <si>
    <t>$2b$08$i18LDn0KJen1Xl5BLJk8ku4X4FFJBRr.01hhdLl1d.fjs9741t1AG</t>
  </si>
  <si>
    <t>$2b$08$tOml7BPtVSISva1DP6gU7OSV9hTWIlkgbMK3GS0ZH3H/MdrQGZEtK</t>
  </si>
  <si>
    <t>$2b$08$TO09kaAlQAYBPLO24nqzYOvVNR50KIiPj.e6EupVD7cocly6xIUyC</t>
  </si>
  <si>
    <t>$2b$08$wNhw1HmuWAO48hA/WrNVDuuFv92UvePeeiuwKBDQH6OWNYnNYNar2</t>
  </si>
  <si>
    <t>$2b$08$ViQ13gVA5DAeEAi7RvWejOdXKRn2umPzxNG/Lqwi8Iey30/YyrEgG</t>
  </si>
  <si>
    <t>$2b$08$pEiegQivaMtZvXN1iIcq4.ZXHG7iHdHqdD4sfwj8CAHV7TvNf109K</t>
  </si>
  <si>
    <t>$2b$08$CxXsfzLxVTItyzxoHtkWRu5LBdGd/ciAWucF4ifR.gTO/QpNC0wXa</t>
  </si>
  <si>
    <t>$2b$08$nMRTU7LS92vZhZRR9.NPBulwnGbWZ.2VwGsDmS8DD/EQPdpec1vZq</t>
  </si>
  <si>
    <t>$2b$08$INg3OCrW3hcZ1By0H1Xm/uhbUIpv8DtxA2dhZJ.zcRUELjDlIP8MG</t>
  </si>
  <si>
    <t>$2b$08$AFyUvAhS01KIsWlxsgdV4eufh6P1PnMIHTrkGB6z2esnJg6K565Sy</t>
  </si>
  <si>
    <t>$2b$08$9Zblo/byh1Hp6O5fBHw91.EUCT6xvUbseLVW0rgpjNPscwaSuMXka</t>
  </si>
  <si>
    <t>$2b$08$VxwKau.vWJuxsKKgOnBsAOoCVZKdrCYnlH/hpBxptQbJ2u52IxPdS</t>
  </si>
  <si>
    <t>$2b$08$yGN5gHiiO5iHwCnTM8o...TAYZwVJFyixaPKxWAUO/glUKw213YdW</t>
  </si>
  <si>
    <t>$2b$08$Dpmz//ueOMQoXMOE1T917OIPgHrg6KV4K/ELbh8jYLZ0O59ZhDBha</t>
  </si>
  <si>
    <t>$2b$08$erVbuxKhlMTeyGl7Rc7UtOej95ShVwkYU6oGhMYyF1ZjWM/kwx5ii</t>
  </si>
  <si>
    <t>$2b$08$1TjCh.WtXdDMH08gWOGRzeGPV0LBRUSQK0XX/q3v79DtnxheqAO8e</t>
  </si>
  <si>
    <t>$2b$08$vfDujIGIi8w7kiIwJToYXOfWPadtVwSApPsaFOxBDAtgau2UUz9r2</t>
  </si>
  <si>
    <t>$2b$08$4Qq6o2W2s0.xz54nrQwmBumLjzt4REt5zZ6XMNdcvYmrnhiBfiiSW</t>
  </si>
  <si>
    <t>$2b$08$bk7VCSo9t8.COyZZgraPgOLJ/IraqWK47Cje1YGS1lNqaLHD/FMvC</t>
  </si>
  <si>
    <t>$2b$08$6gQEqsdY9sB/p7ynmmbU6Oslt.bkoNrAxvtyD3vC/5qOcHLjQdLdm</t>
  </si>
  <si>
    <t>$2b$08$OhBOTxWafW/eae/WVJWhxeuwQI8tkTnXKcv.jpohAqj9R1cMkLtwi</t>
  </si>
  <si>
    <t>$2b$08$Vy1.GfVavw0y4eD9tYufauXVUZDMjRbM31GQOiDACbNH1.BZ2QdO6</t>
  </si>
  <si>
    <t>$2b$08$39tu/yNwhb96V1Ooyz49fuQn30k6sSccHRQ3aAO2eDtAxrL3s0tRe</t>
  </si>
  <si>
    <t>$2b$08$wyc2K55eu/qEGoIfv79CV.k8/vmIm4t3/WZcnC4LXMrYVWeIoofym</t>
  </si>
  <si>
    <t>$2b$08$jBLuPiaEod7/RYLRtkVecOI6TikDPgHzbxQqCLhS4kVO3lxfZjLmy</t>
  </si>
  <si>
    <t>$2b$08$KQJTnD4AjIZDlxyQJX01x.u39Nbkfzlnhrao7IA34E50cJl5/2sXu</t>
  </si>
  <si>
    <t>$2b$08$OYr4R.OBetYHOCPyaauujuBF/zpXcifYyLYSzRuGWwZbmxHAJgoxq</t>
  </si>
  <si>
    <t>$2b$08$PUKjCJNE4IPgCJLlLVHwfeOcbeUVYkP80VTEwheWOhAM8.oGMryJm</t>
  </si>
  <si>
    <t>$2b$08$AW2L50XLgSUv4S552HtFEe1vImRohIFfXD6ry7ejR7VYLFWBn7eUC</t>
  </si>
  <si>
    <t>$2b$08$ABEivq1vvoTokvpp5WBv/uiAkeo0XLSlGLRPrdkLROVcqQCPCm2D2</t>
  </si>
  <si>
    <t>$2b$08$H62XVCjgZLpIaL2sYsX0BuAi2Sr3su.rD.mVvK68i8gZCjFFmlGYK</t>
  </si>
  <si>
    <t>$2b$08$ko.J8KR48inTdsvt9i6Q8.DKdNC51P7ItC/wztNztg5I.xorDuDfS</t>
  </si>
  <si>
    <t>$2b$08$nV4kSqG1bDyH.O2qjUfAieWUXQycJ73STyYCGoiEDz0JtY3nFwTfm</t>
  </si>
  <si>
    <t>$2b$08$z5JIW2tejDRQQyk7S2D4COHVx3HB0HnuQYOnFLORdzHWbuH8Ori5O</t>
  </si>
  <si>
    <t>$2b$08$HB3L6nUP0ZM1dVQ6.w5zP.WJVQKue/x1avBg8lAiVSWTDYsGzxupe</t>
  </si>
  <si>
    <t>$2b$08$1wizpVD9047Cw.IjNH3Uder3feQuF1AVYH8w7w5hXMlwFdwwwaf9e</t>
  </si>
  <si>
    <t>$2b$08$DcEyUaHSHNhl7l1HN2vdIOyy4AC72mi3MUQFpJUcqpaGCSdflpZOm</t>
  </si>
  <si>
    <t>$2b$08$w0y9EztgJHGIHjJ6vLAUne52eM730T.MuywO8Xuo6TCuFHXqYwFJK</t>
  </si>
  <si>
    <t>$2b$08$ndqOPEk50i/auQ7ZNQYHs.SguKhEpK64fEj8pvlFbHI2PTgDlYen.</t>
  </si>
  <si>
    <t>$2b$08$zUyiufe0nTO/M1BtkFn.LeTHMrh3ib66QXPDnJgoc5oi/Z6tnWlry</t>
  </si>
  <si>
    <t>$2b$08$su9jV86PCBhHun6kioKQyediseH801F3bIEDuAR7kEx/Qn267lX1W</t>
  </si>
  <si>
    <t>$2b$08$C29tbBmOo2alv/PaLvlZFOCqTyqYhG.ZfhVUr5LpzQBPYiPc9RisW</t>
  </si>
  <si>
    <t>$2b$08$VnMf5Z2qpz38J17ZXTDwYuFrYqWfCw/uY9G4eEISOBRYpMLVEt3/K</t>
  </si>
  <si>
    <t>$2b$08$7uaUDDyH9ZFGEP72.HdJPOefVtr6EROobwVu83ul62PrIAIIVXYuC</t>
  </si>
  <si>
    <t>$2b$08$9FlgVXR9tYiism.EHyrs7.BAEp.K/xFAc1BqYDfoSJxSjhgvNdnbi</t>
  </si>
  <si>
    <t>$2b$08$jOatjoqUONpKK7W0h5XxkO5t2DSuT9JFJJo2TStUWk8lRdo5COB1q</t>
  </si>
  <si>
    <t>$2b$08$9ywWAkX5/9zb8LFFRpqg7upHzpvg2kn7LS/QeJMPSLh64Tpc59ZEi</t>
  </si>
  <si>
    <t>$2b$08$vrLsgdkCWGAoRTy0uxiQ9eeKYqn3Rw1SgVpsYZAYThtAsUS.c6luO</t>
  </si>
  <si>
    <t>$2b$08$dBua1crp28t5z7U8RBj1rugOENY6ewMkQv6uQLcg/ZPYDsfhObT2K</t>
  </si>
  <si>
    <t>$2b$08$eMFxQfvMq58JPdKf/GzN..jMYp7/zipGBegelxQ8f4VQ9PPpCjdd2</t>
  </si>
  <si>
    <t>$2b$08$1TDYRwmPtFYvWwvTMSsJ3eguW57qV1X94JSviTye/chb3CCyUi.66</t>
  </si>
  <si>
    <t>$2b$08$Xlt6WbXvLNSYUos201oadeVy9/H.1rZ5Xfh4vUhQy/.VytQfpPKpO</t>
  </si>
  <si>
    <t>$2b$08$pCk5XulQ4vTxU8IL/L9kK.6Nplw6ttpXVZ24FQM.2j/X9E38PbU0m</t>
  </si>
  <si>
    <t>$2b$08$q0brEwjsQ9lVMng2d5S2TOzs/uZ9NvotICI0tGT4CqtAam1bUxy.q</t>
  </si>
  <si>
    <t>$2b$08$MtQLbbRctkM6wCZP/67O6e/cIhy9hLh/.dD8s/mb53WW0EHNuJCgi</t>
  </si>
  <si>
    <t>$2b$08$00SCNjxjxFlG6xf7Q6SbB.9NYN85DF3GyXsxY5EVxeDAKPkZHR5XW</t>
  </si>
  <si>
    <t>$2b$08$LWvePtS3UADfwZM5bOGjOuoHWC6Dbp/1G3nEnBUXwv7M3MtDbtoOG</t>
  </si>
  <si>
    <t>$2b$08$1wnZk8qE/fgNWGAlmZHoN.nH2eXubkDvuv9jRWfPK..6k3HH50kzu</t>
  </si>
  <si>
    <t>$2b$08$QruOz1iboptgH6vBOqVF8.2jVUmiROIjFqRNCeFWKBp1cZQtY48v6</t>
  </si>
  <si>
    <t>$2b$08$h5uaIfKcFZa5md7/yQfj0eVDzsFl8P.rQI/cE64uiBo/S/slPie3O</t>
  </si>
  <si>
    <t>$2b$08$49068vNmdOwT0ZV2n7Cf4OY8OiawDjGBOd/nIZvkW/nFw0UNCTMwy</t>
  </si>
  <si>
    <t>$2b$08$V06nFRveus0mHXIYsZ6eoeZJwJ6Jmkv3uXdEXRi48yqpyEcuWi0yi</t>
  </si>
  <si>
    <t>$2b$08$vA6fmmUxVs/QKqM7TDmnDOhY3N62HUabmTV3vFEDd.f4xQM8k4qoW</t>
  </si>
  <si>
    <t>$2b$08$Hv/aGX18Q7Z.I/vFuQdaaef8dXc7UysiQj.y4ir4mSkfFsmXg1lfu</t>
  </si>
  <si>
    <t>$2b$08$Ns9gKEkE8GudqVyHn9Ilx.PW9K50XSlJXx9tIwNAyeBfORc48SriK</t>
  </si>
  <si>
    <t>$2b$08$H5YAnZMh1k8Ynhhco1OLJ.3E1g/zWGNmb8ktw1OLguczLoh1iH5Ju</t>
  </si>
  <si>
    <t>$2b$08$SIjxw0MKmijvHuUDzvRkNeTLAkxpJKjCuugjVPuIKozySQQa.KOaS</t>
  </si>
  <si>
    <t>$2b$08$wPb65x.H90bpJ06KyJq0f.DQkyZJUeZmJL83iI.G1wMzwzV/K43DK</t>
  </si>
  <si>
    <t>$2b$08$/f6Gm5SYPdMWLC2vlLvsXOkf503IeAbRv1HV8GHNpc2eyU3qM0GMC</t>
  </si>
  <si>
    <t>$2b$08$sBIh4eSFXfTvOnF5ztN7xeRVB0uNiO8pwh9kOlhzdPpNY35ia/6mm</t>
  </si>
  <si>
    <t>$2b$08$uVeDKPRKBpFLMbWIbBxRm.3s0xs5bvG.GpuAiIIcQFrPRIh3XGi.S</t>
  </si>
  <si>
    <t>brute force found within xx mins</t>
  </si>
  <si>
    <t>dictionary rockyou Original</t>
  </si>
  <si>
    <t>dictionary rockyou 2024</t>
  </si>
  <si>
    <t>dictionary Pwdb_top10,000,000</t>
  </si>
  <si>
    <t>dictionary thai</t>
  </si>
  <si>
    <t>dictionary thai-name</t>
  </si>
  <si>
    <t>combiner thai + thai</t>
  </si>
  <si>
    <t>combiner thai-name + thai-name</t>
  </si>
  <si>
    <t>combiner thai + thai-name</t>
  </si>
  <si>
    <t>is found?</t>
  </si>
  <si>
    <t>Thai to english password</t>
  </si>
  <si>
    <t>found</t>
  </si>
  <si>
    <t>not found</t>
  </si>
  <si>
    <t>30af0e954501e15ac6820479f03de784:/o9drie</t>
  </si>
  <si>
    <t>b5c0b187fe309af0f4d35982fd961d7e:love</t>
  </si>
  <si>
    <t>none</t>
  </si>
  <si>
    <t>10 minutes bruteforce</t>
  </si>
  <si>
    <t>1012320104d8749826e2ac4cd6a9de0b:pkluayo</t>
  </si>
  <si>
    <t>3355d92c04a3332339b767f9278405ff:dance</t>
  </si>
  <si>
    <t>3fab993ab2f5947662621525107c28d4:Dxgd,vo</t>
  </si>
  <si>
    <t>297aae72cc4d0d068f46a9158469e34d:crazy</t>
  </si>
  <si>
    <t>b5cf4e3f417db6283de345b00da02187:mhine</t>
  </si>
  <si>
    <t>b3725122c9d3bfef5664619e08e31877:marie</t>
  </si>
  <si>
    <t>19984dcaea13176bbb694f62ba6b5b35:andre</t>
  </si>
  <si>
    <t>dictionary thai - name</t>
  </si>
  <si>
    <t>827ccb0eea8a706c4c34a16891f84e7b:12345</t>
  </si>
  <si>
    <t>58f3907ef81dee7443834b0f76d247e5:lover</t>
  </si>
  <si>
    <t>7d4ef62de50874a4db33e6da3ff79f75:bryan</t>
  </si>
  <si>
    <t>99c307a7bcd9067efb2967906eef4b87:megan</t>
  </si>
  <si>
    <t>Is found?</t>
  </si>
  <si>
    <t>3ddaeb82fbba964fb3461d4e4f1342eb:smile</t>
  </si>
  <si>
    <t>1c138fd52ddd771388a5b4c410a9603a:jamie</t>
  </si>
  <si>
    <t>59548977279905234b7ed3b1710837f2:amber</t>
  </si>
  <si>
    <t>Rockyou password</t>
  </si>
  <si>
    <t>05f3672ba34409136aa71b8d00070d1b:cutie</t>
  </si>
  <si>
    <t>ca611ff5688d31eecbe58cd802d812d7:angie</t>
  </si>
  <si>
    <t>6cb59bcb03e7a1edbe7573bc367307e8:loser</t>
  </si>
  <si>
    <t>ccb4a9130f39cc557558b9248360f43f:tyler</t>
  </si>
  <si>
    <t>8a52072cee5d17cc7bf85d6ca431fffa:katie</t>
  </si>
  <si>
    <t>01cfcd4f6b8770febfb40cb906715822:54321</t>
  </si>
  <si>
    <t>449a36b6689d841d7d27f31b4b7cc73a:aaron</t>
  </si>
  <si>
    <t>1f3870be274f6c49b3e31a0c6728957f:apple</t>
  </si>
  <si>
    <t>110d46fcd978c24f306cd7fa23464d73:jesus</t>
  </si>
  <si>
    <t>316928e0d260556eaccb6627f2ed657b:bitch</t>
  </si>
  <si>
    <t>2b877b4b825b48a9a0950dd5bd1f264d:jason</t>
  </si>
  <si>
    <t>cbd44f8b5b48a51f7dab98abcdf45d4e:brian</t>
  </si>
  <si>
    <t>dcddb75469b4b4875094e14561e573d8:00000</t>
  </si>
  <si>
    <t>LinkedIn-xato password</t>
  </si>
  <si>
    <t>d67326a22642a324aa1b0745f2f17abb:jorge</t>
  </si>
  <si>
    <t>f4f068e71e0d87bf0ad51e6214ab84e9:angel</t>
  </si>
  <si>
    <t>3a23bb515e06d0e944ff916e79a7775c:diana</t>
  </si>
  <si>
    <t>9d5e3ecdeb4cdb7acfd63075ae046672:kevin</t>
  </si>
  <si>
    <t>eaf450085c15c3b880c66d0b78f2c041:linda</t>
  </si>
  <si>
    <t>313437c00302021eda7b4197983f4011:teamo</t>
  </si>
  <si>
    <t>145353cd147486f9635429afdf8b922c:ganda</t>
  </si>
  <si>
    <t>f156e7995d521f30e6c59a3d6c75e1e5:oscar</t>
  </si>
  <si>
    <t>6f597c1ddab467f7bf5498aad1b41899:cesar</t>
  </si>
  <si>
    <t>15e5c87b18c1289d45bb4a72961b58e8:grace</t>
  </si>
  <si>
    <t>6814a9d9bb0f943f55ce4ed71fc0481a:nikki</t>
  </si>
  <si>
    <t>8ad92b1af7e1d426219a319d4f9853ff:mahal</t>
  </si>
  <si>
    <t>6b34fe24ac2ff8103f6fce1f0da2ef57:chris</t>
  </si>
  <si>
    <t>5d41402abc4b2a76b9719d911017c592:hello</t>
  </si>
  <si>
    <t>339a65e93299ad8d72c42b263aa23117:lucky</t>
  </si>
  <si>
    <t>680e89809965ec41e64dc7e447f175ab:laura</t>
  </si>
  <si>
    <t>5bab541acd761a3093d7c4202b6e1da9:rocky</t>
  </si>
  <si>
    <t>9f27410725ab8cc8854a2769c7a516b8:green</t>
  </si>
  <si>
    <t>b0baee9d279d34fa1dfd71aadb908c3f:11111</t>
  </si>
  <si>
    <t>d686a53fb86a6c31fa6faa1d9333267e:sandy</t>
  </si>
  <si>
    <t>c48ba993d35c3abe0380f91738fe2a34:candy</t>
  </si>
  <si>
    <t>ba952731f97fb058035aa399b1cb3d5c:karen</t>
  </si>
  <si>
    <t>83349cbdac695f3943635a4fd1aaa7d0:anita</t>
  </si>
  <si>
    <t>093ec71f562ba6cbf5825b7c9a48f19e:daddy</t>
  </si>
  <si>
    <t>daea4d0b55ef6c16f04b8997a51e7e6a:pinky</t>
  </si>
  <si>
    <t>263bce650e68ab4e23f28263760b9fa5:maria</t>
  </si>
  <si>
    <t>e7e9ec3723447a642f762b2b6a15cfd7:bella</t>
  </si>
  <si>
    <t>a102c4a959dfe7efdd3a4e112bee0407:loves</t>
  </si>
  <si>
    <t>16616347a7a5a764fe271009b247211a:kayla</t>
  </si>
  <si>
    <t>a384b6463fc216a5f8ecb6670f86456a:qwert</t>
  </si>
  <si>
    <t>b4cc344d25a2efe540adbf2678e2304c:james</t>
  </si>
  <si>
    <t>5fcd162c2418ef549b7b912976468942:karla</t>
  </si>
  <si>
    <t>72a86026abb289634ec64d7f3b544f0c:paola</t>
  </si>
  <si>
    <t>f7f7591403c6c431053920223069550a:erika</t>
  </si>
  <si>
    <t>19fda76e5b0bc33f22990ebbbd3a62f7</t>
  </si>
  <si>
    <t>078c007bd92ddec308ae2f5115c1775d:diego</t>
  </si>
  <si>
    <t>66a5bceef4d20f7c50f7f99ac8ed07a9</t>
  </si>
  <si>
    <t>e549a200372db9f3fcfac9f384e4ac2d:sweet</t>
  </si>
  <si>
    <t>ed6658e6f22583ed66fb5e5e735b9e63:molly</t>
  </si>
  <si>
    <t>ae074a5692dfb7c26aae5147e52ceb40:kelly</t>
  </si>
  <si>
    <t>b02ae5aaefe3f7090668df034b0f2324:emily</t>
  </si>
  <si>
    <t>4385695633f8c6c8ab52592092cecf04:sammy</t>
  </si>
  <si>
    <t>2623e0d1f4e1a3093ee71672ec1c771a:mommy</t>
  </si>
  <si>
    <t>c2fe677a63ffd5b7ffd8facbf327dad0:jimmy</t>
  </si>
  <si>
    <t>37d153a06c79e99e4de5889dbe2e7c57:april</t>
  </si>
  <si>
    <t>c5fe25896e49ddfe996db7508cf00534:55555</t>
  </si>
  <si>
    <t>56ab24c15b72a457069c5ea42fcfc640:happy</t>
  </si>
  <si>
    <t>a9c4cef5735770e657b7c25b9dcb807b:bobby</t>
  </si>
  <si>
    <t>cd880b726e0a0dbd4237f10d15da46f4:kitty</t>
  </si>
  <si>
    <t>9726255eec083aa56dc0449a21b33190:money</t>
  </si>
  <si>
    <t>b60eb83bf533eecf1bde65940925a981:honey</t>
  </si>
  <si>
    <t>de2f15d014d40b93578d255e6221fd60:mario</t>
  </si>
  <si>
    <t>ebe6941ee8a10c14dc933ae37a0f43fc:jenny</t>
  </si>
  <si>
    <t>b7bee6b36bd35b773132d4e3a74c2bb5:danny</t>
  </si>
  <si>
    <t>df4b892324bbb648f27734b55c206b4b:daisy</t>
  </si>
  <si>
    <t>172522ec1028ab781d9dfd17eaca4427:david</t>
  </si>
  <si>
    <t>9e9d7a08e048e9d604b79460b54969c3:sarah</t>
  </si>
  <si>
    <t>559a7f208866f0063b1ea8d5ca2ee816:chloe</t>
  </si>
  <si>
    <t>5b0535cca532b8ae920269ab4bedec21:loveu</t>
  </si>
  <si>
    <t>eb0a191797624dd3a48fa681d3061212:master</t>
  </si>
  <si>
    <t>e10adc3949ba59abbe56e057f20f883e:123456</t>
  </si>
  <si>
    <t>ec0e2603172c73a8b644bb9456c1ff6e:batman</t>
  </si>
  <si>
    <t>4fe705bb8b349da9588e746cda9dbe2d:cheche</t>
  </si>
  <si>
    <t>72b302bf297a228a75730123efef7c41:banana</t>
  </si>
  <si>
    <t>4297f44b13955235245b2497399d7a93:123123</t>
  </si>
  <si>
    <t>02b0732024cad6ad3dc2989bc82a1ef5:jasper</t>
  </si>
  <si>
    <t>2141b17fb8b9c95b77e9eeccdc7e8010:baller</t>
  </si>
  <si>
    <t>119dd1bd86728b407fe82fce1f8b9369:roxana</t>
  </si>
  <si>
    <t>3c9c03d6008a5adf42c2a55dd4a1a9f2:javier</t>
  </si>
  <si>
    <t>f6432274349b5cb93433f8ed886a3f37:winter</t>
  </si>
  <si>
    <t>1404834e52a4c6cac9444f1fb3c62d3c:nathan</t>
  </si>
  <si>
    <t>d4ed17ec4bca7d7d87efb949a3293d68:rocker</t>
  </si>
  <si>
    <t>d964173dc44da83eeafa3aebbee9a1a0:456123</t>
  </si>
  <si>
    <t>71b3b26aaa319e0cdf6fdb8429c112b0:789456</t>
  </si>
  <si>
    <t>21218cca77804d2ba1922c33e0151105:888888</t>
  </si>
  <si>
    <t>0f5366b3b19afc3184d23bc73d8cd311:xavier</t>
  </si>
  <si>
    <t>a886f2ee22888badbce90eac740c49be:carter</t>
  </si>
  <si>
    <t>841d93525b9f0960ceaf38f4fdf22e2e:walter</t>
  </si>
  <si>
    <t>f0af962ddbc82430e947390b2f3f6e49:miller</t>
  </si>
  <si>
    <t>acae273a5a5c88b46b36d65a25f5f435:oliver</t>
  </si>
  <si>
    <t>937ee4af1a7a08949afa0ac110229fce:potter</t>
  </si>
  <si>
    <t>6b19beeaedade171ecc320ddd87f7ae6:dancer</t>
  </si>
  <si>
    <t>b36d331451a61eb2d76860e00c347396:killer</t>
  </si>
  <si>
    <t>ce5225d01c39d2567bc229501d9e610d:marina</t>
  </si>
  <si>
    <t>cd21b93cfd8d6824dc2bce1a19decaf7:cooper</t>
  </si>
  <si>
    <t>3c86ddb270471569a6b02000d54b570c:red123</t>
  </si>
  <si>
    <t>bae382c188d0a07282e0a6535d5aa3ce:tinker</t>
  </si>
  <si>
    <t>f78f2477e949bee2d12a2c540fb6084f:tigger</t>
  </si>
  <si>
    <t>aac0a9daa4185875786c9ed154f0dece:fucker</t>
  </si>
  <si>
    <t>a125a6b2a71e23adc002ac7fbe1a1042:dexter</t>
  </si>
  <si>
    <t>58b3994b2fc2536ee6d208039d3f8849:casper</t>
  </si>
  <si>
    <t>d615e0078551be8111ad222380b2cdbc:booger</t>
  </si>
  <si>
    <t>6b1b36cbb04b41490bfc0ab2bfa26f86:hunter</t>
  </si>
  <si>
    <t>608f0b988db4a96066af7dd8870de96c:flower</t>
  </si>
  <si>
    <t>b3f952d5d9adea6f63bee9d4c6fceeaa:pepper</t>
  </si>
  <si>
    <t>21426b290d975ec5d264c38031da8fac:lester</t>
  </si>
  <si>
    <t>af5d97f43ff2fb264b7d18042a5c6112:ariana</t>
  </si>
  <si>
    <t>d9b23ebbf9b431d009a20df52e515db5:buster</t>
  </si>
  <si>
    <t>d74fdde2944f475adc4a85e349d4ee7b:butter</t>
  </si>
  <si>
    <t>2467d3744600858cc9026d5ac6005305:232323</t>
  </si>
  <si>
    <t>97f014516561ef487ec368d6158eb3f4:silver</t>
  </si>
  <si>
    <t>daffd55e1b8020c7a60a7b6e36afb775:sister</t>
  </si>
  <si>
    <t>6243e1116e9de008e4dcf0aa2700ca89:tucker</t>
  </si>
  <si>
    <t>f1a81d782dea6a19bdca383bffe68452:spider</t>
  </si>
  <si>
    <t>6f4ec514eee84cc58c8e610a0c87d7a2:ginger</t>
  </si>
  <si>
    <t>3f06a7247d5c04d0618552dd3276ac40:susana</t>
  </si>
  <si>
    <t>c8f759a539858b08e9e46251b1ae9f09:marlon</t>
  </si>
  <si>
    <t>a99dca5593185c498b63a5eed917bd4f:cancer</t>
  </si>
  <si>
    <t>81a57538bea3f6e953f6a459eb767357:jackie</t>
  </si>
  <si>
    <t>e99a18c428cb38d5f260853678922e03:abc123</t>
  </si>
  <si>
    <t>fc63f87c08d505264caba37514cd0cfd:nicole</t>
  </si>
  <si>
    <t>6f61924695bee393771882cc1e0e3096:tamara</t>
  </si>
  <si>
    <t>a37b2a637d2541a600d707648460397e:karina</t>
  </si>
  <si>
    <t>61a590f1b9b5548efbae70fd7bcf45b3:august</t>
  </si>
  <si>
    <t>6ee6a213cb02554a63b1867143572e70:mother</t>
  </si>
  <si>
    <t>0dae4a923e4ae71d0a8960c6f89c3c18:morgan</t>
  </si>
  <si>
    <t>221182760f5b980c97c7a74a94d57364:regina</t>
  </si>
  <si>
    <t>1d3d37667a8d7eb02054c6afdf9e2e1c:maggie</t>
  </si>
  <si>
    <t>670b14728ad9902aecba32e22fa4f6bd:000000</t>
  </si>
  <si>
    <t>0123d11995f4c8d8cc48b8d5c46cc263:christ</t>
  </si>
  <si>
    <t>62a90ccff3fd73694bf6281bb234b09a:lorena</t>
  </si>
  <si>
    <t>2fbbe62353fe90ec503a402686c9809f:pookie</t>
  </si>
  <si>
    <t>25f91520f22005da43a125ccf41a3a26:daddy1</t>
  </si>
  <si>
    <t>b071c0c8d6adc66a3c2eb1b9b87d6d5c:ronnie</t>
  </si>
  <si>
    <t>d16d377af76c99d27093abc22244b342:jordan</t>
  </si>
  <si>
    <t>c51e7a23a59ef8d76892f207b517eaf0:millie</t>
  </si>
  <si>
    <t>7d055a0d2791d1313454f923356ef122:trixie</t>
  </si>
  <si>
    <t>da443a0ad979d5530df38ca1a74e4f80:soccer</t>
  </si>
  <si>
    <t>c37df36db804246d74e786a92488d232:hottie</t>
  </si>
  <si>
    <t>da4c5332661cad24dc34553651312cda:winnie</t>
  </si>
  <si>
    <t>2dccd1ab3e03990aea77359831c85ca2:cookie</t>
  </si>
  <si>
    <t>21bb5bb51758eab175d4d640334abba0:leslie</t>
  </si>
  <si>
    <t>1861d297772b6e5e36339b54ebd5a65d:sheena</t>
  </si>
  <si>
    <t>c6c0329bba537835e48e2be9a8e9c8f7:minnie</t>
  </si>
  <si>
    <t>ceb8bc5d1d1b7564314231077287d9d3:lizzie</t>
  </si>
  <si>
    <t>2399e46aa831d42539b97c97c27f4648:cassie</t>
  </si>
  <si>
    <t>149afd631693c895f81e508eb5aaef37:sakura</t>
  </si>
  <si>
    <t>ec239fa8d419f6ee5868d0de020f03a7:sammie</t>
  </si>
  <si>
    <t>056f2914fd9a607d48f5491a53b4deb5:jessie</t>
  </si>
  <si>
    <t>61de80355d479505de9c731f12460625:marian</t>
  </si>
  <si>
    <t>eb5ba7c977d21014520ad3ee0432d10f:bonnie</t>
  </si>
  <si>
    <t>f49a2d8a11396bdab11fc873893c8fd7:boomer</t>
  </si>
  <si>
    <t>1ea287f2ecbfd355c05b14f134d85007:chance</t>
  </si>
  <si>
    <t>6b1628b016dff46e6fa35684be6acc96:summer</t>
  </si>
  <si>
    <t>002d31273f3023b97aa745bc15393416:buddy1</t>
  </si>
  <si>
    <t>bc180dbc583491c00f8a1cd134f7517b:london</t>
  </si>
  <si>
    <t>1aef0a62ed84bb165989ab32f0ba56c2:barbie</t>
  </si>
  <si>
    <t>0535db92912a4a69db3c38f4b4dbff2e:lucky1</t>
  </si>
  <si>
    <t>d3319241a1cc6afc192403fb279a8b7d:dakota</t>
  </si>
  <si>
    <t>fe0b714aaecbd5c8961994c655d18a0d:damian</t>
  </si>
  <si>
    <t>fa774183ab00517107b0a5bf61f91e97:robbie</t>
  </si>
  <si>
    <t>6988ec3aba1eaddf2435141bf10487ca:sophie</t>
  </si>
  <si>
    <t>ecbe67ec064547ee4a5786956f2ed1c0:mamita</t>
  </si>
  <si>
    <t>60e8c535fa34ce89e1b06c43695c0191:debbie</t>
  </si>
  <si>
    <t>d6a9a933c8aafc51e55ac0662b6e4d4a:012345</t>
  </si>
  <si>
    <t>bde33ad99d5ff1a28be9c820170abb7a:maddie</t>
  </si>
  <si>
    <t>014cf0a8b3db0da6fb767f8aa9c96ec3:ashton</t>
  </si>
  <si>
    <t>338c23e8eafc19ec9236404deac0bef4:julian</t>
  </si>
  <si>
    <t>a20df7f02202e665e6a7b674bbfb1fcc:paloma</t>
  </si>
  <si>
    <t>2077e4a6bafa9b4e7b55e1fff16818af:prince</t>
  </si>
  <si>
    <t>8621ffdbc5698829397d97767ac13db3:dragon</t>
  </si>
  <si>
    <t>1ac0d72d238c86b2029c8419ba2574a2:lolita</t>
  </si>
  <si>
    <t>bdb94eaf79e29c026bf6edebaff40f0c:lokita</t>
  </si>
  <si>
    <t>2d979f8c869461e578862aa6c5467cea:rosita</t>
  </si>
  <si>
    <t>b9b7fe7d39f3de43b42bc5e03388bf22:gatita</t>
  </si>
  <si>
    <t>8c4205ec33d8f6caeaaaa0c10a14138c:adrian</t>
  </si>
  <si>
    <t>215a6517848319b70f3f450da480d888:sharon</t>
  </si>
  <si>
    <t>44ff6ab7f7f73f0fc3499835aef19227:bebita</t>
  </si>
  <si>
    <t>b00a50c448238a71ed479f81fa4d9066:nikita</t>
  </si>
  <si>
    <t>dad3a37aa9d50688b5157698acfd7aee:xxxxxx</t>
  </si>
  <si>
    <t>6209804952225ab3d14348307b5a4a27:amanda</t>
  </si>
  <si>
    <t>efadae721c5b55a3126dfed3f46c7428:mommy1</t>
  </si>
  <si>
    <t>ceed632380b362a25161651616c439df:nenita</t>
  </si>
  <si>
    <t>e5e9b41c8f1ad39ffb22df4a7aa7d876:brenda</t>
  </si>
  <si>
    <t>bb74d0bb07f632e47ed7a921cd51ab7c:bonita</t>
  </si>
  <si>
    <t>a3fa9e0b6b24b1cada4b756c0d240444:bubble</t>
  </si>
  <si>
    <t>51f4325b2859484f6fb0a5a400cf65c1:lupita</t>
  </si>
  <si>
    <t>c822c1b63853ed273b89687ac505f9fa:google</t>
  </si>
  <si>
    <t>8dbdda48fb8748d6746f1965824e966a:simple</t>
  </si>
  <si>
    <t>dd5c07036f2975ff4bce568b6511d3bc:single</t>
  </si>
  <si>
    <t>f40a37048732da05928c3d374549c832:sandra</t>
  </si>
  <si>
    <t>12a032ce9179c32a6c7ab397b9d871fa:people</t>
  </si>
  <si>
    <t>b43b770788d71abc92442cc450c4c966:rockon</t>
  </si>
  <si>
    <t>bb7aedfa61007447dd6efaf9f37641e3:purple</t>
  </si>
  <si>
    <t>3b03c7ea09871a75dce2e403ef28111f:happy1</t>
  </si>
  <si>
    <t>f63f4fbc9f8c85d409f2f59f2b9e12d5:777777</t>
  </si>
  <si>
    <t>2dda225f10e719649b8d858cc4f5316d:gracie</t>
  </si>
  <si>
    <t>4badaee57fed5610012a296273158f5f:102030</t>
  </si>
  <si>
    <t>49c167d7cd66dc64a474c261860ba50f:marcus</t>
  </si>
  <si>
    <t>33c3b540d3fd85d539f72d48b5f2615e:janice</t>
  </si>
  <si>
    <t>912af0dff974604f1321254ca8ff38b6:player</t>
  </si>
  <si>
    <t>d979871f68a9e367eb3a5df8be7c4bf4:joanna</t>
  </si>
  <si>
    <t>516bc9f8846654e478a2584516e1d0b4:money1</t>
  </si>
  <si>
    <t>7d0710824ff191f6a0086a7e3891641e:696969</t>
  </si>
  <si>
    <t>9eef6a1f927654f24801f58fe67bb1d4:jayson</t>
  </si>
  <si>
    <t>abd7372bba55577590736ef6cb3533c6:wilson</t>
  </si>
  <si>
    <t>857659774af0490b65d62b4f15c74a2a:inlove</t>
  </si>
  <si>
    <t>a4e360681676c770121e891f8c407572:nelson</t>
  </si>
  <si>
    <t>c2aadac2ca30ca8aadfbe331ae180d28:canada</t>
  </si>
  <si>
    <t>111ee1e76425203d730ec83762eb5ae4:brooke</t>
  </si>
  <si>
    <t>b5d5f67b30809413156655abdda382a3:fatima</t>
  </si>
  <si>
    <t>14f87ec1e760d16c0380c74ec7678b04:mierda</t>
  </si>
  <si>
    <t>ebf25e7a04657c89193770a7489d1cac:taurus</t>
  </si>
  <si>
    <t>93207db25ad357906be2fd0c3f65f3dc:sasuke</t>
  </si>
  <si>
    <t>a765884f4d99cc66fb7e2abc9ffe4156:skater</t>
  </si>
  <si>
    <t>23f474aef895fa9f10b9e5bb5ab804d5:mylove</t>
  </si>
  <si>
    <t>a008a5e02ec40d9facee2ea028073662:sierra</t>
  </si>
  <si>
    <t>d4705b9f42c96eeb0b9fb53266013516:turtle</t>
  </si>
  <si>
    <t>1908c38a42785acc0f427ce773f9a2f7:bhebhe</t>
  </si>
  <si>
    <t>30e6d8432ce54710f9c09f305e7b9829:julius</t>
  </si>
  <si>
    <t>5912d7bfd10f631f1715bf85bbb72d97:genius</t>
  </si>
  <si>
    <t>93279e3308bdbbeed946fc965017f67a:121212</t>
  </si>
  <si>
    <t>86b86014d1f8ca4f6054db174be70841:chacha</t>
  </si>
  <si>
    <t>aa47f8215c6f30a0dcdb2a36a9f4168e:daniel</t>
  </si>
  <si>
    <t>55587a910882016321201e6ebbc9f595:123789</t>
  </si>
  <si>
    <t>e35cf7b66449df565f93c607d5a81d09:456789</t>
  </si>
  <si>
    <t>52c69e3a57331081823331c4e69d3f2e:999999</t>
  </si>
  <si>
    <t>a62b1fca6b53d6670a84aa2c7b373b27:delfin</t>
  </si>
  <si>
    <t>925d7518fc597af0e43f5606f9a51512:martin</t>
  </si>
  <si>
    <t>67c8502addf697b4f86bda78d53b1950:janine</t>
  </si>
  <si>
    <t>dba0079f1cb3a3b56e102dd5e04fa2af:marvin</t>
  </si>
  <si>
    <t>fb47bb2639a2df6c3b4d36ab33a274ff:elaine</t>
  </si>
  <si>
    <t>8e73b27568cb3be29e2da74d42eab6dd:rachel</t>
  </si>
  <si>
    <t>7bc2442d6a7ddb1b3bcabac2d86c6e2e:miamor</t>
  </si>
  <si>
    <t>069a6a9ccaaca7967a0c43cb5e161187:tintin</t>
  </si>
  <si>
    <t>d8ae5776067290c4712fa454006c8ec6:samuel</t>
  </si>
  <si>
    <t>96917805fd060e3766a9a1b834639d35:manuel</t>
  </si>
  <si>
    <t>6228bd57c9a858eb305e0fd0694890f7:louise</t>
  </si>
  <si>
    <t>a28f05f5f45fe2d8a900736c8935fe44:202020</t>
  </si>
  <si>
    <t>9eb0c9605dc81a68731f61b3e0838937:miguel</t>
  </si>
  <si>
    <t>b9a982bcc46e98b3aa86e7bc526b869f:pimpin</t>
  </si>
  <si>
    <t>fea0f1f6fede90bd0a925b4194deac11:cheese</t>
  </si>
  <si>
    <t>7d8bc5f1a8d3787d06ef11c97d4655df:taylor</t>
  </si>
  <si>
    <t>848069be239e0652978632c56c11b487:jazmin</t>
  </si>
  <si>
    <t>d3dde2723247d8d5fc3f76dceb3d4324:jasmin</t>
  </si>
  <si>
    <t>ffc150a160d37e92012c196b6af4160d:victor</t>
  </si>
  <si>
    <t>968c58d88d981b4ee15e2c8cb1fab06d:denise</t>
  </si>
  <si>
    <t>690c0ca1d95dd5731d948c48d9f3ae8a:raquel</t>
  </si>
  <si>
    <t>3ab9071536d62f29aa8b3fd39141f6ad:hector</t>
  </si>
  <si>
    <t>3003051f6d158f6687b8a820c46bfa80:martha</t>
  </si>
  <si>
    <t>2bb010060d682fee5ad19d973a9a4d2a:jerome</t>
  </si>
  <si>
    <t>9944fe83a25e72559c62d612485de579:muffin</t>
  </si>
  <si>
    <t>53dd9c6005f3cdfc5a69c5c07388016d:justin</t>
  </si>
  <si>
    <t>dabd018f98476c1f6eb2f23e8d9b8920:melvin</t>
  </si>
  <si>
    <t>04d0336a64806a7d94e9055d2bfe409a:dustin</t>
  </si>
  <si>
    <t>4b2fb63731e470a4911460210170abaa:isabel</t>
  </si>
  <si>
    <t>4c39e90d6a5c38a3f8a9b1f05840f240:guitar</t>
  </si>
  <si>
    <t>47eb752bac1c08c75e30d9624b3e58b7:simone</t>
  </si>
  <si>
    <t>229979fce5174c17d4645bf8752dae1e:austin</t>
  </si>
  <si>
    <t>83de6260ed1dbe549bd23d31c4b8af81:bianca</t>
  </si>
  <si>
    <t>6050ce63e4bce6764cb34cac51fb44d1:please</t>
  </si>
  <si>
    <t>733d7be2196ff70efaf6913fc8bdcabf:123654</t>
  </si>
  <si>
    <t>74d738020dca22a731e30058ac7242ee:loveme</t>
  </si>
  <si>
    <t>6c44e5cd17f0019c64b042e4a745412a:987654</t>
  </si>
  <si>
    <t>fe01d67a002dfa0f3ac084298142eccd:orange</t>
  </si>
  <si>
    <t>46756b989b1050a317258e6d5e8e9891:mememe</t>
  </si>
  <si>
    <t>acd4b2c6a52764d815fb510c7fe5b33e:cuteme</t>
  </si>
  <si>
    <t>d1e01e8593616f445b5cd9f9043a5247:joanne</t>
  </si>
  <si>
    <t>f379eaf3c831b04de153469d1bec345e:666666</t>
  </si>
  <si>
    <t>5ef64bad8f9d7e0c85f821580e4d6629:biteme</t>
  </si>
  <si>
    <t>ff0d813dd5d2f64dd372c6c4b6aed086:monica</t>
  </si>
  <si>
    <t>e6ba6a95e92ab02920655918863e5bf8:leanne</t>
  </si>
  <si>
    <t>eb35422d524597fe2e060035d76a585a:love12</t>
  </si>
  <si>
    <t>ddc88111e7c6437760bf9c1e7f267b47:musica</t>
  </si>
  <si>
    <t>73882ab1fa529d7273da0db6b49cc4f3:444444</t>
  </si>
  <si>
    <t>b03e3fd2b3d22ff6df2796c412b09311:junior</t>
  </si>
  <si>
    <t>302097470061ccda5cb7df1891dcd0ab:sexyme</t>
  </si>
  <si>
    <t>79cfdd0e92b120faadd7eb253eb800d0:fuckme</t>
  </si>
  <si>
    <t>9b306ab04ef5e25f9fb89c998a6aedab:george</t>
  </si>
  <si>
    <t>101a6ec9f938885df0a44f20458d2eb4:hahaha</t>
  </si>
  <si>
    <t>501a60a2b28ba8e6a95ce30c11877fda:yamaha</t>
  </si>
  <si>
    <t>aa1cbddbb1667f7227bcfdb25772f85c:kissme</t>
  </si>
  <si>
    <t>da482d6cceae94fd796e6ee03cb690eb:connor</t>
  </si>
  <si>
    <t>9741da9f7cdd416b0c4b63811770bd6e:eugene</t>
  </si>
  <si>
    <t>4652b19e09ced75df510bf5a263a2bfe:peanut</t>
  </si>
  <si>
    <t>0babab16fabc4cf5ecf2f68d54ef6cfc:justme</t>
  </si>
  <si>
    <t>9135d8523ad3da99d8a4eb83afac13d1:rafael</t>
  </si>
  <si>
    <t>3f8454b7f2c12cebb1622b6b0dfd1021:israel</t>
  </si>
  <si>
    <t>b8475e743330c36f9080fb8f64f837b6:marley</t>
  </si>
  <si>
    <t>7d0df4f46505d83bc7949dd1fb9c0db8:bailey</t>
  </si>
  <si>
    <t>4805df3f93d2fd44d85d536abab5b7a8:chichi</t>
  </si>
  <si>
    <t>73d94ca09de7d23b853273b035cbc752:barney</t>
  </si>
  <si>
    <t>ef4cdd3117793b9fd593d7488409626d:harley</t>
  </si>
  <si>
    <t>93d2f1dce3ee89ce5b05e9e057ac925e:hailey</t>
  </si>
  <si>
    <t>3d83f27f0845faf9fa80e1a8f0f7ea75:harvey</t>
  </si>
  <si>
    <t>4d5257e5acc7fcac2f5dcd66c4e78f9a:mickey</t>
  </si>
  <si>
    <t>df0349ce110b69f03b4def8012ae4970:hockey</t>
  </si>
  <si>
    <t>d0763edaa9d9bd2a9516280e9044d885:monkey</t>
  </si>
  <si>
    <t>a09f91f8be77e65b371a64bf1d8305c9:wesley</t>
  </si>
  <si>
    <t>f240a4a08ef4d49a9b643168779d8491:disney</t>
  </si>
  <si>
    <t>36388794be2cf5f298978498ff3c64a2:angela</t>
  </si>
  <si>
    <t>669ffc150d1f875819183addfc842cab:pamela</t>
  </si>
  <si>
    <t>8287458823facb8ff918dbfabcd22ccb:parola</t>
  </si>
  <si>
    <t>46f94c8de14fb36680850768ff1b7f2a:123qwe</t>
  </si>
  <si>
    <t>bd273e238dc03056fff93c0e1e8de576:beauty</t>
  </si>
  <si>
    <t>46f227e9cf17e2e1e88b14e679047bd9:252525</t>
  </si>
  <si>
    <t>1fa674092c265abb37bb3bcbcf4bf688:amigas</t>
  </si>
  <si>
    <t>f0f02c8573be5de9dd53c49f3cd28656:kelsey</t>
  </si>
  <si>
    <t>850fdea720e5d80c4fc4ffe21b3d894b:pangit</t>
  </si>
  <si>
    <t>a17b48e31806e6bb63f64cafb2b06780:chivas</t>
  </si>
  <si>
    <t>9aa6e5f2256c17d2d430b100032b997c:lalala</t>
  </si>
  <si>
    <t>96e79218965eb72c92a549dd5a330112:111111</t>
  </si>
  <si>
    <t>09f8316e29649a7f795f414ba3860fc0:dallas</t>
  </si>
  <si>
    <t>74c74dcb39a0923937ce87dda08bfd51:shorty</t>
  </si>
  <si>
    <t>5f0cbc3f99acb914d429cfdf23dd75e3:teresa</t>
  </si>
  <si>
    <t>a51e47f646375ab6bf5dd2c42d3e6181:rabbit</t>
  </si>
  <si>
    <t>d8578edf8458ce06fbc5bb76a58c5ca4:qwerty</t>
  </si>
  <si>
    <t>d0970714757783e6cf17b26fb8e2298f:112233</t>
  </si>
  <si>
    <t>adff44c5102fca279fce7559abf66fee:ashley</t>
  </si>
  <si>
    <t>ef6e65efc188e7dffd7335b646a85a21:thomas</t>
  </si>
  <si>
    <t>48bafc503cbdbf5e49ca9725f980e241:gemini</t>
  </si>
  <si>
    <t>b9066808309e7b228d070046223bdf38:stacey</t>
  </si>
  <si>
    <t>23d45b337ff85d0a326a79082f7c6f50:bandit</t>
  </si>
  <si>
    <t>f5ffc847c2072ffb5fda82edd30bc19f:camila</t>
  </si>
  <si>
    <t>030fddce742683537afcac81fdf2d1d1:blonde</t>
  </si>
  <si>
    <t>c03a5a4ba81cd3d8e59840a6f0eddad7:tweety</t>
  </si>
  <si>
    <t>6cf82ee1020caef069e753c67a97a70d:741852</t>
  </si>
  <si>
    <t>de1e3b0952476aae6888f98ea0e4ac11:sweety</t>
  </si>
  <si>
    <t>2f0e7ef29748dbf6dacf8381c4cc921c:pretty</t>
  </si>
  <si>
    <t>b45e9e98cbcdb6254686ed17277e912b:loveya</t>
  </si>
  <si>
    <t>66dcaf1b4f523b9cc54d3aeba25c1fc1:sheila</t>
  </si>
  <si>
    <t>430244540aa38ff181545cb0d539f038:stella</t>
  </si>
  <si>
    <t>83b4ef5ae4bb360c96628aecda974200:147852</t>
  </si>
  <si>
    <t>151d1bf0c57afa45e7160c1d24aa2c8d:alyssa</t>
  </si>
  <si>
    <t>1a100d2c0dab19c4430e7d73762b3423:333333</t>
  </si>
  <si>
    <t>7516c3b35580b3490248629cff5e498c:school</t>
  </si>
  <si>
    <t>182e500f562c7b95a2ae0b4dd9f47bb2:claire</t>
  </si>
  <si>
    <t>28a34010e84b881fb087359c7e280a08:adidas</t>
  </si>
  <si>
    <t>22ceb364b8cac2b32bf7a93d71e9a53b:iubire</t>
  </si>
  <si>
    <t>82e4010701956651c3f653309879aec4:smokey</t>
  </si>
  <si>
    <t>d1b145842e9b731a66eef0ee6fc33497:smiley</t>
  </si>
  <si>
    <t>456c5a41af2eb09ac0ba0eb64f614887:eeyore</t>
  </si>
  <si>
    <t>a8113a9b4f61b178cd1fea4efa5bf4c8:sydney</t>
  </si>
  <si>
    <t>c8837b23ff8aaa8a2dde915473ce0991:123321</t>
  </si>
  <si>
    <t>971ef6d73b20a633967633686c8e124a:darren</t>
  </si>
  <si>
    <t>1e4483e833025ac10e6184e75cb2d19d:animal</t>
  </si>
  <si>
    <t>8dd9333088e0a42e327e322baad6c00c:jayden</t>
  </si>
  <si>
    <t>a417816ec35f5e1f31688bd9c52754a3:hayden</t>
  </si>
  <si>
    <t>c33367701511b4f6020ec61ded352059:654321</t>
  </si>
  <si>
    <t>6da89cd09ab7937478a1d47d20938536:kitten</t>
  </si>
  <si>
    <t>eb31870669f13fd8444c2bc918375f09:heaven</t>
  </si>
  <si>
    <t>54ddc3c7d064822eed932015d8740336:broken</t>
  </si>
  <si>
    <t>2760c7b84d4bad6b0b12d7c1a6c5e1a4:lauren</t>
  </si>
  <si>
    <t>98a8d3f11b400ddc06d7343375b71a84:angelo</t>
  </si>
  <si>
    <t>cf9ee5bcb36b4936dd7064ee9b2f139e:naruto</t>
  </si>
  <si>
    <t>3af00c6cad11f7ab5db4467b66ce503e:friend</t>
  </si>
  <si>
    <t>880cbc1ed48043cbcdaa7286e058ef7f:carmen</t>
  </si>
  <si>
    <t>dc599a9972fde3045dab59dbd1ae170b:carlos</t>
  </si>
  <si>
    <t>0f5aaaf14d9a2d371853e46119abba27:212121</t>
  </si>
  <si>
    <t>6ed61d4b80bb0f81937b32418e98adca:steven</t>
  </si>
  <si>
    <t>6d071901727aec1ba6d8e2497ef5b709:101010</t>
  </si>
  <si>
    <t>b6af3f19458ec8e6faff8ee1e0440ecb:246810</t>
  </si>
  <si>
    <t>1d01384154bc50ecef7edf07a2bec214:celtic</t>
  </si>
  <si>
    <t>114fdfefd3d69799f0b6f73ef764d405:santos</t>
  </si>
  <si>
    <t>c5e3539121c4944f2bbe097b425ee774:marcos</t>
  </si>
  <si>
    <t>c2b592488a765722513420108c466524:amigos</t>
  </si>
  <si>
    <t>65deafcf3c1ad1751415736c4cc11f76:arturo</t>
  </si>
  <si>
    <t>ad7a5ca44f37892d599891e5ef0272fb:gatito</t>
  </si>
  <si>
    <t>5b1b68a9abf4d2cd155c81a9225fd158:555555</t>
  </si>
  <si>
    <t>48238b7f2aa5f76a1d1e119f8942ebe7:dinamo</t>
  </si>
  <si>
    <t>4edfc924721abb774d5447bade86ea5d:mexico</t>
  </si>
  <si>
    <t>a8698009bce6d1b8c2128eddefc25aad:098765</t>
  </si>
  <si>
    <t>921e138d9b5efe1d40d45849a9d463bb</t>
  </si>
  <si>
    <t>7e04da88cbb8cc933c7b89fbfe121cca:felipe</t>
  </si>
  <si>
    <t>a269d17349ce29a77a89c7ec4ed0c3d4:sparky</t>
  </si>
  <si>
    <t>239439e63009758454c246c459399c8d:mylife</t>
  </si>
  <si>
    <t>dcb76da384ae3028d6aa9b2ebcea01c9:sayang</t>
  </si>
  <si>
    <t>231badb19b93e44f47da1bd64a8147f2:andres</t>
  </si>
  <si>
    <t>684c851af59965b680086b7b4896ff98:robert</t>
  </si>
  <si>
    <t>6c5bc43b443975b806740d8e41146479:albert</t>
  </si>
  <si>
    <t>5d9aa1bc9ea084a3421c3341011e2482:amores</t>
  </si>
  <si>
    <t>b50ac41ec20631c7b6be72f070d8ff67:torres</t>
  </si>
  <si>
    <t>ee384a02e22087ee9ddcaacea9009b94:flores</t>
  </si>
  <si>
    <t>af089cedf4fb105aca50a170c2b545de:booboo</t>
  </si>
  <si>
    <t>7e49f5a0a99ac099b460e85139819e2f:lonely</t>
  </si>
  <si>
    <t>6bfd92047eb517377d11334978696a5c:loving</t>
  </si>
  <si>
    <t>061fba5bdfc076bb7362616668de87c8:lovely</t>
  </si>
  <si>
    <t>162ed102bec5260332bd2248e0abcde9:bitch1</t>
  </si>
  <si>
    <t>58e50f904aab05ac687efc1635421d78:eagles</t>
  </si>
  <si>
    <t>daeccf0ad3c1fc8c8015205c332f5b42:apples</t>
  </si>
  <si>
    <t>a9b268f14068bd5eb8a3130f42c0f704:smiles</t>
  </si>
  <si>
    <t>059bf68f71c80fce55214b411dd2280c:alexis</t>
  </si>
  <si>
    <t>9e8b4e6aa25e60e1c9ef7fa02dc71a79:kisses</t>
  </si>
  <si>
    <t>52b14869c15726dda86b87cb93666a74:horses</t>
  </si>
  <si>
    <t>7985139ae9b6efb45373e3e36e444224:travis</t>
  </si>
  <si>
    <t>e04755387e5b5968ec213e41f70c1d46:131313</t>
  </si>
  <si>
    <t>89e2c8f458dda133118ac4a0a762cb3d:bambam</t>
  </si>
  <si>
    <t>e3ceb5881a0a1fdaad01296d7554868d:222222</t>
  </si>
  <si>
    <t>7daacea5f373b4c1c054158b126d317f:dennis</t>
  </si>
  <si>
    <t>1fbfb23351e3580651395ab721f5e935:tennis</t>
  </si>
  <si>
    <t>277f8d77fceb01b44add2092ff8bbc33:miriam</t>
  </si>
  <si>
    <t>d1133275ee2118be63a577af759fc052:joshua</t>
  </si>
  <si>
    <t>6c29e9cc4042d972b15ff0304e636886:brandy</t>
  </si>
  <si>
    <t>de7de37a35074c337d73b6eaa9bd22dc:shelly</t>
  </si>
  <si>
    <t>0d3fda0bdbb9d619e09cdf3eecba7999:family</t>
  </si>
  <si>
    <t>207bd7a73609ff57272e77582b8e2f6f:poopoo</t>
  </si>
  <si>
    <t>b0fc08a18d29407428cbac5d2e5cc682:scooby</t>
  </si>
  <si>
    <t>1eef2ed29ebc81347aa56dce2995da6d:mybaby</t>
  </si>
  <si>
    <t>66d7a6240337642cccc3ad123cc21b40:chubby</t>
  </si>
  <si>
    <t>eda56def9e82a3936a75aff3f4e66330:freddy</t>
  </si>
  <si>
    <t>25e884082d818b76b462409f19f7795f:shelby</t>
  </si>
  <si>
    <t>9818e2287e76d37753313e255e2428a2:melody</t>
  </si>
  <si>
    <t>cb07901c53218323c4ceacdea4b23c98:joseph</t>
  </si>
  <si>
    <t>dd16cde0e70366049724a2d23130ca36:babyko</t>
  </si>
  <si>
    <t>5a8f6e521f21feca7f1b47533dc55e81:steaua</t>
  </si>
  <si>
    <t>6f2ad44768d2414e685f107a487893ad:panget</t>
  </si>
  <si>
    <t>8dae58e3f282b974328d53f96753f4c1:lovers</t>
  </si>
  <si>
    <t>d1d813a48d99f0e102f7d0a1b9068001:violet</t>
  </si>
  <si>
    <t>0ffb5cc0ee5648aa55290f0f89f5f8d8:lakers</t>
  </si>
  <si>
    <t>a90f4589534f75e93dbccd20329ed946:tigers</t>
  </si>
  <si>
    <t>5ebe2294ecd0e0f08eab7690d2a6ee69:secret</t>
  </si>
  <si>
    <t>a9781d0ca6abb43812a28783ccb3bbaa:piglet</t>
  </si>
  <si>
    <t>592cec0a3fc4d8cf9b6e57a09bff554b:willow</t>
  </si>
  <si>
    <t>47bc17dc1a2f164967f55325d866c75c:olivia</t>
  </si>
  <si>
    <t>6dd9aa0b0606270d0875acb21546bedb:141414</t>
  </si>
  <si>
    <t>176226b2d51002d2590f048881560569:amelia</t>
  </si>
  <si>
    <t>e5cb7c411f1d9a67f68deff4a954cfbc:silvia</t>
  </si>
  <si>
    <t>8d281a60d6d637903d4eccd26ddb0104:gloria</t>
  </si>
  <si>
    <t>d487dd0b55dfcacdd920ccbdaeafa351:yellow</t>
  </si>
  <si>
    <t>6530b306e711eed33930984698b492da:50cent</t>
  </si>
  <si>
    <t>8cc946123dcf3c00c15de91c11db056f:242424</t>
  </si>
  <si>
    <t>2ee0272b8e1a9705dc3ebe91c10b32f4:sophia</t>
  </si>
  <si>
    <t>3bf1114a986ba87ed28fc1b5884fc2f8:shadow</t>
  </si>
  <si>
    <t>25ee0c0c5392c0faf8d475917da10ba4:murphy</t>
  </si>
  <si>
    <t>0691df26da82d6eb2e5da8924628db63:bowwow</t>
  </si>
  <si>
    <t>bbb5ff6dc3826b999a5cf0c2e7b2c889:garcia</t>
  </si>
  <si>
    <t>e94ef563867e9c9df3fcc999bdb045f5:alicia</t>
  </si>
  <si>
    <t>6967cabefd763ac1a1a88e11159957db:jeremy</t>
  </si>
  <si>
    <t>e9646d086a37906e5bec4323d3b37c9b:snoopy</t>
  </si>
  <si>
    <t>305b06b5aef518b151544a85ea643017:deedee</t>
  </si>
  <si>
    <t>eae021356dcaf663890f6ce62a66aae5:ashlee</t>
  </si>
  <si>
    <t>fae4b496d36f9e86afa21258fb1777f4:peewee</t>
  </si>
  <si>
    <t>858915f1d2d425959fd4da867ba6b599:151515</t>
  </si>
  <si>
    <t>64d8be661d8a79416eb6662db51e7118:gerard</t>
  </si>
  <si>
    <t>a53f3929621dba1306f8a61588f52f55:edward</t>
  </si>
  <si>
    <t>5af0a0feb2094f43bebb50c518c1ebfe:ronald</t>
  </si>
  <si>
    <t>3bffa4ebdf4874e506c2b12405796aa5:sergio</t>
  </si>
  <si>
    <t>380891959a0754c24a7ad3525c2d1e77:gerald</t>
  </si>
  <si>
    <t>0d343c0f0ca763f983c8042350059f56:donald</t>
  </si>
  <si>
    <t>f0bf97d2f85c040963f47c03888434c4:kitkat</t>
  </si>
  <si>
    <t>3de177cbd4543b1321b2697415fd97f4:hearts</t>
  </si>
  <si>
    <t>ce7bcda695c30aa2f9e5f390c820d985:fluffy</t>
  </si>
  <si>
    <t>2c6bbccfa2585dc527e46d74edd05c8d:sweets</t>
  </si>
  <si>
    <t>5583413443164b56500def9a533c7c70:159753</t>
  </si>
  <si>
    <t>a152e841783914146e4bcd4f39100686:asdfgh</t>
  </si>
  <si>
    <t>a6ebe407fa6e2337cb2deb573d17791e:elijah</t>
  </si>
  <si>
    <t>b82f53de2a048b93e3454e155012b992:lover1</t>
  </si>
  <si>
    <t>039ca3fbe13a10d3d93ff513f7769119:jesus1</t>
  </si>
  <si>
    <t>26b637ed41273425be243e8d42e5b461:eminem</t>
  </si>
  <si>
    <t>d8b36fa2ce602b7258ecaa289cf70aa1:angel1</t>
  </si>
  <si>
    <t>eb09d5e396183f4b71c3c798158f7c07:hannah</t>
  </si>
  <si>
    <t>9a286406c252a3d14218228974e1f567:010203</t>
  </si>
  <si>
    <t>50fdef3fc386e2c6729f628309cf0b62:chris1</t>
  </si>
  <si>
    <t>ac1bbc3b39f2b3fe9a45111fc9db1ca4:mariah</t>
  </si>
  <si>
    <t>203ad5ffa1d7c650ad681fdff3965cd2:hello1</t>
  </si>
  <si>
    <t>1613f36d06342303f69469f5a1b29c21:james1</t>
  </si>
  <si>
    <t>562348edd2ded080999f748733fcc1b9:isaiah</t>
  </si>
  <si>
    <t>8fbb8264c5040ec3ef3320336afa435a:evelyn</t>
  </si>
  <si>
    <t>eea342a57c9313484e2b73715a5cbdb1:froggy</t>
  </si>
  <si>
    <t>4607e782c4d86fd5364d7e4508bb10d9:147258</t>
  </si>
  <si>
    <t>5ff84c7646419ffeb65cb5625de99723:david1</t>
  </si>
  <si>
    <t>79d35af29088dd656b10bbe74a64aba2:marie1</t>
  </si>
  <si>
    <t>ab003765f3424bf8e2c8d1d69762d72c:badboy</t>
  </si>
  <si>
    <t>61a3dd5599a14ade5de91c212073acc2:jayjay</t>
  </si>
  <si>
    <t>0d78658b259edcf59d78044457275aa4:dreams</t>
  </si>
  <si>
    <t>b427ebd39c845eb5417b7f7aaf1f9724:zxcvbn</t>
  </si>
  <si>
    <t>c7a4476fc64b75ead800da9ea2b7d072:cherry</t>
  </si>
  <si>
    <t>36e1a5072c78359066ed7715f5ff3da8:159357</t>
  </si>
  <si>
    <t>1c42f9c1ca2f65441465b43cd9339d6c:andrea</t>
  </si>
  <si>
    <t>82a7c395a86348dd4bfd11bb05b71cbf:angels</t>
  </si>
  <si>
    <t>fc0586aca6e42cffade83252446d0613:stupid</t>
  </si>
  <si>
    <t>3db1a73a245aa55c61204c56c8d99f6d:united</t>
  </si>
  <si>
    <t>f4eb27cea7255cea4d1ffabf593372e8:johnny</t>
  </si>
  <si>
    <t>a906449d5769fa7361d7ecc6aa3f6d28:123abc</t>
  </si>
  <si>
    <t>b2d09b73eb5ad0228f9cb2e51485a45f:andrei</t>
  </si>
  <si>
    <t>1cdac5ad084879e80e5b67c51baa9095:cantik</t>
  </si>
  <si>
    <t>cfa590c5b4c51852821cc9a7669cfcd1:catdog</t>
  </si>
  <si>
    <t>9d1ce632ce21568d9dd2e41f5aa7a149:hotdog</t>
  </si>
  <si>
    <t>f4e72bc32f2c636059d5f3ba44323921:hiphop</t>
  </si>
  <si>
    <t>d914e3ecf6cc481114a3f534a5faf90b:andrew</t>
  </si>
  <si>
    <t>0bf83831ea4a1fb853e6d38ff5d43737:myself</t>
  </si>
  <si>
    <t>6e8b08a1285fda750437a1677b0d3286:hawaii</t>
  </si>
  <si>
    <t>edbd0effac3fcc98e725920a512881e0:iloveu</t>
  </si>
  <si>
    <t>2419c459e9ad2d94f4a5c887b3ca18cb:manutd</t>
  </si>
  <si>
    <t>f02efd314f1bbaa8ff3906f40ff7565d:lucky7</t>
  </si>
  <si>
    <t>0b4e7a0e5fe84ad35fb5f95b9ceeac79:aaaaaa</t>
  </si>
  <si>
    <t>21b72c0b7adc5c7b4a50ffcb90d92dd6:matrix</t>
  </si>
  <si>
    <t>e80b5017098950fc58aad83c8c14978e:abcdef</t>
  </si>
  <si>
    <t>76419c58730d9f35de7ac538c2fd6737:qazwsx</t>
  </si>
  <si>
    <t>16ad5892d13a0b7c9220684e52a548b1:compaq</t>
  </si>
  <si>
    <t>524921d63ccf2d701b7e449f99c38470:brianna</t>
  </si>
  <si>
    <t>9d2f75377ac0ab991d40c91fd27e52fd:shannon</t>
  </si>
  <si>
    <t>24408ce3f09b31f9d3454ee6ea81bb63:florida</t>
  </si>
  <si>
    <t>e60408e9a55027070e3caf0550d2b4df:mariana</t>
  </si>
  <si>
    <t>fcea920f7412b5da7be0cf42b8c93759:1234567</t>
  </si>
  <si>
    <t>8bf4e6addd72a9c4c4714708d2941528:monster</t>
  </si>
  <si>
    <t>6dbd0fe19c9a301c4708287780df41a2:qwerty1</t>
  </si>
  <si>
    <t>a41d81871cc00919542ac86f493b9b76:monkey1</t>
  </si>
  <si>
    <t>41d823ab960ef49973ce628377d7bf5d:benfica</t>
  </si>
  <si>
    <t>09206edac18b8a4d7ecd3df6c1985d7f:marissa</t>
  </si>
  <si>
    <t>898a090de9398bff31633e458a9f99b7:tristan</t>
  </si>
  <si>
    <t>869d980db607a9a1123dfe171861c526:ashley1</t>
  </si>
  <si>
    <t>24f7ca5f6ff1a5afb9032aa5e533ad95:penguin</t>
  </si>
  <si>
    <t>110a77b804afd7a5c05950f3a6d7aee6:omarion</t>
  </si>
  <si>
    <t>a01183854d7e784f0455d559f4327d55:adriana</t>
  </si>
  <si>
    <t>e8fbc1f03504ddffc52a9e6dab5e204d:scooter</t>
  </si>
  <si>
    <t>c4d3dd2961dbbfcb8f7f3659bd331fa0:iverson</t>
  </si>
  <si>
    <t>b0d86da2d5b3aa15b61df214489f7c12:panther</t>
  </si>
  <si>
    <t>ddd7343823819eafe6498885c4ba0cf0:gangsta</t>
  </si>
  <si>
    <t>22113d5561c167c117d38d6a2fbacf0b:liliana</t>
  </si>
  <si>
    <t>365816905f5e9c148e20273719fe163d:chester</t>
  </si>
  <si>
    <t>282bbbfb69da08d03ff4bcf34a94bc53:vanessa</t>
  </si>
  <si>
    <t>d55e2b075670edeff3abb2d23bf5b6c1:lilmama</t>
  </si>
  <si>
    <t>fc275ac3498d6ab0f0b4389f8e94422c:brandon</t>
  </si>
  <si>
    <t>0a43c50e23a05929e7f2b075170ce0a2:corazon</t>
  </si>
  <si>
    <t>d7af994f1f1ef8b5e3beb9f7fb139f57:forever</t>
  </si>
  <si>
    <t>bfa32395b5a4ad9c8205a407c0248786:hermosa</t>
  </si>
  <si>
    <t>0911054d8ad47cc256400031197f3e97:ferrari</t>
  </si>
  <si>
    <t>0d107d09f5bbe40cade3de5c71e9e9b7:letmein</t>
  </si>
  <si>
    <t>5b90576bedb2cc04c86a9e924ce42faf:onelove</t>
  </si>
  <si>
    <t>770105b98be2fdd6a6f096d29ca5632c:jamaica</t>
  </si>
  <si>
    <t>bb36feaac46d7aaab418138b578fd7e0:cameron</t>
  </si>
  <si>
    <t>ff5390bde5a4cf0aa2006cf2198efd29:melissa</t>
  </si>
  <si>
    <t>e358bf645a205cf15efa983b5517d945:rebecca</t>
  </si>
  <si>
    <t>170b77ad8c3d9b365fef9e58974f1b87:dreamer</t>
  </si>
  <si>
    <t>43c9060a762d3b7bd230f9ce40df61ce:batista</t>
  </si>
  <si>
    <t>3e57f7ee22713728335920e979ed0bde:tatiana</t>
  </si>
  <si>
    <t>3d7f65f5dcc8ef953f7d9a06f2477cc4:katrina</t>
  </si>
  <si>
    <t>6275e26419211d1f526e674d97110e15:natasha</t>
  </si>
  <si>
    <t>dc0fa7df3d07904a09288bd2d2bb5f40:7777777</t>
  </si>
  <si>
    <t>32d635528e3a388abb68b97a6eeedf35:heather</t>
  </si>
  <si>
    <t>36cdf8b887a5cffc78dcd5c08991b993:dolphin</t>
  </si>
  <si>
    <t>f938c93da3eeabf30a6679828dede59c:america</t>
  </si>
  <si>
    <t>817e2b1df8f30b873b2349a50841238c:glitter</t>
  </si>
  <si>
    <t>45fb45cd49d4fffa0c72db7e59450d4f:love123</t>
  </si>
  <si>
    <t>aae039d6aa239cfc121357a825210fa3:jessica</t>
  </si>
  <si>
    <t>a05a591bf45bb59a87a6e79153c90ede:lovely1</t>
  </si>
  <si>
    <t>074b62fb6c21b84e6b5846e6bb001f67:passion</t>
  </si>
  <si>
    <t>4f4b914d6db35e19101ff003c4e7ea3a:fashion</t>
  </si>
  <si>
    <t>e60a95f3f443e37f5a47210d9b340a05:october</t>
  </si>
  <si>
    <t>942b9a7505b687fbf417803b120702b2:spencer</t>
  </si>
  <si>
    <t>cc1dfdc6f3a871e08cdc631c44a79a9d:maldita</t>
  </si>
  <si>
    <t>4651d80cfa79f4933bc5408665394e9c:allison</t>
  </si>
  <si>
    <t>49339465c068fb48e796b4e68bdd35d5:juliana</t>
  </si>
  <si>
    <t>5c7686c0284e0875b26de99c1008e998:thunder</t>
  </si>
  <si>
    <t>00e45749508fe15ca1af3397eab8db78:sabrina</t>
  </si>
  <si>
    <t>edf8377563f7fa2897df6aa434ad305e:pumpkin</t>
  </si>
  <si>
    <t>7242d6c91121f8e2e87803855c028e55:nirvana</t>
  </si>
  <si>
    <t>1ee1877c6655ecc71dfead311c771bd0:miranda</t>
  </si>
  <si>
    <t>b3b7eca0709c3c25e677677937e8f609:madison</t>
  </si>
  <si>
    <t>b41779690b83f182acc67d6388c7bac9:jackson</t>
  </si>
  <si>
    <t>2698b9129df8bff255b13562392bf895:caitlin</t>
  </si>
  <si>
    <t>79ab945544e5bc017a2317b6146ed3aa:johnson</t>
  </si>
  <si>
    <t>00bfc8c729f5d4d529a412b12c58ddd2:pokemon</t>
  </si>
  <si>
    <t>58df15f1ee036a80f1abc8b3f948aaa4:maganda</t>
  </si>
  <si>
    <t>a5410ee37744c574ba5790034ea08f79:charles</t>
  </si>
  <si>
    <t>76bfaf88ae4d178d004bad31146faeed:angeles</t>
  </si>
  <si>
    <t>bf779e0933a882808585d19455cd7937:charlie</t>
  </si>
  <si>
    <t>d05560f6566db54140c1c5adf58cf70f:blondie</t>
  </si>
  <si>
    <t>b0210eb60aff5851b7607227b8530521:sweetie</t>
  </si>
  <si>
    <t>098939feed3ba17f87863b86e532e208:shadow1</t>
  </si>
  <si>
    <t>d30c7f7381508c2fcd7139aaa67ce48e:frankie</t>
  </si>
  <si>
    <t>b55050b2f605b7cf0d48346ff3d432d3:justine</t>
  </si>
  <si>
    <t>5aa910da8a49fd01d52e96843945c921:sparkle</t>
  </si>
  <si>
    <t>b2e9c66d3b49ce3d50986a881ced739d:twinkle</t>
  </si>
  <si>
    <t>55e7dd3016ce4ac57b9a0f56af12f7c2:cookies</t>
  </si>
  <si>
    <t>1cb0231ebaa3f6f532b93ddec20fae32:nichole</t>
  </si>
  <si>
    <t>73aaec6dc33b96597d8019f7553e96a2:melanie</t>
  </si>
  <si>
    <t>3bdae171e077adbc3dca25941e524fc5:camille</t>
  </si>
  <si>
    <t>e138262cdff78ec6b6db6a3183fc28f4:celeste</t>
  </si>
  <si>
    <t>f5ddf8166360017ab573e218b2b7809c:skyline</t>
  </si>
  <si>
    <t>6b0d3600d50944ab08b6145722eaa7c2:patches</t>
  </si>
  <si>
    <t>95cd3fc01819b69d1a4900e6fe3d293c:peaches</t>
  </si>
  <si>
    <t>f9e1f3ae15198f819fbc3449479401bf:natalie</t>
  </si>
  <si>
    <t>0b9a54438fba2dc0d39be8f7c6c71a58:asshole</t>
  </si>
  <si>
    <t>a3178a0f2081d2fedeb501b3e0960443:tigger1</t>
  </si>
  <si>
    <t>f21c0d3e564c7db5ccf73c095a0b9371:jasmine</t>
  </si>
  <si>
    <t>cc989606b586f33918fe0552dec367c8:crystal</t>
  </si>
  <si>
    <t>6818bab4da85a3a138cdfa35cfc7a64f:valerie</t>
  </si>
  <si>
    <t>1a08d4399aa1cca3c1e1468f4fd2f4f9:number1</t>
  </si>
  <si>
    <t>1c5442c0461e5186126aaba26edd6857:arsenal</t>
  </si>
  <si>
    <t>3b386370c5717a890e2f6a500793fe56:soccer1</t>
  </si>
  <si>
    <t>679f34ba1ec7d7ee1f1718acc24f53d7:puppies</t>
  </si>
  <si>
    <t>7b64d09060db17ca6b96c0af99575903:armando</t>
  </si>
  <si>
    <t>fe75bd065ff48b91c35fe8ff842f986c:bubbles</t>
  </si>
  <si>
    <t>e4aa8eab2296e27a327354cbb0b2c5d2:pebbles</t>
  </si>
  <si>
    <t>fef7185dd6e69d561bc286f3fe6e391f:orlando</t>
  </si>
  <si>
    <t>ea33803f90c77f6cab6b04f9ef52beb1:pauline</t>
  </si>
  <si>
    <t>c5aa3124b1adad080927ce4d144c6b33:ronaldo</t>
  </si>
  <si>
    <t>5d828a9c40f3e5ff78df079fca5df3ac:iloveme</t>
  </si>
  <si>
    <t>be121740bf988b2225a313fa1f107ca1:awesome</t>
  </si>
  <si>
    <t>1d10ca7f8fe2615bf72a249a7d34d6b9:yankees</t>
  </si>
  <si>
    <t>b78d7cd4555821042a70d9ec034b0dea:micheal</t>
  </si>
  <si>
    <t>40be4e59b9a2a2b5dffb918c0e86b3d7:welcome</t>
  </si>
  <si>
    <t>6720720054e9d24fbf6c20a831ff287e:ricardo</t>
  </si>
  <si>
    <t>44a0569931b41774b039baef181f6dc7:myspace</t>
  </si>
  <si>
    <t>6cee2033f74468edae63e3142e3ed403:trouble</t>
  </si>
  <si>
    <t>6d6354ece40846bf7fca65dfabd5d9d4:eduardo</t>
  </si>
  <si>
    <t>5c2bf15004e661d7b7c9394617143d07:alfredo</t>
  </si>
  <si>
    <t>88f1798e205c841fe851b42095329f84:beyonce</t>
  </si>
  <si>
    <t>1e3cf6a218d8e9d0866ad89e7baa41d4:andrew1</t>
  </si>
  <si>
    <t>4d6c4d6b5b6c7fd2c43727ce32a56f4e:barbara</t>
  </si>
  <si>
    <t>f48861ca24e26a23a923ca68657079f4:england</t>
  </si>
  <si>
    <t>2d58b0ac72f929ca9ad3238ade9eab69:pantera</t>
  </si>
  <si>
    <t>124bd1296bec0d9d93c7b52a71ad8d5b:0123456</t>
  </si>
  <si>
    <t>07a88e756847244f3496f63f473d6085:daniela</t>
  </si>
  <si>
    <t>dc483e80a7a0bd9ef71d8cf973673924:a123456</t>
  </si>
  <si>
    <t>596a96cc7bf9108cd896f33c44aedc8a:fuckyou</t>
  </si>
  <si>
    <t>a66f852274a441f4f9676b070c0c64db:ireland</t>
  </si>
  <si>
    <t>7434fafe9980dfc097fb979ba9e14812:pollito</t>
  </si>
  <si>
    <t>6c84cbd30cf9350a990bad2bcc1bec5f:patrick</t>
  </si>
  <si>
    <t>f74a10e1d6b2f32a47b8bcb53dac5345:loveyou</t>
  </si>
  <si>
    <t>647431b5ca55b04fdf3c2fce31ef1915:gabriel</t>
  </si>
  <si>
    <t>f806fc5a2a0d5ba2471600758452799c:rockyou</t>
  </si>
  <si>
    <t>f2a415aa78c7621831da5995e1447242:raymond</t>
  </si>
  <si>
    <t>75c6f03161d020201000414cd1501f9f:diamond</t>
  </si>
  <si>
    <t>4340dff52bc5f37b8b55171e3bfb6e30:shakira</t>
  </si>
  <si>
    <t>e022516b41f20607ff76f00c7f594692:thebest</t>
  </si>
  <si>
    <t>177dacb14b34103960ec27ba29bd686b:alberto</t>
  </si>
  <si>
    <t>beef11336ff51f62c1157c310a2e5f5a:rebelde</t>
  </si>
  <si>
    <t>c1bfc188dba59d2681648aa0e6ca8c8e:roberto</t>
  </si>
  <si>
    <t>eb633d0d9a524624a35378c8402c0dc2:gandako</t>
  </si>
  <si>
    <t>0acf4539a14b3aa27deeb4cbdf6e989f:michael</t>
  </si>
  <si>
    <t>90253759ffa2cbdc7fb565401037df70:cuteako</t>
  </si>
  <si>
    <t>67b2bad64c2f7ae974140d1742539665:mahalko</t>
  </si>
  <si>
    <t>213311d0722e191141a06b0adaa37a4b:pogiako</t>
  </si>
  <si>
    <t>cd170e03a6fe75cebaf146bffc1a66d7:honeyko</t>
  </si>
  <si>
    <t>2aee1c40199c7754da766e61452612cc:fuckoff</t>
  </si>
  <si>
    <t>bee783ee2974595487357e195ef38ca2:mustang</t>
  </si>
  <si>
    <t>83769c7a7f7d8fb000576db03ed47dc9:nicole1</t>
  </si>
  <si>
    <t>022b150ae5b6cbed66ae1201494bd24e:cookie1</t>
  </si>
  <si>
    <t>38fd93fd1dbb6b68391d94c76e2447d5:purple1</t>
  </si>
  <si>
    <t>c77f5eb4d7d525855522d7ac65c5487d:darling</t>
  </si>
  <si>
    <t>e8b129f85d154480f40cbb0ffe177766:marisol</t>
  </si>
  <si>
    <t>611f1f7a0bc943f5eee6b2411f21be3b:dancing</t>
  </si>
  <si>
    <t>2b9ff3efc4a999ecfacd18c4bbc57a2e:claudia</t>
  </si>
  <si>
    <t>2a9480c6a9d2fac0dfaddbc42632af67:familia</t>
  </si>
  <si>
    <t>fe546279a62683de8ca334b673420696:samsung</t>
  </si>
  <si>
    <t>1c020611e3b753925ffc8af8745c0556:vampire</t>
  </si>
  <si>
    <t>c1ed60949799e3adcd72928bb3314fe0:natalia</t>
  </si>
  <si>
    <t>3a9357ba0b1007ca3bf5f354dd737d78:cynthia</t>
  </si>
  <si>
    <t>83342ebd6d6b90da1f8fa319a0a38f44:loveme1</t>
  </si>
  <si>
    <t>5676cfe1da29ab42311b21eca342a9b3:nursing</t>
  </si>
  <si>
    <t>7902b7c0be5cedb6fbada8d4c7fc42a0:valeria</t>
  </si>
  <si>
    <t>0668cd3ad94306b8c1497453afb971c0:joshua1</t>
  </si>
  <si>
    <t>3e47b75000b0924b6c9ba5759a7cf15d:nothing</t>
  </si>
  <si>
    <t>707cb3c826647debf71ad02f7a90c4c3:hottie1</t>
  </si>
  <si>
    <t>c25a68128b55eab863ac1bfcfbb4c80a:jackass</t>
  </si>
  <si>
    <t>d432eb18017c004fd305969713a17aa8:cecilia</t>
  </si>
  <si>
    <t>c0cdd82ce092b01267bdd88a8bfbb1f4:georgia</t>
  </si>
  <si>
    <t>e229dca52dbfa50c12f80f746c8d6867:cupcake</t>
  </si>
  <si>
    <t>2e247e2eb505c42b362e80ed4d05b078:rodrigo</t>
  </si>
  <si>
    <t>4c96f8324e3ba54a99e78249b95daa30:gustavo</t>
  </si>
  <si>
    <t>10189466c646898c1fcf2363b5cf038d:chicago</t>
  </si>
  <si>
    <t>dictionary rockyou Original - passwordonly</t>
  </si>
  <si>
    <t>dictionary thai - passwordonly</t>
  </si>
  <si>
    <t>dictionary rockyou 2024 - passwordonly</t>
  </si>
  <si>
    <t>4356f20cbe44eae567659ae8788d63a8:grnjvolobm</t>
  </si>
  <si>
    <t>7c23748d490b860f2d5f6310668c624c:dit5k'9how,h</t>
  </si>
  <si>
    <t>959f73d05caf63645d895e06a90d3cab:gvd]ydJIB</t>
  </si>
  <si>
    <t>70560f9e4660569d690953cce77ee3fd:d9yPP^d9g;mu</t>
  </si>
  <si>
    <t>91b2c8f92b194ca94006482c0b9e6cf4:xdiIBoomB</t>
  </si>
  <si>
    <t>9c4e73f720f33835ae14e5dadd188837:iy9okKiu8e</t>
  </si>
  <si>
    <t>cd66886563bdb96b71f24b787ec9948c:angel111</t>
  </si>
  <si>
    <t>024a424c62ab0e742dd99dfecc1c6c8d:92dZjO6S!R_r</t>
  </si>
  <si>
    <t>2ca3847979c951bc42b23a8cde69c9d9:l;ylfu8iy[</t>
  </si>
  <si>
    <t>01190989cf8b094f511990036bd2b8f6:mefuwfhfu</t>
  </si>
  <si>
    <t>1f271720129aba53d04763c49f4ddcb1:d]jv'fbolv</t>
  </si>
  <si>
    <t>b3e99d6d75f656170f90da6b98b82717:Tii,=k9b</t>
  </si>
  <si>
    <t>1734f2b2a933b47daa52007cc4e6ca90:wdjmvfdiv[</t>
  </si>
  <si>
    <t>913f9f603f937083bb1a01219b13f8ff:Iy{r'KBKiu8e</t>
  </si>
  <si>
    <t>aeeefcf0a085d49a8f0d8a1622597e4a:thinkpink1</t>
  </si>
  <si>
    <t>a620955e813793cf9bf53692020af255:$y5AJEnU3Ary2a</t>
  </si>
  <si>
    <t>f5e009088c08eb1a57be295ee18d40d2:george22</t>
  </si>
  <si>
    <t>147e2063dd48827f12ebd6491fa98596:l;ylfu8jt</t>
  </si>
  <si>
    <t>b8f3b851ed8af12ed08740ee97fbce12:ditgxHkoydgiupo</t>
  </si>
  <si>
    <t>ff8ca4ec67538dd60e3a486c62fdc38e:vTbxw9p</t>
  </si>
  <si>
    <t>bd361f8ceb6850c76871f3d4fe3d1a60:-o,xy'div[</t>
  </si>
  <si>
    <t>441fe32af0b5e2308cf1475c82be9a44:Kb]xxitp6d9B</t>
  </si>
  <si>
    <t>7fb88d2bb78c34532416ecafac1c69a5:cutie1234</t>
  </si>
  <si>
    <t>76ccbab7fda6d2a12e116247879f1ab8:EQu2YMu5a#AhEm</t>
  </si>
  <si>
    <t>d4930cb9a8f17c5d9b0543052bd1e898:maestro1</t>
  </si>
  <si>
    <t>29495e2ac45eb160a5d3d4325ed70bf6:v6]9ihkc,o</t>
  </si>
  <si>
    <t>f57edf6056ebefce6f181175883b02be:ditgxHkl9k'8B</t>
  </si>
  <si>
    <t>367ce76d8a037856c7a148a70a64605f:v6f,dkiIB</t>
  </si>
  <si>
    <t>1a6de2e43dd60b93e27c9fb663e27edb:wmpdi6'gmr</t>
  </si>
  <si>
    <t>2588dcb8e3a06bf00bfdc536dbc985a0:lD9iBpbh,cph,</t>
  </si>
  <si>
    <t>4085907634b3b06fcc0349e0959e428e:r=iKiu8e</t>
  </si>
  <si>
    <t>f0729fe7a75850704870095bc2570b79:george06</t>
  </si>
  <si>
    <t>c11b7d72af3fbbfdcb6beddebf58b8f7:montana16</t>
  </si>
  <si>
    <t>6034658d4ec391abffd4597e0af95ba7:pbofu9hvoiy[</t>
  </si>
  <si>
    <t>06140f6106796142da4d09ab23a86be7:ditgxHkltrkp</t>
  </si>
  <si>
    <t>4a251b901a70aed297832118fa8eb368:goxk]dk{,kIR6</t>
  </si>
  <si>
    <t>f8afc0072b7dee4573cf1ca2a2197d59:0b9;bPPkI</t>
  </si>
  <si>
    <t>1c0e4520a0c39964a3b1a8890bb03e1e:;ibKikl6-.0</t>
  </si>
  <si>
    <t>747dd2f2568e9ced11c91cb87b2b56f7:dk'gd'-kpk;</t>
  </si>
  <si>
    <t>58ef5dbb91ec07cc256900281bf771a9:xdiIBdv]Ba</t>
  </si>
  <si>
    <t>f14a907e6aa89d671da2390b47e30b8d:9]kfoyfl6-.0</t>
  </si>
  <si>
    <t>28785086655093cbfbcf0326a3b6cd0e:r'Kdil6-.0</t>
  </si>
  <si>
    <t>996f4ab0a23e6fd90c61e4a6234bb70f:kirkland1</t>
  </si>
  <si>
    <t>eed8dd6140c707394e166a3139f35ee7:catdog22</t>
  </si>
  <si>
    <t>9cac51931dc1d628a777d6ec6a2a160b:0bo9okdki</t>
  </si>
  <si>
    <t>b12ef341bf8760f989ede0bc33d43e48:dkp4kr[e[yf</t>
  </si>
  <si>
    <t>db4cd0db36b5d7e3cd5789c80b419d62:9]kfohevy,r;k</t>
  </si>
  <si>
    <t>95e60dda8f04c2f2d17cb7db90b61ff2:4^;f];'KBmv'</t>
  </si>
  <si>
    <t>96956661bee1a13e097221c610effff6:synyster1</t>
  </si>
  <si>
    <t>c21073190eaa22bb25a383b196f3e5cb:8bf57'ot</t>
  </si>
  <si>
    <t>a02bbe4d894b8c1aaaf3a92c3564671b:gdJ9iKkl9iB</t>
  </si>
  <si>
    <t>c81f9690a55da4900af9dac7e46a67fc:xitl[dkiIB</t>
  </si>
  <si>
    <t>6cf1d75268b6f42fb96f2a67448b54b2:dod;iiI;'KBmv'</t>
  </si>
  <si>
    <t>c182177f5143ffc7b4736a01edfbf808:viblik;iiI</t>
  </si>
  <si>
    <t>528691eed7d7db9fdf3185ef79488ea2:gdupi9bpK</t>
  </si>
  <si>
    <t>b1fabef501fa5787b43bde50b9edf5f6:-hk;zyfd6h'</t>
  </si>
  <si>
    <t>af3dfe7506228bd17f8d98bff47b6dcf:xibPPkKiul6-</t>
  </si>
  <si>
    <t>0ae882e13cd2cfabba0a0118ea272361:K64]ydJIB=yp,'8]</t>
  </si>
  <si>
    <t>3327c0fee8dfc97686534bf7e1affcbd:lh,9ewmp</t>
  </si>
  <si>
    <t>8e7f922b574221403c1811d3f5461164:cd'g-up;s;ko</t>
  </si>
  <si>
    <t>ee2b6f26e1f28ec725f4c19d1c29cb3e:9h,ped6h'</t>
  </si>
  <si>
    <t>890c85f853b18b5ee6d72943300ffc48:=obfkKiul6-</t>
  </si>
  <si>
    <t>eb509b3152e7cf4954a64640d57ff0e5:alicia69</t>
  </si>
  <si>
    <t>36b478fa0fe698d49803d1b84751ccbb:fucking2</t>
  </si>
  <si>
    <t>734ced8b30650768bbe0874d8a739961:iv'gmhkc9t</t>
  </si>
  <si>
    <t>06a07cba0a3660593160b41d3b3220de:-vclf'8;k,oy[5nv</t>
  </si>
  <si>
    <t>4ae086c759932ae29c5e098b225e271e:D9Utdbo-hk;</t>
  </si>
  <si>
    <t>8800ace1f621012890471f7f7bee08a9:=u;;bmpk</t>
  </si>
  <si>
    <t>b5fcf04438de73ea7320988f1cd1d177:itsover1</t>
  </si>
  <si>
    <t>f8c6052a568756cccf3c2d78ce16026d:-jk;fj;o</t>
  </si>
  <si>
    <t>707f239cfefb3027bea807f272d0f03e:-hk;,yowdj</t>
  </si>
  <si>
    <t>acc77b1097e2ef6109a4be2a05e0407b:obg;K;bmpk</t>
  </si>
  <si>
    <t>f264ebf988b1d0e30baeef4a413b7a1e:Kbibri=yp,'8]</t>
  </si>
  <si>
    <t>1a598ed2644264e3b176d68cbb8d9609:987654321qw</t>
  </si>
  <si>
    <t>ef430d4abecd8ab2a4c845db79232e46:=bo0y'0v,cdjo</t>
  </si>
  <si>
    <t>919e3d44533347ef095e6edeb1ed4d3f:-6f[jv]jvx]k</t>
  </si>
  <si>
    <t>e2cdd72ccd4a2cca810b2d4e635bdaa5:[hko-o,s;ko</t>
  </si>
  <si>
    <t>fe427084a78a7da5e8c4647f145b7ee5:;bKi69gdj'</t>
  </si>
  <si>
    <t>c403274bee537ec2cb3a4f480521999e:ry=ibomiBcl'l;jk'</t>
  </si>
  <si>
    <t>df9933b011d72e9806d2c679282285b5:chrisbr0wn</t>
  </si>
  <si>
    <t>85ace564aa85e1618c6cbbd544a48c6d:jjjjjjj1</t>
  </si>
  <si>
    <t>f9a7e6d7b282e62facfa18e5ce58c442:Ddfy'-v'.=h</t>
  </si>
  <si>
    <t>286e0e6acaa8ef7ffb29575089d5a1f8:;bKi69[6P=j;p</t>
  </si>
  <si>
    <t>626879f89e0cf33fb557f725fb3516db:ry=ibomiB=yp,'8]</t>
  </si>
  <si>
    <t>7237a6583e1dee95365b92ea8289ea4c:andrey1992</t>
  </si>
  <si>
    <t>a237d51d5d644ff55a78228889bec76a:,sk;bmpk]yp</t>
  </si>
  <si>
    <t>58c9710d239e4b7d46df7887ac51621e:8Ib9Kkl9iB</t>
  </si>
  <si>
    <t>7e0d8b79cdd3457cb1b7df840b669891:d]jv'-hk;d]k';yo</t>
  </si>
  <si>
    <t>6792a0971a97e3c72e115857f199618f:mujgmujp;Tii,=k9b</t>
  </si>
  <si>
    <t>7e1ad04d692d0b7ec490020878e41493:TokTbx=yp,'8]</t>
  </si>
  <si>
    <t>6b1300465294a5d4917e6bc5586bd19c:kristen69</t>
  </si>
  <si>
    <t>08de158baf611e8e540fba17901e4150:8[gfGdlihk'[hko</t>
  </si>
  <si>
    <t>a7ea73f77f1a58bf25213e78eca0ac66:5oo-hk;lki</t>
  </si>
  <si>
    <t>28a24b35e8f80211f1f4e232bc4230be:=69b,kKiul;ylfbB</t>
  </si>
  <si>
    <t>d2c5643a023637b323ebf8b33c51a145:oyombpkKiul6-</t>
  </si>
  <si>
    <t>507db6143a3569ee15eb50041c0c7a5f:disney04</t>
  </si>
  <si>
    <t>e0c8042d4f6a4a25a2b0586d2e869c3a:dylan1997</t>
  </si>
  <si>
    <t>900f322c3d87f732d1e4babb9493ffe0:8;k,l'jk'k,</t>
  </si>
  <si>
    <t>1276eb4cd7b032dfbfdf8a6fbc71ce85:fo9iulkd]</t>
  </si>
  <si>
    <t>4369cfc788b449183ae8c80d0cc3c405:dod;iiI;'KBfu</t>
  </si>
  <si>
    <t>fa14216d075090a187e3d78aa8c2fde4:brianna17</t>
  </si>
  <si>
    <t>6dd09fdc55e51f7c2ba71673131d84d2:tgbhn25fb</t>
  </si>
  <si>
    <t>89596fd5343680bcdbcd82ebdfabfb5a:D8,wa9yh'D9Ut</t>
  </si>
  <si>
    <t>48009012d6e85e5d1d16c5d6f7f783b6:xjkw,hg-up;</t>
  </si>
  <si>
    <t>a3ab850b6b8a9797a743fe9d7fee1f9e:xdiIBKiul;ylfbB</t>
  </si>
  <si>
    <t>6dcaa05c52681e1dcdc74a74cba19080:To4ymi;'KBfu</t>
  </si>
  <si>
    <t>c29cf4f04c52e96352989a0128bbb8bf:born1986</t>
  </si>
  <si>
    <t>12ad3bd70c16a998a882972ef804c6b8:g8injv'gxjkz,</t>
  </si>
  <si>
    <t>865d68b64db7b063bc694849d758e095:0v4kr8,=yf</t>
  </si>
  <si>
    <t>a22aef2465c72d25955a6261e869c33a:1general</t>
  </si>
  <si>
    <t>9e1d3db70e9c2519c07a5255ecbef0c3:gandalf5</t>
  </si>
  <si>
    <t>29c0acb3f4a74214dd140af085a380d0:g=]D]8]kllbd</t>
  </si>
  <si>
    <t>4d78b6b547020c1644205e3e21c1f95a:,o6Jply,ryoTB</t>
  </si>
  <si>
    <t>f98f32667ee4de1251141d37c7237997:fashion9</t>
  </si>
  <si>
    <t>384e5c7326a0682e0c8cf368b26e6fcb:=69b,k/o</t>
  </si>
  <si>
    <t>9cc0838e4d64aa208caf194ec9f6f5cd:db99br'JBl6omi</t>
  </si>
  <si>
    <t>028553280a26c8a6a28feabaf59c8b33:flores69</t>
  </si>
  <si>
    <t>47e8b51ec1f90a703edd05ef2b4a9a6e:=yho;k'soy'lnv</t>
  </si>
  <si>
    <t>fe716d41945d3a9fc17f12daefa50509:gfo,kiBdD8gxogCgdo</t>
  </si>
  <si>
    <t>63e0c3b4c2b083bb2ebd02494889fe89:lok,[bol6;iiI4^,b</t>
  </si>
  <si>
    <t>072d8f33964112b3f905f6540ac33fd4:K64]ydJIB[6PPk</t>
  </si>
  <si>
    <t>277cb64ccc03db805e2e3f6a420d9ede:baller27</t>
  </si>
  <si>
    <t>5fd0759ff9362ddde62dc2dcfa83f073:192837465z</t>
  </si>
  <si>
    <t>b9823b874d887cf372d87774d12f97b0:=hk'gvg=up</t>
  </si>
  <si>
    <t>d708e930c13b33b6e25a501b38a03425:9]kfoyf0960ydi</t>
  </si>
  <si>
    <t>5ef5d11f09757f0f6a64627ba94db779:ginvleikP</t>
  </si>
  <si>
    <t>53a0e960eee750a1eb6ce27dea178013:lbib;iiI[6PPk</t>
  </si>
  <si>
    <t>8092df6aae85f309ed66601072bce47e:sooners22</t>
  </si>
  <si>
    <t>75ea09485c77dd08af01fc9d95810dc1:soccer2012</t>
  </si>
  <si>
    <t>7a960c1a9cb510f4ef7ab5e71272e421:oyfg0vdyo</t>
  </si>
  <si>
    <t>fc0900d4191ba0c07b4056e4d807e87c:x;uIkcl'mv'</t>
  </si>
  <si>
    <t>7c7437b114802b05c1ba5d011bb33df0:Kbib;iiI,yjo8'</t>
  </si>
  <si>
    <t>52a87d7f92b13dbe2ecbe291ff5aafad:nascar19</t>
  </si>
  <si>
    <t>158fc16b69cc3bb10062ec21943f7fbf:molson12</t>
  </si>
  <si>
    <t>2c7f4ff44759b3ab1e30eb7a7527e9d0:LkDpokit</t>
  </si>
  <si>
    <t>ad27611ea35b1a214b0fa2d0f5bf2a1a:cd'lh,=tv,</t>
  </si>
  <si>
    <t>7e5522df87bc18af824765d34f3f8a4d:x;uIkKydfbB=yp</t>
  </si>
  <si>
    <t>94436dbc9386f1ee41bc66826487b5e1:Tokdi[6PPk</t>
  </si>
  <si>
    <t>02b7ff16c635071d8a5a79b430fe537a:Dfoym=GvdDdc]9</t>
  </si>
  <si>
    <t>866a61431676a5ffae0fd832ff9f9bce:iy9okKiumv'</t>
  </si>
  <si>
    <t>cf599050704c39d5a569efd658b0d3a8:Tbfkiy9oB,yjo8'</t>
  </si>
  <si>
    <t>0bdbadfd89bff8212c9e82833dcb2058:donttry1</t>
  </si>
  <si>
    <t>cd8c3129c37ccd68d2ef2930dbaffc7b:Dfikgv,vo</t>
  </si>
  <si>
    <t>700022178646d83109774dc31bc19256:l;oly9;Bf6lb9</t>
  </si>
  <si>
    <t>975aa2fd4d2c33b37bbe212538f3b8c3:K64=yp[6PPk</t>
  </si>
  <si>
    <t>150560db9d66ac6995e1f2353b154882:amormio12</t>
  </si>
  <si>
    <t>868ce3ffe9e49b7762690dd727bcb569:yfcnz1234</t>
  </si>
  <si>
    <t>b6668d4d98e7236056a42e60c1eeb5b7:wfh8n[0tgvkKvd</t>
  </si>
  <si>
    <t>42b2cb0158d07900e898e4fc0e20bcb7:Doh9=kiBm</t>
  </si>
  <si>
    <t>3c73c0843d9dbcd9cea9b8242dbf692f:db99bKydfbB,yjo8'</t>
  </si>
  <si>
    <t>b4cc5bbddf1a7fe6d07bb94c7d216b40:INUYASHA1</t>
  </si>
  <si>
    <t>a2468ec8d098b947a4afe8f65aae3765:alinka12</t>
  </si>
  <si>
    <t>5bd438e7a2df982597136af385b97acf:ohegpGo=njo.0</t>
  </si>
  <si>
    <t>245d9b426856bb8e1e5e82e69d9061bf:5y'-ptg]Gd</t>
  </si>
  <si>
    <t>af42f9d59ddcf4d436e4a89c30976fa4:=koomBKiul;ylfbB</t>
  </si>
  <si>
    <t>a20d19cea339df93470fdf96700ec945:kenrick1</t>
  </si>
  <si>
    <t>680c635b72a392cfc0bd27f28fbb72e6:manutd87</t>
  </si>
  <si>
    <t>1dd53bdf0cb1e77f6f780e629e124ba4:miyrpkdi[688]</t>
  </si>
  <si>
    <t>b99d487e290cc4e46dc1a24f09b20c70:xiy=Pk=u;b9</t>
  </si>
  <si>
    <t>48e63d8ca9ccd1a5e483cdf2343d1442:giupol;ylfu</t>
  </si>
  <si>
    <t>aad9bad0311ecc83ab49f9c42360160d:gators24</t>
  </si>
  <si>
    <t>0432fb210085a8c225970c4ae9c3f126:DmiKyrmB,nv5nv</t>
  </si>
  <si>
    <t>45d2fdec98f0ec1de1a14f9b4afcab1d:dyx9yoL7[klt</t>
  </si>
  <si>
    <t>dc03d13391ee1050831110b30a565fa1:gdks]u.9hDL]</t>
  </si>
  <si>
    <t>11899a6e79f718ac46753abfd0edfbfc:roswell4</t>
  </si>
  <si>
    <t>ebe36f0da5ade11dbbb35dd3fffe1fb4:8nopx77XzP</t>
  </si>
  <si>
    <t>d823a769f9d7c257491b5b7d11707897:D9Utme'ko</t>
  </si>
  <si>
    <t>0b78266bda5bf250530b81bc0c1eb50f:=koomB8e,u</t>
  </si>
  <si>
    <t>994c9cfa7e6fe2c8bf4fe8625f8a3087:michigan00</t>
  </si>
  <si>
    <t>7ce1f68686895bbc78956425d09a7738:star1701</t>
  </si>
  <si>
    <t>d3c0015e1794463d30e4499abc8ade1e:9^hglnhvzhk</t>
  </si>
  <si>
    <t>0f075973638210294e2584b3c467dab7:john-117</t>
  </si>
  <si>
    <t>a11edbc67b3784485a6a064f36455a13:gm8DoD]pulkilogmK</t>
  </si>
  <si>
    <t>32cb601f6dbef2dcd4ed3ad871063ed4:8vp0y's;tfu</t>
  </si>
  <si>
    <t>b0a029d0670144609cf4df9db0a64003:critter123</t>
  </si>
  <si>
    <t>dbe71a05f901b51e73fe883ec447fda3:o;y9dii,fb0bmy]</t>
  </si>
  <si>
    <t>f5055c4dd8e16116d0ec54f50aa60ad3:Iy{oomBKiumv'</t>
  </si>
  <si>
    <t>e90f6ac508388eaeb9f55db8afdee5f2:blazer33</t>
  </si>
  <si>
    <t>6d062ec41bb3eb3cd7450636e6704410:ohe-7ho.shiu[9yd</t>
  </si>
  <si>
    <t>133db47b633e34415c17f09ffebb0723:dk9kiBDfCk</t>
  </si>
  <si>
    <t>0f2c561c5a4a80c69eb6c9b63750e235:Tuigf=KydfbB=yp</t>
  </si>
  <si>
    <t>8594f20b6ae032348aa93fb02ba3031e:Darren01</t>
  </si>
  <si>
    <t>e3d081c2fc797b31290421f7c80af6a0:rommel44</t>
  </si>
  <si>
    <t>7a697f2bc7cfcc46228d8ad3ac2b85fc:dyPPkiy9oBcl'mv'</t>
  </si>
  <si>
    <t>42a7589136b1be9e3db26457b9764017:BIGDADDY2</t>
  </si>
  <si>
    <t>756b490b8f390fd22c2df48f6c3231b0:fusion99</t>
  </si>
  <si>
    <t>a46402758107d13c3b023c78c36a7e8c:xitlbmTb4kr</t>
  </si>
  <si>
    <t>8f9e05d7782e83a71bfb29849b1e30d2:g8injv'[boDfplki</t>
  </si>
  <si>
    <t>c1abb758928769ab5c06c4b3b9430e7c:ohegpGox]k9kp</t>
  </si>
  <si>
    <t>1bf1ba1e8d5a5bd56cfe54a5e5290802:Tor]KydfbB=yp</t>
  </si>
  <si>
    <t>e0cd5fd61a3cae0dc2fd4cdcd0a793b7:quaker57</t>
  </si>
  <si>
    <t>8a3cea182d526dbcb39340db1c9ac93f:bright01</t>
  </si>
  <si>
    <t>9a1392ceed1fa71ee125da60c156f29a:oheihvox]kgxGo</t>
  </si>
  <si>
    <t>8de1a22c24fdce4c434771ab840d06f5:/o9dd]k'8no</t>
  </si>
  <si>
    <t>1548f017b2cf40b3638ba1b773396797:province1</t>
  </si>
  <si>
    <t>2e7c8b83a6278268b9ac4258fdce3f04:twilight25</t>
  </si>
  <si>
    <t>d092aaf4dea8b15434ef9daef71c89e5:xit=kdiKkl9iB</t>
  </si>
  <si>
    <t>86731d0116340682185836864db572ca:],sok;d]k'8no</t>
  </si>
  <si>
    <t>02d958e78f840a7a0381734d5159fe71:=]Tb=kKiumv'</t>
  </si>
  <si>
    <t>aa7fd98c85a8123aeb8bfce82b03893b:ilovemax123</t>
  </si>
  <si>
    <t>55fd24f504c167ef9e2fae217f1e0c2a:canguro1</t>
  </si>
  <si>
    <t>300aca396fe2f31f041dcde86c0dd0d6:xit=kTbxw9p</t>
  </si>
  <si>
    <t>4b615e27e9b3d86a2055e73809cf40c5:8v,rb;g9viB9yh'D9Ut</t>
  </si>
  <si>
    <t>587a5c554860e3d745235b3f8e563222:=]Tb=kKydfbB=yp</t>
  </si>
  <si>
    <t>0f3390fa1688c4fc86353ebb4e11065b:[iipkdkK</t>
  </si>
  <si>
    <t>878e2982d1f166b1efa09ad8da072f3b:dyPPkiy9oBmv'fu</t>
  </si>
  <si>
    <t>f1b65dd9b0c16e6c1ee1aac602c71921:english33</t>
  </si>
  <si>
    <t>83d0e439d9946c0075b6bc11238c0d53:xit;y9bKkl9iB</t>
  </si>
  <si>
    <t>f4bd5de5574fef386aacacb5a18111d7:odC^d9kD9</t>
  </si>
  <si>
    <t>86d6742b2065179af018a675f79e21e2:;uigf=mv'fu</t>
  </si>
  <si>
    <t>1ece41b40ec08d1476f65712912254cc:cuddler1</t>
  </si>
  <si>
    <t>ba4e38acc846dfa984fb73bfb0be4fb8:Pujx6joD9gdup;</t>
  </si>
  <si>
    <t>3639a684545352f539b0280c737222eb:Tod|9[6P,kd</t>
  </si>
  <si>
    <t>ff8d7421ecca71d02df689489227370c:chacha05</t>
  </si>
  <si>
    <t>7e0954a1d6c793432999958ae50fc369:15temmuz</t>
  </si>
  <si>
    <t>44807facf87617dfbd1392e42b7a1602:xkddk]^d]njo</t>
  </si>
  <si>
    <t>beb46ac28e74bbfb4be2066c9bacac4e:Kbibrir]vp</t>
  </si>
  <si>
    <t>6a1a63cb54b9f0f024f5b41b0ca4f25b:x]vds,vo</t>
  </si>
  <si>
    <t>e471e4681e35455485830bd6248de30f:g8lDmiKyrmB</t>
  </si>
  <si>
    <t>c6bf2fb5a51faf5dbead26741f30aa50:Tbfkiy9oB[6P,kd</t>
  </si>
  <si>
    <t>c542d40a45a20698353a472899afa7bc:blackdog13</t>
  </si>
  <si>
    <t>2d5593c87cf42cb099f7e0d6aeb75e56:x]ks,v9kpgriktxkd</t>
  </si>
  <si>
    <t>a3c237617a7791ad6cf49163d489d06e:0b9idii,wmp</t>
  </si>
  <si>
    <t>3fcd05273bcd8ca2b6d15bda549ee77a:x4ylli[6P,kd</t>
  </si>
  <si>
    <t>4184c1f3fb7a54f9eb6cc2a48df7cbd9:bangbang6</t>
  </si>
  <si>
    <t>f8fef4d504262385e55645ae8fa4cd1f:zhkg=Gf9y;</t>
  </si>
  <si>
    <t>83f253e0315d43ea7e93817b769b0f84:Tokdi;ir'JB</t>
  </si>
  <si>
    <t>299d7150fd9b1258e5c9e3e51871875f:KickAss1</t>
  </si>
  <si>
    <t>4a67a1dcc514f64c1b44c9b0806dbaaa:moshatinkor3</t>
  </si>
  <si>
    <t>e3591e57a969ab756c196f1ae955fb75:xbfmv's]y'rit</t>
  </si>
  <si>
    <t>1a186ffac9059b3574038738b7d80473:,kg]gLupdy;]k]y,gxviB</t>
  </si>
  <si>
    <t>9e25693888d344eecec0abea3d011bed:JULIE123</t>
  </si>
  <si>
    <t>cc6f5364d03cfe8531a594a76f5d96ca:zzzxxxccc111</t>
  </si>
  <si>
    <t>01dd99419e5ceca90273a476f46e5398:zhkryo8v</t>
  </si>
  <si>
    <t>5aa21310eb1fc9b5377840798f9ff91f:2painful</t>
  </si>
  <si>
    <t>199bae974c0ab5a7f9066da0e8806a6a:woodie69</t>
  </si>
  <si>
    <t>ad2b46177b158f6df546ddcc82fcdb37:77bronco</t>
  </si>
  <si>
    <t>a714c0a1b57d3bd2dce26bf2b617dc33:xkSbskibpB</t>
  </si>
  <si>
    <t>7457d577f844d261394cd314f970d4f7:LuiulBojkf^</t>
  </si>
  <si>
    <t>90757d6cd9b6eea1fb2ad7c24f129295:ritv4yp,Iu</t>
  </si>
  <si>
    <t>1ec8abe6a234fad2c7c3f3cfcc2998a5:[y'd]kgmKTkdk</t>
  </si>
  <si>
    <t>67cba0233dc28f081af10e4dc39740dc:truffle8</t>
  </si>
  <si>
    <t>525dd18f00408111b4d357d3613841b1:cxi'luayo</t>
  </si>
  <si>
    <t>e20e30d6420a6758db3d77f4e9b6bd4f:street87</t>
  </si>
  <si>
    <t>161191e909d71b662768bc09308332f9:1258963a</t>
  </si>
  <si>
    <t>ec57f8280250356bb81a2704bd402436:dkoheihvo</t>
  </si>
  <si>
    <t>00e6730f26047a4a756bbe3bf3edbdd8:seagirt1</t>
  </si>
  <si>
    <t>84e4b27683ff2f15d224b3b838acd989:4^,bKkl9iB</t>
  </si>
  <si>
    <t>921e138d9b5efe1d40d45849a9d463bb:dit9jkpgogTviBc]ofB</t>
  </si>
  <si>
    <t>4e3bb03e1f7dc54d4609b38671b2a643:pjkjnfhtd170661</t>
  </si>
  <si>
    <t>03e8a3cfb2f9e218c1cd2fa870d95ea2:russia95</t>
  </si>
  <si>
    <t>87c60ff8b17d3f4bf8f838202061cd9a:ryoTdb0</t>
  </si>
  <si>
    <t>0bd9c4f9118c014c3d0c73a08519be16:,6,dkcalf</t>
  </si>
  <si>
    <t>f04a85f352dec089e1102af447eb21fb:pipillo989</t>
  </si>
  <si>
    <t>07c8b4b6708830c05468974de9fee53f:yecgaa1296</t>
  </si>
  <si>
    <t>3792969ee35b2df26aea89303ac6d7e8:ditfkJDoh9</t>
  </si>
  <si>
    <t>7b5138806d04ea93f3548bc487543e38:oliverm1</t>
  </si>
  <si>
    <t>b9b0ddae668230e1c7d9cd9ca72828fa:darina2000</t>
  </si>
  <si>
    <t>2ae5051a0e1825168130a68f5b15f849:ryf],9yh'D9Ut</t>
  </si>
  <si>
    <t>6bab880b966bd0dc0dafb9c5995ed0fb:fikdhvo[v]</t>
  </si>
  <si>
    <t>a25bfbe61e1ec62827e05e19e5faa26f:nena1782</t>
  </si>
  <si>
    <t>93054ebb5a7cf99898bf6a4e21a3125b:4kJkvy'd|J</t>
  </si>
  <si>
    <t>3ec3b150102970b846556f27594db010:g[]gpup,[iylgL]lB</t>
  </si>
  <si>
    <t>f7bc8b88b6946ea8e4189e5a01ae0cd7:wisdom33</t>
  </si>
  <si>
    <t>4978576960aa05953e75afb83b68fe43:ritr6mTKklok</t>
  </si>
  <si>
    <t>764b78b3c4a2517a22d8c14bb0ca12a4:d6Pc0[hko</t>
  </si>
  <si>
    <t>afc1b0ee9780328fe7e0653bc2228cfb:cah,gvdlki</t>
  </si>
  <si>
    <t>8f9b12768bcfcea26edc4309a07c0037:kani2006</t>
  </si>
  <si>
    <t>cbec1eb86f8670b164243a0e336de571:qwerty1812</t>
  </si>
  <si>
    <t>489859d79984132144a911f9df9edc4e:dki[yP=ug[nhv'9ho</t>
  </si>
  <si>
    <t>5703eb561702979d8d522680ad9fab35:Fuckyou0</t>
  </si>
  <si>
    <t>c12aeb82a54b7ca3a8b66d18054fb28c:jamrock20</t>
  </si>
  <si>
    <t>b80f33bb0b486c1b6b117d4b9a93c7e7:evilmatt1</t>
  </si>
  <si>
    <t>8079ab5fd0e11bc15937a2de1a0ad78a:i5lk,]hvg8injv'</t>
  </si>
  <si>
    <t>91d42ba492395f434c6f8664752abf8a:T6idb0g[nhv'9ho</t>
  </si>
  <si>
    <t>7d0dde815b5de66e3517ab2d621d92a0:shrikant123</t>
  </si>
  <si>
    <t>a2388ac11cf0ff7303c546584e7543bc:0uoxyddbj'</t>
  </si>
  <si>
    <t>7e5132abc2429c63620d88e82c272514:firebird15</t>
  </si>
  <si>
    <t>389f145db01d9d1afc939cf331cf6b07:Mansfield1</t>
  </si>
  <si>
    <t>af5781ee471b6bae169f417bafdef4ea:i5po9Blj;o[688]</t>
  </si>
  <si>
    <t>a2f7ea2d88035ff040f22da6721e4a82:gfbomk'x]vf4yp</t>
  </si>
  <si>
    <t>87c24e9a69b6bcfcc14eecc96950f900:feb151982</t>
  </si>
  <si>
    <t>1ae7ff87a4a75eb670a8224d42828f4c:db123456789</t>
  </si>
  <si>
    <t>b35cfb8a5626ffb6716992a21e48ccd2:i50ydipkopo9B</t>
  </si>
  <si>
    <t>71cdc21aed26f4d38637be233db76016:o,lfxyjo</t>
  </si>
  <si>
    <t>991685b9369e1166d3613ccf86d1b7a4:MV8dSxyR</t>
  </si>
  <si>
    <t>639f65f38e015a01f0035cb215dcf805:i5Dfplkixit0emk'</t>
  </si>
  <si>
    <t>3a5c833d490969b01a5aae64b8555c43:x;uIkxk]B,</t>
  </si>
  <si>
    <t>767f9f8a70fe5af257f336991f3e9355:chopin02</t>
  </si>
  <si>
    <t>c0dc9410e410279cc13f1e7c5bb9d882:fyutkmol15</t>
  </si>
  <si>
    <t>b638467ad398935d7354ebe19d93e3d5:x;uIkxbjo</t>
  </si>
  <si>
    <t>a4ef8715ee3e7e011695c56aed075033:ceiling7</t>
  </si>
  <si>
    <t>04c99795421e413150e9a9e4e9de7119:jehuty01</t>
  </si>
  <si>
    <t>7d0b0465e4aeefcfed0f83cea6d6303c:iv'gmhkzhk.[</t>
  </si>
  <si>
    <t>10ecb6b40725985e26176de3cb3c53a2:gdks]ugsonvgxup'pk'</t>
  </si>
  <si>
    <t>08534b8178e57e7a027655061c8ae9e6:born2befree</t>
  </si>
  <si>
    <t>2823384627257690e3109f7ae782fa6b:Superman79</t>
  </si>
  <si>
    <t>99e12a7bc28743998c4e9d88d175b4ec:ginvDfplki</t>
  </si>
  <si>
    <t>d9a982e30423e594a60fb4f9202f9acf:ditgxHkgxh</t>
  </si>
  <si>
    <t>35b4aaee8dd7ef9988a85ebb413fe791:bittner1</t>
  </si>
  <si>
    <t>01d66fc7fc8e4c0e45113c31d1743931:amit1515</t>
  </si>
  <si>
    <t>5daad3179d7cf6ea8d77b889e8f4d710:ginv-hk,akd</t>
  </si>
  <si>
    <t>e92aa4fac18b3f64954a4241c64570b5:bamdph12</t>
  </si>
  <si>
    <t>37a9b9557997a0c72728957443f790e7:grjH6jkN</t>
  </si>
  <si>
    <t>e24b4d3cf19a6e4cf93f52661d1d688e:ginvxit,'</t>
  </si>
  <si>
    <t>1c440f4701ecd2d03f4bf09697f0230d:9tdihkzhk</t>
  </si>
  <si>
    <t>428985a3553226a1f18b7b44000ad86c:andrews45</t>
  </si>
  <si>
    <t>0b5d8cbbecaa57eb0f55b9591140d86f:zolushka61</t>
  </si>
  <si>
    <t>2dea50e7494982b71ccfa5a046996ee2:ginvrkp</t>
  </si>
  <si>
    <t>5d71244a18d6956e9a7bccede139e805:ally1992</t>
  </si>
  <si>
    <t>fa1774f427507e0cebd389bab36d9f4c:;y;skp]hv,8vd</t>
  </si>
  <si>
    <t>a7cc076ceead94611d8891082cd7af30:dy,r^=kro,gxP</t>
  </si>
  <si>
    <t>691bc5a7b92efe906d8d5534a9de8d5f:alecia99</t>
  </si>
  <si>
    <t>378c667a7f6b2cb4c2bf201794b2103d:4s5pil2hx</t>
  </si>
  <si>
    <t>58d59650839438d52535b3cc92192cf8:]b'v6iy'v69y'</t>
  </si>
  <si>
    <t>c645c48512190f0411ee9b472d48ef66:=hvolhv,rdrk</t>
  </si>
  <si>
    <t>3769496e6b0d4469a61216c0be05724c:SdKfz171</t>
  </si>
  <si>
    <t>968a5a0c5a26600759f1e03664866444:;b0kiIPkI</t>
  </si>
  <si>
    <t>a901e12154cfdeb93a16849f58c32733:xig,K;iBr'JB</t>
  </si>
  <si>
    <t>628ef9ca52308669049ee4393d8a112a:zuzanna9</t>
  </si>
  <si>
    <t>b78fc4be65362696215a1e95a6952c59:KiuToP=yp</t>
  </si>
  <si>
    <t>1781e4129c7011da379d53b4193cad52:d]jv'r]kl9bd</t>
  </si>
  <si>
    <t>c104a6328575a2ac0cdf1ef3d349dde8:c;jodyocff</t>
  </si>
  <si>
    <t>adebd5d627f491d7ffc467339a996a3b:g0vdyori6j'ouh</t>
  </si>
  <si>
    <t>d8ac99cb05394e62748514f3f4bd3aba:;bmpkKkl9iB</t>
  </si>
  <si>
    <t>aefe78d8b38bb4afa63493b2b8eb687e:x]yUdwarj;'</t>
  </si>
  <si>
    <t>af30a2abc6b27e7a4c4e8905e6e14c3c:hannah49</t>
  </si>
  <si>
    <t>ee5fbef4986ba95f16b8e5504c5aeef7:c;jo9kdyocff</t>
  </si>
  <si>
    <t>7de1a23b8d676a23f5ac2a8197fd6a62:dki9]kfrnho{ko</t>
  </si>
  <si>
    <t>f2bd4b8945059b434fd48177e34594d5:210287hjvfy</t>
  </si>
  <si>
    <t>681ccae88852ed8546cb68c637cd48f8:l5kxy9pdii,</t>
  </si>
  <si>
    <t>b4530c767c5985610707b697aa2903a5:w-jg0up;a^</t>
  </si>
  <si>
    <t>464a280b20bd738a306f99dec2b505d9:kurumi36</t>
  </si>
  <si>
    <t>01b4470621dcc8ecd954e21f9c4f08c8:ly0Tii,</t>
  </si>
  <si>
    <t>68a208e488da2d3b1ca24eadb463444e:9tgdup'wa</t>
  </si>
  <si>
    <t>5c3469d77db3f93144a73e26d2cbc520:ljxrf2011</t>
  </si>
  <si>
    <t>d3525f93c9a370a67936cd6fa5a19a9a:l;ylfbdki</t>
  </si>
  <si>
    <t>e92918e9cc53429aecbb471c371f79e7:gmiofBca=yjo</t>
  </si>
  <si>
    <t>d3135376ccca3cf47444c85981d39066:gKiJ{Kkl9iB</t>
  </si>
  <si>
    <t>b7b11a8a94553dad08e7686c511d0b5a:obpkpcao9kLu</t>
  </si>
  <si>
    <t>a4c12f7c5999ca991b33f3c5f86a9ccc:dinar35642</t>
  </si>
  <si>
    <t>c80211aae766991fb794846bb145a211:ly'8,K7dJk</t>
  </si>
  <si>
    <t>931b28c4b4738ba2cdcda40f1c6f07db:felipe76</t>
  </si>
  <si>
    <t>a4058fb8c92f61f40b54d55c09a30063:soy'lnvgiupo</t>
  </si>
  <si>
    <t>c5fcb771734b84e9a0ee8d2a183b0f4d:miy,gxG9,k9i{ko</t>
  </si>
  <si>
    <t>22d4686891ea84d6817ed06f37db22fd:lkTkiIxitDp=oB</t>
  </si>
  <si>
    <t>df733e48ef6df3e6a208c8515416f658:xibPPk,yj',u</t>
  </si>
  <si>
    <t>6f0473136b07039ea3383dcd86bfae6a:parcour.1996</t>
  </si>
  <si>
    <t>c6df64058c4347b4f622ea575d8b1c4b:lb'D9mtg]</t>
  </si>
  <si>
    <t>21d4bc541004acc12095a81e08a1e4a0:diuo,kiBgdG9</t>
  </si>
  <si>
    <t>3c31ccd79d71f623c193409b787e7723:Davalka911</t>
  </si>
  <si>
    <t>fdddc41a8e6d3ac304aa65da9c63ed97:l6omiup4kr</t>
  </si>
  <si>
    <t>31736906736f524e765ad8f3f234804a:=69b,k,kp</t>
  </si>
  <si>
    <t>39c64817716bf24f4777566b8ae75253:souglnvxt0itg-h</t>
  </si>
  <si>
    <t>5fffbfc32a6e8a0bdebd4022d4107af8:g8l,nv5nv</t>
  </si>
  <si>
    <t>a99a0cf300bfef4a216ef2530b8acb8e:12041993q</t>
  </si>
  <si>
    <t>3b6779488d03eb3eea710a947f6ab2c8:glnhvdyosok;</t>
  </si>
  <si>
    <t>916530ac29e0c18190caeeed748a3fae:serina00</t>
  </si>
  <si>
    <t>db8d6d564bd3d6cb0ef0f727854188e0:s,;dcdUx</t>
  </si>
  <si>
    <t>f5bff47abf987c37a17b154660b02f57:topcat77</t>
  </si>
  <si>
    <t>34a3056f20bcb37b9cb66a22e26f9726:shk'liirlbo8hk</t>
  </si>
  <si>
    <t>b0324a63ca2cf05d19b6f6f1fb943fc6:vjkosoy'lnv</t>
  </si>
  <si>
    <t>073628671ac82d39ebefe3b5b81324a5:ohe8hk'pk,g=hk</t>
  </si>
  <si>
    <t>faf62791db51a156ed422b5332a7ea0d:richione4066</t>
  </si>
  <si>
    <t>ac8c37b8d2041512fb73d055b05c6245:[y;ifohe9how,h</t>
  </si>
  <si>
    <t>c75b6f19bcecfd376dd58bb721377008:v6mpkocsj'=k9b</t>
  </si>
  <si>
    <t>21d41284e18d3c164e6ea7c60cddf2f8:d6Pc0i5</t>
  </si>
  <si>
    <t>f5721ec9d87ae4abd1b883c9ee494a8f:8tcoog9G,ihvp</t>
  </si>
  <si>
    <t>5bf274c15977b608dcf119584b584ee0:prequel1</t>
  </si>
  <si>
    <t>57f1aef577539559c814ff1a002b7d96:vy0Xibp4kr</t>
  </si>
  <si>
    <t>0a357a9c1ee159bb80be1436c8dd4b5b:d;k'giogfupiB</t>
  </si>
  <si>
    <t>2664a2595a77b8f133b1690b176a71b0:11111987n</t>
  </si>
  <si>
    <t>b739c35496b3ecaffa171b2911c52736:8v,rb;g9viBgiG;</t>
  </si>
  <si>
    <t>195e8fa898765bbd7bf6ceaa553d5777:vkipTii,</t>
  </si>
  <si>
    <t>60dd5c7a2e3fdcb31f5d9da161c25b84:Lkv6fuvkitg[upibpkf</t>
  </si>
  <si>
    <t>3f5040d04283bedf0e906625275d121b:gulnaz4ic</t>
  </si>
  <si>
    <t>3e73d4d9d0e6fc2ad4ab63c9b370b5cd:vbol9kcdi,</t>
  </si>
  <si>
    <t>667393f34e0badf67aa7749d99dc9c39:DmiKyrmBi6jo.s,j</t>
  </si>
  <si>
    <t>f531be521f08129bc697b8ff75b85bfb:24011961m</t>
  </si>
  <si>
    <t>892d65139de6839c802bb2b78ed9a1eb:4^,bomiBgdupi9bpK</t>
  </si>
  <si>
    <t>425d8165d4fd765c6f1462c26d51d013:gC]b8vxg9viB</t>
  </si>
  <si>
    <t>5bb47938fbd913d69f62b76e7a4546df:d^Uf[kp]kdjvo</t>
  </si>
  <si>
    <t>69d577a9aff98f5e8292669313d8d54c:anna2408</t>
  </si>
  <si>
    <t>1664070ab23ae73c8aa4bb8af2fa3b97:dima9742</t>
  </si>
  <si>
    <t>ba8d8b27179f80b481d07ec10748d8e6:13031962n</t>
  </si>
  <si>
    <t>1d96d869c2cf86ed7166e4fb77e0453e:-v'-;yP;yogdbf</t>
  </si>
  <si>
    <t>16d16325d43a72bd49cf04495a4d1802:dki[hko;yoouh</t>
  </si>
  <si>
    <t>be0ae3460d9213fd0c7ad3537e6585e6:Gandalf6</t>
  </si>
  <si>
    <t>e900fd4de1894e56d94d5ea19ccd3567:-jk;;yoouh</t>
  </si>
  <si>
    <t>7d0b055238576f34e32563dd718b6f28:jndcd123</t>
  </si>
  <si>
    <t>2c65a27e28ec3be72dbaf3a9350064eb:12051994m</t>
  </si>
  <si>
    <t>88cbb2efac0f098e4934757f7b5820a1:xudwdjmvf</t>
  </si>
  <si>
    <t>91755429e73000332b0a8412317ab406:3r5d9b50</t>
  </si>
  <si>
    <t>739b049d7361b73cdc33ef9f719f2194:55555lena</t>
  </si>
  <si>
    <t>b5681962ceeb9f82168c1a5dcbc1269d:x82030005</t>
  </si>
  <si>
    <t>fd25500a9868da515ad1606ba533fe37:170909vin</t>
  </si>
  <si>
    <t>a14dcd4038a6e4ee9b62dcae94a35cab:Ura61179979</t>
  </si>
  <si>
    <t>626313fb9ed2806d288973aa15855338:dkiB9^olo6d</t>
  </si>
  <si>
    <t>0b0430a888cdde7cd5498a6fc2d5b066:=hvolc9og]l</t>
  </si>
  <si>
    <t>cc0667bf00183801695652ba5a84eaf6:lexsus2426</t>
  </si>
  <si>
    <t>e6fa3221e2eb3abc9aebf8cb0a4c0754:ryanchloe24</t>
  </si>
  <si>
    <t>7eef24e7a5347615222e5b4d5cb5fcad:waXkp-okfg]Gd</t>
  </si>
  <si>
    <t>e851d81b18bf019811513b5538b9079e:22101991n</t>
  </si>
  <si>
    <t>47650b8a5162c59206301b0ee23dab0b:odp^'l;p'k,</t>
  </si>
  <si>
    <t>b61cc6dc56354b4e3956b831e2735d7c:thailand2013</t>
  </si>
  <si>
    <t>9ff588e2fde4074e663588ba612ab372:domin8rr</t>
  </si>
  <si>
    <t>34d49fa96eebd2c2a79cb3bc97ac16d7:0ydipkolucf'</t>
  </si>
  <si>
    <t>c845e2d3a3768782a7d4fbc9d4dc9cd9:fl0rentina</t>
  </si>
  <si>
    <t>dd5288c66995570e030f7b547b72ff94:koneyko123</t>
  </si>
  <si>
    <t>6b52f6c8e18a283c3f375475c025d73e:1323bevis</t>
  </si>
  <si>
    <t>6135a44355556559af9dc057164bc9a4:5oolu],</t>
  </si>
  <si>
    <t>30ebd54ad2130046d0e6f233406fa3b0:1Voyager</t>
  </si>
  <si>
    <t>4cbb30bd7693c9c3d8db35a75ae3354a:5ool6-6,;bm</t>
  </si>
  <si>
    <t>53cc74d4784fd3851672e98b7202eea1:bigfoot303</t>
  </si>
  <si>
    <t>6f1e130adf5068f7755740aa337ffaef:8bf57'gl,v</t>
  </si>
  <si>
    <t>fe588b51fc53818bcc7940bd8c45cf53:chandani2</t>
  </si>
  <si>
    <t>f0d5a732eafedb515231135d6cdd9481:kiss121208</t>
  </si>
  <si>
    <t>5259e3ba20bb78b99444b2cd9c982802:cdh;ohe.l</t>
  </si>
  <si>
    <t>8a03ea99d77dc423b56347e80c8bbc01:15092005m</t>
  </si>
  <si>
    <t>3dafea6fe70878cc9cf258d293726a8b:dit0dsohk9jk'</t>
  </si>
  <si>
    <t>4f25edb489d4b03e4a1b8c9617b4ceac:32B06622y5</t>
  </si>
  <si>
    <t>cf1ee061506cf769c1f0e27b0ba90676:g-G,-yfsoy'</t>
  </si>
  <si>
    <t>c2cb24a4143171f37b2b4efe5a6b9eef:990151egor</t>
  </si>
  <si>
    <t>a9f3e60bcd677759bffdf26bb48fee00:gdhkvuhs,6o</t>
  </si>
  <si>
    <t>dab8cf9964d4f463ec95b9b88db7d9a4:timeout23</t>
  </si>
  <si>
    <t>b11f762ce897cc40bff53f637e542120:dH;pg9uHp;s,^</t>
  </si>
  <si>
    <t>d83f4188ecf2901c32f50f54b78a636f:true2luv</t>
  </si>
  <si>
    <t>1cedbf5cbcc15a95da1f0abd8b60fa02:dit0dshv'ohe</t>
  </si>
  <si>
    <t>2720c633b1cf174a095c744aa1d10ad4:=k[^s,k]jk</t>
  </si>
  <si>
    <t>96a35ffa74c095724a8cf88041fa483a:15021972a</t>
  </si>
  <si>
    <t>9f9969fc4dbc9136595bc091ce8c9b7a:mko-hk;sinvpy'</t>
  </si>
  <si>
    <t>998d49a353ff1958762a91c9f37bc7ad:1956vfq24</t>
  </si>
  <si>
    <t>c973d4dcba7c12b8b7278993449d9d0a:777se7my77</t>
  </si>
  <si>
    <t>6c96a000754552c531ea0848ca10d98a:dkrpBgsjginv</t>
  </si>
  <si>
    <t>c00259c1b5106b6774e8b5c1a798eec1:m3704607t</t>
  </si>
  <si>
    <t>f3532f295ee751050c999069357bf93e:DmiKyrmB.s,j</t>
  </si>
  <si>
    <t>9f9443fe189667fd918274cc42446975:matahari78</t>
  </si>
  <si>
    <t>15526a5c02110fe7dc2424f6658ee7f0:9kik'vvdde]y'dkp</t>
  </si>
  <si>
    <t>e095009d129f5d4f31aedaf94c269cb5:ol88ol22</t>
  </si>
  <si>
    <t>5218ec85aa76fd4f71e2feddaada0924:v7277229</t>
  </si>
  <si>
    <t>6a4ff33b8771d9946cc8d92c144b4a75:96iduvy'dkik</t>
  </si>
  <si>
    <t>551ba0f80c215be9575cf9377b204864:werdna1964</t>
  </si>
  <si>
    <t>40bd61cd760be7192eea2678fdd65c50:obpkpvvow]oB</t>
  </si>
  <si>
    <t>078dddfccf9f2b8c1dea1cb820360e47:19a04a10</t>
  </si>
  <si>
    <t>8eee4f634ae6abdccd2223065ab516f0:oviBg;pBvvlD]</t>
  </si>
  <si>
    <t>5e89a42466350f93ae1477b4f6cf82a2:28031988m</t>
  </si>
  <si>
    <t>58a1213750980c8fbabd27dcb61fc2a6:gogTviBc]ofBvy,lg9viBfy,</t>
  </si>
  <si>
    <t>7ac4498dfbd72b13c2bdb649e82fc210:Anakonda11</t>
  </si>
  <si>
    <t>8b80bf8ca401fc5dc0dc6c8f037980e5:dUvdohevjk']hk'sohk</t>
  </si>
  <si>
    <t>724028a35e43fff39ce882867007f7a7:Snoop1995</t>
  </si>
  <si>
    <t>b6fcba8a507a7ddba12b8dfd43e2557f:obmkovulx</t>
  </si>
  <si>
    <t>08cdc5fae0d1919a38e4e9022abb1eb0:a2929008</t>
  </si>
  <si>
    <t>76ba23fdb580190cbf5ec1755bcd5539:xkdul5kovbl]k,k[yf</t>
  </si>
  <si>
    <t>385c25b6b157470c8a1fee34c287d563:clq5xt76</t>
  </si>
  <si>
    <t>182b140dbe8696a6b930dbc4fc1a9aa6:e7hstivw</t>
  </si>
  <si>
    <t>2f50ab258af5febd79933581f3752dc6:x]kD],kcv9c]o9bd</t>
  </si>
  <si>
    <t>08b67bc5b442e5a0bd4fc0e0e8a0d12c:17lera98</t>
  </si>
  <si>
    <t>aeaf22b97991142404e361a96f217b74:s,^ditmt</t>
  </si>
  <si>
    <t>0e4384a4ee57b9bf190432f69c5e36b4:2717west</t>
  </si>
  <si>
    <t>3ba2cdcdc3d1ac593b7d634b875e9275:vvdc[[dikabd</t>
  </si>
  <si>
    <t>25e661bd40579102cfe37412fb877bab:4hpkq1npxjh7</t>
  </si>
  <si>
    <t>0a4ba9c6b712519ba4d311d28e7f257a:cl'0yomiBd]k'8no</t>
  </si>
  <si>
    <t>d02ce25cc285624a7035471dd5b20130:Cedjhjdf352</t>
  </si>
  <si>
    <t>e612175697d0d5fb09e66974a7de2588:iw2bccnp</t>
  </si>
  <si>
    <t>a335ae66bb1e16c647de3d7a5b018c0e:s,;ddyocff</t>
  </si>
  <si>
    <t>61713cb3f3e5db4dcb9e225c56a22f8a:porsche0911</t>
  </si>
  <si>
    <t>c320ff6213288952533b50563dd87c6b:l^9idkca</t>
  </si>
  <si>
    <t>4f1a2ead730a8ed0f4cbb0d6304451b0:tylkoty86</t>
  </si>
  <si>
    <t>3eaa0e1f4468a81030337e9e56e0c3c1:vapme673</t>
  </si>
  <si>
    <t>ca6513a881f6172e381575f101787f58:xasan1990</t>
  </si>
  <si>
    <t>a936b70168b68f4f90188c602fc66738:ybrf12345</t>
  </si>
  <si>
    <t>04ed092153cbf5eccf2bdfb0bfe12470:0071dima</t>
  </si>
  <si>
    <t>05defdae4d780c7fd7b99810ff14c308:;b=k8Ib9Kkl9iB</t>
  </si>
  <si>
    <t>ba5e65d83eb0dd1abd9ccade82e0b319:09061966Z</t>
  </si>
  <si>
    <t>4937d39a19ae2277ce800115424540ae:0d284e5e</t>
  </si>
  <si>
    <t>ad61e79a512780560d444c41e25670c4:;bDv]k8]kllbd</t>
  </si>
  <si>
    <t>cd25cf02ecb34f83eb34539268a71865:20051971t</t>
  </si>
  <si>
    <t>c8727aa9ea0615036bb416ee071aa9fc:A901aa907</t>
  </si>
  <si>
    <t>36da92d7cddb7aa1370b6f83d0e72016:vyadkobl5ko8k[^]</t>
  </si>
  <si>
    <t>44bc7e31b73e41f8a5e7ebac986e9c41:KOLAY0973379521</t>
  </si>
  <si>
    <t>e683492614a4d84dc46374b6c4d4cf9d:vupbx9Bw8Di</t>
  </si>
  <si>
    <t>59c7c79e0636ca40fb9ba11f6019d81c:ZyXEL069</t>
  </si>
  <si>
    <t>304cbea4134fd89091648d4b6b436870:vboDfougLup0kdkiB9k</t>
  </si>
  <si>
    <t>b155a30178672e4d025a0b27bda682bb:lok,[bofvog,nv'</t>
  </si>
  <si>
    <t>ba7f955ac57ab5e32576200303712b31:fyutkbyf51</t>
  </si>
  <si>
    <t>ba1e5ceb981e8017be99b71feeb39768:goblins01</t>
  </si>
  <si>
    <t>9e5ce53f220c1de453ecebf8eb01ce04:l;ylfugfhv</t>
  </si>
  <si>
    <t>964bac1f367b8a109583d9b0972f5b9d:helpmaksim20</t>
  </si>
  <si>
    <t>595c91c07dab853c1912a32a54c2f4c5:l;ylfu9vog=hk</t>
  </si>
  <si>
    <t>b5526d3a45bc7c49f9c3516332238135:hlebinio0101</t>
  </si>
  <si>
    <t>be1ae17b43a59b886b4c506ea7f4562b:l;ylfu9vogmujp'</t>
  </si>
  <si>
    <t>01d1fefc2c212c9429a1d7c1d8d704e5:ilove577</t>
  </si>
  <si>
    <t>4850c32a9c354b9c01a2bd501b79af3b:;bmpk9^o</t>
  </si>
  <si>
    <t>da041a5237aad82059eabe04eb7384b9:jups2703</t>
  </si>
  <si>
    <t>3a7c5f9bb68536ec9f643468bda0c890:vbsijkog9stiko</t>
  </si>
  <si>
    <t>548d0d6fc0a9c969df0e85971c51108c:kirill92cool</t>
  </si>
  <si>
    <t>7101109e644d8953ebb5da749b3b3a65:molodeznaya14</t>
  </si>
  <si>
    <t>d9eddb12c7f154ec9baa258efaeb106f:s,^lk,=yhomvf</t>
  </si>
  <si>
    <t>eb17398b731b405ed07430fb93f5a9ed:narik1999</t>
  </si>
  <si>
    <t>93443e9a19eb13a57d6a426022d752ae:l;ylfum6dmjko</t>
  </si>
  <si>
    <t>21e21d8f1288307cba21cc2fd3cf7a9f:ox19671986</t>
  </si>
  <si>
    <t>c75f03ab098828d475a4f9d351829353:;iiI8fuwmp</t>
  </si>
  <si>
    <t>0c58b97511aabfd87d7b4d0af5caf0e7:q5522350</t>
  </si>
  <si>
    <t>e8c32a1b6868609d052e07372aeff3d9:sn45432697</t>
  </si>
  <si>
    <t>b75899d4b0036634fcb0c00aa9a0fc65:treebeard11</t>
  </si>
  <si>
    <t>2aa78a68a842d1728631b8490b9fab0b:00099988p</t>
  </si>
  <si>
    <t>e2358355a1e7d49df0a6883136fd5c9b:010964ndv</t>
  </si>
  <si>
    <t>30c5ff5dedbd3685d2ea3f91546ec039:;bKi69go,</t>
  </si>
  <si>
    <t>6f067538952d688328dc64ab87ea29fa:04021987a</t>
  </si>
  <si>
    <t>9adcdfde40397a2467fd7449fd3c3600:vbogfupob;gf]u</t>
  </si>
  <si>
    <t>a415cd9009a074d03d49a6905c63a421:11111gfgf</t>
  </si>
  <si>
    <t>0f0f67ad5b3dc173cdf1aa3d3065887d:glnvD8ij'[y'8]kgmK</t>
  </si>
  <si>
    <t>5888dd85a244d236192c75109c81a1ce:25856minu</t>
  </si>
  <si>
    <t>602e3c65734beac62efb4495033e4a2d:;bKi69[vp</t>
  </si>
  <si>
    <t>f7420e3a65b3c9d8ce80148593778299:3151020s</t>
  </si>
  <si>
    <t>2486a80d1d0c885a056eaf138acd4dd4:l,y8i[y9ig8ifb9</t>
  </si>
  <si>
    <t>8d98429cfe4996bc0b9f2720bd17e8e4:4b2a1011b48</t>
  </si>
  <si>
    <t>4cfa24aa3202691d83bbb3a9cf059257:s^ay'[]^m^T</t>
  </si>
  <si>
    <t>11ce42f91d54ab3c9739b3ec38600b64:89UB95U0</t>
  </si>
  <si>
    <t>f648832eabf1de5b269307760e59682e:l;b9gLviBc]ofBg[biBo</t>
  </si>
  <si>
    <t>6bd3c502f9cfb4a0d6e995c1ab67e27a:Lh3lK7YvI</t>
  </si>
  <si>
    <t>347bc9d89d009d3e50632e83222e069b:vbiydc[dcff</t>
  </si>
  <si>
    <t>7bcc31a2a73c24aebce3f86890f3a592:crolic80</t>
  </si>
  <si>
    <t>5c1f7e4dd4833baee0a4efe3c2344def:lujczjofbo</t>
  </si>
  <si>
    <t>ebc0d1b9e23a6960e9168bee8b229fb9:fkj2546v2</t>
  </si>
  <si>
    <t>8843c86353bfbfa0ce3d0c283993d50e:cCiBiujrv9g9viB</t>
  </si>
  <si>
    <t>3888ea70fc201532f37479d22ae7af12:;yfDrTbB</t>
  </si>
  <si>
    <t>0901e9de2521b21a36561bd36928a5c8:kvv1ssari4</t>
  </si>
  <si>
    <t>68f81440857c409f84aa0ae026dc28b3:glnhvzhkca=yjo</t>
  </si>
  <si>
    <t>d76b4fecbac5b93c35185bfec61b4d57:maks250188</t>
  </si>
  <si>
    <t>5c2216df767875f85202a3fa9a7c9d7a:w;Dv]bowaahk</t>
  </si>
  <si>
    <t>d912556b3ed2eb0145af509a63972b51:mr790602</t>
  </si>
  <si>
    <t>1cfc2abf079f64e07c8db022d01d9977:;b=k4kJkwmp</t>
  </si>
  <si>
    <t>8055cdc8ab30da7101e34dcb1bc18ac6:nitish777</t>
  </si>
  <si>
    <t>0066351360fb04e92feb7af519dc394a:v^8^g]g]jwaahk</t>
  </si>
  <si>
    <t>d74330271f61278fd2401d18e98dd760:peter6996</t>
  </si>
  <si>
    <t>d975a5b1a44b6c36843a28b4266e4528:yjrbf6600</t>
  </si>
  <si>
    <t>e4400ed9cf6149a45789c23f24521436:wvh,fcf'</t>
  </si>
  <si>
    <t>02ba7783a794760f939dfd1460e3deb0:1942cent</t>
  </si>
  <si>
    <t>01ea15508240cbf08b505f04d0ec8a81:lgxo,kfibf</t>
  </si>
  <si>
    <t>af91f63f52ccb6b679e768f43c5ae1bf:30081982n</t>
  </si>
  <si>
    <t>ef46e464e7c9d96bd5b25c094730b929:v,iiy9oB,yj',u</t>
  </si>
  <si>
    <t>ea7a85d5d415c0406c996a844f38b882:423252fff</t>
  </si>
  <si>
    <t>911a63934bd110674ae05c922e5e19bf:;v]gxgxviB,nv5nv</t>
  </si>
  <si>
    <t>a9691a9672b8a02dcc12b96175db3063:8587633m</t>
  </si>
  <si>
    <t>099f3e130f56e66cd654f60bfe962cde:Gumbo123</t>
  </si>
  <si>
    <t>40786899c32ea8e682f4a6694555bc2b:cl'cffpk,g=hk</t>
  </si>
  <si>
    <t>b44fa7d8f56b3593b327d3bf19cf33fb:b00144507</t>
  </si>
  <si>
    <t>06597dc8d534cd01d0c25a74bc53fcd1:;iiIdii,gpk;=o</t>
  </si>
  <si>
    <t>fa3c1e11acbd0befc917eb1d9ad54fe9:dog1cats2</t>
  </si>
  <si>
    <t>6fad691fcab0915ac83be12339fdb328:vblikgv]gpi^Lkg]G,</t>
  </si>
  <si>
    <t>09b219c74721d68a9acef01c60aa0e7f:eumeamo7</t>
  </si>
  <si>
    <t>1f1869fd80dfdbebd09ea5d699b83563:s,voiv'8v</t>
  </si>
  <si>
    <t>fd3e1fdf68f915df2c33f0d095729c61:jkhguyg7</t>
  </si>
  <si>
    <t>10dc58e7a19b92914d4f6e3fb837d1bf:kanuee45</t>
  </si>
  <si>
    <t>833e7e3ab259b177f190c118239ebba8:;bTu]fohesoyd</t>
  </si>
  <si>
    <t>e1ca6ef4ca3e1f857f9328c649cb76db:lollipop52460</t>
  </si>
  <si>
    <t>7ea4617836de255be30df3ebaae6db9c:vb9k]uDi,</t>
  </si>
  <si>
    <t>501e25cf4d219533b42deb551caeed5c:m1t17412369tony</t>
  </si>
  <si>
    <t>0fb771c4711a8690207602bdf3b8434e:glnhvpnf]e]v'</t>
  </si>
  <si>
    <t>fefac3707cf6204960b4424eee173eb3:mgdkrnkmr34</t>
  </si>
  <si>
    <t>4316a99cef0e544143c1f5105b12dcbb:l;o]6,rbou</t>
  </si>
  <si>
    <t>e645598c264cbca689f7cc6378a35e4e:05051993z</t>
  </si>
  <si>
    <t>4bb83dc3907fae4ace1cdad71cd44c25:rollins25</t>
  </si>
  <si>
    <t>d70f8b59b36276c78cdb0643c7bf6d3e:sb;-hk;c]h;</t>
  </si>
  <si>
    <t>bcb73f7f91e563520616d9a382a7bb4b:021064467dom</t>
  </si>
  <si>
    <t>399f6084dd04312397c377dfefabb413:;b==6fk;iiI</t>
  </si>
  <si>
    <t>f2b17f4612d760ba2b0ecbfb828091de:s6ho;yoouh</t>
  </si>
  <si>
    <t>71021bf4da458867aaa6982ff840fb9e:vkdkK;yoouh</t>
  </si>
  <si>
    <t>d965de9c8d9b2cfea5eefd5ef3851c65:vvlg9iupg;upook</t>
  </si>
  <si>
    <t>570af5b98545a97e73e0f33dbb45caa8:;bmpkKkl9iBlo6d</t>
  </si>
  <si>
    <t>c429bfa149a9a2d913ddaa2c0839ad64:l;ugfol9vdDC]B,</t>
  </si>
  <si>
    <t>a6d49b149f617ba283b688e9e6244f62:vvaabKl;um</t>
  </si>
  <si>
    <t>5f5d06e7a8e9e76bdd0b798dd0aa0769:lb'8DxiBlb'8DxiB</t>
  </si>
  <si>
    <t>946409508d6eba123d6595e813179e06:s,hvs6'-hk;</t>
  </si>
  <si>
    <t>01754e9196ac1f867bf0e9a595791523:;yfvi6Iik=;ikik,</t>
  </si>
  <si>
    <t>4549574cc3cc6d5bbed77e55824606d8:;bTuvvdde]y'dkp</t>
  </si>
  <si>
    <t>877ed4b5fb2cf600f002b88697988de4:l,y8i'kovvow]oB</t>
  </si>
  <si>
    <t>d9fe7d01642123570225ce39e6209297:l[^jgs];vk[ohe</t>
  </si>
  <si>
    <t>45929b094a9d55be2cb3c1b73fc63c34:lsiy{vksiy[gv,bgi9lBvk[^fk[u</t>
  </si>
  <si>
    <t>2f51c118baf99a7fae6fe2cb881253f9:lgxipBcv]dvCv]B</t>
  </si>
  <si>
    <t>55200a7b09b029140149e28bd009b23a:lb'D9cvaibdk</t>
  </si>
  <si>
    <t>61e5a640e51dd09e2aa11d6774c1fbc6:v,iiy9oBcvo</t>
  </si>
  <si>
    <t>ea6e9944dfacbb0eef5b81f13c648499:g;upfok,Ckovp</t>
  </si>
  <si>
    <t>846d87e6c4ff516baa334e4f44b27e37:l;ylfuCt</t>
  </si>
  <si>
    <t>be337ac38f52c770712c7f81b032d8e8:cxhorb,rBg'up[</t>
  </si>
  <si>
    <t>fe4c823b62cc2e0be1417c43d9353354:4^,bomiBg0</t>
  </si>
  <si>
    <t>93a8d38ae1abbc8bcc9aafa00a1cc761:i5wa=kog,nv'</t>
  </si>
  <si>
    <t>7c4698839e0bb5e42299d7ffccffbbf0:c,;oheLu]</t>
  </si>
  <si>
    <t>b926e58aac36b1504ad473702c346fc4:i59^hDfplki</t>
  </si>
  <si>
    <t>228de1d74152e506b690874e1fd97fd7:]eDr'9y;g]Gd</t>
  </si>
  <si>
    <t>0ac0de351898af378c2654650bf7a4c5:g,klB9y;.s,j</t>
  </si>
  <si>
    <t>5c5e11d0fa3e1d8e1abfad347ae7960e:ginvmhv'c[o</t>
  </si>
  <si>
    <t>26114e62e6c10b44b220de6e02bae1d7:,ufme8iy;</t>
  </si>
  <si>
    <t>1bb70905b7a0158b8c98a7fc38a35dc5:iuD,9mu;u</t>
  </si>
  <si>
    <t>c484774251c56ba24b9ed8ed792ec396:iu;b;DmiKyrmB</t>
  </si>
  <si>
    <t>2a97e2afd44d617529ef26415d3dfbf6:r'Kdi[vp</t>
  </si>
  <si>
    <t>56233b580df1d3bb66ce0bba28a03f32:gxGow'[hk'</t>
  </si>
  <si>
    <t>9b5c6e5021f146749c6cebff4a3a27b8:gpvi,oug[viB]bo</t>
  </si>
  <si>
    <t>d7921df9ac492a204e82b102fc679eb0:i5[ylxiy[vkdkK</t>
  </si>
  <si>
    <t>a8707f8aa9fadec5054e2378e59693a0:/iyj'gKlxkiul</t>
  </si>
  <si>
    <t>7bcca668f1022ec7569b330b85251cbc:iy9okcxh'</t>
  </si>
  <si>
    <t>a1cc45b374703cae6bf0ea7240ec4d6a:waXkprdrk</t>
  </si>
  <si>
    <t>d06f59b4b8a864551e822c4038ba3194:w,h[iimyfr]kl9bd</t>
  </si>
  <si>
    <t>7d7d7511d1c39415129c7f33cb788a0d:i5lb[]hvrj;'</t>
  </si>
  <si>
    <t>9b8d8356e8bf158e3bb810d061c36b3b:Dxicdi,ab9gol</t>
  </si>
  <si>
    <t>adf6215b239f4b0e8f6ca06894125b0e:ginvgaviBiuj</t>
  </si>
  <si>
    <t>560495a0a3a9b5fe328ac34bd39baacd:i5po9Bwaahk</t>
  </si>
  <si>
    <t>dd7d0ed073820deda953f922f2001872:giupo4kJkwmp</t>
  </si>
  <si>
    <t>e4a4f3e4fcce69b4a5035e9265f1a27c:giupo4kJkvy'd|J</t>
  </si>
  <si>
    <t>7ca9d1f8c12fcfe67ec111a0734a486c:Dxgd,jvo</t>
  </si>
  <si>
    <t>e440d5ee6c0bc51595aa960553772a9b:r'Kdi,yj',u</t>
  </si>
  <si>
    <t>f0e2ac6fb00e046b2092d5001020a223:ab]bxxbolB,tob]k</t>
  </si>
  <si>
    <t>575e583bec99ef704f5f2a2080980515:gaL[6Udg,lgLog0viB</t>
  </si>
  <si>
    <t>34ff6f5f125830099cab34f9079572df:4^;f]c,Gd</t>
  </si>
  <si>
    <t>d901b4c458de2b63c00f0c21dc202f87:]bho=ydw,h</t>
  </si>
  <si>
    <t>2e7d50252f794ec97b938a2b51420b72:crofhkpydJB</t>
  </si>
  <si>
    <t>a9be8d19ec0bcd9af2ff1824f3e02770:/o9dpk,f7d</t>
  </si>
  <si>
    <t>5333dde2f269ad7d3f2d4851ab3c0da9:],sok;pk,f7d</t>
  </si>
  <si>
    <t>95d20ea1d970d9b8fea4282ac2531785:],mtg]gpGol[kp</t>
  </si>
  <si>
    <t>aac8ab7af56fec098f7d94e4dbf8174e:/o9dib,mtg]</t>
  </si>
  <si>
    <t>ec56acc3af8cf66ef1d85fef2de7688b:g,klBwihlkp</t>
  </si>
  <si>
    <t>181838466c136ec4fa2cd8ebf4a58904:Dxi96gdl]bl[vo</t>
  </si>
  <si>
    <t>caccdccb00b3c7c5c5c47d7f4dcc37af:gikg9viBw;wa</t>
  </si>
  <si>
    <t>5c18f3e4166fe7fa3568d380a7a2a3d7:]k;g;up'0yomoB</t>
  </si>
  <si>
    <t>c3c5a88064f7e4dd97b0c6c76375affe:rbrbT4yIRBKb]xt</t>
  </si>
  <si>
    <t>e23fd0671b7d38f0a6e442963a43b718:ginjv'lyholo6d</t>
  </si>
  <si>
    <t>63b7680ddafaceb8678edf7cd2a05f68:ay'gr]'l[kp</t>
  </si>
  <si>
    <t>4be04ad6525a829d5c83d6b3c0623ac9:rit0yomiBl;p</t>
  </si>
  <si>
    <t>6bade3a149137109dd6cb633b6f06c74:4^g-kl^'</t>
  </si>
  <si>
    <t>77b5243cd6793f99fcd6dd758af4e9be:aboc]ofBgC]Lb'db</t>
  </si>
  <si>
    <t>?:123456</t>
  </si>
  <si>
    <t>?:12345</t>
  </si>
  <si>
    <t>?:123456789</t>
  </si>
  <si>
    <t>?:password</t>
  </si>
  <si>
    <t>?:iloveyou</t>
  </si>
  <si>
    <t>?:princess</t>
  </si>
  <si>
    <t>?:1234567</t>
  </si>
  <si>
    <t>?:rockyou</t>
  </si>
  <si>
    <t>?:12345678</t>
  </si>
  <si>
    <t>?:abc123</t>
  </si>
  <si>
    <t>?:nicole</t>
  </si>
  <si>
    <t>?:daniel</t>
  </si>
  <si>
    <t>?:babygirl</t>
  </si>
  <si>
    <t>?:monkey</t>
  </si>
  <si>
    <t>?:lovely</t>
  </si>
  <si>
    <t>?:jessica</t>
  </si>
  <si>
    <t>?:654321</t>
  </si>
  <si>
    <t>?:michael</t>
  </si>
  <si>
    <t>?:ashley</t>
  </si>
  <si>
    <t>?:qwerty</t>
  </si>
  <si>
    <t>?:111111</t>
  </si>
  <si>
    <t>?:iloveu</t>
  </si>
  <si>
    <t>?:charlotte1</t>
  </si>
  <si>
    <t>?:michelle</t>
  </si>
  <si>
    <t>?:tigger</t>
  </si>
  <si>
    <t>?:sunshine</t>
  </si>
  <si>
    <t>?:chocolate</t>
  </si>
  <si>
    <t>?:password1</t>
  </si>
  <si>
    <t>?:soccer</t>
  </si>
  <si>
    <t>?:anthony</t>
  </si>
  <si>
    <t>?:friends</t>
  </si>
  <si>
    <t>?:butterfly</t>
  </si>
  <si>
    <t>?:purple</t>
  </si>
  <si>
    <t>?:angel</t>
  </si>
  <si>
    <t>?:jordan</t>
  </si>
  <si>
    <t>?:liverpool</t>
  </si>
  <si>
    <t>?:justin</t>
  </si>
  <si>
    <t>?:loveme</t>
  </si>
  <si>
    <t>?:fuckyou</t>
  </si>
  <si>
    <t>?:123123</t>
  </si>
  <si>
    <t>?:football</t>
  </si>
  <si>
    <t>?:secret</t>
  </si>
  <si>
    <t>?:andrea</t>
  </si>
  <si>
    <t>?:carlos</t>
  </si>
  <si>
    <t>?:jennifer</t>
  </si>
  <si>
    <t>?:joshua</t>
  </si>
  <si>
    <t>?:bubbles</t>
  </si>
  <si>
    <t>?:superman</t>
  </si>
  <si>
    <t>?:hannah</t>
  </si>
  <si>
    <t>?:amanda</t>
  </si>
  <si>
    <t>?:loveyou</t>
  </si>
  <si>
    <t>?:pretty</t>
  </si>
  <si>
    <t>?:basketball</t>
  </si>
  <si>
    <t>?:andrew</t>
  </si>
  <si>
    <t>?:angels</t>
  </si>
  <si>
    <t>?:tweety</t>
  </si>
  <si>
    <t>?:flower</t>
  </si>
  <si>
    <t>?:playboy</t>
  </si>
  <si>
    <t>?:hello</t>
  </si>
  <si>
    <t>?:hottie</t>
  </si>
  <si>
    <t>?:charlie</t>
  </si>
  <si>
    <t>?:samantha</t>
  </si>
  <si>
    <t>?:barbie</t>
  </si>
  <si>
    <t>?:chelsea</t>
  </si>
  <si>
    <t>?:lovers</t>
  </si>
  <si>
    <t>?:teamo</t>
  </si>
  <si>
    <t>?:jasmine</t>
  </si>
  <si>
    <t>?:brandon</t>
  </si>
  <si>
    <t>?:666666</t>
  </si>
  <si>
    <t>?:shadow</t>
  </si>
  <si>
    <t>?:melissa</t>
  </si>
  <si>
    <t>?:eminem</t>
  </si>
  <si>
    <t>?:matthew</t>
  </si>
  <si>
    <t>?:robert</t>
  </si>
  <si>
    <t>?:danielle</t>
  </si>
  <si>
    <t>?:forever</t>
  </si>
  <si>
    <t>?:family</t>
  </si>
  <si>
    <t>?:jonathan</t>
  </si>
  <si>
    <t>?:computer</t>
  </si>
  <si>
    <t>?:dragon</t>
  </si>
  <si>
    <t>?:cookie</t>
  </si>
  <si>
    <t>?:naruto</t>
  </si>
  <si>
    <t>?:summer</t>
  </si>
  <si>
    <t>?:sweety</t>
  </si>
  <si>
    <t>?:spongebob</t>
  </si>
  <si>
    <t>?:joseph</t>
  </si>
  <si>
    <t>?:junior</t>
  </si>
  <si>
    <t>?:softball</t>
  </si>
  <si>
    <t>?:taylor</t>
  </si>
  <si>
    <t>?:yellow</t>
  </si>
  <si>
    <t>?:daniela</t>
  </si>
  <si>
    <t>?:lauren</t>
  </si>
  <si>
    <t>?:mickey</t>
  </si>
  <si>
    <t>?:princesa</t>
  </si>
  <si>
    <t>?:alexandra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</si>
</sst>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4"/>
      <color rgb="FF222222"/>
      <name val="Arial"/>
      <family val="2"/>
      <charset val="1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theme="0"/>
      <name val="Aptos Narrow"/>
      <family val="2"/>
      <scheme val="minor"/>
    </font>
    <font>
      <sz val="11"/>
      <color theme="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7009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2" fillId="0" borderId="0" xfId="0" quotePrefix="1" applyNumberFormat="1" applyFont="1" applyAlignment="1">
      <alignment horizontal="left"/>
    </xf>
    <xf numFmtId="0" fontId="0" fillId="0" borderId="0" xfId="0" quotePrefix="1" applyAlignment="1">
      <alignment horizontal="left"/>
    </xf>
    <xf numFmtId="49" fontId="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3" fillId="0" borderId="0" xfId="0" quotePrefix="1" applyNumberFormat="1" applyFont="1" applyAlignment="1">
      <alignment horizontal="left"/>
    </xf>
    <xf numFmtId="49" fontId="0" fillId="0" borderId="0" xfId="0" quotePrefix="1" applyNumberFormat="1" applyAlignment="1">
      <alignment horizontal="left"/>
    </xf>
    <xf numFmtId="0" fontId="4" fillId="0" borderId="0" xfId="0" applyFont="1"/>
    <xf numFmtId="0" fontId="0" fillId="2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4" fillId="4" borderId="0" xfId="0" applyFont="1" applyFill="1"/>
    <xf numFmtId="11" fontId="4" fillId="0" borderId="0" xfId="0" applyNumberFormat="1" applyFont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4" fillId="5" borderId="0" xfId="0" applyFont="1" applyFill="1"/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/>
    <xf numFmtId="0" fontId="6" fillId="6" borderId="1" xfId="0" applyFont="1" applyFill="1" applyBorder="1" applyAlignment="1">
      <alignment horizontal="left"/>
    </xf>
    <xf numFmtId="0" fontId="5" fillId="8" borderId="0" xfId="0" applyFont="1" applyFill="1"/>
    <xf numFmtId="0" fontId="7" fillId="8" borderId="0" xfId="0" applyFont="1" applyFill="1"/>
    <xf numFmtId="0" fontId="0" fillId="9" borderId="0" xfId="0" applyFill="1"/>
    <xf numFmtId="11" fontId="0" fillId="9" borderId="0" xfId="0" applyNumberFormat="1" applyFill="1"/>
    <xf numFmtId="0" fontId="5" fillId="7" borderId="0" xfId="0" applyFont="1" applyFill="1"/>
    <xf numFmtId="0" fontId="0" fillId="10" borderId="4" xfId="0" applyFill="1" applyBorder="1"/>
    <xf numFmtId="2" fontId="0" fillId="10" borderId="4" xfId="0" applyNumberFormat="1" applyFill="1" applyBorder="1"/>
    <xf numFmtId="0" fontId="0" fillId="11" borderId="5" xfId="0" applyFill="1" applyBorder="1" applyAlignment="1">
      <alignment horizontal="right"/>
    </xf>
    <xf numFmtId="2" fontId="0" fillId="11" borderId="5" xfId="0" applyNumberFormat="1" applyFill="1" applyBorder="1" applyAlignment="1">
      <alignment horizontal="right"/>
    </xf>
    <xf numFmtId="0" fontId="8" fillId="6" borderId="1" xfId="0" applyFont="1" applyFill="1" applyBorder="1"/>
    <xf numFmtId="0" fontId="5" fillId="12" borderId="1" xfId="0" applyFont="1" applyFill="1" applyBorder="1"/>
    <xf numFmtId="0" fontId="8" fillId="6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8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49" fontId="0" fillId="5" borderId="0" xfId="0" applyNumberForma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0" fillId="13" borderId="0" xfId="0" applyFill="1"/>
    <xf numFmtId="0" fontId="5" fillId="14" borderId="0" xfId="0" applyFont="1" applyFill="1"/>
    <xf numFmtId="49" fontId="0" fillId="9" borderId="0" xfId="0" applyNumberFormat="1" applyFill="1" applyAlignment="1">
      <alignment horizontal="left"/>
    </xf>
    <xf numFmtId="49" fontId="2" fillId="9" borderId="0" xfId="0" quotePrefix="1" applyNumberFormat="1" applyFont="1" applyFill="1" applyAlignment="1">
      <alignment horizontal="left"/>
    </xf>
    <xf numFmtId="49" fontId="0" fillId="9" borderId="0" xfId="0" quotePrefix="1" applyNumberFormat="1" applyFill="1" applyAlignment="1">
      <alignment horizontal="left"/>
    </xf>
    <xf numFmtId="49" fontId="3" fillId="9" borderId="0" xfId="0" applyNumberFormat="1" applyFont="1" applyFill="1" applyAlignment="1">
      <alignment horizontal="left"/>
    </xf>
    <xf numFmtId="49" fontId="3" fillId="9" borderId="0" xfId="0" quotePrefix="1" applyNumberFormat="1" applyFont="1" applyFill="1" applyAlignment="1">
      <alignment horizontal="left"/>
    </xf>
    <xf numFmtId="11" fontId="0" fillId="0" borderId="0" xfId="0" applyNumberFormat="1"/>
    <xf numFmtId="49" fontId="0" fillId="0" borderId="0" xfId="0" applyNumberFormat="1"/>
    <xf numFmtId="9" fontId="0" fillId="0" borderId="0" xfId="0" applyNumberFormat="1"/>
    <xf numFmtId="0" fontId="10" fillId="0" borderId="0" xfId="0" applyFont="1"/>
    <xf numFmtId="49" fontId="0" fillId="5" borderId="0" xfId="0" applyNumberFormat="1" applyFill="1"/>
    <xf numFmtId="49" fontId="5" fillId="14" borderId="0" xfId="0" applyNumberFormat="1" applyFont="1" applyFill="1"/>
    <xf numFmtId="0" fontId="0" fillId="0" borderId="0" xfId="0" applyAlignment="1">
      <alignment wrapText="1"/>
    </xf>
    <xf numFmtId="49" fontId="0" fillId="4" borderId="0" xfId="0" applyNumberFormat="1" applyFill="1"/>
    <xf numFmtId="0" fontId="0" fillId="13" borderId="0" xfId="0" applyFill="1" applyAlignment="1">
      <alignment horizontal="center"/>
    </xf>
    <xf numFmtId="0" fontId="5" fillId="14" borderId="0" xfId="0" applyFont="1" applyFill="1" applyAlignment="1">
      <alignment horizontal="center"/>
    </xf>
    <xf numFmtId="0" fontId="0" fillId="5" borderId="6" xfId="0" applyFill="1" applyBorder="1"/>
    <xf numFmtId="0" fontId="11" fillId="5" borderId="6" xfId="0" applyFont="1" applyFill="1" applyBorder="1"/>
    <xf numFmtId="0" fontId="11" fillId="15" borderId="6" xfId="0" applyFont="1" applyFill="1" applyBorder="1"/>
    <xf numFmtId="0" fontId="0" fillId="15" borderId="6" xfId="0" applyFill="1" applyBorder="1"/>
    <xf numFmtId="0" fontId="12" fillId="14" borderId="6" xfId="0" applyFont="1" applyFill="1" applyBorder="1"/>
    <xf numFmtId="0" fontId="5" fillId="14" borderId="6" xfId="0" applyFont="1" applyFill="1" applyBorder="1"/>
    <xf numFmtId="0" fontId="10" fillId="5" borderId="6" xfId="0" applyFont="1" applyFill="1" applyBorder="1"/>
    <xf numFmtId="0" fontId="10" fillId="15" borderId="6" xfId="0" applyFont="1" applyFill="1" applyBorder="1"/>
    <xf numFmtId="0" fontId="8" fillId="14" borderId="6" xfId="0" applyFont="1" applyFill="1" applyBorder="1"/>
    <xf numFmtId="0" fontId="10" fillId="13" borderId="7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8" fillId="14" borderId="7" xfId="0" applyFont="1" applyFill="1" applyBorder="1" applyAlignment="1">
      <alignment horizontal="center"/>
    </xf>
    <xf numFmtId="0" fontId="0" fillId="13" borderId="7" xfId="0" applyFill="1" applyBorder="1"/>
    <xf numFmtId="0" fontId="0" fillId="0" borderId="8" xfId="0" applyBorder="1"/>
    <xf numFmtId="0" fontId="0" fillId="5" borderId="7" xfId="0" applyFill="1" applyBorder="1"/>
    <xf numFmtId="0" fontId="5" fillId="14" borderId="7" xfId="0" applyFont="1" applyFill="1" applyBorder="1"/>
    <xf numFmtId="11" fontId="0" fillId="0" borderId="8" xfId="0" applyNumberFormat="1" applyBorder="1"/>
    <xf numFmtId="9" fontId="0" fillId="0" borderId="8" xfId="0" applyNumberFormat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F9F"/>
      <color rgb="FF070094"/>
      <color rgb="FFC1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95250</xdr:rowOff>
    </xdr:from>
    <xdr:to>
      <xdr:col>3</xdr:col>
      <xdr:colOff>9525</xdr:colOff>
      <xdr:row>29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F00EA1-0172-5D4D-A161-42A5410E3FB1}"/>
            </a:ext>
          </a:extLst>
        </xdr:cNvPr>
        <xdr:cNvSpPr/>
      </xdr:nvSpPr>
      <xdr:spPr>
        <a:xfrm>
          <a:off x="0" y="4286250"/>
          <a:ext cx="2019300" cy="12668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Incremental mode on JTR</a:t>
          </a:r>
        </a:p>
        <a:p>
          <a:pPr marL="0" indent="0" algn="l"/>
          <a:r>
            <a:rPr lang="en-US" sz="9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Benchmarking: Raw-MD5 [MD5 256/256 AVX2 8x3]... DONE</a:t>
          </a:r>
        </a:p>
        <a:p>
          <a:pPr marL="0" indent="0" algn="l"/>
          <a:r>
            <a:rPr lang="en-US" sz="9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Raw:    79137K c/s real, 81574K c/s virtual</a:t>
          </a:r>
        </a:p>
        <a:p>
          <a:pPr marL="0" indent="0" algn="l"/>
          <a:endParaRPr lang="en-US" sz="9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9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(79,137,000 hash per second)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0672-9D35-457C-963A-5CBAC863ABF4}">
  <dimension ref="A1:AM1335"/>
  <sheetViews>
    <sheetView topLeftCell="M1" zoomScale="70" zoomScaleNormal="70" workbookViewId="0">
      <selection activeCell="U7" sqref="U7"/>
    </sheetView>
  </sheetViews>
  <sheetFormatPr defaultRowHeight="15" customHeight="1"/>
  <cols>
    <col min="1" max="1" width="9.85546875" style="3" customWidth="1"/>
    <col min="2" max="2" width="20.42578125" style="7" customWidth="1"/>
    <col min="3" max="3" width="16" customWidth="1"/>
    <col min="4" max="4" width="12.28515625" customWidth="1"/>
    <col min="5" max="5" width="17.5703125" customWidth="1"/>
    <col min="6" max="7" width="30.140625" customWidth="1"/>
    <col min="8" max="8" width="13.42578125" customWidth="1"/>
    <col min="9" max="9" width="16.140625" customWidth="1"/>
    <col min="10" max="10" width="21.5703125" customWidth="1"/>
    <col min="11" max="11" width="18.7109375" customWidth="1"/>
    <col min="12" max="12" width="8.42578125" customWidth="1"/>
    <col min="13" max="13" width="54.7109375" customWidth="1"/>
    <col min="14" max="14" width="27.42578125" customWidth="1"/>
    <col min="15" max="15" width="10.5703125" customWidth="1"/>
    <col min="16" max="17" width="4" customWidth="1"/>
    <col min="18" max="18" width="3.5703125" customWidth="1"/>
    <col min="19" max="19" width="3.42578125" customWidth="1"/>
    <col min="20" max="20" width="10.5703125" customWidth="1"/>
    <col min="21" max="21" width="23.7109375" customWidth="1"/>
    <col min="23" max="23" width="16.140625" customWidth="1"/>
    <col min="25" max="25" width="20.28515625" customWidth="1"/>
    <col min="26" max="26" width="19.7109375" customWidth="1"/>
    <col min="27" max="27" width="24.7109375" customWidth="1"/>
    <col min="28" max="28" width="27.28515625" customWidth="1"/>
    <col min="29" max="29" width="23.42578125" customWidth="1"/>
    <col min="30" max="30" width="19" customWidth="1"/>
    <col min="31" max="31" width="21.85546875" customWidth="1"/>
    <col min="32" max="32" width="22.5703125" customWidth="1"/>
    <col min="33" max="33" width="23.28515625" customWidth="1"/>
    <col min="34" max="34" width="25.28515625" customWidth="1"/>
    <col min="35" max="35" width="19" customWidth="1"/>
    <col min="36" max="36" width="25.42578125" customWidth="1"/>
    <col min="37" max="37" width="23.5703125" customWidth="1"/>
    <col min="38" max="38" width="26.5703125" customWidth="1"/>
    <col min="39" max="39" width="22.28515625" customWidth="1"/>
  </cols>
  <sheetData>
    <row r="1" spans="1:39" ht="15.6">
      <c r="A1" s="21" t="s">
        <v>0</v>
      </c>
      <c r="B1" s="45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M1" s="11" t="s">
        <v>10</v>
      </c>
      <c r="U1" s="22"/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</row>
    <row r="2" spans="1:39" ht="17.45">
      <c r="A2" s="3">
        <v>1</v>
      </c>
      <c r="B2" s="7" t="s">
        <v>28</v>
      </c>
      <c r="C2" t="s">
        <v>29</v>
      </c>
      <c r="D2">
        <f>LEN(B2)</f>
        <v>8</v>
      </c>
      <c r="E2">
        <f>IMLOG2(94) * D2</f>
        <v>52.436710813421122</v>
      </c>
      <c r="F2" s="10">
        <v>3</v>
      </c>
      <c r="G2" s="10">
        <f t="shared" ref="G2:G65" si="0">F2 * D2</f>
        <v>24</v>
      </c>
      <c r="H2" s="10">
        <v>2</v>
      </c>
      <c r="I2" s="20">
        <v>100000000</v>
      </c>
      <c r="J2" s="10">
        <v>8</v>
      </c>
      <c r="K2" s="10"/>
      <c r="L2" s="10" t="s">
        <v>30</v>
      </c>
      <c r="M2" s="12">
        <f>AVERAGE(H2:H303)</f>
        <v>3.6478405315614619</v>
      </c>
      <c r="P2" cm="1">
        <f t="array" ref="P2">IF(SUM(N(ISNUMBER(FIND({"a","b","c","d","e","f","g","h","i","j","k","l","m","n","o","p","q","r","s","t","u","v","w","x","y","z"}, B2))))&gt;0, 26, 0)</f>
        <v>26</v>
      </c>
      <c r="Q2" cm="1">
        <f t="array" ref="Q2">IF(SUM(N(ISNUMBER(FIND({"A","B","C","D","E","F","G","H","I","J","K","L","M","N","O","P","Q","R","S","T","U","V","W","X","Y","Z"}, B2))))&gt;0, 26, 0)</f>
        <v>26</v>
      </c>
      <c r="R2" cm="1">
        <f t="array" ref="R2">IF(SUM(N(ISNUMBER(FIND({0,1,2,3,4,5,6,7,8,9}, B2))))&gt;0, 10, 0)</f>
        <v>10</v>
      </c>
      <c r="S2" cm="1">
        <f t="array" ref="S2">IF(LEN(B2)&gt;SUMPRODUCT(LEN(B2)-LEN(SUBSTITUTE(B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" s="2" t="s">
        <v>31</v>
      </c>
      <c r="W2" s="1" t="s">
        <v>32</v>
      </c>
    </row>
    <row r="3" spans="1:39" ht="15.6">
      <c r="A3" s="3">
        <v>1</v>
      </c>
      <c r="B3" s="7" t="s">
        <v>33</v>
      </c>
      <c r="C3" t="s">
        <v>29</v>
      </c>
      <c r="D3">
        <f t="shared" ref="D3:D66" si="1">LEN(B3)</f>
        <v>10</v>
      </c>
      <c r="E3">
        <f t="shared" ref="E3:E66" si="2">IMLOG2(94) * D3</f>
        <v>65.545888516776401</v>
      </c>
      <c r="F3" s="10">
        <v>2.9219279999999999</v>
      </c>
      <c r="G3" s="10">
        <f t="shared" si="0"/>
        <v>29.219279999999998</v>
      </c>
      <c r="H3" s="10">
        <v>3</v>
      </c>
      <c r="I3" s="20">
        <v>10000000000</v>
      </c>
      <c r="J3" s="10">
        <v>10</v>
      </c>
      <c r="K3" s="10"/>
      <c r="L3" s="10" t="s">
        <v>34</v>
      </c>
      <c r="M3" s="13">
        <f>AVERAGE(H304:H603)</f>
        <v>0.13333333333333333</v>
      </c>
      <c r="P3" cm="1">
        <f t="array" ref="P3">IF(SUM(N(ISNUMBER(FIND({"a","b","c","d","e","f","g","h","i","j","k","l","m","n","o","p","q","r","s","t","u","v","w","x","y","z"}, B3))))&gt;0, 26, 0)</f>
        <v>26</v>
      </c>
      <c r="Q3" cm="1">
        <f t="array" ref="Q3">IF(SUM(N(ISNUMBER(FIND({"A","B","C","D","E","F","G","H","I","J","K","L","M","N","O","P","Q","R","S","T","U","V","W","X","Y","Z"}, B3))))&gt;0, 26, 0)</f>
        <v>0</v>
      </c>
      <c r="R3" cm="1">
        <f t="array" ref="R3">IF(SUM(N(ISNUMBER(FIND({0,1,2,3,4,5,6,7,8,9}, B3))))&gt;0, 10, 0)</f>
        <v>10</v>
      </c>
      <c r="S3" cm="1">
        <f t="array" ref="S3">IF(LEN(B3)&gt;SUMPRODUCT(LEN(B3)-LEN(SUBSTITUTE(B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" s="2" t="s">
        <v>35</v>
      </c>
    </row>
    <row r="4" spans="1:39" ht="15.6">
      <c r="A4" s="3">
        <v>1</v>
      </c>
      <c r="B4" s="7" t="s">
        <v>36</v>
      </c>
      <c r="C4" t="s">
        <v>29</v>
      </c>
      <c r="D4">
        <f t="shared" si="1"/>
        <v>16</v>
      </c>
      <c r="E4">
        <f t="shared" si="2"/>
        <v>104.87342162684224</v>
      </c>
      <c r="F4" s="10">
        <v>3.57782</v>
      </c>
      <c r="G4" s="10">
        <f t="shared" si="0"/>
        <v>57.24512</v>
      </c>
      <c r="H4" s="10">
        <v>4</v>
      </c>
      <c r="I4" s="20">
        <v>1E+16</v>
      </c>
      <c r="J4" s="10">
        <v>16</v>
      </c>
      <c r="K4" s="10"/>
      <c r="L4" s="10"/>
      <c r="M4" s="2"/>
      <c r="P4" cm="1">
        <f t="array" ref="P4">IF(SUM(N(ISNUMBER(FIND({"a","b","c","d","e","f","g","h","i","j","k","l","m","n","o","p","q","r","s","t","u","v","w","x","y","z"}, B4))))&gt;0, 26, 0)</f>
        <v>26</v>
      </c>
      <c r="Q4" cm="1">
        <f t="array" ref="Q4">IF(SUM(N(ISNUMBER(FIND({"A","B","C","D","E","F","G","H","I","J","K","L","M","N","O","P","Q","R","S","T","U","V","W","X","Y","Z"}, B4))))&gt;0, 26, 0)</f>
        <v>0</v>
      </c>
      <c r="R4" cm="1">
        <f t="array" ref="R4">IF(SUM(N(ISNUMBER(FIND({0,1,2,3,4,5,6,7,8,9}, B4))))&gt;0, 10, 0)</f>
        <v>10</v>
      </c>
      <c r="S4" cm="1">
        <f t="array" ref="S4">IF(LEN(B4)&gt;SUMPRODUCT(LEN(B4)-LEN(SUBSTITUTE(B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" s="2" t="s">
        <v>37</v>
      </c>
      <c r="Y4" t="s">
        <v>31</v>
      </c>
      <c r="Z4" t="s">
        <v>38</v>
      </c>
      <c r="AA4" t="s">
        <v>39</v>
      </c>
      <c r="AB4" t="s">
        <v>40</v>
      </c>
      <c r="AC4" t="s">
        <v>41</v>
      </c>
      <c r="AD4" t="s">
        <v>42</v>
      </c>
      <c r="AE4" t="s">
        <v>43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</row>
    <row r="5" spans="1:39" ht="15.6">
      <c r="A5" s="3">
        <v>1</v>
      </c>
      <c r="B5" s="4" t="s">
        <v>52</v>
      </c>
      <c r="C5" t="s">
        <v>29</v>
      </c>
      <c r="D5">
        <f t="shared" si="1"/>
        <v>20</v>
      </c>
      <c r="E5">
        <f t="shared" si="2"/>
        <v>131.0917770335528</v>
      </c>
      <c r="F5" s="10">
        <v>3.646439</v>
      </c>
      <c r="G5" s="10">
        <f t="shared" si="0"/>
        <v>72.928780000000003</v>
      </c>
      <c r="H5" s="10">
        <v>4</v>
      </c>
      <c r="I5" s="20">
        <v>1E+20</v>
      </c>
      <c r="J5" s="10">
        <v>20</v>
      </c>
      <c r="K5" s="10"/>
      <c r="L5" s="10"/>
      <c r="M5" s="11" t="s">
        <v>53</v>
      </c>
      <c r="P5" cm="1">
        <f t="array" ref="P5">IF(SUM(N(ISNUMBER(FIND({"a","b","c","d","e","f","g","h","i","j","k","l","m","n","o","p","q","r","s","t","u","v","w","x","y","z"}, B5))))&gt;0, 26, 0)</f>
        <v>26</v>
      </c>
      <c r="Q5" cm="1">
        <f t="array" ref="Q5">IF(SUM(N(ISNUMBER(FIND({"A","B","C","D","E","F","G","H","I","J","K","L","M","N","O","P","Q","R","S","T","U","V","W","X","Y","Z"}, B5))))&gt;0, 26, 0)</f>
        <v>0</v>
      </c>
      <c r="R5" cm="1">
        <f t="array" ref="R5">IF(SUM(N(ISNUMBER(FIND({0,1,2,3,4,5,6,7,8,9}, B5))))&gt;0, 10, 0)</f>
        <v>0</v>
      </c>
      <c r="S5" cm="1">
        <f t="array" ref="S5">IF(LEN(B5)&gt;SUMPRODUCT(LEN(B5)-LEN(SUBSTITUTE(B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" s="4" t="s">
        <v>54</v>
      </c>
      <c r="Y5" t="s">
        <v>35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</row>
    <row r="6" spans="1:39" ht="15.6">
      <c r="A6" s="3">
        <v>1</v>
      </c>
      <c r="B6" s="7" t="s">
        <v>69</v>
      </c>
      <c r="C6" t="s">
        <v>29</v>
      </c>
      <c r="D6">
        <f t="shared" si="1"/>
        <v>15</v>
      </c>
      <c r="E6">
        <f t="shared" si="2"/>
        <v>98.318832775164609</v>
      </c>
      <c r="F6" s="10">
        <v>3.6402239999999999</v>
      </c>
      <c r="G6" s="10">
        <f t="shared" si="0"/>
        <v>54.603359999999995</v>
      </c>
      <c r="H6" s="10">
        <v>4</v>
      </c>
      <c r="I6" s="20">
        <v>1000000000000000</v>
      </c>
      <c r="J6" s="10">
        <v>15</v>
      </c>
      <c r="K6" s="10"/>
      <c r="L6" s="10" t="s">
        <v>30</v>
      </c>
      <c r="M6" s="12">
        <f>AVERAGE(E2:E303)</f>
        <v>79.71855911328484</v>
      </c>
      <c r="P6" cm="1">
        <f t="array" ref="P6">IF(SUM(N(ISNUMBER(FIND({"a","b","c","d","e","f","g","h","i","j","k","l","m","n","o","p","q","r","s","t","u","v","w","x","y","z"}, B6))))&gt;0, 26, 0)</f>
        <v>26</v>
      </c>
      <c r="Q6" cm="1">
        <f t="array" ref="Q6">IF(SUM(N(ISNUMBER(FIND({"A","B","C","D","E","F","G","H","I","J","K","L","M","N","O","P","Q","R","S","T","U","V","W","X","Y","Z"}, B6))))&gt;0, 26, 0)</f>
        <v>0</v>
      </c>
      <c r="R6" cm="1">
        <f t="array" ref="R6">IF(SUM(N(ISNUMBER(FIND({0,1,2,3,4,5,6,7,8,9}, B6))))&gt;0, 10, 0)</f>
        <v>10</v>
      </c>
      <c r="S6" cm="1">
        <f t="array" ref="S6">IF(LEN(B6)&gt;SUMPRODUCT(LEN(B6)-LEN(SUBSTITUTE(B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" s="2" t="s">
        <v>70</v>
      </c>
      <c r="Y6" t="s">
        <v>37</v>
      </c>
      <c r="Z6" t="s">
        <v>71</v>
      </c>
      <c r="AA6" t="s">
        <v>72</v>
      </c>
      <c r="AB6" t="s">
        <v>73</v>
      </c>
      <c r="AC6" t="s">
        <v>74</v>
      </c>
      <c r="AD6" t="s">
        <v>75</v>
      </c>
      <c r="AE6" t="s">
        <v>76</v>
      </c>
      <c r="AF6" t="s">
        <v>77</v>
      </c>
      <c r="AG6" t="s">
        <v>78</v>
      </c>
      <c r="AH6" t="s">
        <v>79</v>
      </c>
      <c r="AI6" t="s">
        <v>80</v>
      </c>
      <c r="AJ6" t="s">
        <v>81</v>
      </c>
      <c r="AK6" t="s">
        <v>82</v>
      </c>
      <c r="AL6" t="s">
        <v>83</v>
      </c>
      <c r="AM6" t="s">
        <v>84</v>
      </c>
    </row>
    <row r="7" spans="1:39" ht="15.6">
      <c r="A7" s="3">
        <v>1</v>
      </c>
      <c r="B7" s="7" t="s">
        <v>85</v>
      </c>
      <c r="C7" t="s">
        <v>29</v>
      </c>
      <c r="D7">
        <f t="shared" si="1"/>
        <v>17</v>
      </c>
      <c r="E7">
        <f>IMLOG2(94) * D7</f>
        <v>111.42801047851988</v>
      </c>
      <c r="F7" s="10">
        <v>3.499228</v>
      </c>
      <c r="G7" s="10">
        <f t="shared" si="0"/>
        <v>59.486876000000002</v>
      </c>
      <c r="H7" s="10">
        <v>4</v>
      </c>
      <c r="I7" s="20">
        <v>1E+17</v>
      </c>
      <c r="J7" s="10">
        <v>17</v>
      </c>
      <c r="K7" s="10"/>
      <c r="L7" s="10" t="s">
        <v>34</v>
      </c>
      <c r="M7" s="13">
        <f>AVERAGE(E304:E603)</f>
        <v>44.636750079924923</v>
      </c>
      <c r="P7" cm="1">
        <f t="array" ref="P7">IF(SUM(N(ISNUMBER(FIND({"a","b","c","d","e","f","g","h","i","j","k","l","m","n","o","p","q","r","s","t","u","v","w","x","y","z"}, B7))))&gt;0, 26, 0)</f>
        <v>26</v>
      </c>
      <c r="Q7" cm="1">
        <f t="array" ref="Q7">IF(SUM(N(ISNUMBER(FIND({"A","B","C","D","E","F","G","H","I","J","K","L","M","N","O","P","Q","R","S","T","U","V","W","X","Y","Z"}, B7))))&gt;0, 26, 0)</f>
        <v>0</v>
      </c>
      <c r="R7" cm="1">
        <f t="array" ref="R7">IF(SUM(N(ISNUMBER(FIND({0,1,2,3,4,5,6,7,8,9}, B7))))&gt;0, 10, 0)</f>
        <v>10</v>
      </c>
      <c r="S7" cm="1">
        <f t="array" ref="S7">IF(LEN(B7)&gt;SUMPRODUCT(LEN(B7)-LEN(SUBSTITUTE(B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" s="2" t="s">
        <v>86</v>
      </c>
      <c r="Y7" t="s">
        <v>54</v>
      </c>
      <c r="Z7" t="s">
        <v>87</v>
      </c>
      <c r="AA7" t="s">
        <v>88</v>
      </c>
      <c r="AB7" t="s">
        <v>89</v>
      </c>
      <c r="AC7" t="s">
        <v>90</v>
      </c>
      <c r="AD7" t="s">
        <v>91</v>
      </c>
      <c r="AE7" t="s">
        <v>92</v>
      </c>
      <c r="AF7" t="s">
        <v>93</v>
      </c>
      <c r="AG7" t="s">
        <v>94</v>
      </c>
      <c r="AH7" t="s">
        <v>95</v>
      </c>
      <c r="AI7" t="s">
        <v>96</v>
      </c>
      <c r="AJ7" t="s">
        <v>97</v>
      </c>
      <c r="AK7" t="s">
        <v>98</v>
      </c>
      <c r="AL7" t="s">
        <v>99</v>
      </c>
      <c r="AM7" t="s">
        <v>100</v>
      </c>
    </row>
    <row r="8" spans="1:39" ht="15.6">
      <c r="A8" s="3">
        <v>1</v>
      </c>
      <c r="B8" s="7" t="s">
        <v>101</v>
      </c>
      <c r="C8" t="s">
        <v>29</v>
      </c>
      <c r="D8">
        <f t="shared" si="1"/>
        <v>13</v>
      </c>
      <c r="E8">
        <f t="shared" si="2"/>
        <v>85.209655071809323</v>
      </c>
      <c r="F8" s="10">
        <v>3.392747</v>
      </c>
      <c r="G8" s="10">
        <f t="shared" si="0"/>
        <v>44.105710999999999</v>
      </c>
      <c r="H8" s="10">
        <v>4</v>
      </c>
      <c r="I8" s="20">
        <v>10000000000000</v>
      </c>
      <c r="J8" s="10">
        <v>13</v>
      </c>
      <c r="K8" s="10"/>
      <c r="L8" s="10"/>
      <c r="M8" s="2"/>
      <c r="P8" cm="1">
        <f t="array" ref="P8">IF(SUM(N(ISNUMBER(FIND({"a","b","c","d","e","f","g","h","i","j","k","l","m","n","o","p","q","r","s","t","u","v","w","x","y","z"}, B8))))&gt;0, 26, 0)</f>
        <v>26</v>
      </c>
      <c r="Q8" cm="1">
        <f t="array" ref="Q8">IF(SUM(N(ISNUMBER(FIND({"A","B","C","D","E","F","G","H","I","J","K","L","M","N","O","P","Q","R","S","T","U","V","W","X","Y","Z"}, B8))))&gt;0, 26, 0)</f>
        <v>0</v>
      </c>
      <c r="R8" cm="1">
        <f t="array" ref="R8">IF(SUM(N(ISNUMBER(FIND({0,1,2,3,4,5,6,7,8,9}, B8))))&gt;0, 10, 0)</f>
        <v>10</v>
      </c>
      <c r="S8" cm="1">
        <f t="array" ref="S8">IF(LEN(B8)&gt;SUMPRODUCT(LEN(B8)-LEN(SUBSTITUTE(B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" s="2" t="s">
        <v>102</v>
      </c>
      <c r="Y8" t="s">
        <v>70</v>
      </c>
      <c r="Z8" t="s">
        <v>103</v>
      </c>
      <c r="AA8" t="s">
        <v>104</v>
      </c>
      <c r="AB8" t="s">
        <v>105</v>
      </c>
      <c r="AC8" t="s">
        <v>106</v>
      </c>
      <c r="AD8" t="s">
        <v>107</v>
      </c>
      <c r="AE8" t="s">
        <v>108</v>
      </c>
      <c r="AF8" t="s">
        <v>109</v>
      </c>
      <c r="AG8" t="s">
        <v>110</v>
      </c>
      <c r="AH8" t="s">
        <v>111</v>
      </c>
      <c r="AI8" t="s">
        <v>112</v>
      </c>
      <c r="AJ8" t="s">
        <v>113</v>
      </c>
      <c r="AK8" t="s">
        <v>114</v>
      </c>
      <c r="AL8" t="s">
        <v>115</v>
      </c>
      <c r="AM8" t="s">
        <v>116</v>
      </c>
    </row>
    <row r="9" spans="1:39" ht="15.6">
      <c r="A9" s="3">
        <v>1</v>
      </c>
      <c r="B9" s="9" t="s">
        <v>117</v>
      </c>
      <c r="C9" t="s">
        <v>29</v>
      </c>
      <c r="D9">
        <f t="shared" si="1"/>
        <v>12</v>
      </c>
      <c r="E9">
        <f t="shared" si="2"/>
        <v>78.655066220131687</v>
      </c>
      <c r="F9" s="10">
        <v>3.0849630000000001</v>
      </c>
      <c r="G9" s="10">
        <f t="shared" si="0"/>
        <v>37.019556000000001</v>
      </c>
      <c r="H9" s="10">
        <v>4</v>
      </c>
      <c r="I9" s="20">
        <v>1000000000000</v>
      </c>
      <c r="J9" s="10">
        <v>12</v>
      </c>
      <c r="K9" s="10"/>
      <c r="L9" s="10"/>
      <c r="M9" s="14" t="s">
        <v>118</v>
      </c>
      <c r="P9" cm="1">
        <f t="array" ref="P9">IF(SUM(N(ISNUMBER(FIND({"a","b","c","d","e","f","g","h","i","j","k","l","m","n","o","p","q","r","s","t","u","v","w","x","y","z"}, B9))))&gt;0, 26, 0)</f>
        <v>26</v>
      </c>
      <c r="Q9" cm="1">
        <f t="array" ref="Q9">IF(SUM(N(ISNUMBER(FIND({"A","B","C","D","E","F","G","H","I","J","K","L","M","N","O","P","Q","R","S","T","U","V","W","X","Y","Z"}, B9))))&gt;0, 26, 0)</f>
        <v>0</v>
      </c>
      <c r="R9" cm="1">
        <f t="array" ref="R9">IF(SUM(N(ISNUMBER(FIND({0,1,2,3,4,5,6,7,8,9}, B9))))&gt;0, 10, 0)</f>
        <v>10</v>
      </c>
      <c r="S9" cm="1">
        <f t="array" ref="S9">IF(LEN(B9)&gt;SUMPRODUCT(LEN(B9)-LEN(SUBSTITUTE(B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9" s="5" t="s">
        <v>119</v>
      </c>
      <c r="Y9" t="s">
        <v>86</v>
      </c>
      <c r="Z9" t="s">
        <v>120</v>
      </c>
      <c r="AA9" t="s">
        <v>121</v>
      </c>
      <c r="AB9" t="s">
        <v>122</v>
      </c>
      <c r="AC9" t="s">
        <v>123</v>
      </c>
      <c r="AD9" t="s">
        <v>124</v>
      </c>
      <c r="AE9" t="s">
        <v>125</v>
      </c>
      <c r="AF9" t="s">
        <v>126</v>
      </c>
      <c r="AG9" t="s">
        <v>127</v>
      </c>
      <c r="AH9" t="s">
        <v>128</v>
      </c>
      <c r="AI9" t="s">
        <v>129</v>
      </c>
      <c r="AJ9" t="s">
        <v>130</v>
      </c>
      <c r="AK9" t="s">
        <v>131</v>
      </c>
      <c r="AL9" t="s">
        <v>132</v>
      </c>
      <c r="AM9" t="s">
        <v>133</v>
      </c>
    </row>
    <row r="10" spans="1:39" ht="15.6">
      <c r="A10" s="3">
        <v>1</v>
      </c>
      <c r="B10" s="7" t="s">
        <v>134</v>
      </c>
      <c r="C10" t="s">
        <v>29</v>
      </c>
      <c r="D10">
        <f t="shared" si="1"/>
        <v>13</v>
      </c>
      <c r="E10">
        <f t="shared" si="2"/>
        <v>85.209655071809323</v>
      </c>
      <c r="F10" s="10">
        <v>3.5465939999999998</v>
      </c>
      <c r="G10" s="10">
        <f t="shared" si="0"/>
        <v>46.105722</v>
      </c>
      <c r="H10" s="10">
        <v>4</v>
      </c>
      <c r="I10" s="20">
        <v>10000000000000</v>
      </c>
      <c r="J10" s="10">
        <v>13</v>
      </c>
      <c r="K10" s="10"/>
      <c r="L10" s="10" t="s">
        <v>30</v>
      </c>
      <c r="M10" s="15">
        <f>AVERAGE(F2:F303)</f>
        <v>3.236553559602648</v>
      </c>
      <c r="P10" cm="1">
        <f t="array" ref="P10">IF(SUM(N(ISNUMBER(FIND({"a","b","c","d","e","f","g","h","i","j","k","l","m","n","o","p","q","r","s","t","u","v","w","x","y","z"}, B10))))&gt;0, 26, 0)</f>
        <v>26</v>
      </c>
      <c r="Q10" cm="1">
        <f t="array" ref="Q10">IF(SUM(N(ISNUMBER(FIND({"A","B","C","D","E","F","G","H","I","J","K","L","M","N","O","P","Q","R","S","T","U","V","W","X","Y","Z"}, B10))))&gt;0, 26, 0)</f>
        <v>0</v>
      </c>
      <c r="R10" cm="1">
        <f t="array" ref="R10">IF(SUM(N(ISNUMBER(FIND({0,1,2,3,4,5,6,7,8,9}, B10))))&gt;0, 10, 0)</f>
        <v>0</v>
      </c>
      <c r="S10" cm="1">
        <f t="array" ref="S10">IF(LEN(B10)&gt;SUMPRODUCT(LEN(B10)-LEN(SUBSTITUTE(B10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" s="2" t="s">
        <v>135</v>
      </c>
      <c r="Y10" t="s">
        <v>102</v>
      </c>
      <c r="Z10" t="s">
        <v>136</v>
      </c>
      <c r="AA10" t="s">
        <v>137</v>
      </c>
      <c r="AB10" t="s">
        <v>138</v>
      </c>
      <c r="AC10" t="s">
        <v>139</v>
      </c>
      <c r="AD10" t="s">
        <v>140</v>
      </c>
      <c r="AE10" t="s">
        <v>141</v>
      </c>
      <c r="AF10" t="s">
        <v>142</v>
      </c>
      <c r="AG10" t="s">
        <v>143</v>
      </c>
      <c r="AH10" t="s">
        <v>144</v>
      </c>
      <c r="AI10" t="s">
        <v>145</v>
      </c>
      <c r="AJ10" t="s">
        <v>146</v>
      </c>
      <c r="AK10" t="s">
        <v>147</v>
      </c>
      <c r="AL10" t="s">
        <v>148</v>
      </c>
      <c r="AM10" t="s">
        <v>149</v>
      </c>
    </row>
    <row r="11" spans="1:39" ht="15.6">
      <c r="A11" s="3">
        <v>1</v>
      </c>
      <c r="B11" s="7" t="s">
        <v>150</v>
      </c>
      <c r="C11" t="s">
        <v>29</v>
      </c>
      <c r="D11">
        <f t="shared" si="1"/>
        <v>13</v>
      </c>
      <c r="E11">
        <f t="shared" si="2"/>
        <v>85.209655071809323</v>
      </c>
      <c r="F11" s="10">
        <v>3.0850550000000001</v>
      </c>
      <c r="G11" s="10">
        <f t="shared" si="0"/>
        <v>40.105715000000004</v>
      </c>
      <c r="H11" s="10">
        <v>4</v>
      </c>
      <c r="I11" s="20">
        <v>10000000000000</v>
      </c>
      <c r="J11" s="10">
        <v>13</v>
      </c>
      <c r="K11" s="10"/>
      <c r="L11" s="10" t="s">
        <v>34</v>
      </c>
      <c r="M11" s="13">
        <f>AVERAGE(F304:F603)</f>
        <v>2.4230276033333347</v>
      </c>
      <c r="P11" cm="1">
        <f t="array" ref="P11">IF(SUM(N(ISNUMBER(FIND({"a","b","c","d","e","f","g","h","i","j","k","l","m","n","o","p","q","r","s","t","u","v","w","x","y","z"}, B11))))&gt;0, 26, 0)</f>
        <v>26</v>
      </c>
      <c r="Q11" cm="1">
        <f t="array" ref="Q11">IF(SUM(N(ISNUMBER(FIND({"A","B","C","D","E","F","G","H","I","J","K","L","M","N","O","P","Q","R","S","T","U","V","W","X","Y","Z"}, B11))))&gt;0, 26, 0)</f>
        <v>0</v>
      </c>
      <c r="R11" cm="1">
        <f t="array" ref="R11">IF(SUM(N(ISNUMBER(FIND({0,1,2,3,4,5,6,7,8,9}, B11))))&gt;0, 10, 0)</f>
        <v>10</v>
      </c>
      <c r="S11" cm="1">
        <f t="array" ref="S11">IF(LEN(B11)&gt;SUMPRODUCT(LEN(B11)-LEN(SUBSTITUTE(B11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" s="2" t="s">
        <v>151</v>
      </c>
      <c r="Y11" t="s">
        <v>119</v>
      </c>
      <c r="Z11" t="s">
        <v>152</v>
      </c>
      <c r="AA11" t="s">
        <v>153</v>
      </c>
      <c r="AB11" t="s">
        <v>154</v>
      </c>
      <c r="AC11" t="s">
        <v>155</v>
      </c>
      <c r="AD11" t="s">
        <v>156</v>
      </c>
      <c r="AE11" t="s">
        <v>157</v>
      </c>
      <c r="AF11" t="s">
        <v>158</v>
      </c>
      <c r="AG11" t="s">
        <v>159</v>
      </c>
      <c r="AH11" t="s">
        <v>160</v>
      </c>
      <c r="AI11" t="s">
        <v>161</v>
      </c>
      <c r="AJ11" t="s">
        <v>162</v>
      </c>
      <c r="AK11" t="s">
        <v>163</v>
      </c>
      <c r="AL11" t="s">
        <v>164</v>
      </c>
      <c r="AM11" t="s">
        <v>165</v>
      </c>
    </row>
    <row r="12" spans="1:39" ht="15.6">
      <c r="A12" s="3">
        <v>1</v>
      </c>
      <c r="B12" s="7" t="s">
        <v>166</v>
      </c>
      <c r="C12" t="s">
        <v>29</v>
      </c>
      <c r="D12">
        <f t="shared" si="1"/>
        <v>9</v>
      </c>
      <c r="E12">
        <f t="shared" si="2"/>
        <v>58.991299665098765</v>
      </c>
      <c r="F12" s="10">
        <v>2.4193820000000001</v>
      </c>
      <c r="G12" s="10">
        <f t="shared" si="0"/>
        <v>21.774438</v>
      </c>
      <c r="H12" s="10">
        <v>3</v>
      </c>
      <c r="I12" s="20">
        <v>1000000000</v>
      </c>
      <c r="J12" s="10">
        <v>9</v>
      </c>
      <c r="K12" s="10"/>
      <c r="L12" s="10"/>
      <c r="M12" s="2"/>
      <c r="P12" cm="1">
        <f t="array" ref="P12">IF(SUM(N(ISNUMBER(FIND({"a","b","c","d","e","f","g","h","i","j","k","l","m","n","o","p","q","r","s","t","u","v","w","x","y","z"}, B12))))&gt;0, 26, 0)</f>
        <v>26</v>
      </c>
      <c r="Q12" cm="1">
        <f t="array" ref="Q12">IF(SUM(N(ISNUMBER(FIND({"A","B","C","D","E","F","G","H","I","J","K","L","M","N","O","P","Q","R","S","T","U","V","W","X","Y","Z"}, B12))))&gt;0, 26, 0)</f>
        <v>0</v>
      </c>
      <c r="R12" cm="1">
        <f t="array" ref="R12">IF(SUM(N(ISNUMBER(FIND({0,1,2,3,4,5,6,7,8,9}, B12))))&gt;0, 10, 0)</f>
        <v>0</v>
      </c>
      <c r="S12" cm="1">
        <f t="array" ref="S12">IF(LEN(B12)&gt;SUMPRODUCT(LEN(B12)-LEN(SUBSTITUTE(B12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2" s="2" t="s">
        <v>167</v>
      </c>
      <c r="Y12" t="s">
        <v>135</v>
      </c>
      <c r="Z12" t="s">
        <v>168</v>
      </c>
      <c r="AA12" t="s">
        <v>169</v>
      </c>
      <c r="AB12" t="s">
        <v>170</v>
      </c>
      <c r="AC12" t="s">
        <v>171</v>
      </c>
      <c r="AD12" t="s">
        <v>172</v>
      </c>
      <c r="AE12" t="s">
        <v>173</v>
      </c>
      <c r="AF12" t="s">
        <v>174</v>
      </c>
      <c r="AG12" t="s">
        <v>175</v>
      </c>
      <c r="AH12" t="s">
        <v>176</v>
      </c>
      <c r="AI12" t="s">
        <v>177</v>
      </c>
      <c r="AJ12" t="s">
        <v>178</v>
      </c>
      <c r="AK12" t="s">
        <v>179</v>
      </c>
      <c r="AL12" t="s">
        <v>180</v>
      </c>
      <c r="AM12" t="s">
        <v>181</v>
      </c>
    </row>
    <row r="13" spans="1:39" ht="15.6">
      <c r="A13" s="3">
        <v>1</v>
      </c>
      <c r="B13" s="7" t="s">
        <v>182</v>
      </c>
      <c r="C13" t="s">
        <v>29</v>
      </c>
      <c r="D13">
        <f t="shared" si="1"/>
        <v>13</v>
      </c>
      <c r="E13">
        <f t="shared" si="2"/>
        <v>85.209655071809323</v>
      </c>
      <c r="F13" s="10">
        <v>3.0850550000000001</v>
      </c>
      <c r="G13" s="10">
        <f t="shared" si="0"/>
        <v>40.105715000000004</v>
      </c>
      <c r="H13" s="10">
        <v>4</v>
      </c>
      <c r="I13" s="20">
        <v>10000000000000</v>
      </c>
      <c r="J13" s="10">
        <v>13</v>
      </c>
      <c r="K13" s="10"/>
      <c r="L13" s="10"/>
      <c r="M13" s="14" t="s">
        <v>183</v>
      </c>
      <c r="P13" cm="1">
        <f t="array" ref="P13">IF(SUM(N(ISNUMBER(FIND({"a","b","c","d","e","f","g","h","i","j","k","l","m","n","o","p","q","r","s","t","u","v","w","x","y","z"}, B13))))&gt;0, 26, 0)</f>
        <v>26</v>
      </c>
      <c r="Q13" cm="1">
        <f t="array" ref="Q13">IF(SUM(N(ISNUMBER(FIND({"A","B","C","D","E","F","G","H","I","J","K","L","M","N","O","P","Q","R","S","T","U","V","W","X","Y","Z"}, B13))))&gt;0, 26, 0)</f>
        <v>0</v>
      </c>
      <c r="R13" cm="1">
        <f t="array" ref="R13">IF(SUM(N(ISNUMBER(FIND({0,1,2,3,4,5,6,7,8,9}, B13))))&gt;0, 10, 0)</f>
        <v>0</v>
      </c>
      <c r="S13" cm="1">
        <f t="array" ref="S13">IF(LEN(B13)&gt;SUMPRODUCT(LEN(B13)-LEN(SUBSTITUTE(B13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" s="2" t="s">
        <v>184</v>
      </c>
      <c r="Y13" t="s">
        <v>151</v>
      </c>
      <c r="Z13" t="s">
        <v>185</v>
      </c>
      <c r="AA13" t="s">
        <v>186</v>
      </c>
      <c r="AB13" t="s">
        <v>187</v>
      </c>
      <c r="AC13" t="s">
        <v>188</v>
      </c>
      <c r="AD13" t="s">
        <v>189</v>
      </c>
      <c r="AE13" t="s">
        <v>190</v>
      </c>
      <c r="AF13" t="s">
        <v>191</v>
      </c>
      <c r="AG13" t="s">
        <v>192</v>
      </c>
      <c r="AH13" t="s">
        <v>193</v>
      </c>
      <c r="AI13" t="s">
        <v>194</v>
      </c>
      <c r="AJ13" t="s">
        <v>195</v>
      </c>
      <c r="AK13" t="s">
        <v>196</v>
      </c>
      <c r="AL13" t="s">
        <v>197</v>
      </c>
      <c r="AM13" t="s">
        <v>198</v>
      </c>
    </row>
    <row r="14" spans="1:39" ht="15.6">
      <c r="A14" s="3">
        <v>1</v>
      </c>
      <c r="B14" s="7" t="s">
        <v>199</v>
      </c>
      <c r="C14" t="s">
        <v>29</v>
      </c>
      <c r="D14">
        <f t="shared" si="1"/>
        <v>15</v>
      </c>
      <c r="E14">
        <f t="shared" si="2"/>
        <v>98.318832775164609</v>
      </c>
      <c r="F14" s="10">
        <v>3.6402239999999999</v>
      </c>
      <c r="G14" s="10">
        <f t="shared" si="0"/>
        <v>54.603359999999995</v>
      </c>
      <c r="H14" s="10">
        <v>4</v>
      </c>
      <c r="I14" s="20">
        <v>1000000000000000</v>
      </c>
      <c r="J14" s="10">
        <v>15</v>
      </c>
      <c r="K14" s="10"/>
      <c r="L14" s="10" t="s">
        <v>30</v>
      </c>
      <c r="M14" s="15">
        <f>AVERAGE(G2:G303)</f>
        <v>39.971044701986749</v>
      </c>
      <c r="P14" cm="1">
        <f t="array" ref="P14">IF(SUM(N(ISNUMBER(FIND({"a","b","c","d","e","f","g","h","i","j","k","l","m","n","o","p","q","r","s","t","u","v","w","x","y","z"}, B14))))&gt;0, 26, 0)</f>
        <v>26</v>
      </c>
      <c r="Q14" cm="1">
        <f t="array" ref="Q14">IF(SUM(N(ISNUMBER(FIND({"A","B","C","D","E","F","G","H","I","J","K","L","M","N","O","P","Q","R","S","T","U","V","W","X","Y","Z"}, B14))))&gt;0, 26, 0)</f>
        <v>0</v>
      </c>
      <c r="R14" cm="1">
        <f t="array" ref="R14">IF(SUM(N(ISNUMBER(FIND({0,1,2,3,4,5,6,7,8,9}, B14))))&gt;0, 10, 0)</f>
        <v>0</v>
      </c>
      <c r="S14" cm="1">
        <f t="array" ref="S14">IF(LEN(B14)&gt;SUMPRODUCT(LEN(B14)-LEN(SUBSTITUTE(B14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" s="2" t="s">
        <v>200</v>
      </c>
      <c r="Y14" t="s">
        <v>167</v>
      </c>
      <c r="Z14" t="s">
        <v>201</v>
      </c>
      <c r="AA14" t="s">
        <v>202</v>
      </c>
      <c r="AB14" t="s">
        <v>203</v>
      </c>
      <c r="AC14" t="s">
        <v>204</v>
      </c>
      <c r="AD14" t="s">
        <v>205</v>
      </c>
      <c r="AE14" t="s">
        <v>206</v>
      </c>
      <c r="AF14" t="s">
        <v>207</v>
      </c>
      <c r="AG14" t="s">
        <v>208</v>
      </c>
      <c r="AH14" t="s">
        <v>209</v>
      </c>
      <c r="AI14" t="s">
        <v>210</v>
      </c>
      <c r="AJ14" t="s">
        <v>211</v>
      </c>
      <c r="AK14" t="s">
        <v>212</v>
      </c>
      <c r="AL14" t="s">
        <v>213</v>
      </c>
      <c r="AM14" t="s">
        <v>214</v>
      </c>
    </row>
    <row r="15" spans="1:39" ht="15.6">
      <c r="A15" s="3">
        <v>1</v>
      </c>
      <c r="B15" s="7" t="s">
        <v>215</v>
      </c>
      <c r="C15" t="s">
        <v>29</v>
      </c>
      <c r="D15">
        <f t="shared" si="1"/>
        <v>15</v>
      </c>
      <c r="E15">
        <f t="shared" si="2"/>
        <v>98.318832775164609</v>
      </c>
      <c r="F15" s="10">
        <v>3.3232309999999998</v>
      </c>
      <c r="G15" s="10">
        <f t="shared" si="0"/>
        <v>49.848464999999997</v>
      </c>
      <c r="H15" s="10">
        <v>4</v>
      </c>
      <c r="I15" s="20">
        <v>1000000000000000</v>
      </c>
      <c r="J15" s="10">
        <v>15</v>
      </c>
      <c r="K15" s="10"/>
      <c r="L15" s="10" t="s">
        <v>34</v>
      </c>
      <c r="M15" s="13">
        <f>AVERAGE(G304:G603)</f>
        <v>16.81406211000003</v>
      </c>
      <c r="P15" cm="1">
        <f t="array" ref="P15">IF(SUM(N(ISNUMBER(FIND({"a","b","c","d","e","f","g","h","i","j","k","l","m","n","o","p","q","r","s","t","u","v","w","x","y","z"}, B15))))&gt;0, 26, 0)</f>
        <v>26</v>
      </c>
      <c r="Q15" cm="1">
        <f t="array" ref="Q15">IF(SUM(N(ISNUMBER(FIND({"A","B","C","D","E","F","G","H","I","J","K","L","M","N","O","P","Q","R","S","T","U","V","W","X","Y","Z"}, B15))))&gt;0, 26, 0)</f>
        <v>26</v>
      </c>
      <c r="R15" cm="1">
        <f t="array" ref="R15">IF(SUM(N(ISNUMBER(FIND({0,1,2,3,4,5,6,7,8,9}, B15))))&gt;0, 10, 0)</f>
        <v>10</v>
      </c>
      <c r="S15" cm="1">
        <f t="array" ref="S15">IF(LEN(B15)&gt;SUMPRODUCT(LEN(B15)-LEN(SUBSTITUTE(B15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5" s="2" t="s">
        <v>216</v>
      </c>
      <c r="Y15" t="s">
        <v>184</v>
      </c>
      <c r="Z15" t="s">
        <v>217</v>
      </c>
      <c r="AA15" t="s">
        <v>218</v>
      </c>
      <c r="AB15" t="s">
        <v>219</v>
      </c>
      <c r="AC15" t="s">
        <v>220</v>
      </c>
      <c r="AD15" t="s">
        <v>221</v>
      </c>
      <c r="AE15" t="s">
        <v>222</v>
      </c>
      <c r="AF15" t="s">
        <v>223</v>
      </c>
      <c r="AG15" t="s">
        <v>224</v>
      </c>
      <c r="AH15" t="s">
        <v>225</v>
      </c>
      <c r="AI15" t="s">
        <v>226</v>
      </c>
      <c r="AJ15" t="s">
        <v>227</v>
      </c>
      <c r="AK15" t="s">
        <v>228</v>
      </c>
      <c r="AL15" t="s">
        <v>229</v>
      </c>
      <c r="AM15" t="s">
        <v>230</v>
      </c>
    </row>
    <row r="16" spans="1:39" ht="15.6">
      <c r="A16" s="3">
        <v>1</v>
      </c>
      <c r="B16" s="7" t="s">
        <v>231</v>
      </c>
      <c r="C16" t="s">
        <v>29</v>
      </c>
      <c r="D16">
        <f t="shared" si="1"/>
        <v>14</v>
      </c>
      <c r="E16">
        <f t="shared" si="2"/>
        <v>91.764243923486958</v>
      </c>
      <c r="F16" s="10">
        <v>3.1820059999999999</v>
      </c>
      <c r="G16" s="10">
        <f t="shared" si="0"/>
        <v>44.548083999999996</v>
      </c>
      <c r="H16" s="10">
        <v>4</v>
      </c>
      <c r="I16" s="20">
        <v>100000000000000</v>
      </c>
      <c r="J16" s="10">
        <v>14</v>
      </c>
      <c r="K16" s="10"/>
      <c r="L16" s="10"/>
      <c r="P16" cm="1">
        <f t="array" ref="P16">IF(SUM(N(ISNUMBER(FIND({"a","b","c","d","e","f","g","h","i","j","k","l","m","n","o","p","q","r","s","t","u","v","w","x","y","z"}, B16))))&gt;0, 26, 0)</f>
        <v>26</v>
      </c>
      <c r="Q16" cm="1">
        <f t="array" ref="Q16">IF(SUM(N(ISNUMBER(FIND({"A","B","C","D","E","F","G","H","I","J","K","L","M","N","O","P","Q","R","S","T","U","V","W","X","Y","Z"}, B16))))&gt;0, 26, 0)</f>
        <v>26</v>
      </c>
      <c r="R16" cm="1">
        <f t="array" ref="R16">IF(SUM(N(ISNUMBER(FIND({0,1,2,3,4,5,6,7,8,9}, B16))))&gt;0, 10, 0)</f>
        <v>0</v>
      </c>
      <c r="S16" cm="1">
        <f t="array" ref="S16">IF(LEN(B16)&gt;SUMPRODUCT(LEN(B16)-LEN(SUBSTITUTE(B16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6" s="2" t="s">
        <v>232</v>
      </c>
      <c r="Y16" t="s">
        <v>200</v>
      </c>
      <c r="Z16" t="s">
        <v>233</v>
      </c>
      <c r="AA16" t="s">
        <v>234</v>
      </c>
      <c r="AB16" t="s">
        <v>235</v>
      </c>
      <c r="AC16" t="s">
        <v>236</v>
      </c>
      <c r="AD16" t="s">
        <v>237</v>
      </c>
      <c r="AE16" t="s">
        <v>238</v>
      </c>
      <c r="AF16" t="s">
        <v>239</v>
      </c>
      <c r="AG16" t="s">
        <v>240</v>
      </c>
      <c r="AH16" t="s">
        <v>241</v>
      </c>
      <c r="AI16" t="s">
        <v>242</v>
      </c>
      <c r="AJ16" t="s">
        <v>243</v>
      </c>
      <c r="AK16" t="s">
        <v>244</v>
      </c>
      <c r="AL16" t="s">
        <v>245</v>
      </c>
      <c r="AM16" t="s">
        <v>246</v>
      </c>
    </row>
    <row r="17" spans="1:39" ht="15.6">
      <c r="A17" s="3">
        <v>1</v>
      </c>
      <c r="B17" s="7" t="s">
        <v>247</v>
      </c>
      <c r="C17" t="s">
        <v>29</v>
      </c>
      <c r="D17">
        <f t="shared" si="1"/>
        <v>13</v>
      </c>
      <c r="E17">
        <f t="shared" si="2"/>
        <v>85.209655071809323</v>
      </c>
      <c r="F17" s="10">
        <v>3.2389009999999998</v>
      </c>
      <c r="G17" s="10">
        <f t="shared" si="0"/>
        <v>42.105712999999994</v>
      </c>
      <c r="H17" s="10">
        <v>4</v>
      </c>
      <c r="I17" s="20">
        <v>10000000000000</v>
      </c>
      <c r="J17" s="10">
        <v>13</v>
      </c>
      <c r="K17" s="10"/>
      <c r="L17" s="10"/>
      <c r="P17" cm="1">
        <f t="array" ref="P17">IF(SUM(N(ISNUMBER(FIND({"a","b","c","d","e","f","g","h","i","j","k","l","m","n","o","p","q","r","s","t","u","v","w","x","y","z"}, B17))))&gt;0, 26, 0)</f>
        <v>26</v>
      </c>
      <c r="Q17" cm="1">
        <f t="array" ref="Q17">IF(SUM(N(ISNUMBER(FIND({"A","B","C","D","E","F","G","H","I","J","K","L","M","N","O","P","Q","R","S","T","U","V","W","X","Y","Z"}, B17))))&gt;0, 26, 0)</f>
        <v>26</v>
      </c>
      <c r="R17" cm="1">
        <f t="array" ref="R17">IF(SUM(N(ISNUMBER(FIND({0,1,2,3,4,5,6,7,8,9}, B17))))&gt;0, 10, 0)</f>
        <v>10</v>
      </c>
      <c r="S17" cm="1">
        <f t="array" ref="S17">IF(LEN(B17)&gt;SUMPRODUCT(LEN(B17)-LEN(SUBSTITUTE(B17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7" s="2" t="s">
        <v>248</v>
      </c>
      <c r="Y17" t="s">
        <v>216</v>
      </c>
      <c r="Z17" t="s">
        <v>249</v>
      </c>
      <c r="AA17" t="s">
        <v>250</v>
      </c>
      <c r="AB17" t="s">
        <v>251</v>
      </c>
      <c r="AC17" t="s">
        <v>252</v>
      </c>
      <c r="AD17" t="s">
        <v>253</v>
      </c>
      <c r="AE17" t="s">
        <v>254</v>
      </c>
      <c r="AF17" t="s">
        <v>255</v>
      </c>
      <c r="AG17" t="s">
        <v>256</v>
      </c>
      <c r="AH17" t="s">
        <v>257</v>
      </c>
      <c r="AI17" t="s">
        <v>258</v>
      </c>
      <c r="AJ17" t="s">
        <v>259</v>
      </c>
      <c r="AK17" t="s">
        <v>260</v>
      </c>
      <c r="AL17" t="s">
        <v>261</v>
      </c>
      <c r="AM17" t="s">
        <v>262</v>
      </c>
    </row>
    <row r="18" spans="1:39" ht="15.6">
      <c r="A18" s="3">
        <v>1</v>
      </c>
      <c r="B18" s="7" t="s">
        <v>263</v>
      </c>
      <c r="C18" t="s">
        <v>29</v>
      </c>
      <c r="D18">
        <f t="shared" si="1"/>
        <v>15</v>
      </c>
      <c r="E18">
        <f t="shared" si="2"/>
        <v>98.318832775164609</v>
      </c>
      <c r="F18" s="10">
        <v>3.506891</v>
      </c>
      <c r="G18" s="10">
        <f t="shared" si="0"/>
        <v>52.603364999999997</v>
      </c>
      <c r="H18" s="10">
        <v>4</v>
      </c>
      <c r="I18" s="20">
        <v>1000000000000000</v>
      </c>
      <c r="J18" s="10">
        <v>15</v>
      </c>
      <c r="K18" s="10"/>
      <c r="L18" s="10"/>
      <c r="P18" cm="1">
        <f t="array" ref="P18">IF(SUM(N(ISNUMBER(FIND({"a","b","c","d","e","f","g","h","i","j","k","l","m","n","o","p","q","r","s","t","u","v","w","x","y","z"}, B18))))&gt;0, 26, 0)</f>
        <v>26</v>
      </c>
      <c r="Q18" cm="1">
        <f t="array" ref="Q18">IF(SUM(N(ISNUMBER(FIND({"A","B","C","D","E","F","G","H","I","J","K","L","M","N","O","P","Q","R","S","T","U","V","W","X","Y","Z"}, B18))))&gt;0, 26, 0)</f>
        <v>26</v>
      </c>
      <c r="R18" cm="1">
        <f t="array" ref="R18">IF(SUM(N(ISNUMBER(FIND({0,1,2,3,4,5,6,7,8,9}, B18))))&gt;0, 10, 0)</f>
        <v>10</v>
      </c>
      <c r="S18" cm="1">
        <f t="array" ref="S18">IF(LEN(B18)&gt;SUMPRODUCT(LEN(B18)-LEN(SUBSTITUTE(B18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" s="2" t="s">
        <v>264</v>
      </c>
      <c r="Y18" t="s">
        <v>232</v>
      </c>
      <c r="Z18" t="s">
        <v>265</v>
      </c>
      <c r="AA18" t="s">
        <v>266</v>
      </c>
      <c r="AB18" t="s">
        <v>267</v>
      </c>
      <c r="AC18" t="s">
        <v>268</v>
      </c>
      <c r="AD18" t="s">
        <v>269</v>
      </c>
      <c r="AE18" t="s">
        <v>270</v>
      </c>
      <c r="AF18" t="s">
        <v>271</v>
      </c>
      <c r="AG18" t="s">
        <v>272</v>
      </c>
      <c r="AH18" t="s">
        <v>273</v>
      </c>
      <c r="AI18" t="s">
        <v>274</v>
      </c>
      <c r="AJ18" t="s">
        <v>275</v>
      </c>
      <c r="AK18" t="s">
        <v>276</v>
      </c>
      <c r="AL18" t="s">
        <v>277</v>
      </c>
      <c r="AM18" t="s">
        <v>278</v>
      </c>
    </row>
    <row r="19" spans="1:39" ht="15.6">
      <c r="A19" s="3">
        <v>1</v>
      </c>
      <c r="B19" s="9" t="s">
        <v>279</v>
      </c>
      <c r="C19" t="s">
        <v>29</v>
      </c>
      <c r="D19">
        <f t="shared" si="1"/>
        <v>10</v>
      </c>
      <c r="E19">
        <f t="shared" si="2"/>
        <v>65.545888516776401</v>
      </c>
      <c r="F19" s="10">
        <v>2.8464390000000002</v>
      </c>
      <c r="G19" s="10">
        <f t="shared" si="0"/>
        <v>28.464390000000002</v>
      </c>
      <c r="H19" s="10">
        <v>3</v>
      </c>
      <c r="I19" s="20">
        <v>10000000000</v>
      </c>
      <c r="J19" s="10">
        <v>10</v>
      </c>
      <c r="K19" s="10"/>
      <c r="L19" s="10"/>
      <c r="P19" cm="1">
        <f t="array" ref="P19">IF(SUM(N(ISNUMBER(FIND({"a","b","c","d","e","f","g","h","i","j","k","l","m","n","o","p","q","r","s","t","u","v","w","x","y","z"}, B19))))&gt;0, 26, 0)</f>
        <v>26</v>
      </c>
      <c r="Q19" cm="1">
        <f t="array" ref="Q19">IF(SUM(N(ISNUMBER(FIND({"A","B","C","D","E","F","G","H","I","J","K","L","M","N","O","P","Q","R","S","T","U","V","W","X","Y","Z"}, B19))))&gt;0, 26, 0)</f>
        <v>26</v>
      </c>
      <c r="R19" cm="1">
        <f t="array" ref="R19">IF(SUM(N(ISNUMBER(FIND({0,1,2,3,4,5,6,7,8,9}, B19))))&gt;0, 10, 0)</f>
        <v>0</v>
      </c>
      <c r="S19" cm="1">
        <f t="array" ref="S19">IF(LEN(B19)&gt;SUMPRODUCT(LEN(B19)-LEN(SUBSTITUTE(B19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" s="5" t="s">
        <v>280</v>
      </c>
      <c r="Y19" t="s">
        <v>248</v>
      </c>
      <c r="Z19" t="s">
        <v>281</v>
      </c>
      <c r="AA19" t="s">
        <v>282</v>
      </c>
      <c r="AB19" t="s">
        <v>283</v>
      </c>
      <c r="AC19" t="s">
        <v>284</v>
      </c>
      <c r="AD19" t="s">
        <v>285</v>
      </c>
      <c r="AE19" t="s">
        <v>286</v>
      </c>
      <c r="AF19" t="s">
        <v>287</v>
      </c>
      <c r="AG19" t="s">
        <v>288</v>
      </c>
      <c r="AH19" t="s">
        <v>289</v>
      </c>
      <c r="AI19" t="s">
        <v>290</v>
      </c>
      <c r="AJ19" t="s">
        <v>291</v>
      </c>
      <c r="AK19" t="s">
        <v>292</v>
      </c>
      <c r="AL19" t="s">
        <v>293</v>
      </c>
      <c r="AM19" t="s">
        <v>294</v>
      </c>
    </row>
    <row r="20" spans="1:39" ht="15.6">
      <c r="A20" s="3">
        <v>1</v>
      </c>
      <c r="B20" s="7" t="s">
        <v>295</v>
      </c>
      <c r="C20" t="s">
        <v>29</v>
      </c>
      <c r="D20">
        <f t="shared" si="1"/>
        <v>10</v>
      </c>
      <c r="E20">
        <f t="shared" si="2"/>
        <v>65.545888516776401</v>
      </c>
      <c r="F20" s="10">
        <v>3.121928</v>
      </c>
      <c r="G20" s="10">
        <f t="shared" si="0"/>
        <v>31.219280000000001</v>
      </c>
      <c r="H20" s="10">
        <v>3</v>
      </c>
      <c r="I20" s="20">
        <v>10000000000</v>
      </c>
      <c r="J20" s="10">
        <v>10</v>
      </c>
      <c r="K20" s="10"/>
      <c r="L20" s="10"/>
      <c r="M20" s="25" t="s">
        <v>296</v>
      </c>
      <c r="P20" cm="1">
        <f t="array" ref="P20">IF(SUM(N(ISNUMBER(FIND({"a","b","c","d","e","f","g","h","i","j","k","l","m","n","o","p","q","r","s","t","u","v","w","x","y","z"}, B20))))&gt;0, 26, 0)</f>
        <v>26</v>
      </c>
      <c r="Q20" cm="1">
        <f t="array" ref="Q20">IF(SUM(N(ISNUMBER(FIND({"A","B","C","D","E","F","G","H","I","J","K","L","M","N","O","P","Q","R","S","T","U","V","W","X","Y","Z"}, B20))))&gt;0, 26, 0)</f>
        <v>0</v>
      </c>
      <c r="R20" cm="1">
        <f t="array" ref="R20">IF(SUM(N(ISNUMBER(FIND({0,1,2,3,4,5,6,7,8,9}, B20))))&gt;0, 10, 0)</f>
        <v>0</v>
      </c>
      <c r="S20" cm="1">
        <f t="array" ref="S20">IF(LEN(B20)&gt;SUMPRODUCT(LEN(B20)-LEN(SUBSTITUTE(B20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" s="2" t="s">
        <v>297</v>
      </c>
      <c r="Y20" t="s">
        <v>264</v>
      </c>
      <c r="Z20" t="s">
        <v>298</v>
      </c>
      <c r="AA20" t="s">
        <v>299</v>
      </c>
      <c r="AB20" t="s">
        <v>300</v>
      </c>
      <c r="AC20" t="s">
        <v>301</v>
      </c>
      <c r="AD20" t="s">
        <v>302</v>
      </c>
      <c r="AE20" t="s">
        <v>303</v>
      </c>
      <c r="AF20" t="s">
        <v>304</v>
      </c>
      <c r="AG20" t="s">
        <v>305</v>
      </c>
      <c r="AH20" t="s">
        <v>306</v>
      </c>
      <c r="AI20" t="s">
        <v>307</v>
      </c>
      <c r="AJ20" t="s">
        <v>308</v>
      </c>
      <c r="AK20" t="s">
        <v>309</v>
      </c>
      <c r="AL20" t="s">
        <v>310</v>
      </c>
      <c r="AM20" t="s">
        <v>311</v>
      </c>
    </row>
    <row r="21" spans="1:39" ht="15.6">
      <c r="A21" s="3">
        <v>1</v>
      </c>
      <c r="B21" s="9" t="s">
        <v>312</v>
      </c>
      <c r="C21" t="s">
        <v>29</v>
      </c>
      <c r="D21">
        <f t="shared" si="1"/>
        <v>15</v>
      </c>
      <c r="E21">
        <f t="shared" si="2"/>
        <v>98.318832775164609</v>
      </c>
      <c r="F21" s="10">
        <v>3.7735569999999998</v>
      </c>
      <c r="G21" s="10">
        <f t="shared" si="0"/>
        <v>56.603355000000001</v>
      </c>
      <c r="H21" s="10">
        <v>4</v>
      </c>
      <c r="I21" s="20">
        <v>1000000000000000</v>
      </c>
      <c r="J21" s="10">
        <v>15</v>
      </c>
      <c r="K21" s="10"/>
      <c r="L21" s="10"/>
      <c r="M21" s="25">
        <f>_xlfn.T.TEST(H2:H303,H304:H603,2,3)</f>
        <v>2.8248233858681683E-303</v>
      </c>
      <c r="P21" cm="1">
        <f t="array" ref="P21">IF(SUM(N(ISNUMBER(FIND({"a","b","c","d","e","f","g","h","i","j","k","l","m","n","o","p","q","r","s","t","u","v","w","x","y","z"}, B21))))&gt;0, 26, 0)</f>
        <v>26</v>
      </c>
      <c r="Q21" cm="1">
        <f t="array" ref="Q21">IF(SUM(N(ISNUMBER(FIND({"A","B","C","D","E","F","G","H","I","J","K","L","M","N","O","P","Q","R","S","T","U","V","W","X","Y","Z"}, B21))))&gt;0, 26, 0)</f>
        <v>0</v>
      </c>
      <c r="R21" cm="1">
        <f t="array" ref="R21">IF(SUM(N(ISNUMBER(FIND({0,1,2,3,4,5,6,7,8,9}, B21))))&gt;0, 10, 0)</f>
        <v>10</v>
      </c>
      <c r="S21" cm="1">
        <f t="array" ref="S21">IF(LEN(B21)&gt;SUMPRODUCT(LEN(B21)-LEN(SUBSTITUTE(B21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" s="5" t="s">
        <v>313</v>
      </c>
      <c r="Y21" t="s">
        <v>280</v>
      </c>
      <c r="Z21" t="s">
        <v>314</v>
      </c>
      <c r="AA21" t="s">
        <v>315</v>
      </c>
      <c r="AB21" t="s">
        <v>316</v>
      </c>
      <c r="AC21" t="s">
        <v>317</v>
      </c>
      <c r="AD21" t="s">
        <v>318</v>
      </c>
      <c r="AE21" t="s">
        <v>319</v>
      </c>
      <c r="AF21" t="s">
        <v>320</v>
      </c>
      <c r="AG21" t="s">
        <v>321</v>
      </c>
      <c r="AH21" t="s">
        <v>322</v>
      </c>
      <c r="AI21" t="s">
        <v>323</v>
      </c>
      <c r="AJ21" t="s">
        <v>324</v>
      </c>
      <c r="AK21" t="s">
        <v>325</v>
      </c>
      <c r="AL21" t="s">
        <v>326</v>
      </c>
      <c r="AM21" t="s">
        <v>327</v>
      </c>
    </row>
    <row r="22" spans="1:39" ht="15.6">
      <c r="A22" s="3">
        <v>1</v>
      </c>
      <c r="B22" s="7" t="s">
        <v>328</v>
      </c>
      <c r="C22" t="s">
        <v>29</v>
      </c>
      <c r="D22">
        <f t="shared" si="1"/>
        <v>11</v>
      </c>
      <c r="E22">
        <f t="shared" si="2"/>
        <v>72.100477368454037</v>
      </c>
      <c r="F22" s="10">
        <v>3.4594320000000001</v>
      </c>
      <c r="G22" s="10">
        <f t="shared" si="0"/>
        <v>38.053752000000003</v>
      </c>
      <c r="H22" s="10">
        <v>4</v>
      </c>
      <c r="I22" s="20">
        <v>100000000000</v>
      </c>
      <c r="J22" s="10">
        <v>11</v>
      </c>
      <c r="K22" s="10"/>
      <c r="L22" s="10"/>
      <c r="M22" s="16"/>
      <c r="P22" cm="1">
        <f t="array" ref="P22">IF(SUM(N(ISNUMBER(FIND({"a","b","c","d","e","f","g","h","i","j","k","l","m","n","o","p","q","r","s","t","u","v","w","x","y","z"}, B22))))&gt;0, 26, 0)</f>
        <v>26</v>
      </c>
      <c r="Q22" cm="1">
        <f t="array" ref="Q22">IF(SUM(N(ISNUMBER(FIND({"A","B","C","D","E","F","G","H","I","J","K","L","M","N","O","P","Q","R","S","T","U","V","W","X","Y","Z"}, B22))))&gt;0, 26, 0)</f>
        <v>0</v>
      </c>
      <c r="R22" cm="1">
        <f t="array" ref="R22">IF(SUM(N(ISNUMBER(FIND({0,1,2,3,4,5,6,7,8,9}, B22))))&gt;0, 10, 0)</f>
        <v>10</v>
      </c>
      <c r="S22" cm="1">
        <f t="array" ref="S22">IF(LEN(B22)&gt;SUMPRODUCT(LEN(B22)-LEN(SUBSTITUTE(B22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" s="2" t="s">
        <v>38</v>
      </c>
      <c r="Y22" t="s">
        <v>297</v>
      </c>
      <c r="Z22" t="s">
        <v>329</v>
      </c>
      <c r="AA22" t="s">
        <v>330</v>
      </c>
      <c r="AB22" t="s">
        <v>331</v>
      </c>
      <c r="AC22" t="s">
        <v>332</v>
      </c>
      <c r="AD22" t="s">
        <v>333</v>
      </c>
      <c r="AE22" t="s">
        <v>334</v>
      </c>
      <c r="AF22" t="s">
        <v>335</v>
      </c>
      <c r="AG22" t="s">
        <v>336</v>
      </c>
      <c r="AH22" t="s">
        <v>337</v>
      </c>
      <c r="AI22" t="s">
        <v>338</v>
      </c>
      <c r="AJ22" t="s">
        <v>339</v>
      </c>
      <c r="AK22" t="s">
        <v>340</v>
      </c>
      <c r="AL22" t="s">
        <v>341</v>
      </c>
      <c r="AM22" t="s">
        <v>342</v>
      </c>
    </row>
    <row r="23" spans="1:39" ht="15.6">
      <c r="A23" s="3">
        <v>1</v>
      </c>
      <c r="B23" s="7" t="s">
        <v>343</v>
      </c>
      <c r="C23" t="s">
        <v>29</v>
      </c>
      <c r="D23">
        <f t="shared" si="1"/>
        <v>14</v>
      </c>
      <c r="E23">
        <f t="shared" si="2"/>
        <v>91.764243923486958</v>
      </c>
      <c r="F23" s="10">
        <v>3.664498</v>
      </c>
      <c r="G23" s="10">
        <f t="shared" si="0"/>
        <v>51.302971999999997</v>
      </c>
      <c r="H23" s="10">
        <v>4</v>
      </c>
      <c r="I23" s="20">
        <v>100000000000000</v>
      </c>
      <c r="J23" s="10">
        <v>14</v>
      </c>
      <c r="K23" s="10"/>
      <c r="L23" s="10"/>
      <c r="M23" s="25" t="s">
        <v>344</v>
      </c>
      <c r="P23" cm="1">
        <f t="array" ref="P23">IF(SUM(N(ISNUMBER(FIND({"a","b","c","d","e","f","g","h","i","j","k","l","m","n","o","p","q","r","s","t","u","v","w","x","y","z"}, B23))))&gt;0, 26, 0)</f>
        <v>26</v>
      </c>
      <c r="Q23" cm="1">
        <f t="array" ref="Q23">IF(SUM(N(ISNUMBER(FIND({"A","B","C","D","E","F","G","H","I","J","K","L","M","N","O","P","Q","R","S","T","U","V","W","X","Y","Z"}, B23))))&gt;0, 26, 0)</f>
        <v>26</v>
      </c>
      <c r="R23" cm="1">
        <f t="array" ref="R23">IF(SUM(N(ISNUMBER(FIND({0,1,2,3,4,5,6,7,8,9}, B23))))&gt;0, 10, 0)</f>
        <v>10</v>
      </c>
      <c r="S23" cm="1">
        <f t="array" ref="S23">IF(LEN(B23)&gt;SUMPRODUCT(LEN(B23)-LEN(SUBSTITUTE(B23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" s="2" t="s">
        <v>55</v>
      </c>
      <c r="Y23" t="s">
        <v>313</v>
      </c>
      <c r="Z23" t="s">
        <v>345</v>
      </c>
      <c r="AA23" t="s">
        <v>346</v>
      </c>
      <c r="AB23" t="s">
        <v>347</v>
      </c>
      <c r="AC23" t="s">
        <v>348</v>
      </c>
      <c r="AD23" t="s">
        <v>349</v>
      </c>
      <c r="AE23" t="s">
        <v>350</v>
      </c>
      <c r="AF23" t="s">
        <v>351</v>
      </c>
      <c r="AG23" t="s">
        <v>352</v>
      </c>
      <c r="AH23" t="s">
        <v>353</v>
      </c>
      <c r="AI23" t="s">
        <v>354</v>
      </c>
      <c r="AJ23" t="s">
        <v>355</v>
      </c>
      <c r="AK23" t="s">
        <v>356</v>
      </c>
      <c r="AL23" t="s">
        <v>357</v>
      </c>
      <c r="AM23" t="s">
        <v>358</v>
      </c>
    </row>
    <row r="24" spans="1:39" ht="15.6">
      <c r="A24" s="3">
        <v>1</v>
      </c>
      <c r="B24" s="7" t="s">
        <v>33</v>
      </c>
      <c r="C24" t="s">
        <v>29</v>
      </c>
      <c r="D24">
        <f t="shared" si="1"/>
        <v>10</v>
      </c>
      <c r="E24">
        <f t="shared" si="2"/>
        <v>65.545888516776401</v>
      </c>
      <c r="F24" s="10">
        <v>2.9219279999999999</v>
      </c>
      <c r="G24" s="10">
        <f t="shared" si="0"/>
        <v>29.219279999999998</v>
      </c>
      <c r="H24" s="10">
        <v>3</v>
      </c>
      <c r="I24" s="20">
        <v>10000000000</v>
      </c>
      <c r="J24" s="10">
        <v>10</v>
      </c>
      <c r="K24" s="10"/>
      <c r="L24" s="10"/>
      <c r="M24" s="25">
        <f>_xlfn.T.TEST(E2:E303,E304:E603,2,3)</f>
        <v>6.0229153905154904E-119</v>
      </c>
      <c r="P24" cm="1">
        <f t="array" ref="P24">IF(SUM(N(ISNUMBER(FIND({"a","b","c","d","e","f","g","h","i","j","k","l","m","n","o","p","q","r","s","t","u","v","w","x","y","z"}, B24))))&gt;0, 26, 0)</f>
        <v>26</v>
      </c>
      <c r="Q24" cm="1">
        <f t="array" ref="Q24">IF(SUM(N(ISNUMBER(FIND({"A","B","C","D","E","F","G","H","I","J","K","L","M","N","O","P","Q","R","S","T","U","V","W","X","Y","Z"}, B24))))&gt;0, 26, 0)</f>
        <v>0</v>
      </c>
      <c r="R24" cm="1">
        <f t="array" ref="R24">IF(SUM(N(ISNUMBER(FIND({0,1,2,3,4,5,6,7,8,9}, B24))))&gt;0, 10, 0)</f>
        <v>10</v>
      </c>
      <c r="S24" cm="1">
        <f t="array" ref="S24">IF(LEN(B24)&gt;SUMPRODUCT(LEN(B24)-LEN(SUBSTITUTE(B24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4" s="2" t="s">
        <v>71</v>
      </c>
    </row>
    <row r="25" spans="1:39" ht="15.6">
      <c r="A25" s="3">
        <v>1</v>
      </c>
      <c r="B25" s="7" t="s">
        <v>359</v>
      </c>
      <c r="C25" t="s">
        <v>29</v>
      </c>
      <c r="D25">
        <f t="shared" si="1"/>
        <v>13</v>
      </c>
      <c r="E25">
        <f t="shared" si="2"/>
        <v>85.209655071809323</v>
      </c>
      <c r="F25" s="10">
        <v>3.5465939999999998</v>
      </c>
      <c r="G25" s="10">
        <f t="shared" si="0"/>
        <v>46.105722</v>
      </c>
      <c r="H25" s="10">
        <v>4</v>
      </c>
      <c r="I25" s="20">
        <v>10000000000000</v>
      </c>
      <c r="J25" s="10">
        <v>13</v>
      </c>
      <c r="K25" s="10"/>
      <c r="L25" s="10"/>
      <c r="M25" s="2"/>
      <c r="P25" cm="1">
        <f t="array" ref="P25">IF(SUM(N(ISNUMBER(FIND({"a","b","c","d","e","f","g","h","i","j","k","l","m","n","o","p","q","r","s","t","u","v","w","x","y","z"}, B25))))&gt;0, 26, 0)</f>
        <v>26</v>
      </c>
      <c r="Q25" cm="1">
        <f t="array" ref="Q25">IF(SUM(N(ISNUMBER(FIND({"A","B","C","D","E","F","G","H","I","J","K","L","M","N","O","P","Q","R","S","T","U","V","W","X","Y","Z"}, B25))))&gt;0, 26, 0)</f>
        <v>0</v>
      </c>
      <c r="R25" cm="1">
        <f t="array" ref="R25">IF(SUM(N(ISNUMBER(FIND({0,1,2,3,4,5,6,7,8,9}, B25))))&gt;0, 10, 0)</f>
        <v>10</v>
      </c>
      <c r="S25" cm="1">
        <f t="array" ref="S25">IF(LEN(B25)&gt;SUMPRODUCT(LEN(B25)-LEN(SUBSTITUTE(B25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5" s="2" t="s">
        <v>87</v>
      </c>
    </row>
    <row r="26" spans="1:39" ht="15.6">
      <c r="A26" s="3">
        <v>1</v>
      </c>
      <c r="B26" s="7" t="s">
        <v>360</v>
      </c>
      <c r="C26" t="s">
        <v>29</v>
      </c>
      <c r="D26">
        <f t="shared" si="1"/>
        <v>8</v>
      </c>
      <c r="E26">
        <f t="shared" si="2"/>
        <v>52.436710813421122</v>
      </c>
      <c r="F26" s="10">
        <v>2.75</v>
      </c>
      <c r="G26" s="10">
        <f t="shared" si="0"/>
        <v>22</v>
      </c>
      <c r="H26" s="10">
        <v>2</v>
      </c>
      <c r="I26" s="20">
        <v>100000000</v>
      </c>
      <c r="J26" s="10">
        <v>8</v>
      </c>
      <c r="K26" s="10"/>
      <c r="L26" s="10"/>
      <c r="M26" s="26" t="s">
        <v>361</v>
      </c>
      <c r="N26" s="10"/>
      <c r="P26" cm="1">
        <f t="array" ref="P26">IF(SUM(N(ISNUMBER(FIND({"a","b","c","d","e","f","g","h","i","j","k","l","m","n","o","p","q","r","s","t","u","v","w","x","y","z"}, B26))))&gt;0, 26, 0)</f>
        <v>26</v>
      </c>
      <c r="Q26" cm="1">
        <f t="array" ref="Q26">IF(SUM(N(ISNUMBER(FIND({"A","B","C","D","E","F","G","H","I","J","K","L","M","N","O","P","Q","R","S","T","U","V","W","X","Y","Z"}, B26))))&gt;0, 26, 0)</f>
        <v>0</v>
      </c>
      <c r="R26" cm="1">
        <f t="array" ref="R26">IF(SUM(N(ISNUMBER(FIND({0,1,2,3,4,5,6,7,8,9}, B26))))&gt;0, 10, 0)</f>
        <v>0</v>
      </c>
      <c r="S26" cm="1">
        <f t="array" ref="S26">IF(LEN(B26)&gt;SUMPRODUCT(LEN(B26)-LEN(SUBSTITUTE(B26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" s="2" t="s">
        <v>103</v>
      </c>
    </row>
    <row r="27" spans="1:39" ht="15.6">
      <c r="A27" s="3">
        <v>1</v>
      </c>
      <c r="B27" s="7" t="s">
        <v>362</v>
      </c>
      <c r="C27" t="s">
        <v>29</v>
      </c>
      <c r="D27">
        <f t="shared" si="1"/>
        <v>10</v>
      </c>
      <c r="E27">
        <f t="shared" si="2"/>
        <v>65.545888516776401</v>
      </c>
      <c r="F27" s="10">
        <v>3.121928</v>
      </c>
      <c r="G27" s="10">
        <f t="shared" si="0"/>
        <v>31.219280000000001</v>
      </c>
      <c r="H27" s="10">
        <v>3</v>
      </c>
      <c r="I27" s="20">
        <v>5500000000</v>
      </c>
      <c r="J27" s="10">
        <v>9.7403630000000003</v>
      </c>
      <c r="K27" s="10"/>
      <c r="L27" s="10"/>
      <c r="M27" s="25">
        <f>_xlfn.T.TEST(F2:F303,F304:F603,2,3)</f>
        <v>4.0682260337690585E-74</v>
      </c>
      <c r="P27" cm="1">
        <f t="array" ref="P27">IF(SUM(N(ISNUMBER(FIND({"a","b","c","d","e","f","g","h","i","j","k","l","m","n","o","p","q","r","s","t","u","v","w","x","y","z"}, B27))))&gt;0, 26, 0)</f>
        <v>26</v>
      </c>
      <c r="Q27" cm="1">
        <f t="array" ref="Q27">IF(SUM(N(ISNUMBER(FIND({"A","B","C","D","E","F","G","H","I","J","K","L","M","N","O","P","Q","R","S","T","U","V","W","X","Y","Z"}, B27))))&gt;0, 26, 0)</f>
        <v>26</v>
      </c>
      <c r="R27" cm="1">
        <f t="array" ref="R27">IF(SUM(N(ISNUMBER(FIND({0,1,2,3,4,5,6,7,8,9}, B27))))&gt;0, 10, 0)</f>
        <v>0</v>
      </c>
      <c r="S27" cm="1">
        <f t="array" ref="S27">IF(LEN(B27)&gt;SUMPRODUCT(LEN(B27)-LEN(SUBSTITUTE(B27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" s="2" t="s">
        <v>120</v>
      </c>
    </row>
    <row r="28" spans="1:39" ht="15.6">
      <c r="A28" s="3">
        <v>1</v>
      </c>
      <c r="B28" s="7" t="s">
        <v>363</v>
      </c>
      <c r="C28" t="s">
        <v>29</v>
      </c>
      <c r="D28">
        <f t="shared" si="1"/>
        <v>8</v>
      </c>
      <c r="E28">
        <f t="shared" si="2"/>
        <v>52.436710813421122</v>
      </c>
      <c r="F28" s="10">
        <v>3</v>
      </c>
      <c r="G28" s="10">
        <f t="shared" si="0"/>
        <v>24</v>
      </c>
      <c r="H28" s="10">
        <v>2</v>
      </c>
      <c r="I28" s="20">
        <v>100000000</v>
      </c>
      <c r="J28" s="10">
        <v>8</v>
      </c>
      <c r="K28" s="10"/>
      <c r="L28" s="10"/>
      <c r="P28" cm="1">
        <f t="array" ref="P28">IF(SUM(N(ISNUMBER(FIND({"a","b","c","d","e","f","g","h","i","j","k","l","m","n","o","p","q","r","s","t","u","v","w","x","y","z"}, B28))))&gt;0, 26, 0)</f>
        <v>26</v>
      </c>
      <c r="Q28" cm="1">
        <f t="array" ref="Q28">IF(SUM(N(ISNUMBER(FIND({"A","B","C","D","E","F","G","H","I","J","K","L","M","N","O","P","Q","R","S","T","U","V","W","X","Y","Z"}, B28))))&gt;0, 26, 0)</f>
        <v>0</v>
      </c>
      <c r="R28" cm="1">
        <f t="array" ref="R28">IF(SUM(N(ISNUMBER(FIND({0,1,2,3,4,5,6,7,8,9}, B28))))&gt;0, 10, 0)</f>
        <v>10</v>
      </c>
      <c r="S28" cm="1">
        <f t="array" ref="S28">IF(LEN(B28)&gt;SUMPRODUCT(LEN(B28)-LEN(SUBSTITUTE(B28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" s="2" t="s">
        <v>136</v>
      </c>
    </row>
    <row r="29" spans="1:39" ht="15.6">
      <c r="A29" s="3">
        <v>1</v>
      </c>
      <c r="B29" s="7" t="s">
        <v>364</v>
      </c>
      <c r="C29" t="s">
        <v>29</v>
      </c>
      <c r="D29">
        <f t="shared" si="1"/>
        <v>14</v>
      </c>
      <c r="E29">
        <f t="shared" si="2"/>
        <v>91.764243923486958</v>
      </c>
      <c r="F29" s="10">
        <v>3.664498</v>
      </c>
      <c r="G29" s="10">
        <f t="shared" si="0"/>
        <v>51.302971999999997</v>
      </c>
      <c r="H29" s="10">
        <v>4</v>
      </c>
      <c r="I29" s="20">
        <v>100000000000000</v>
      </c>
      <c r="J29" s="10">
        <v>14</v>
      </c>
      <c r="K29" s="10"/>
      <c r="L29" s="10"/>
      <c r="M29" s="27" t="s">
        <v>365</v>
      </c>
      <c r="P29" cm="1">
        <f t="array" ref="P29">IF(SUM(N(ISNUMBER(FIND({"a","b","c","d","e","f","g","h","i","j","k","l","m","n","o","p","q","r","s","t","u","v","w","x","y","z"}, B29))))&gt;0, 26, 0)</f>
        <v>26</v>
      </c>
      <c r="Q29" cm="1">
        <f t="array" ref="Q29">IF(SUM(N(ISNUMBER(FIND({"A","B","C","D","E","F","G","H","I","J","K","L","M","N","O","P","Q","R","S","T","U","V","W","X","Y","Z"}, B29))))&gt;0, 26, 0)</f>
        <v>0</v>
      </c>
      <c r="R29" cm="1">
        <f t="array" ref="R29">IF(SUM(N(ISNUMBER(FIND({0,1,2,3,4,5,6,7,8,9}, B29))))&gt;0, 10, 0)</f>
        <v>0</v>
      </c>
      <c r="S29" cm="1">
        <f t="array" ref="S29">IF(LEN(B29)&gt;SUMPRODUCT(LEN(B29)-LEN(SUBSTITUTE(B29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" s="2" t="s">
        <v>152</v>
      </c>
    </row>
    <row r="30" spans="1:39" ht="15.6">
      <c r="A30" s="3">
        <v>1</v>
      </c>
      <c r="B30" s="7" t="s">
        <v>366</v>
      </c>
      <c r="C30" t="s">
        <v>29</v>
      </c>
      <c r="D30">
        <f t="shared" si="1"/>
        <v>9</v>
      </c>
      <c r="E30">
        <f t="shared" si="2"/>
        <v>58.991299665098765</v>
      </c>
      <c r="F30" s="10">
        <v>2.9477030000000002</v>
      </c>
      <c r="G30" s="10">
        <f t="shared" si="0"/>
        <v>26.529327000000002</v>
      </c>
      <c r="H30" s="10">
        <v>3</v>
      </c>
      <c r="I30" s="20">
        <v>1000000000</v>
      </c>
      <c r="J30" s="10">
        <v>9</v>
      </c>
      <c r="K30" s="10"/>
      <c r="L30" s="10"/>
      <c r="M30" s="25">
        <f>_xlfn.T.TEST(G2:G303,G304:G603,2,3)</f>
        <v>4.4578911460693454E-112</v>
      </c>
      <c r="P30" cm="1">
        <f t="array" ref="P30">IF(SUM(N(ISNUMBER(FIND({"a","b","c","d","e","f","g","h","i","j","k","l","m","n","o","p","q","r","s","t","u","v","w","x","y","z"}, B30))))&gt;0, 26, 0)</f>
        <v>26</v>
      </c>
      <c r="Q30" cm="1">
        <f t="array" ref="Q30">IF(SUM(N(ISNUMBER(FIND({"A","B","C","D","E","F","G","H","I","J","K","L","M","N","O","P","Q","R","S","T","U","V","W","X","Y","Z"}, B30))))&gt;0, 26, 0)</f>
        <v>0</v>
      </c>
      <c r="R30" cm="1">
        <f t="array" ref="R30">IF(SUM(N(ISNUMBER(FIND({0,1,2,3,4,5,6,7,8,9}, B30))))&gt;0, 10, 0)</f>
        <v>10</v>
      </c>
      <c r="S30" cm="1">
        <f t="array" ref="S30">IF(LEN(B30)&gt;SUMPRODUCT(LEN(B30)-LEN(SUBSTITUTE(B30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0" s="2" t="s">
        <v>168</v>
      </c>
    </row>
    <row r="31" spans="1:39" ht="15.6">
      <c r="A31" s="3">
        <v>1</v>
      </c>
      <c r="B31" s="7" t="s">
        <v>367</v>
      </c>
      <c r="C31" t="s">
        <v>29</v>
      </c>
      <c r="D31">
        <f t="shared" si="1"/>
        <v>15</v>
      </c>
      <c r="E31">
        <f t="shared" si="2"/>
        <v>98.318832775164609</v>
      </c>
      <c r="F31" s="10">
        <v>3.6402239999999999</v>
      </c>
      <c r="G31" s="10">
        <f t="shared" si="0"/>
        <v>54.603359999999995</v>
      </c>
      <c r="H31" s="10">
        <v>4</v>
      </c>
      <c r="I31" s="20">
        <v>1000000000000000</v>
      </c>
      <c r="J31" s="10">
        <v>15</v>
      </c>
      <c r="K31" s="10"/>
      <c r="L31" s="10"/>
      <c r="P31" cm="1">
        <f t="array" ref="P31">IF(SUM(N(ISNUMBER(FIND({"a","b","c","d","e","f","g","h","i","j","k","l","m","n","o","p","q","r","s","t","u","v","w","x","y","z"}, B31))))&gt;0, 26, 0)</f>
        <v>26</v>
      </c>
      <c r="Q31" cm="1">
        <f t="array" ref="Q31">IF(SUM(N(ISNUMBER(FIND({"A","B","C","D","E","F","G","H","I","J","K","L","M","N","O","P","Q","R","S","T","U","V","W","X","Y","Z"}, B31))))&gt;0, 26, 0)</f>
        <v>0</v>
      </c>
      <c r="R31" cm="1">
        <f t="array" ref="R31">IF(SUM(N(ISNUMBER(FIND({0,1,2,3,4,5,6,7,8,9}, B31))))&gt;0, 10, 0)</f>
        <v>10</v>
      </c>
      <c r="S31" cm="1">
        <f t="array" ref="S31">IF(LEN(B31)&gt;SUMPRODUCT(LEN(B31)-LEN(SUBSTITUTE(B31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1" s="2" t="s">
        <v>185</v>
      </c>
    </row>
    <row r="32" spans="1:39" ht="15.6">
      <c r="A32" s="3">
        <v>1</v>
      </c>
      <c r="B32" s="7" t="s">
        <v>368</v>
      </c>
      <c r="C32" t="s">
        <v>29</v>
      </c>
      <c r="D32">
        <f t="shared" si="1"/>
        <v>10</v>
      </c>
      <c r="E32">
        <f t="shared" si="2"/>
        <v>65.545888516776401</v>
      </c>
      <c r="F32" s="10">
        <v>3.121928</v>
      </c>
      <c r="G32" s="10">
        <f t="shared" si="0"/>
        <v>31.219280000000001</v>
      </c>
      <c r="H32" s="10">
        <v>3</v>
      </c>
      <c r="I32" s="20">
        <v>10000000000</v>
      </c>
      <c r="J32" s="10">
        <v>10</v>
      </c>
      <c r="K32" s="10"/>
      <c r="L32" s="10"/>
      <c r="P32" cm="1">
        <f t="array" ref="P32">IF(SUM(N(ISNUMBER(FIND({"a","b","c","d","e","f","g","h","i","j","k","l","m","n","o","p","q","r","s","t","u","v","w","x","y","z"}, B32))))&gt;0, 26, 0)</f>
        <v>26</v>
      </c>
      <c r="Q32" cm="1">
        <f t="array" ref="Q32">IF(SUM(N(ISNUMBER(FIND({"A","B","C","D","E","F","G","H","I","J","K","L","M","N","O","P","Q","R","S","T","U","V","W","X","Y","Z"}, B32))))&gt;0, 26, 0)</f>
        <v>0</v>
      </c>
      <c r="R32" cm="1">
        <f t="array" ref="R32">IF(SUM(N(ISNUMBER(FIND({0,1,2,3,4,5,6,7,8,9}, B32))))&gt;0, 10, 0)</f>
        <v>10</v>
      </c>
      <c r="S32" cm="1">
        <f t="array" ref="S32">IF(LEN(B32)&gt;SUMPRODUCT(LEN(B32)-LEN(SUBSTITUTE(B32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2" s="2" t="s">
        <v>201</v>
      </c>
    </row>
    <row r="33" spans="1:21" ht="15.6">
      <c r="A33" s="3">
        <v>1</v>
      </c>
      <c r="B33" s="7" t="s">
        <v>369</v>
      </c>
      <c r="C33" t="s">
        <v>29</v>
      </c>
      <c r="D33">
        <f t="shared" si="1"/>
        <v>8</v>
      </c>
      <c r="E33">
        <f t="shared" si="2"/>
        <v>52.436710813421122</v>
      </c>
      <c r="F33" s="10">
        <v>2.75</v>
      </c>
      <c r="G33" s="10">
        <f t="shared" si="0"/>
        <v>22</v>
      </c>
      <c r="H33" s="10">
        <v>2</v>
      </c>
      <c r="I33" s="20">
        <v>100000000</v>
      </c>
      <c r="J33" s="10">
        <v>8</v>
      </c>
      <c r="K33" s="10"/>
      <c r="L33" s="10"/>
      <c r="P33" cm="1">
        <f t="array" ref="P33">IF(SUM(N(ISNUMBER(FIND({"a","b","c","d","e","f","g","h","i","j","k","l","m","n","o","p","q","r","s","t","u","v","w","x","y","z"}, B33))))&gt;0, 26, 0)</f>
        <v>26</v>
      </c>
      <c r="Q33" cm="1">
        <f t="array" ref="Q33">IF(SUM(N(ISNUMBER(FIND({"A","B","C","D","E","F","G","H","I","J","K","L","M","N","O","P","Q","R","S","T","U","V","W","X","Y","Z"}, B33))))&gt;0, 26, 0)</f>
        <v>26</v>
      </c>
      <c r="R33" cm="1">
        <f t="array" ref="R33">IF(SUM(N(ISNUMBER(FIND({0,1,2,3,4,5,6,7,8,9}, B33))))&gt;0, 10, 0)</f>
        <v>0</v>
      </c>
      <c r="S33" cm="1">
        <f t="array" ref="S33">IF(LEN(B33)&gt;SUMPRODUCT(LEN(B33)-LEN(SUBSTITUTE(B33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3" s="2" t="s">
        <v>217</v>
      </c>
    </row>
    <row r="34" spans="1:21" ht="15.6">
      <c r="A34" s="3">
        <v>1</v>
      </c>
      <c r="B34" s="7" t="s">
        <v>370</v>
      </c>
      <c r="C34" t="s">
        <v>29</v>
      </c>
      <c r="D34">
        <f t="shared" si="1"/>
        <v>11</v>
      </c>
      <c r="E34">
        <f t="shared" si="2"/>
        <v>72.100477368454037</v>
      </c>
      <c r="F34" s="10">
        <v>3.0957949999999999</v>
      </c>
      <c r="G34" s="10">
        <f t="shared" si="0"/>
        <v>34.053744999999999</v>
      </c>
      <c r="H34" s="10">
        <v>4</v>
      </c>
      <c r="I34" s="20">
        <v>100000000000</v>
      </c>
      <c r="J34" s="10">
        <v>11</v>
      </c>
      <c r="K34" s="10"/>
      <c r="L34" s="10"/>
      <c r="P34" cm="1">
        <f t="array" ref="P34">IF(SUM(N(ISNUMBER(FIND({"a","b","c","d","e","f","g","h","i","j","k","l","m","n","o","p","q","r","s","t","u","v","w","x","y","z"}, B34))))&gt;0, 26, 0)</f>
        <v>26</v>
      </c>
      <c r="Q34" cm="1">
        <f t="array" ref="Q34">IF(SUM(N(ISNUMBER(FIND({"A","B","C","D","E","F","G","H","I","J","K","L","M","N","O","P","Q","R","S","T","U","V","W","X","Y","Z"}, B34))))&gt;0, 26, 0)</f>
        <v>0</v>
      </c>
      <c r="R34" cm="1">
        <f t="array" ref="R34">IF(SUM(N(ISNUMBER(FIND({0,1,2,3,4,5,6,7,8,9}, B34))))&gt;0, 10, 0)</f>
        <v>0</v>
      </c>
      <c r="S34" cm="1">
        <f t="array" ref="S34">IF(LEN(B34)&gt;SUMPRODUCT(LEN(B34)-LEN(SUBSTITUTE(B34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4" s="2" t="s">
        <v>233</v>
      </c>
    </row>
    <row r="35" spans="1:21" ht="15.6">
      <c r="A35" s="3">
        <v>1</v>
      </c>
      <c r="B35" s="7" t="s">
        <v>371</v>
      </c>
      <c r="C35" t="s">
        <v>29</v>
      </c>
      <c r="D35">
        <f t="shared" si="1"/>
        <v>13</v>
      </c>
      <c r="E35">
        <f t="shared" si="2"/>
        <v>85.209655071809323</v>
      </c>
      <c r="F35" s="10">
        <v>3.5465939999999998</v>
      </c>
      <c r="G35" s="10">
        <f t="shared" si="0"/>
        <v>46.105722</v>
      </c>
      <c r="H35" s="10">
        <v>4</v>
      </c>
      <c r="I35" s="20">
        <v>10000000000000</v>
      </c>
      <c r="J35" s="10">
        <v>13</v>
      </c>
      <c r="K35" s="10"/>
      <c r="L35" s="10"/>
      <c r="P35" cm="1">
        <f t="array" ref="P35">IF(SUM(N(ISNUMBER(FIND({"a","b","c","d","e","f","g","h","i","j","k","l","m","n","o","p","q","r","s","t","u","v","w","x","y","z"}, B35))))&gt;0, 26, 0)</f>
        <v>26</v>
      </c>
      <c r="Q35" cm="1">
        <f t="array" ref="Q35">IF(SUM(N(ISNUMBER(FIND({"A","B","C","D","E","F","G","H","I","J","K","L","M","N","O","P","Q","R","S","T","U","V","W","X","Y","Z"}, B35))))&gt;0, 26, 0)</f>
        <v>0</v>
      </c>
      <c r="R35" cm="1">
        <f t="array" ref="R35">IF(SUM(N(ISNUMBER(FIND({0,1,2,3,4,5,6,7,8,9}, B35))))&gt;0, 10, 0)</f>
        <v>0</v>
      </c>
      <c r="S35" cm="1">
        <f t="array" ref="S35">IF(LEN(B35)&gt;SUMPRODUCT(LEN(B35)-LEN(SUBSTITUTE(B35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5" s="2" t="s">
        <v>249</v>
      </c>
    </row>
    <row r="36" spans="1:21" ht="15.6">
      <c r="A36" s="3">
        <v>1</v>
      </c>
      <c r="B36" s="9" t="s">
        <v>372</v>
      </c>
      <c r="C36" t="s">
        <v>29</v>
      </c>
      <c r="D36">
        <f t="shared" si="1"/>
        <v>16</v>
      </c>
      <c r="E36">
        <f t="shared" si="2"/>
        <v>104.87342162684224</v>
      </c>
      <c r="F36" s="10">
        <v>3.875</v>
      </c>
      <c r="G36" s="10">
        <f t="shared" si="0"/>
        <v>62</v>
      </c>
      <c r="H36" s="10">
        <v>4</v>
      </c>
      <c r="I36" s="20">
        <v>1E+16</v>
      </c>
      <c r="J36" s="10">
        <v>16</v>
      </c>
      <c r="K36" s="10"/>
      <c r="L36" s="10"/>
      <c r="P36" cm="1">
        <f t="array" ref="P36">IF(SUM(N(ISNUMBER(FIND({"a","b","c","d","e","f","g","h","i","j","k","l","m","n","o","p","q","r","s","t","u","v","w","x","y","z"}, B36))))&gt;0, 26, 0)</f>
        <v>26</v>
      </c>
      <c r="Q36" cm="1">
        <f t="array" ref="Q36">IF(SUM(N(ISNUMBER(FIND({"A","B","C","D","E","F","G","H","I","J","K","L","M","N","O","P","Q","R","S","T","U","V","W","X","Y","Z"}, B36))))&gt;0, 26, 0)</f>
        <v>0</v>
      </c>
      <c r="R36" cm="1">
        <f t="array" ref="R36">IF(SUM(N(ISNUMBER(FIND({0,1,2,3,4,5,6,7,8,9}, B36))))&gt;0, 10, 0)</f>
        <v>10</v>
      </c>
      <c r="S36" cm="1">
        <f t="array" ref="S36">IF(LEN(B36)&gt;SUMPRODUCT(LEN(B36)-LEN(SUBSTITUTE(B36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6" s="5" t="s">
        <v>265</v>
      </c>
    </row>
    <row r="37" spans="1:21" ht="15.6">
      <c r="A37" s="3">
        <v>1</v>
      </c>
      <c r="B37" s="7" t="s">
        <v>373</v>
      </c>
      <c r="C37" t="s">
        <v>29</v>
      </c>
      <c r="D37">
        <f t="shared" si="1"/>
        <v>12</v>
      </c>
      <c r="E37">
        <f t="shared" si="2"/>
        <v>78.655066220131687</v>
      </c>
      <c r="F37" s="10">
        <v>3.4182959999999998</v>
      </c>
      <c r="G37" s="10">
        <f t="shared" si="0"/>
        <v>41.019551999999997</v>
      </c>
      <c r="H37" s="10">
        <v>4</v>
      </c>
      <c r="I37" s="20">
        <v>1000000000000</v>
      </c>
      <c r="J37" s="10">
        <v>12</v>
      </c>
      <c r="K37" s="10"/>
      <c r="L37" s="10"/>
      <c r="P37" cm="1">
        <f t="array" ref="P37">IF(SUM(N(ISNUMBER(FIND({"a","b","c","d","e","f","g","h","i","j","k","l","m","n","o","p","q","r","s","t","u","v","w","x","y","z"}, B37))))&gt;0, 26, 0)</f>
        <v>26</v>
      </c>
      <c r="Q37" cm="1">
        <f t="array" ref="Q37">IF(SUM(N(ISNUMBER(FIND({"A","B","C","D","E","F","G","H","I","J","K","L","M","N","O","P","Q","R","S","T","U","V","W","X","Y","Z"}, B37))))&gt;0, 26, 0)</f>
        <v>0</v>
      </c>
      <c r="R37" cm="1">
        <f t="array" ref="R37">IF(SUM(N(ISNUMBER(FIND({0,1,2,3,4,5,6,7,8,9}, B37))))&gt;0, 10, 0)</f>
        <v>10</v>
      </c>
      <c r="S37" cm="1">
        <f t="array" ref="S37">IF(LEN(B37)&gt;SUMPRODUCT(LEN(B37)-LEN(SUBSTITUTE(B37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7" s="2" t="s">
        <v>281</v>
      </c>
    </row>
    <row r="38" spans="1:21" ht="15.6">
      <c r="A38" s="3">
        <v>1</v>
      </c>
      <c r="B38" s="7" t="s">
        <v>374</v>
      </c>
      <c r="C38" t="s">
        <v>29</v>
      </c>
      <c r="D38">
        <f t="shared" si="1"/>
        <v>13</v>
      </c>
      <c r="E38">
        <f t="shared" si="2"/>
        <v>85.209655071809323</v>
      </c>
      <c r="F38" s="10">
        <v>3.5465939999999998</v>
      </c>
      <c r="G38" s="10">
        <f t="shared" si="0"/>
        <v>46.105722</v>
      </c>
      <c r="H38" s="10">
        <v>4</v>
      </c>
      <c r="I38" s="20">
        <v>9360000000000</v>
      </c>
      <c r="J38" s="10">
        <v>12.97128</v>
      </c>
      <c r="K38" s="10"/>
      <c r="L38" s="10"/>
      <c r="P38" cm="1">
        <f t="array" ref="P38">IF(SUM(N(ISNUMBER(FIND({"a","b","c","d","e","f","g","h","i","j","k","l","m","n","o","p","q","r","s","t","u","v","w","x","y","z"}, B38))))&gt;0, 26, 0)</f>
        <v>26</v>
      </c>
      <c r="Q38" cm="1">
        <f t="array" ref="Q38">IF(SUM(N(ISNUMBER(FIND({"A","B","C","D","E","F","G","H","I","J","K","L","M","N","O","P","Q","R","S","T","U","V","W","X","Y","Z"}, B38))))&gt;0, 26, 0)</f>
        <v>0</v>
      </c>
      <c r="R38" cm="1">
        <f t="array" ref="R38">IF(SUM(N(ISNUMBER(FIND({0,1,2,3,4,5,6,7,8,9}, B38))))&gt;0, 10, 0)</f>
        <v>0</v>
      </c>
      <c r="S38" cm="1">
        <f t="array" ref="S38">IF(LEN(B38)&gt;SUMPRODUCT(LEN(B38)-LEN(SUBSTITUTE(B38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8" s="2" t="s">
        <v>298</v>
      </c>
    </row>
    <row r="39" spans="1:21" ht="15.6">
      <c r="A39" s="3">
        <v>1</v>
      </c>
      <c r="B39" s="7" t="s">
        <v>375</v>
      </c>
      <c r="C39" t="s">
        <v>29</v>
      </c>
      <c r="D39">
        <f t="shared" si="1"/>
        <v>13</v>
      </c>
      <c r="E39">
        <f t="shared" si="2"/>
        <v>85.209655071809323</v>
      </c>
      <c r="F39" s="10">
        <v>3.5465939999999998</v>
      </c>
      <c r="G39" s="10">
        <f t="shared" si="0"/>
        <v>46.105722</v>
      </c>
      <c r="H39" s="10">
        <v>4</v>
      </c>
      <c r="I39" s="20">
        <v>10000000000000</v>
      </c>
      <c r="J39" s="10">
        <v>13</v>
      </c>
      <c r="K39" s="10"/>
      <c r="L39" s="10"/>
      <c r="P39" cm="1">
        <f t="array" ref="P39">IF(SUM(N(ISNUMBER(FIND({"a","b","c","d","e","f","g","h","i","j","k","l","m","n","o","p","q","r","s","t","u","v","w","x","y","z"}, B39))))&gt;0, 26, 0)</f>
        <v>26</v>
      </c>
      <c r="Q39" cm="1">
        <f t="array" ref="Q39">IF(SUM(N(ISNUMBER(FIND({"A","B","C","D","E","F","G","H","I","J","K","L","M","N","O","P","Q","R","S","T","U","V","W","X","Y","Z"}, B39))))&gt;0, 26, 0)</f>
        <v>0</v>
      </c>
      <c r="R39" cm="1">
        <f t="array" ref="R39">IF(SUM(N(ISNUMBER(FIND({0,1,2,3,4,5,6,7,8,9}, B39))))&gt;0, 10, 0)</f>
        <v>10</v>
      </c>
      <c r="S39" cm="1">
        <f t="array" ref="S39">IF(LEN(B39)&gt;SUMPRODUCT(LEN(B39)-LEN(SUBSTITUTE(B39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9" s="2" t="s">
        <v>314</v>
      </c>
    </row>
    <row r="40" spans="1:21" ht="15.6">
      <c r="A40" s="3">
        <v>1</v>
      </c>
      <c r="B40" s="7" t="s">
        <v>376</v>
      </c>
      <c r="C40" t="s">
        <v>29</v>
      </c>
      <c r="D40">
        <f t="shared" si="1"/>
        <v>11</v>
      </c>
      <c r="E40">
        <f t="shared" si="2"/>
        <v>72.100477368454037</v>
      </c>
      <c r="F40" s="10">
        <v>3.2776130000000001</v>
      </c>
      <c r="G40" s="10">
        <f t="shared" si="0"/>
        <v>36.053743000000004</v>
      </c>
      <c r="H40" s="10">
        <v>4</v>
      </c>
      <c r="I40" s="20">
        <v>93700000000</v>
      </c>
      <c r="J40" s="10">
        <v>10.97174</v>
      </c>
      <c r="K40" s="10"/>
      <c r="L40" s="10"/>
      <c r="P40" cm="1">
        <f t="array" ref="P40">IF(SUM(N(ISNUMBER(FIND({"a","b","c","d","e","f","g","h","i","j","k","l","m","n","o","p","q","r","s","t","u","v","w","x","y","z"}, B40))))&gt;0, 26, 0)</f>
        <v>26</v>
      </c>
      <c r="Q40" cm="1">
        <f t="array" ref="Q40">IF(SUM(N(ISNUMBER(FIND({"A","B","C","D","E","F","G","H","I","J","K","L","M","N","O","P","Q","R","S","T","U","V","W","X","Y","Z"}, B40))))&gt;0, 26, 0)</f>
        <v>0</v>
      </c>
      <c r="R40" cm="1">
        <f t="array" ref="R40">IF(SUM(N(ISNUMBER(FIND({0,1,2,3,4,5,6,7,8,9}, B40))))&gt;0, 10, 0)</f>
        <v>0</v>
      </c>
      <c r="S40" cm="1">
        <f t="array" ref="S40">IF(LEN(B40)&gt;SUMPRODUCT(LEN(B40)-LEN(SUBSTITUTE(B40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0" s="2" t="s">
        <v>329</v>
      </c>
    </row>
    <row r="41" spans="1:21" ht="15.6">
      <c r="A41" s="3">
        <v>1</v>
      </c>
      <c r="B41" s="7" t="s">
        <v>377</v>
      </c>
      <c r="C41" t="s">
        <v>29</v>
      </c>
      <c r="D41">
        <f t="shared" si="1"/>
        <v>13</v>
      </c>
      <c r="E41">
        <f t="shared" si="2"/>
        <v>85.209655071809323</v>
      </c>
      <c r="F41" s="10">
        <v>3.5465939999999998</v>
      </c>
      <c r="G41" s="10">
        <f t="shared" si="0"/>
        <v>46.105722</v>
      </c>
      <c r="H41" s="10">
        <v>4</v>
      </c>
      <c r="I41" s="20">
        <v>10000000000000</v>
      </c>
      <c r="J41" s="10">
        <v>13</v>
      </c>
      <c r="K41" s="10"/>
      <c r="L41" s="10"/>
      <c r="P41" cm="1">
        <f t="array" ref="P41">IF(SUM(N(ISNUMBER(FIND({"a","b","c","d","e","f","g","h","i","j","k","l","m","n","o","p","q","r","s","t","u","v","w","x","y","z"}, B41))))&gt;0, 26, 0)</f>
        <v>26</v>
      </c>
      <c r="Q41" cm="1">
        <f t="array" ref="Q41">IF(SUM(N(ISNUMBER(FIND({"A","B","C","D","E","F","G","H","I","J","K","L","M","N","O","P","Q","R","S","T","U","V","W","X","Y","Z"}, B41))))&gt;0, 26, 0)</f>
        <v>0</v>
      </c>
      <c r="R41" cm="1">
        <f t="array" ref="R41">IF(SUM(N(ISNUMBER(FIND({0,1,2,3,4,5,6,7,8,9}, B41))))&gt;0, 10, 0)</f>
        <v>10</v>
      </c>
      <c r="S41" cm="1">
        <f t="array" ref="S41">IF(LEN(B41)&gt;SUMPRODUCT(LEN(B41)-LEN(SUBSTITUTE(B41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1" s="2" t="s">
        <v>345</v>
      </c>
    </row>
    <row r="42" spans="1:21" ht="15.6">
      <c r="A42" s="3">
        <v>1</v>
      </c>
      <c r="B42" s="7" t="s">
        <v>378</v>
      </c>
      <c r="C42" t="s">
        <v>29</v>
      </c>
      <c r="D42">
        <f t="shared" si="1"/>
        <v>10</v>
      </c>
      <c r="E42">
        <f t="shared" si="2"/>
        <v>65.545888516776401</v>
      </c>
      <c r="F42" s="10">
        <v>2.9219279999999999</v>
      </c>
      <c r="G42" s="10">
        <f t="shared" si="0"/>
        <v>29.219279999999998</v>
      </c>
      <c r="H42" s="10">
        <v>3</v>
      </c>
      <c r="I42" s="20">
        <v>10000000000</v>
      </c>
      <c r="J42" s="10">
        <v>10</v>
      </c>
      <c r="K42" s="10"/>
      <c r="L42" s="10"/>
      <c r="P42" cm="1">
        <f t="array" ref="P42">IF(SUM(N(ISNUMBER(FIND({"a","b","c","d","e","f","g","h","i","j","k","l","m","n","o","p","q","r","s","t","u","v","w","x","y","z"}, B42))))&gt;0, 26, 0)</f>
        <v>26</v>
      </c>
      <c r="Q42" cm="1">
        <f t="array" ref="Q42">IF(SUM(N(ISNUMBER(FIND({"A","B","C","D","E","F","G","H","I","J","K","L","M","N","O","P","Q","R","S","T","U","V","W","X","Y","Z"}, B42))))&gt;0, 26, 0)</f>
        <v>0</v>
      </c>
      <c r="R42" cm="1">
        <f t="array" ref="R42">IF(SUM(N(ISNUMBER(FIND({0,1,2,3,4,5,6,7,8,9}, B42))))&gt;0, 10, 0)</f>
        <v>0</v>
      </c>
      <c r="S42" cm="1">
        <f t="array" ref="S42">IF(LEN(B42)&gt;SUMPRODUCT(LEN(B42)-LEN(SUBSTITUTE(B42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2" s="2" t="s">
        <v>39</v>
      </c>
    </row>
    <row r="43" spans="1:21" ht="15.6">
      <c r="A43" s="3">
        <v>1</v>
      </c>
      <c r="B43" s="7" t="s">
        <v>379</v>
      </c>
      <c r="C43" t="s">
        <v>29</v>
      </c>
      <c r="D43">
        <f t="shared" si="1"/>
        <v>13</v>
      </c>
      <c r="E43">
        <f t="shared" si="2"/>
        <v>85.209655071809323</v>
      </c>
      <c r="F43" s="10">
        <v>3.392747</v>
      </c>
      <c r="G43" s="10">
        <f t="shared" si="0"/>
        <v>44.105710999999999</v>
      </c>
      <c r="H43" s="10">
        <v>4</v>
      </c>
      <c r="I43" s="20">
        <v>10000000000000</v>
      </c>
      <c r="J43" s="10">
        <v>13</v>
      </c>
      <c r="K43" s="10"/>
      <c r="L43" s="10"/>
      <c r="P43" cm="1">
        <f t="array" ref="P43">IF(SUM(N(ISNUMBER(FIND({"a","b","c","d","e","f","g","h","i","j","k","l","m","n","o","p","q","r","s","t","u","v","w","x","y","z"}, B43))))&gt;0, 26, 0)</f>
        <v>26</v>
      </c>
      <c r="Q43" cm="1">
        <f t="array" ref="Q43">IF(SUM(N(ISNUMBER(FIND({"A","B","C","D","E","F","G","H","I","J","K","L","M","N","O","P","Q","R","S","T","U","V","W","X","Y","Z"}, B43))))&gt;0, 26, 0)</f>
        <v>0</v>
      </c>
      <c r="R43" cm="1">
        <f t="array" ref="R43">IF(SUM(N(ISNUMBER(FIND({0,1,2,3,4,5,6,7,8,9}, B43))))&gt;0, 10, 0)</f>
        <v>10</v>
      </c>
      <c r="S43" cm="1">
        <f t="array" ref="S43">IF(LEN(B43)&gt;SUMPRODUCT(LEN(B43)-LEN(SUBSTITUTE(B43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3" s="2" t="s">
        <v>56</v>
      </c>
    </row>
    <row r="44" spans="1:21" ht="15.6">
      <c r="A44" s="3">
        <v>1</v>
      </c>
      <c r="B44" s="7" t="s">
        <v>380</v>
      </c>
      <c r="C44" t="s">
        <v>29</v>
      </c>
      <c r="D44">
        <f t="shared" si="1"/>
        <v>13</v>
      </c>
      <c r="E44">
        <f t="shared" si="2"/>
        <v>85.209655071809323</v>
      </c>
      <c r="F44" s="10">
        <v>3.0850550000000001</v>
      </c>
      <c r="G44" s="10">
        <f t="shared" si="0"/>
        <v>40.105715000000004</v>
      </c>
      <c r="H44" s="10">
        <v>4</v>
      </c>
      <c r="I44" s="20">
        <v>10000000000000</v>
      </c>
      <c r="J44" s="10">
        <v>13</v>
      </c>
      <c r="K44" s="10"/>
      <c r="L44" s="10"/>
      <c r="P44" cm="1">
        <f t="array" ref="P44">IF(SUM(N(ISNUMBER(FIND({"a","b","c","d","e","f","g","h","i","j","k","l","m","n","o","p","q","r","s","t","u","v","w","x","y","z"}, B44))))&gt;0, 26, 0)</f>
        <v>26</v>
      </c>
      <c r="Q44" cm="1">
        <f t="array" ref="Q44">IF(SUM(N(ISNUMBER(FIND({"A","B","C","D","E","F","G","H","I","J","K","L","M","N","O","P","Q","R","S","T","U","V","W","X","Y","Z"}, B44))))&gt;0, 26, 0)</f>
        <v>0</v>
      </c>
      <c r="R44" cm="1">
        <f t="array" ref="R44">IF(SUM(N(ISNUMBER(FIND({0,1,2,3,4,5,6,7,8,9}, B44))))&gt;0, 10, 0)</f>
        <v>0</v>
      </c>
      <c r="S44" cm="1">
        <f t="array" ref="S44">IF(LEN(B44)&gt;SUMPRODUCT(LEN(B44)-LEN(SUBSTITUTE(B44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4" s="2" t="s">
        <v>72</v>
      </c>
    </row>
    <row r="45" spans="1:21" ht="15.6">
      <c r="A45" s="3">
        <v>1</v>
      </c>
      <c r="B45" s="7" t="s">
        <v>381</v>
      </c>
      <c r="C45" t="s">
        <v>29</v>
      </c>
      <c r="D45">
        <f t="shared" si="1"/>
        <v>13</v>
      </c>
      <c r="E45">
        <f t="shared" si="2"/>
        <v>85.209655071809323</v>
      </c>
      <c r="F45" s="10">
        <v>3.5465939999999998</v>
      </c>
      <c r="G45" s="10">
        <f t="shared" si="0"/>
        <v>46.105722</v>
      </c>
      <c r="H45" s="10">
        <v>4</v>
      </c>
      <c r="I45" s="20">
        <v>10000000000000</v>
      </c>
      <c r="J45" s="10">
        <v>13</v>
      </c>
      <c r="K45" s="10"/>
      <c r="L45" s="10"/>
      <c r="P45" cm="1">
        <f t="array" ref="P45">IF(SUM(N(ISNUMBER(FIND({"a","b","c","d","e","f","g","h","i","j","k","l","m","n","o","p","q","r","s","t","u","v","w","x","y","z"}, B45))))&gt;0, 26, 0)</f>
        <v>26</v>
      </c>
      <c r="Q45" cm="1">
        <f t="array" ref="Q45">IF(SUM(N(ISNUMBER(FIND({"A","B","C","D","E","F","G","H","I","J","K","L","M","N","O","P","Q","R","S","T","U","V","W","X","Y","Z"}, B45))))&gt;0, 26, 0)</f>
        <v>26</v>
      </c>
      <c r="R45" cm="1">
        <f t="array" ref="R45">IF(SUM(N(ISNUMBER(FIND({0,1,2,3,4,5,6,7,8,9}, B45))))&gt;0, 10, 0)</f>
        <v>10</v>
      </c>
      <c r="S45" cm="1">
        <f t="array" ref="S45">IF(LEN(B45)&gt;SUMPRODUCT(LEN(B45)-LEN(SUBSTITUTE(B45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5" s="2" t="s">
        <v>88</v>
      </c>
    </row>
    <row r="46" spans="1:21" ht="15.6">
      <c r="A46" s="3">
        <v>1</v>
      </c>
      <c r="B46" s="9" t="s">
        <v>382</v>
      </c>
      <c r="C46" t="s">
        <v>29</v>
      </c>
      <c r="D46">
        <f t="shared" si="1"/>
        <v>11</v>
      </c>
      <c r="E46">
        <f t="shared" si="2"/>
        <v>72.100477368454037</v>
      </c>
      <c r="F46" s="10">
        <v>3.4594320000000001</v>
      </c>
      <c r="G46" s="10">
        <f t="shared" si="0"/>
        <v>38.053752000000003</v>
      </c>
      <c r="H46" s="10">
        <v>4</v>
      </c>
      <c r="I46" s="20">
        <v>100000000000</v>
      </c>
      <c r="J46" s="10">
        <v>11</v>
      </c>
      <c r="K46" s="10"/>
      <c r="L46" s="10"/>
      <c r="P46" cm="1">
        <f t="array" ref="P46">IF(SUM(N(ISNUMBER(FIND({"a","b","c","d","e","f","g","h","i","j","k","l","m","n","o","p","q","r","s","t","u","v","w","x","y","z"}, B46))))&gt;0, 26, 0)</f>
        <v>26</v>
      </c>
      <c r="Q46" cm="1">
        <f t="array" ref="Q46">IF(SUM(N(ISNUMBER(FIND({"A","B","C","D","E","F","G","H","I","J","K","L","M","N","O","P","Q","R","S","T","U","V","W","X","Y","Z"}, B46))))&gt;0, 26, 0)</f>
        <v>0</v>
      </c>
      <c r="R46" cm="1">
        <f t="array" ref="R46">IF(SUM(N(ISNUMBER(FIND({0,1,2,3,4,5,6,7,8,9}, B46))))&gt;0, 10, 0)</f>
        <v>10</v>
      </c>
      <c r="S46" cm="1">
        <f t="array" ref="S46">IF(LEN(B46)&gt;SUMPRODUCT(LEN(B46)-LEN(SUBSTITUTE(B46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6" s="5" t="s">
        <v>104</v>
      </c>
    </row>
    <row r="47" spans="1:21" ht="15.6">
      <c r="A47" s="3">
        <v>1</v>
      </c>
      <c r="B47" s="7" t="s">
        <v>383</v>
      </c>
      <c r="C47" t="s">
        <v>29</v>
      </c>
      <c r="D47">
        <f t="shared" si="1"/>
        <v>12</v>
      </c>
      <c r="E47">
        <f t="shared" si="2"/>
        <v>78.655066220131687</v>
      </c>
      <c r="F47" s="10">
        <v>3.2516289999999999</v>
      </c>
      <c r="G47" s="10">
        <f t="shared" si="0"/>
        <v>39.019548</v>
      </c>
      <c r="H47" s="10">
        <v>4</v>
      </c>
      <c r="I47" s="20">
        <v>1000000000000</v>
      </c>
      <c r="J47" s="10">
        <v>12</v>
      </c>
      <c r="K47" s="10"/>
      <c r="L47" s="10"/>
      <c r="P47" cm="1">
        <f t="array" ref="P47">IF(SUM(N(ISNUMBER(FIND({"a","b","c","d","e","f","g","h","i","j","k","l","m","n","o","p","q","r","s","t","u","v","w","x","y","z"}, B47))))&gt;0, 26, 0)</f>
        <v>26</v>
      </c>
      <c r="Q47" cm="1">
        <f t="array" ref="Q47">IF(SUM(N(ISNUMBER(FIND({"A","B","C","D","E","F","G","H","I","J","K","L","M","N","O","P","Q","R","S","T","U","V","W","X","Y","Z"}, B47))))&gt;0, 26, 0)</f>
        <v>0</v>
      </c>
      <c r="R47" cm="1">
        <f t="array" ref="R47">IF(SUM(N(ISNUMBER(FIND({0,1,2,3,4,5,6,7,8,9}, B47))))&gt;0, 10, 0)</f>
        <v>0</v>
      </c>
      <c r="S47" cm="1">
        <f t="array" ref="S47">IF(LEN(B47)&gt;SUMPRODUCT(LEN(B47)-LEN(SUBSTITUTE(B47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7" s="2" t="s">
        <v>121</v>
      </c>
    </row>
    <row r="48" spans="1:21" ht="15.6">
      <c r="A48" s="3">
        <v>1</v>
      </c>
      <c r="B48" s="7" t="s">
        <v>384</v>
      </c>
      <c r="C48" t="s">
        <v>29</v>
      </c>
      <c r="D48">
        <f t="shared" si="1"/>
        <v>12</v>
      </c>
      <c r="E48">
        <f t="shared" si="2"/>
        <v>78.655066220131687</v>
      </c>
      <c r="F48" s="10">
        <v>3.4182959999999998</v>
      </c>
      <c r="G48" s="10">
        <f t="shared" si="0"/>
        <v>41.019551999999997</v>
      </c>
      <c r="H48" s="10">
        <v>4</v>
      </c>
      <c r="I48" s="20">
        <v>1000000000000</v>
      </c>
      <c r="J48" s="10">
        <v>12</v>
      </c>
      <c r="K48" s="10"/>
      <c r="L48" s="10"/>
      <c r="P48" cm="1">
        <f t="array" ref="P48">IF(SUM(N(ISNUMBER(FIND({"a","b","c","d","e","f","g","h","i","j","k","l","m","n","o","p","q","r","s","t","u","v","w","x","y","z"}, B48))))&gt;0, 26, 0)</f>
        <v>26</v>
      </c>
      <c r="Q48" cm="1">
        <f t="array" ref="Q48">IF(SUM(N(ISNUMBER(FIND({"A","B","C","D","E","F","G","H","I","J","K","L","M","N","O","P","Q","R","S","T","U","V","W","X","Y","Z"}, B48))))&gt;0, 26, 0)</f>
        <v>26</v>
      </c>
      <c r="R48" cm="1">
        <f t="array" ref="R48">IF(SUM(N(ISNUMBER(FIND({0,1,2,3,4,5,6,7,8,9}, B48))))&gt;0, 10, 0)</f>
        <v>0</v>
      </c>
      <c r="S48" cm="1">
        <f t="array" ref="S48">IF(LEN(B48)&gt;SUMPRODUCT(LEN(B48)-LEN(SUBSTITUTE(B48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8" s="2" t="s">
        <v>137</v>
      </c>
    </row>
    <row r="49" spans="1:21" ht="15.6">
      <c r="A49" s="3">
        <v>1</v>
      </c>
      <c r="B49" s="7" t="s">
        <v>385</v>
      </c>
      <c r="C49" t="s">
        <v>29</v>
      </c>
      <c r="D49">
        <f t="shared" si="1"/>
        <v>12</v>
      </c>
      <c r="E49">
        <f t="shared" si="2"/>
        <v>78.655066220131687</v>
      </c>
      <c r="F49" s="10">
        <v>3.2516289999999999</v>
      </c>
      <c r="G49" s="10">
        <f t="shared" si="0"/>
        <v>39.019548</v>
      </c>
      <c r="H49" s="10">
        <v>4</v>
      </c>
      <c r="I49" s="20">
        <v>1000000000000</v>
      </c>
      <c r="J49" s="10">
        <v>12</v>
      </c>
      <c r="K49" s="10"/>
      <c r="L49" s="10"/>
      <c r="P49" cm="1">
        <f t="array" ref="P49">IF(SUM(N(ISNUMBER(FIND({"a","b","c","d","e","f","g","h","i","j","k","l","m","n","o","p","q","r","s","t","u","v","w","x","y","z"}, B49))))&gt;0, 26, 0)</f>
        <v>26</v>
      </c>
      <c r="Q49" cm="1">
        <f t="array" ref="Q49">IF(SUM(N(ISNUMBER(FIND({"A","B","C","D","E","F","G","H","I","J","K","L","M","N","O","P","Q","R","S","T","U","V","W","X","Y","Z"}, B49))))&gt;0, 26, 0)</f>
        <v>0</v>
      </c>
      <c r="R49" cm="1">
        <f t="array" ref="R49">IF(SUM(N(ISNUMBER(FIND({0,1,2,3,4,5,6,7,8,9}, B49))))&gt;0, 10, 0)</f>
        <v>10</v>
      </c>
      <c r="S49" cm="1">
        <f t="array" ref="S49">IF(LEN(B49)&gt;SUMPRODUCT(LEN(B49)-LEN(SUBSTITUTE(B49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49" s="2" t="s">
        <v>153</v>
      </c>
    </row>
    <row r="50" spans="1:21" ht="15.6">
      <c r="A50" s="3">
        <v>1</v>
      </c>
      <c r="B50" s="7" t="s">
        <v>386</v>
      </c>
      <c r="C50" t="s">
        <v>29</v>
      </c>
      <c r="D50">
        <f t="shared" si="1"/>
        <v>12</v>
      </c>
      <c r="E50">
        <f t="shared" si="2"/>
        <v>78.655066220131687</v>
      </c>
      <c r="F50" s="10">
        <v>3.2516289999999999</v>
      </c>
      <c r="G50" s="10">
        <f t="shared" si="0"/>
        <v>39.019548</v>
      </c>
      <c r="H50" s="10">
        <v>4</v>
      </c>
      <c r="I50" s="20">
        <v>1000000000000</v>
      </c>
      <c r="J50" s="10">
        <v>12</v>
      </c>
      <c r="K50" s="10"/>
      <c r="L50" s="10"/>
      <c r="P50" cm="1">
        <f t="array" ref="P50">IF(SUM(N(ISNUMBER(FIND({"a","b","c","d","e","f","g","h","i","j","k","l","m","n","o","p","q","r","s","t","u","v","w","x","y","z"}, B50))))&gt;0, 26, 0)</f>
        <v>26</v>
      </c>
      <c r="Q50" cm="1">
        <f t="array" ref="Q50">IF(SUM(N(ISNUMBER(FIND({"A","B","C","D","E","F","G","H","I","J","K","L","M","N","O","P","Q","R","S","T","U","V","W","X","Y","Z"}, B50))))&gt;0, 26, 0)</f>
        <v>0</v>
      </c>
      <c r="R50" cm="1">
        <f t="array" ref="R50">IF(SUM(N(ISNUMBER(FIND({0,1,2,3,4,5,6,7,8,9}, B50))))&gt;0, 10, 0)</f>
        <v>10</v>
      </c>
      <c r="S50" cm="1">
        <f t="array" ref="S50">IF(LEN(B50)&gt;SUMPRODUCT(LEN(B50)-LEN(SUBSTITUTE(B50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0" s="2" t="s">
        <v>169</v>
      </c>
    </row>
    <row r="51" spans="1:21" ht="15.6">
      <c r="A51" s="3">
        <v>1</v>
      </c>
      <c r="B51" s="7" t="s">
        <v>387</v>
      </c>
      <c r="C51" t="s">
        <v>29</v>
      </c>
      <c r="D51">
        <f t="shared" si="1"/>
        <v>10</v>
      </c>
      <c r="E51">
        <f t="shared" si="2"/>
        <v>65.545888516776401</v>
      </c>
      <c r="F51" s="10">
        <v>3.3219280000000002</v>
      </c>
      <c r="G51" s="10">
        <f t="shared" si="0"/>
        <v>33.219280000000005</v>
      </c>
      <c r="H51" s="10">
        <v>3</v>
      </c>
      <c r="I51" s="20">
        <v>10000000000</v>
      </c>
      <c r="J51" s="10">
        <v>10</v>
      </c>
      <c r="K51" s="10"/>
      <c r="L51" s="10"/>
      <c r="P51" cm="1">
        <f t="array" ref="P51">IF(SUM(N(ISNUMBER(FIND({"a","b","c","d","e","f","g","h","i","j","k","l","m","n","o","p","q","r","s","t","u","v","w","x","y","z"}, B51))))&gt;0, 26, 0)</f>
        <v>26</v>
      </c>
      <c r="Q51" cm="1">
        <f t="array" ref="Q51">IF(SUM(N(ISNUMBER(FIND({"A","B","C","D","E","F","G","H","I","J","K","L","M","N","O","P","Q","R","S","T","U","V","W","X","Y","Z"}, B51))))&gt;0, 26, 0)</f>
        <v>0</v>
      </c>
      <c r="R51" cm="1">
        <f t="array" ref="R51">IF(SUM(N(ISNUMBER(FIND({0,1,2,3,4,5,6,7,8,9}, B51))))&gt;0, 10, 0)</f>
        <v>10</v>
      </c>
      <c r="S51" cm="1">
        <f t="array" ref="S51">IF(LEN(B51)&gt;SUMPRODUCT(LEN(B51)-LEN(SUBSTITUTE(B51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1" s="2" t="s">
        <v>186</v>
      </c>
    </row>
    <row r="52" spans="1:21" ht="15.6">
      <c r="A52" s="3">
        <v>1</v>
      </c>
      <c r="B52" s="7" t="s">
        <v>388</v>
      </c>
      <c r="C52" t="s">
        <v>29</v>
      </c>
      <c r="D52">
        <f t="shared" si="1"/>
        <v>10</v>
      </c>
      <c r="E52">
        <f t="shared" si="2"/>
        <v>65.545888516776401</v>
      </c>
      <c r="F52" s="10">
        <v>3.3219280000000002</v>
      </c>
      <c r="G52" s="10">
        <f t="shared" si="0"/>
        <v>33.219280000000005</v>
      </c>
      <c r="H52" s="10">
        <v>3</v>
      </c>
      <c r="I52" s="20">
        <v>10000000000</v>
      </c>
      <c r="J52" s="10">
        <v>10</v>
      </c>
      <c r="K52" s="10"/>
      <c r="L52" s="10"/>
      <c r="P52" cm="1">
        <f t="array" ref="P52">IF(SUM(N(ISNUMBER(FIND({"a","b","c","d","e","f","g","h","i","j","k","l","m","n","o","p","q","r","s","t","u","v","w","x","y","z"}, B52))))&gt;0, 26, 0)</f>
        <v>26</v>
      </c>
      <c r="Q52" cm="1">
        <f t="array" ref="Q52">IF(SUM(N(ISNUMBER(FIND({"A","B","C","D","E","F","G","H","I","J","K","L","M","N","O","P","Q","R","S","T","U","V","W","X","Y","Z"}, B52))))&gt;0, 26, 0)</f>
        <v>0</v>
      </c>
      <c r="R52" cm="1">
        <f t="array" ref="R52">IF(SUM(N(ISNUMBER(FIND({0,1,2,3,4,5,6,7,8,9}, B52))))&gt;0, 10, 0)</f>
        <v>10</v>
      </c>
      <c r="S52" cm="1">
        <f t="array" ref="S52">IF(LEN(B52)&gt;SUMPRODUCT(LEN(B52)-LEN(SUBSTITUTE(B52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2" s="2" t="s">
        <v>202</v>
      </c>
    </row>
    <row r="53" spans="1:21" ht="15.6">
      <c r="A53" s="3">
        <v>1</v>
      </c>
      <c r="B53" s="7" t="s">
        <v>389</v>
      </c>
      <c r="C53" t="s">
        <v>29</v>
      </c>
      <c r="D53">
        <f t="shared" si="1"/>
        <v>14</v>
      </c>
      <c r="E53">
        <f t="shared" si="2"/>
        <v>91.764243923486958</v>
      </c>
      <c r="F53" s="10">
        <v>3.664498</v>
      </c>
      <c r="G53" s="10">
        <f t="shared" si="0"/>
        <v>51.302971999999997</v>
      </c>
      <c r="H53" s="10">
        <v>4</v>
      </c>
      <c r="I53" s="20">
        <v>45400000000000</v>
      </c>
      <c r="J53" s="10">
        <v>13.65667</v>
      </c>
      <c r="K53" s="10"/>
      <c r="L53" s="10"/>
      <c r="P53" cm="1">
        <f t="array" ref="P53">IF(SUM(N(ISNUMBER(FIND({"a","b","c","d","e","f","g","h","i","j","k","l","m","n","o","p","q","r","s","t","u","v","w","x","y","z"}, B53))))&gt;0, 26, 0)</f>
        <v>26</v>
      </c>
      <c r="Q53" cm="1">
        <f t="array" ref="Q53">IF(SUM(N(ISNUMBER(FIND({"A","B","C","D","E","F","G","H","I","J","K","L","M","N","O","P","Q","R","S","T","U","V","W","X","Y","Z"}, B53))))&gt;0, 26, 0)</f>
        <v>0</v>
      </c>
      <c r="R53" cm="1">
        <f t="array" ref="R53">IF(SUM(N(ISNUMBER(FIND({0,1,2,3,4,5,6,7,8,9}, B53))))&gt;0, 10, 0)</f>
        <v>10</v>
      </c>
      <c r="S53" cm="1">
        <f t="array" ref="S53">IF(LEN(B53)&gt;SUMPRODUCT(LEN(B53)-LEN(SUBSTITUTE(B53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3" s="2" t="s">
        <v>218</v>
      </c>
    </row>
    <row r="54" spans="1:21" ht="15.6">
      <c r="A54" s="3">
        <v>1</v>
      </c>
      <c r="B54" s="9" t="s">
        <v>390</v>
      </c>
      <c r="C54" t="s">
        <v>29</v>
      </c>
      <c r="D54">
        <f t="shared" si="1"/>
        <v>13</v>
      </c>
      <c r="E54">
        <f t="shared" si="2"/>
        <v>85.209655071809323</v>
      </c>
      <c r="F54" s="10">
        <v>3.2389009999999998</v>
      </c>
      <c r="G54" s="10">
        <f t="shared" si="0"/>
        <v>42.105712999999994</v>
      </c>
      <c r="H54" s="10">
        <v>4</v>
      </c>
      <c r="I54" s="20">
        <v>10000000000000</v>
      </c>
      <c r="J54" s="10">
        <v>13</v>
      </c>
      <c r="K54" s="10"/>
      <c r="L54" s="10"/>
      <c r="P54" cm="1">
        <f t="array" ref="P54">IF(SUM(N(ISNUMBER(FIND({"a","b","c","d","e","f","g","h","i","j","k","l","m","n","o","p","q","r","s","t","u","v","w","x","y","z"}, B54))))&gt;0, 26, 0)</f>
        <v>26</v>
      </c>
      <c r="Q54" cm="1">
        <f t="array" ref="Q54">IF(SUM(N(ISNUMBER(FIND({"A","B","C","D","E","F","G","H","I","J","K","L","M","N","O","P","Q","R","S","T","U","V","W","X","Y","Z"}, B54))))&gt;0, 26, 0)</f>
        <v>0</v>
      </c>
      <c r="R54" cm="1">
        <f t="array" ref="R54">IF(SUM(N(ISNUMBER(FIND({0,1,2,3,4,5,6,7,8,9}, B54))))&gt;0, 10, 0)</f>
        <v>0</v>
      </c>
      <c r="S54" cm="1">
        <f t="array" ref="S54">IF(LEN(B54)&gt;SUMPRODUCT(LEN(B54)-LEN(SUBSTITUTE(B54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4" s="5" t="s">
        <v>234</v>
      </c>
    </row>
    <row r="55" spans="1:21" ht="15.6">
      <c r="A55" s="3">
        <v>1</v>
      </c>
      <c r="B55" s="7" t="s">
        <v>391</v>
      </c>
      <c r="C55" t="s">
        <v>29</v>
      </c>
      <c r="D55">
        <f t="shared" si="1"/>
        <v>12</v>
      </c>
      <c r="E55">
        <f t="shared" si="2"/>
        <v>78.655066220131687</v>
      </c>
      <c r="F55" s="10">
        <v>3.0220549999999999</v>
      </c>
      <c r="G55" s="10">
        <f t="shared" si="0"/>
        <v>36.264659999999999</v>
      </c>
      <c r="H55" s="10">
        <v>4</v>
      </c>
      <c r="I55" s="20">
        <v>1000000000000</v>
      </c>
      <c r="J55" s="10">
        <v>12</v>
      </c>
      <c r="K55" s="10"/>
      <c r="L55" s="10"/>
      <c r="P55" cm="1">
        <f t="array" ref="P55">IF(SUM(N(ISNUMBER(FIND({"a","b","c","d","e","f","g","h","i","j","k","l","m","n","o","p","q","r","s","t","u","v","w","x","y","z"}, B55))))&gt;0, 26, 0)</f>
        <v>26</v>
      </c>
      <c r="Q55" cm="1">
        <f t="array" ref="Q55">IF(SUM(N(ISNUMBER(FIND({"A","B","C","D","E","F","G","H","I","J","K","L","M","N","O","P","Q","R","S","T","U","V","W","X","Y","Z"}, B55))))&gt;0, 26, 0)</f>
        <v>26</v>
      </c>
      <c r="R55" cm="1">
        <f t="array" ref="R55">IF(SUM(N(ISNUMBER(FIND({0,1,2,3,4,5,6,7,8,9}, B55))))&gt;0, 10, 0)</f>
        <v>10</v>
      </c>
      <c r="S55" cm="1">
        <f t="array" ref="S55">IF(LEN(B55)&gt;SUMPRODUCT(LEN(B55)-LEN(SUBSTITUTE(B55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5" s="2" t="s">
        <v>250</v>
      </c>
    </row>
    <row r="56" spans="1:21" ht="15.6">
      <c r="A56" s="3">
        <v>1</v>
      </c>
      <c r="B56" s="7" t="s">
        <v>392</v>
      </c>
      <c r="C56" t="s">
        <v>29</v>
      </c>
      <c r="D56">
        <f t="shared" si="1"/>
        <v>11</v>
      </c>
      <c r="E56">
        <f t="shared" si="2"/>
        <v>72.100477368454037</v>
      </c>
      <c r="F56" s="10">
        <v>3.0957949999999999</v>
      </c>
      <c r="G56" s="10">
        <f t="shared" si="0"/>
        <v>34.053744999999999</v>
      </c>
      <c r="H56" s="10">
        <v>4</v>
      </c>
      <c r="I56" s="20">
        <v>100000000000</v>
      </c>
      <c r="J56" s="10">
        <v>11</v>
      </c>
      <c r="K56" s="10"/>
      <c r="L56" s="10"/>
      <c r="P56" cm="1">
        <f t="array" ref="P56">IF(SUM(N(ISNUMBER(FIND({"a","b","c","d","e","f","g","h","i","j","k","l","m","n","o","p","q","r","s","t","u","v","w","x","y","z"}, B56))))&gt;0, 26, 0)</f>
        <v>26</v>
      </c>
      <c r="Q56" cm="1">
        <f t="array" ref="Q56">IF(SUM(N(ISNUMBER(FIND({"A","B","C","D","E","F","G","H","I","J","K","L","M","N","O","P","Q","R","S","T","U","V","W","X","Y","Z"}, B56))))&gt;0, 26, 0)</f>
        <v>0</v>
      </c>
      <c r="R56" cm="1">
        <f t="array" ref="R56">IF(SUM(N(ISNUMBER(FIND({0,1,2,3,4,5,6,7,8,9}, B56))))&gt;0, 10, 0)</f>
        <v>0</v>
      </c>
      <c r="S56" cm="1">
        <f t="array" ref="S56">IF(LEN(B56)&gt;SUMPRODUCT(LEN(B56)-LEN(SUBSTITUTE(B56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6" s="2" t="s">
        <v>266</v>
      </c>
    </row>
    <row r="57" spans="1:21" ht="15.6">
      <c r="A57" s="3">
        <v>1</v>
      </c>
      <c r="B57" s="7" t="s">
        <v>393</v>
      </c>
      <c r="C57" t="s">
        <v>29</v>
      </c>
      <c r="D57">
        <f t="shared" si="1"/>
        <v>9</v>
      </c>
      <c r="E57">
        <f t="shared" si="2"/>
        <v>58.991299665098765</v>
      </c>
      <c r="F57" s="10">
        <v>2.9477030000000002</v>
      </c>
      <c r="G57" s="10">
        <f t="shared" si="0"/>
        <v>26.529327000000002</v>
      </c>
      <c r="H57" s="10">
        <v>3</v>
      </c>
      <c r="I57" s="20">
        <v>1000000000</v>
      </c>
      <c r="J57" s="10">
        <v>9</v>
      </c>
      <c r="K57" s="10"/>
      <c r="L57" s="10"/>
      <c r="P57" cm="1">
        <f t="array" ref="P57">IF(SUM(N(ISNUMBER(FIND({"a","b","c","d","e","f","g","h","i","j","k","l","m","n","o","p","q","r","s","t","u","v","w","x","y","z"}, B57))))&gt;0, 26, 0)</f>
        <v>26</v>
      </c>
      <c r="Q57" cm="1">
        <f t="array" ref="Q57">IF(SUM(N(ISNUMBER(FIND({"A","B","C","D","E","F","G","H","I","J","K","L","M","N","O","P","Q","R","S","T","U","V","W","X","Y","Z"}, B57))))&gt;0, 26, 0)</f>
        <v>0</v>
      </c>
      <c r="R57" cm="1">
        <f t="array" ref="R57">IF(SUM(N(ISNUMBER(FIND({0,1,2,3,4,5,6,7,8,9}, B57))))&gt;0, 10, 0)</f>
        <v>10</v>
      </c>
      <c r="S57" cm="1">
        <f t="array" ref="S57">IF(LEN(B57)&gt;SUMPRODUCT(LEN(B57)-LEN(SUBSTITUTE(B57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7" s="2" t="s">
        <v>282</v>
      </c>
    </row>
    <row r="58" spans="1:21" ht="15.6">
      <c r="A58" s="3">
        <v>1</v>
      </c>
      <c r="B58" s="7" t="s">
        <v>394</v>
      </c>
      <c r="C58" t="s">
        <v>29</v>
      </c>
      <c r="D58">
        <f t="shared" si="1"/>
        <v>11</v>
      </c>
      <c r="E58">
        <f t="shared" si="2"/>
        <v>72.100477368454037</v>
      </c>
      <c r="F58" s="10">
        <v>3.4594320000000001</v>
      </c>
      <c r="G58" s="10">
        <f t="shared" si="0"/>
        <v>38.053752000000003</v>
      </c>
      <c r="H58" s="10">
        <v>4</v>
      </c>
      <c r="I58" s="20">
        <v>100000000000</v>
      </c>
      <c r="J58" s="10">
        <v>11</v>
      </c>
      <c r="K58" s="10"/>
      <c r="L58" s="10"/>
      <c r="P58" cm="1">
        <f t="array" ref="P58">IF(SUM(N(ISNUMBER(FIND({"a","b","c","d","e","f","g","h","i","j","k","l","m","n","o","p","q","r","s","t","u","v","w","x","y","z"}, B58))))&gt;0, 26, 0)</f>
        <v>26</v>
      </c>
      <c r="Q58" cm="1">
        <f t="array" ref="Q58">IF(SUM(N(ISNUMBER(FIND({"A","B","C","D","E","F","G","H","I","J","K","L","M","N","O","P","Q","R","S","T","U","V","W","X","Y","Z"}, B58))))&gt;0, 26, 0)</f>
        <v>26</v>
      </c>
      <c r="R58" cm="1">
        <f t="array" ref="R58">IF(SUM(N(ISNUMBER(FIND({0,1,2,3,4,5,6,7,8,9}, B58))))&gt;0, 10, 0)</f>
        <v>0</v>
      </c>
      <c r="S58" cm="1">
        <f t="array" ref="S58">IF(LEN(B58)&gt;SUMPRODUCT(LEN(B58)-LEN(SUBSTITUTE(B58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8" s="2" t="s">
        <v>299</v>
      </c>
    </row>
    <row r="59" spans="1:21" ht="15.6">
      <c r="A59" s="3">
        <v>1</v>
      </c>
      <c r="B59" s="7" t="s">
        <v>395</v>
      </c>
      <c r="C59" t="s">
        <v>29</v>
      </c>
      <c r="D59">
        <f t="shared" si="1"/>
        <v>16</v>
      </c>
      <c r="E59">
        <f t="shared" si="2"/>
        <v>104.87342162684224</v>
      </c>
      <c r="F59" s="10">
        <v>3.875</v>
      </c>
      <c r="G59" s="10">
        <f t="shared" si="0"/>
        <v>62</v>
      </c>
      <c r="H59" s="10">
        <v>4</v>
      </c>
      <c r="I59" s="20">
        <v>1E+16</v>
      </c>
      <c r="J59" s="10">
        <v>16</v>
      </c>
      <c r="K59" s="10"/>
      <c r="L59" s="10"/>
      <c r="P59" cm="1">
        <f t="array" ref="P59">IF(SUM(N(ISNUMBER(FIND({"a","b","c","d","e","f","g","h","i","j","k","l","m","n","o","p","q","r","s","t","u","v","w","x","y","z"}, B59))))&gt;0, 26, 0)</f>
        <v>26</v>
      </c>
      <c r="Q59" cm="1">
        <f t="array" ref="Q59">IF(SUM(N(ISNUMBER(FIND({"A","B","C","D","E","F","G","H","I","J","K","L","M","N","O","P","Q","R","S","T","U","V","W","X","Y","Z"}, B59))))&gt;0, 26, 0)</f>
        <v>26</v>
      </c>
      <c r="R59" cm="1">
        <f t="array" ref="R59">IF(SUM(N(ISNUMBER(FIND({0,1,2,3,4,5,6,7,8,9}, B59))))&gt;0, 10, 0)</f>
        <v>0</v>
      </c>
      <c r="S59" cm="1">
        <f t="array" ref="S59">IF(LEN(B59)&gt;SUMPRODUCT(LEN(B59)-LEN(SUBSTITUTE(B59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59" s="2" t="s">
        <v>315</v>
      </c>
    </row>
    <row r="60" spans="1:21" ht="15.6">
      <c r="A60" s="3">
        <v>1</v>
      </c>
      <c r="B60" s="7" t="s">
        <v>396</v>
      </c>
      <c r="C60" t="s">
        <v>29</v>
      </c>
      <c r="D60">
        <f t="shared" si="1"/>
        <v>13</v>
      </c>
      <c r="E60">
        <f t="shared" si="2"/>
        <v>85.209655071809323</v>
      </c>
      <c r="F60" s="10">
        <v>3.5465939999999998</v>
      </c>
      <c r="G60" s="10">
        <f t="shared" si="0"/>
        <v>46.105722</v>
      </c>
      <c r="H60" s="10">
        <v>4</v>
      </c>
      <c r="I60" s="20">
        <v>10000000000000</v>
      </c>
      <c r="J60" s="10">
        <v>13</v>
      </c>
      <c r="K60" s="10"/>
      <c r="L60" s="10"/>
      <c r="P60" cm="1">
        <f t="array" ref="P60">IF(SUM(N(ISNUMBER(FIND({"a","b","c","d","e","f","g","h","i","j","k","l","m","n","o","p","q","r","s","t","u","v","w","x","y","z"}, B60))))&gt;0, 26, 0)</f>
        <v>26</v>
      </c>
      <c r="Q60" cm="1">
        <f t="array" ref="Q60">IF(SUM(N(ISNUMBER(FIND({"A","B","C","D","E","F","G","H","I","J","K","L","M","N","O","P","Q","R","S","T","U","V","W","X","Y","Z"}, B60))))&gt;0, 26, 0)</f>
        <v>0</v>
      </c>
      <c r="R60" cm="1">
        <f t="array" ref="R60">IF(SUM(N(ISNUMBER(FIND({0,1,2,3,4,5,6,7,8,9}, B60))))&gt;0, 10, 0)</f>
        <v>0</v>
      </c>
      <c r="S60" cm="1">
        <f t="array" ref="S60">IF(LEN(B60)&gt;SUMPRODUCT(LEN(B60)-LEN(SUBSTITUTE(B60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0" s="2" t="s">
        <v>330</v>
      </c>
    </row>
    <row r="61" spans="1:21" ht="15.6">
      <c r="A61" s="3">
        <v>1</v>
      </c>
      <c r="B61" s="7" t="s">
        <v>397</v>
      </c>
      <c r="C61" t="s">
        <v>29</v>
      </c>
      <c r="D61">
        <f t="shared" si="1"/>
        <v>12</v>
      </c>
      <c r="E61">
        <f t="shared" si="2"/>
        <v>78.655066220131687</v>
      </c>
      <c r="F61" s="10">
        <v>3.0849630000000001</v>
      </c>
      <c r="G61" s="10">
        <f t="shared" si="0"/>
        <v>37.019556000000001</v>
      </c>
      <c r="H61" s="10">
        <v>4</v>
      </c>
      <c r="I61" s="20">
        <v>1000000000000</v>
      </c>
      <c r="J61" s="10">
        <v>12</v>
      </c>
      <c r="K61" s="10"/>
      <c r="L61" s="10"/>
      <c r="P61" cm="1">
        <f t="array" ref="P61">IF(SUM(N(ISNUMBER(FIND({"a","b","c","d","e","f","g","h","i","j","k","l","m","n","o","p","q","r","s","t","u","v","w","x","y","z"}, B61))))&gt;0, 26, 0)</f>
        <v>26</v>
      </c>
      <c r="Q61" cm="1">
        <f t="array" ref="Q61">IF(SUM(N(ISNUMBER(FIND({"A","B","C","D","E","F","G","H","I","J","K","L","M","N","O","P","Q","R","S","T","U","V","W","X","Y","Z"}, B61))))&gt;0, 26, 0)</f>
        <v>0</v>
      </c>
      <c r="R61" cm="1">
        <f t="array" ref="R61">IF(SUM(N(ISNUMBER(FIND({0,1,2,3,4,5,6,7,8,9}, B61))))&gt;0, 10, 0)</f>
        <v>0</v>
      </c>
      <c r="S61" cm="1">
        <f t="array" ref="S61">IF(LEN(B61)&gt;SUMPRODUCT(LEN(B61)-LEN(SUBSTITUTE(B61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1" s="2" t="s">
        <v>346</v>
      </c>
    </row>
    <row r="62" spans="1:21" ht="15.6">
      <c r="A62" s="3">
        <v>1</v>
      </c>
      <c r="B62" s="7" t="s">
        <v>398</v>
      </c>
      <c r="C62" t="s">
        <v>29</v>
      </c>
      <c r="D62">
        <f t="shared" si="1"/>
        <v>11</v>
      </c>
      <c r="E62">
        <f t="shared" si="2"/>
        <v>72.100477368454037</v>
      </c>
      <c r="F62" s="10">
        <v>3.2776130000000001</v>
      </c>
      <c r="G62" s="10">
        <f t="shared" si="0"/>
        <v>36.053743000000004</v>
      </c>
      <c r="H62" s="10">
        <v>4</v>
      </c>
      <c r="I62" s="20">
        <v>45500000000</v>
      </c>
      <c r="J62" s="10">
        <v>10.657629999999999</v>
      </c>
      <c r="K62" s="10"/>
      <c r="L62" s="10"/>
      <c r="P62" cm="1">
        <f t="array" ref="P62">IF(SUM(N(ISNUMBER(FIND({"a","b","c","d","e","f","g","h","i","j","k","l","m","n","o","p","q","r","s","t","u","v","w","x","y","z"}, B62))))&gt;0, 26, 0)</f>
        <v>26</v>
      </c>
      <c r="Q62" cm="1">
        <f t="array" ref="Q62">IF(SUM(N(ISNUMBER(FIND({"A","B","C","D","E","F","G","H","I","J","K","L","M","N","O","P","Q","R","S","T","U","V","W","X","Y","Z"}, B62))))&gt;0, 26, 0)</f>
        <v>26</v>
      </c>
      <c r="R62" cm="1">
        <f t="array" ref="R62">IF(SUM(N(ISNUMBER(FIND({0,1,2,3,4,5,6,7,8,9}, B62))))&gt;0, 10, 0)</f>
        <v>0</v>
      </c>
      <c r="S62" cm="1">
        <f t="array" ref="S62">IF(LEN(B62)&gt;SUMPRODUCT(LEN(B62)-LEN(SUBSTITUTE(B62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2" s="2" t="s">
        <v>40</v>
      </c>
    </row>
    <row r="63" spans="1:21" ht="15.6">
      <c r="A63" s="3">
        <v>1</v>
      </c>
      <c r="B63" s="7" t="s">
        <v>399</v>
      </c>
      <c r="C63" t="s">
        <v>29</v>
      </c>
      <c r="D63">
        <f t="shared" si="1"/>
        <v>9</v>
      </c>
      <c r="E63">
        <f t="shared" si="2"/>
        <v>58.991299665098765</v>
      </c>
      <c r="F63" s="10">
        <v>3.1699250000000001</v>
      </c>
      <c r="G63" s="10">
        <f t="shared" si="0"/>
        <v>28.529325</v>
      </c>
      <c r="H63" s="10">
        <v>3</v>
      </c>
      <c r="I63" s="20">
        <v>1000000000</v>
      </c>
      <c r="J63" s="10">
        <v>9</v>
      </c>
      <c r="K63" s="10"/>
      <c r="L63" s="10"/>
      <c r="P63" cm="1">
        <f t="array" ref="P63">IF(SUM(N(ISNUMBER(FIND({"a","b","c","d","e","f","g","h","i","j","k","l","m","n","o","p","q","r","s","t","u","v","w","x","y","z"}, B63))))&gt;0, 26, 0)</f>
        <v>26</v>
      </c>
      <c r="Q63" cm="1">
        <f t="array" ref="Q63">IF(SUM(N(ISNUMBER(FIND({"A","B","C","D","E","F","G","H","I","J","K","L","M","N","O","P","Q","R","S","T","U","V","W","X","Y","Z"}, B63))))&gt;0, 26, 0)</f>
        <v>0</v>
      </c>
      <c r="R63" cm="1">
        <f t="array" ref="R63">IF(SUM(N(ISNUMBER(FIND({0,1,2,3,4,5,6,7,8,9}, B63))))&gt;0, 10, 0)</f>
        <v>10</v>
      </c>
      <c r="S63" cm="1">
        <f t="array" ref="S63">IF(LEN(B63)&gt;SUMPRODUCT(LEN(B63)-LEN(SUBSTITUTE(B63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3" s="2" t="s">
        <v>57</v>
      </c>
    </row>
    <row r="64" spans="1:21" ht="15.6">
      <c r="A64" s="3">
        <v>1</v>
      </c>
      <c r="B64" s="7" t="s">
        <v>400</v>
      </c>
      <c r="C64" t="s">
        <v>29</v>
      </c>
      <c r="D64">
        <f t="shared" si="1"/>
        <v>11</v>
      </c>
      <c r="E64">
        <f t="shared" si="2"/>
        <v>72.100477368454037</v>
      </c>
      <c r="F64" s="10">
        <v>3.2776130000000001</v>
      </c>
      <c r="G64" s="10">
        <f t="shared" si="0"/>
        <v>36.053743000000004</v>
      </c>
      <c r="H64" s="10">
        <v>4</v>
      </c>
      <c r="I64" s="20">
        <v>100000000000</v>
      </c>
      <c r="J64" s="10">
        <v>11</v>
      </c>
      <c r="K64" s="10"/>
      <c r="L64" s="10"/>
      <c r="P64" cm="1">
        <f t="array" ref="P64">IF(SUM(N(ISNUMBER(FIND({"a","b","c","d","e","f","g","h","i","j","k","l","m","n","o","p","q","r","s","t","u","v","w","x","y","z"}, B64))))&gt;0, 26, 0)</f>
        <v>26</v>
      </c>
      <c r="Q64" cm="1">
        <f t="array" ref="Q64">IF(SUM(N(ISNUMBER(FIND({"A","B","C","D","E","F","G","H","I","J","K","L","M","N","O","P","Q","R","S","T","U","V","W","X","Y","Z"}, B64))))&gt;0, 26, 0)</f>
        <v>0</v>
      </c>
      <c r="R64" cm="1">
        <f t="array" ref="R64">IF(SUM(N(ISNUMBER(FIND({0,1,2,3,4,5,6,7,8,9}, B64))))&gt;0, 10, 0)</f>
        <v>10</v>
      </c>
      <c r="S64" cm="1">
        <f t="array" ref="S64">IF(LEN(B64)&gt;SUMPRODUCT(LEN(B64)-LEN(SUBSTITUTE(B64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4" s="2" t="s">
        <v>73</v>
      </c>
    </row>
    <row r="65" spans="1:21" ht="15.6">
      <c r="A65" s="3">
        <v>1</v>
      </c>
      <c r="B65" s="7" t="s">
        <v>401</v>
      </c>
      <c r="C65" t="s">
        <v>29</v>
      </c>
      <c r="D65">
        <f t="shared" si="1"/>
        <v>13</v>
      </c>
      <c r="E65">
        <f t="shared" si="2"/>
        <v>85.209655071809323</v>
      </c>
      <c r="F65" s="10">
        <v>3.2389009999999998</v>
      </c>
      <c r="G65" s="10">
        <f t="shared" si="0"/>
        <v>42.105712999999994</v>
      </c>
      <c r="H65" s="10">
        <v>4</v>
      </c>
      <c r="I65" s="20">
        <v>10000000000000</v>
      </c>
      <c r="J65" s="10">
        <v>13</v>
      </c>
      <c r="K65" s="10"/>
      <c r="L65" s="10"/>
      <c r="P65" cm="1">
        <f t="array" ref="P65">IF(SUM(N(ISNUMBER(FIND({"a","b","c","d","e","f","g","h","i","j","k","l","m","n","o","p","q","r","s","t","u","v","w","x","y","z"}, B65))))&gt;0, 26, 0)</f>
        <v>26</v>
      </c>
      <c r="Q65" cm="1">
        <f t="array" ref="Q65">IF(SUM(N(ISNUMBER(FIND({"A","B","C","D","E","F","G","H","I","J","K","L","M","N","O","P","Q","R","S","T","U","V","W","X","Y","Z"}, B65))))&gt;0, 26, 0)</f>
        <v>26</v>
      </c>
      <c r="R65" cm="1">
        <f t="array" ref="R65">IF(SUM(N(ISNUMBER(FIND({0,1,2,3,4,5,6,7,8,9}, B65))))&gt;0, 10, 0)</f>
        <v>10</v>
      </c>
      <c r="S65" cm="1">
        <f t="array" ref="S65">IF(LEN(B65)&gt;SUMPRODUCT(LEN(B65)-LEN(SUBSTITUTE(B65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5" s="2" t="s">
        <v>89</v>
      </c>
    </row>
    <row r="66" spans="1:21" ht="15.6">
      <c r="A66" s="3">
        <v>1</v>
      </c>
      <c r="B66" s="7" t="s">
        <v>402</v>
      </c>
      <c r="C66" t="s">
        <v>29</v>
      </c>
      <c r="D66">
        <f t="shared" si="1"/>
        <v>9</v>
      </c>
      <c r="E66">
        <f t="shared" si="2"/>
        <v>58.991299665098765</v>
      </c>
      <c r="F66" s="10">
        <v>2.9477030000000002</v>
      </c>
      <c r="G66" s="10">
        <f t="shared" ref="G66:G129" si="3">F66 * D66</f>
        <v>26.529327000000002</v>
      </c>
      <c r="H66" s="10">
        <v>3</v>
      </c>
      <c r="I66" s="20">
        <v>1000000000</v>
      </c>
      <c r="J66" s="10">
        <v>9</v>
      </c>
      <c r="K66" s="10"/>
      <c r="L66" s="10"/>
      <c r="P66" cm="1">
        <f t="array" ref="P66">IF(SUM(N(ISNUMBER(FIND({"a","b","c","d","e","f","g","h","i","j","k","l","m","n","o","p","q","r","s","t","u","v","w","x","y","z"}, B66))))&gt;0, 26, 0)</f>
        <v>26</v>
      </c>
      <c r="Q66" cm="1">
        <f t="array" ref="Q66">IF(SUM(N(ISNUMBER(FIND({"A","B","C","D","E","F","G","H","I","J","K","L","M","N","O","P","Q","R","S","T","U","V","W","X","Y","Z"}, B66))))&gt;0, 26, 0)</f>
        <v>0</v>
      </c>
      <c r="R66" cm="1">
        <f t="array" ref="R66">IF(SUM(N(ISNUMBER(FIND({0,1,2,3,4,5,6,7,8,9}, B66))))&gt;0, 10, 0)</f>
        <v>10</v>
      </c>
      <c r="S66" cm="1">
        <f t="array" ref="S66">IF(LEN(B66)&gt;SUMPRODUCT(LEN(B66)-LEN(SUBSTITUTE(B66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6" s="2" t="s">
        <v>105</v>
      </c>
    </row>
    <row r="67" spans="1:21" ht="15.6">
      <c r="A67" s="3">
        <v>1</v>
      </c>
      <c r="B67" s="7" t="s">
        <v>403</v>
      </c>
      <c r="C67" t="s">
        <v>29</v>
      </c>
      <c r="D67">
        <f t="shared" ref="D67:D130" si="4">LEN(B67)</f>
        <v>12</v>
      </c>
      <c r="E67">
        <f t="shared" ref="E67:E130" si="5">IMLOG2(94) * D67</f>
        <v>78.655066220131687</v>
      </c>
      <c r="F67" s="10">
        <v>3.4182959999999998</v>
      </c>
      <c r="G67" s="10">
        <f t="shared" si="3"/>
        <v>41.019551999999997</v>
      </c>
      <c r="H67" s="10">
        <v>4</v>
      </c>
      <c r="I67" s="20">
        <v>1000000000000</v>
      </c>
      <c r="J67" s="10">
        <v>12</v>
      </c>
      <c r="K67" s="10"/>
      <c r="L67" s="10"/>
      <c r="P67" cm="1">
        <f t="array" ref="P67">IF(SUM(N(ISNUMBER(FIND({"a","b","c","d","e","f","g","h","i","j","k","l","m","n","o","p","q","r","s","t","u","v","w","x","y","z"}, B67))))&gt;0, 26, 0)</f>
        <v>26</v>
      </c>
      <c r="Q67" cm="1">
        <f t="array" ref="Q67">IF(SUM(N(ISNUMBER(FIND({"A","B","C","D","E","F","G","H","I","J","K","L","M","N","O","P","Q","R","S","T","U","V","W","X","Y","Z"}, B67))))&gt;0, 26, 0)</f>
        <v>0</v>
      </c>
      <c r="R67" cm="1">
        <f t="array" ref="R67">IF(SUM(N(ISNUMBER(FIND({0,1,2,3,4,5,6,7,8,9}, B67))))&gt;0, 10, 0)</f>
        <v>10</v>
      </c>
      <c r="S67" cm="1">
        <f t="array" ref="S67">IF(LEN(B67)&gt;SUMPRODUCT(LEN(B67)-LEN(SUBSTITUTE(B67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7" s="2" t="s">
        <v>122</v>
      </c>
    </row>
    <row r="68" spans="1:21" ht="15.6">
      <c r="A68" s="3">
        <v>1</v>
      </c>
      <c r="B68" s="7" t="s">
        <v>404</v>
      </c>
      <c r="C68" t="s">
        <v>29</v>
      </c>
      <c r="D68">
        <f t="shared" si="4"/>
        <v>8</v>
      </c>
      <c r="E68">
        <f t="shared" si="5"/>
        <v>52.436710813421122</v>
      </c>
      <c r="F68" s="10">
        <v>3</v>
      </c>
      <c r="G68" s="10">
        <f t="shared" si="3"/>
        <v>24</v>
      </c>
      <c r="H68" s="10">
        <v>2</v>
      </c>
      <c r="I68" s="20">
        <v>100000000</v>
      </c>
      <c r="J68" s="10">
        <v>8</v>
      </c>
      <c r="K68" s="10"/>
      <c r="L68" s="10"/>
      <c r="P68" cm="1">
        <f t="array" ref="P68">IF(SUM(N(ISNUMBER(FIND({"a","b","c","d","e","f","g","h","i","j","k","l","m","n","o","p","q","r","s","t","u","v","w","x","y","z"}, B68))))&gt;0, 26, 0)</f>
        <v>26</v>
      </c>
      <c r="Q68" cm="1">
        <f t="array" ref="Q68">IF(SUM(N(ISNUMBER(FIND({"A","B","C","D","E","F","G","H","I","J","K","L","M","N","O","P","Q","R","S","T","U","V","W","X","Y","Z"}, B68))))&gt;0, 26, 0)</f>
        <v>0</v>
      </c>
      <c r="R68" cm="1">
        <f t="array" ref="R68">IF(SUM(N(ISNUMBER(FIND({0,1,2,3,4,5,6,7,8,9}, B68))))&gt;0, 10, 0)</f>
        <v>10</v>
      </c>
      <c r="S68" cm="1">
        <f t="array" ref="S68">IF(LEN(B68)&gt;SUMPRODUCT(LEN(B68)-LEN(SUBSTITUTE(B68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8" s="2" t="s">
        <v>138</v>
      </c>
    </row>
    <row r="69" spans="1:21" ht="15.6">
      <c r="A69" s="3">
        <v>1</v>
      </c>
      <c r="B69" s="7" t="s">
        <v>405</v>
      </c>
      <c r="C69" t="s">
        <v>29</v>
      </c>
      <c r="D69">
        <f t="shared" si="4"/>
        <v>10</v>
      </c>
      <c r="E69">
        <f t="shared" si="5"/>
        <v>65.545888516776401</v>
      </c>
      <c r="F69" s="10">
        <v>2.9219279999999999</v>
      </c>
      <c r="G69" s="10">
        <f t="shared" si="3"/>
        <v>29.219279999999998</v>
      </c>
      <c r="H69" s="10">
        <v>3</v>
      </c>
      <c r="I69" s="20">
        <v>10000000000</v>
      </c>
      <c r="J69" s="10">
        <v>10</v>
      </c>
      <c r="K69" s="10"/>
      <c r="L69" s="10"/>
      <c r="P69" cm="1">
        <f t="array" ref="P69">IF(SUM(N(ISNUMBER(FIND({"a","b","c","d","e","f","g","h","i","j","k","l","m","n","o","p","q","r","s","t","u","v","w","x","y","z"}, B69))))&gt;0, 26, 0)</f>
        <v>26</v>
      </c>
      <c r="Q69" cm="1">
        <f t="array" ref="Q69">IF(SUM(N(ISNUMBER(FIND({"A","B","C","D","E","F","G","H","I","J","K","L","M","N","O","P","Q","R","S","T","U","V","W","X","Y","Z"}, B69))))&gt;0, 26, 0)</f>
        <v>0</v>
      </c>
      <c r="R69" cm="1">
        <f t="array" ref="R69">IF(SUM(N(ISNUMBER(FIND({0,1,2,3,4,5,6,7,8,9}, B69))))&gt;0, 10, 0)</f>
        <v>0</v>
      </c>
      <c r="S69" cm="1">
        <f t="array" ref="S69">IF(LEN(B69)&gt;SUMPRODUCT(LEN(B69)-LEN(SUBSTITUTE(B69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69" s="2" t="s">
        <v>154</v>
      </c>
    </row>
    <row r="70" spans="1:21" ht="15.6">
      <c r="A70" s="3">
        <v>1</v>
      </c>
      <c r="B70" s="6" t="s">
        <v>406</v>
      </c>
      <c r="C70" t="s">
        <v>29</v>
      </c>
      <c r="D70">
        <f t="shared" si="4"/>
        <v>10</v>
      </c>
      <c r="E70">
        <f t="shared" si="5"/>
        <v>65.545888516776401</v>
      </c>
      <c r="F70" s="10">
        <v>2.8464390000000002</v>
      </c>
      <c r="G70" s="10">
        <f t="shared" si="3"/>
        <v>28.464390000000002</v>
      </c>
      <c r="H70" s="10">
        <v>3</v>
      </c>
      <c r="I70" s="20">
        <v>10000000000</v>
      </c>
      <c r="J70" s="10">
        <v>10</v>
      </c>
      <c r="K70" s="10"/>
      <c r="L70" s="10"/>
      <c r="P70" cm="1">
        <f t="array" ref="P70">IF(SUM(N(ISNUMBER(FIND({"a","b","c","d","e","f","g","h","i","j","k","l","m","n","o","p","q","r","s","t","u","v","w","x","y","z"}, B70))))&gt;0, 26, 0)</f>
        <v>26</v>
      </c>
      <c r="Q70" cm="1">
        <f t="array" ref="Q70">IF(SUM(N(ISNUMBER(FIND({"A","B","C","D","E","F","G","H","I","J","K","L","M","N","O","P","Q","R","S","T","U","V","W","X","Y","Z"}, B70))))&gt;0, 26, 0)</f>
        <v>0</v>
      </c>
      <c r="R70" cm="1">
        <f t="array" ref="R70">IF(SUM(N(ISNUMBER(FIND({0,1,2,3,4,5,6,7,8,9}, B70))))&gt;0, 10, 0)</f>
        <v>0</v>
      </c>
      <c r="S70" cm="1">
        <f t="array" ref="S70">IF(LEN(B70)&gt;SUMPRODUCT(LEN(B70)-LEN(SUBSTITUTE(B70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0" s="6" t="s">
        <v>170</v>
      </c>
    </row>
    <row r="71" spans="1:21" ht="15.6">
      <c r="A71" s="3">
        <v>1</v>
      </c>
      <c r="B71" s="7" t="s">
        <v>407</v>
      </c>
      <c r="C71" t="s">
        <v>29</v>
      </c>
      <c r="D71">
        <f t="shared" si="4"/>
        <v>8</v>
      </c>
      <c r="E71">
        <f t="shared" si="5"/>
        <v>52.436710813421122</v>
      </c>
      <c r="F71" s="10">
        <v>2.75</v>
      </c>
      <c r="G71" s="10">
        <f t="shared" si="3"/>
        <v>22</v>
      </c>
      <c r="H71" s="10">
        <v>2</v>
      </c>
      <c r="I71" s="20">
        <v>100000000</v>
      </c>
      <c r="J71" s="10">
        <v>8</v>
      </c>
      <c r="K71" s="10"/>
      <c r="L71" s="10"/>
      <c r="P71" cm="1">
        <f t="array" ref="P71">IF(SUM(N(ISNUMBER(FIND({"a","b","c","d","e","f","g","h","i","j","k","l","m","n","o","p","q","r","s","t","u","v","w","x","y","z"}, B71))))&gt;0, 26, 0)</f>
        <v>26</v>
      </c>
      <c r="Q71" cm="1">
        <f t="array" ref="Q71">IF(SUM(N(ISNUMBER(FIND({"A","B","C","D","E","F","G","H","I","J","K","L","M","N","O","P","Q","R","S","T","U","V","W","X","Y","Z"}, B71))))&gt;0, 26, 0)</f>
        <v>0</v>
      </c>
      <c r="R71" cm="1">
        <f t="array" ref="R71">IF(SUM(N(ISNUMBER(FIND({0,1,2,3,4,5,6,7,8,9}, B71))))&gt;0, 10, 0)</f>
        <v>0</v>
      </c>
      <c r="S71" cm="1">
        <f t="array" ref="S71">IF(LEN(B71)&gt;SUMPRODUCT(LEN(B71)-LEN(SUBSTITUTE(B71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1" s="2" t="s">
        <v>187</v>
      </c>
    </row>
    <row r="72" spans="1:21" ht="15.6">
      <c r="A72" s="3">
        <v>1</v>
      </c>
      <c r="B72" s="7" t="s">
        <v>408</v>
      </c>
      <c r="C72" t="s">
        <v>29</v>
      </c>
      <c r="D72">
        <f t="shared" si="4"/>
        <v>10</v>
      </c>
      <c r="E72">
        <f t="shared" si="5"/>
        <v>65.545888516776401</v>
      </c>
      <c r="F72" s="10">
        <v>3.3219280000000002</v>
      </c>
      <c r="G72" s="10">
        <f t="shared" si="3"/>
        <v>33.219280000000005</v>
      </c>
      <c r="H72" s="10">
        <v>3</v>
      </c>
      <c r="I72" s="20">
        <v>10000000000</v>
      </c>
      <c r="J72" s="10">
        <v>10</v>
      </c>
      <c r="K72" s="10"/>
      <c r="L72" s="10"/>
      <c r="P72" cm="1">
        <f t="array" ref="P72">IF(SUM(N(ISNUMBER(FIND({"a","b","c","d","e","f","g","h","i","j","k","l","m","n","o","p","q","r","s","t","u","v","w","x","y","z"}, B72))))&gt;0, 26, 0)</f>
        <v>26</v>
      </c>
      <c r="Q72" cm="1">
        <f t="array" ref="Q72">IF(SUM(N(ISNUMBER(FIND({"A","B","C","D","E","F","G","H","I","J","K","L","M","N","O","P","Q","R","S","T","U","V","W","X","Y","Z"}, B72))))&gt;0, 26, 0)</f>
        <v>0</v>
      </c>
      <c r="R72" cm="1">
        <f t="array" ref="R72">IF(SUM(N(ISNUMBER(FIND({0,1,2,3,4,5,6,7,8,9}, B72))))&gt;0, 10, 0)</f>
        <v>0</v>
      </c>
      <c r="S72" cm="1">
        <f t="array" ref="S72">IF(LEN(B72)&gt;SUMPRODUCT(LEN(B72)-LEN(SUBSTITUTE(B72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2" s="2" t="s">
        <v>203</v>
      </c>
    </row>
    <row r="73" spans="1:21" ht="15.6">
      <c r="A73" s="3">
        <v>1</v>
      </c>
      <c r="B73" s="7" t="s">
        <v>409</v>
      </c>
      <c r="C73" t="s">
        <v>29</v>
      </c>
      <c r="D73">
        <f t="shared" si="4"/>
        <v>9</v>
      </c>
      <c r="E73">
        <f t="shared" si="5"/>
        <v>58.991299665098765</v>
      </c>
      <c r="F73" s="10">
        <v>2.9477030000000002</v>
      </c>
      <c r="G73" s="10">
        <f t="shared" si="3"/>
        <v>26.529327000000002</v>
      </c>
      <c r="H73" s="10">
        <v>3</v>
      </c>
      <c r="I73" s="20">
        <v>1000000000</v>
      </c>
      <c r="J73" s="10">
        <v>9</v>
      </c>
      <c r="K73" s="10"/>
      <c r="L73" s="10"/>
      <c r="P73" cm="1">
        <f t="array" ref="P73">IF(SUM(N(ISNUMBER(FIND({"a","b","c","d","e","f","g","h","i","j","k","l","m","n","o","p","q","r","s","t","u","v","w","x","y","z"}, B73))))&gt;0, 26, 0)</f>
        <v>26</v>
      </c>
      <c r="Q73" cm="1">
        <f t="array" ref="Q73">IF(SUM(N(ISNUMBER(FIND({"A","B","C","D","E","F","G","H","I","J","K","L","M","N","O","P","Q","R","S","T","U","V","W","X","Y","Z"}, B73))))&gt;0, 26, 0)</f>
        <v>0</v>
      </c>
      <c r="R73" cm="1">
        <f t="array" ref="R73">IF(SUM(N(ISNUMBER(FIND({0,1,2,3,4,5,6,7,8,9}, B73))))&gt;0, 10, 0)</f>
        <v>0</v>
      </c>
      <c r="S73" cm="1">
        <f t="array" ref="S73">IF(LEN(B73)&gt;SUMPRODUCT(LEN(B73)-LEN(SUBSTITUTE(B73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73" s="2" t="s">
        <v>219</v>
      </c>
    </row>
    <row r="74" spans="1:21" ht="15.6">
      <c r="A74" s="3">
        <v>1</v>
      </c>
      <c r="B74" s="7" t="s">
        <v>410</v>
      </c>
      <c r="C74" t="s">
        <v>29</v>
      </c>
      <c r="D74">
        <f t="shared" si="4"/>
        <v>13</v>
      </c>
      <c r="E74">
        <f t="shared" si="5"/>
        <v>85.209655071809323</v>
      </c>
      <c r="F74" s="10">
        <v>3.5465939999999998</v>
      </c>
      <c r="G74" s="10">
        <f t="shared" si="3"/>
        <v>46.105722</v>
      </c>
      <c r="H74" s="10">
        <v>4</v>
      </c>
      <c r="I74" s="20">
        <v>10000000000000</v>
      </c>
      <c r="J74" s="10">
        <v>13</v>
      </c>
      <c r="K74" s="10"/>
      <c r="L74" s="10"/>
      <c r="P74" cm="1">
        <f t="array" ref="P74">IF(SUM(N(ISNUMBER(FIND({"a","b","c","d","e","f","g","h","i","j","k","l","m","n","o","p","q","r","s","t","u","v","w","x","y","z"}, B74))))&gt;0, 26, 0)</f>
        <v>26</v>
      </c>
      <c r="Q74" cm="1">
        <f t="array" ref="Q74">IF(SUM(N(ISNUMBER(FIND({"A","B","C","D","E","F","G","H","I","J","K","L","M","N","O","P","Q","R","S","T","U","V","W","X","Y","Z"}, B74))))&gt;0, 26, 0)</f>
        <v>0</v>
      </c>
      <c r="R74" cm="1">
        <f t="array" ref="R74">IF(SUM(N(ISNUMBER(FIND({0,1,2,3,4,5,6,7,8,9}, B74))))&gt;0, 10, 0)</f>
        <v>0</v>
      </c>
      <c r="S74" cm="1">
        <f t="array" ref="S74">IF(LEN(B74)&gt;SUMPRODUCT(LEN(B74)-LEN(SUBSTITUTE(B74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4" s="2" t="s">
        <v>235</v>
      </c>
    </row>
    <row r="75" spans="1:21" ht="15.6">
      <c r="A75" s="3">
        <v>1</v>
      </c>
      <c r="B75" s="7" t="s">
        <v>411</v>
      </c>
      <c r="C75" t="s">
        <v>29</v>
      </c>
      <c r="D75">
        <f t="shared" si="4"/>
        <v>12</v>
      </c>
      <c r="E75">
        <f t="shared" si="5"/>
        <v>78.655066220131687</v>
      </c>
      <c r="F75" s="10">
        <v>3.4182959999999998</v>
      </c>
      <c r="G75" s="10">
        <f t="shared" si="3"/>
        <v>41.019551999999997</v>
      </c>
      <c r="H75" s="10">
        <v>4</v>
      </c>
      <c r="I75" s="20">
        <v>1000000000000</v>
      </c>
      <c r="J75" s="10">
        <v>12</v>
      </c>
      <c r="K75" s="10"/>
      <c r="L75" s="10"/>
      <c r="P75" cm="1">
        <f t="array" ref="P75">IF(SUM(N(ISNUMBER(FIND({"a","b","c","d","e","f","g","h","i","j","k","l","m","n","o","p","q","r","s","t","u","v","w","x","y","z"}, B75))))&gt;0, 26, 0)</f>
        <v>26</v>
      </c>
      <c r="Q75" cm="1">
        <f t="array" ref="Q75">IF(SUM(N(ISNUMBER(FIND({"A","B","C","D","E","F","G","H","I","J","K","L","M","N","O","P","Q","R","S","T","U","V","W","X","Y","Z"}, B75))))&gt;0, 26, 0)</f>
        <v>0</v>
      </c>
      <c r="R75" cm="1">
        <f t="array" ref="R75">IF(SUM(N(ISNUMBER(FIND({0,1,2,3,4,5,6,7,8,9}, B75))))&gt;0, 10, 0)</f>
        <v>0</v>
      </c>
      <c r="S75" cm="1">
        <f t="array" ref="S75">IF(LEN(B75)&gt;SUMPRODUCT(LEN(B75)-LEN(SUBSTITUTE(B75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5" s="2" t="s">
        <v>251</v>
      </c>
    </row>
    <row r="76" spans="1:21" ht="15.6">
      <c r="A76" s="3">
        <v>1</v>
      </c>
      <c r="B76" s="7" t="s">
        <v>412</v>
      </c>
      <c r="C76" t="s">
        <v>29</v>
      </c>
      <c r="D76">
        <f t="shared" si="4"/>
        <v>10</v>
      </c>
      <c r="E76">
        <f t="shared" si="5"/>
        <v>65.545888516776401</v>
      </c>
      <c r="F76" s="10">
        <v>3.121928</v>
      </c>
      <c r="G76" s="10">
        <f t="shared" si="3"/>
        <v>31.219280000000001</v>
      </c>
      <c r="H76" s="10">
        <v>3</v>
      </c>
      <c r="I76" s="20">
        <v>10000000000</v>
      </c>
      <c r="J76" s="10">
        <v>10</v>
      </c>
      <c r="K76" s="10"/>
      <c r="L76" s="10"/>
      <c r="P76" cm="1">
        <f t="array" ref="P76">IF(SUM(N(ISNUMBER(FIND({"a","b","c","d","e","f","g","h","i","j","k","l","m","n","o","p","q","r","s","t","u","v","w","x","y","z"}, B76))))&gt;0, 26, 0)</f>
        <v>26</v>
      </c>
      <c r="Q76" cm="1">
        <f t="array" ref="Q76">IF(SUM(N(ISNUMBER(FIND({"A","B","C","D","E","F","G","H","I","J","K","L","M","N","O","P","Q","R","S","T","U","V","W","X","Y","Z"}, B76))))&gt;0, 26, 0)</f>
        <v>0</v>
      </c>
      <c r="R76" cm="1">
        <f t="array" ref="R76">IF(SUM(N(ISNUMBER(FIND({0,1,2,3,4,5,6,7,8,9}, B76))))&gt;0, 10, 0)</f>
        <v>0</v>
      </c>
      <c r="S76" cm="1">
        <f t="array" ref="S76">IF(LEN(B76)&gt;SUMPRODUCT(LEN(B76)-LEN(SUBSTITUTE(B76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6" s="2" t="s">
        <v>267</v>
      </c>
    </row>
    <row r="77" spans="1:21" ht="15.6">
      <c r="A77" s="3">
        <v>1</v>
      </c>
      <c r="B77" s="7" t="s">
        <v>413</v>
      </c>
      <c r="C77" t="s">
        <v>29</v>
      </c>
      <c r="D77">
        <f t="shared" si="4"/>
        <v>10</v>
      </c>
      <c r="E77">
        <f t="shared" si="5"/>
        <v>65.545888516776401</v>
      </c>
      <c r="F77" s="10">
        <v>3.3219280000000002</v>
      </c>
      <c r="G77" s="10">
        <f t="shared" si="3"/>
        <v>33.219280000000005</v>
      </c>
      <c r="H77" s="10">
        <v>3</v>
      </c>
      <c r="I77" s="20">
        <v>10000000000</v>
      </c>
      <c r="J77" s="10">
        <v>10</v>
      </c>
      <c r="K77" s="10"/>
      <c r="L77" s="10"/>
      <c r="P77" cm="1">
        <f t="array" ref="P77">IF(SUM(N(ISNUMBER(FIND({"a","b","c","d","e","f","g","h","i","j","k","l","m","n","o","p","q","r","s","t","u","v","w","x","y","z"}, B77))))&gt;0, 26, 0)</f>
        <v>26</v>
      </c>
      <c r="Q77" cm="1">
        <f t="array" ref="Q77">IF(SUM(N(ISNUMBER(FIND({"A","B","C","D","E","F","G","H","I","J","K","L","M","N","O","P","Q","R","S","T","U","V","W","X","Y","Z"}, B77))))&gt;0, 26, 0)</f>
        <v>0</v>
      </c>
      <c r="R77" cm="1">
        <f t="array" ref="R77">IF(SUM(N(ISNUMBER(FIND({0,1,2,3,4,5,6,7,8,9}, B77))))&gt;0, 10, 0)</f>
        <v>10</v>
      </c>
      <c r="S77" cm="1">
        <f t="array" ref="S77">IF(LEN(B77)&gt;SUMPRODUCT(LEN(B77)-LEN(SUBSTITUTE(B77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7" s="2" t="s">
        <v>283</v>
      </c>
    </row>
    <row r="78" spans="1:21" ht="15.6">
      <c r="A78" s="3">
        <v>1</v>
      </c>
      <c r="B78" s="7" t="s">
        <v>414</v>
      </c>
      <c r="C78" t="s">
        <v>29</v>
      </c>
      <c r="D78">
        <f t="shared" si="4"/>
        <v>13</v>
      </c>
      <c r="E78">
        <f t="shared" si="5"/>
        <v>85.209655071809323</v>
      </c>
      <c r="F78" s="10">
        <v>3.5465939999999998</v>
      </c>
      <c r="G78" s="10">
        <f t="shared" si="3"/>
        <v>46.105722</v>
      </c>
      <c r="H78" s="10">
        <v>4</v>
      </c>
      <c r="I78" s="20">
        <v>10000000000000</v>
      </c>
      <c r="J78" s="10">
        <v>13</v>
      </c>
      <c r="K78" s="10"/>
      <c r="L78" s="10"/>
      <c r="P78" cm="1">
        <f t="array" ref="P78">IF(SUM(N(ISNUMBER(FIND({"a","b","c","d","e","f","g","h","i","j","k","l","m","n","o","p","q","r","s","t","u","v","w","x","y","z"}, B78))))&gt;0, 26, 0)</f>
        <v>26</v>
      </c>
      <c r="Q78" cm="1">
        <f t="array" ref="Q78">IF(SUM(N(ISNUMBER(FIND({"A","B","C","D","E","F","G","H","I","J","K","L","M","N","O","P","Q","R","S","T","U","V","W","X","Y","Z"}, B78))))&gt;0, 26, 0)</f>
        <v>0</v>
      </c>
      <c r="R78" cm="1">
        <f t="array" ref="R78">IF(SUM(N(ISNUMBER(FIND({0,1,2,3,4,5,6,7,8,9}, B78))))&gt;0, 10, 0)</f>
        <v>0</v>
      </c>
      <c r="S78" cm="1">
        <f t="array" ref="S78">IF(LEN(B78)&gt;SUMPRODUCT(LEN(B78)-LEN(SUBSTITUTE(B78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8" s="2" t="s">
        <v>300</v>
      </c>
    </row>
    <row r="79" spans="1:21" ht="15.6">
      <c r="A79" s="3">
        <v>1</v>
      </c>
      <c r="B79" s="7" t="s">
        <v>415</v>
      </c>
      <c r="C79" t="s">
        <v>29</v>
      </c>
      <c r="D79">
        <f t="shared" si="4"/>
        <v>12</v>
      </c>
      <c r="E79">
        <f t="shared" si="5"/>
        <v>78.655066220131687</v>
      </c>
      <c r="F79" s="10">
        <v>2.8553890000000002</v>
      </c>
      <c r="G79" s="10">
        <f t="shared" si="3"/>
        <v>34.264668</v>
      </c>
      <c r="H79" s="10">
        <v>4</v>
      </c>
      <c r="I79" s="20">
        <v>1000000000000</v>
      </c>
      <c r="J79" s="10">
        <v>12</v>
      </c>
      <c r="K79" s="10"/>
      <c r="L79" s="10"/>
      <c r="P79" cm="1">
        <f t="array" ref="P79">IF(SUM(N(ISNUMBER(FIND({"a","b","c","d","e","f","g","h","i","j","k","l","m","n","o","p","q","r","s","t","u","v","w","x","y","z"}, B79))))&gt;0, 26, 0)</f>
        <v>26</v>
      </c>
      <c r="Q79" cm="1">
        <f t="array" ref="Q79">IF(SUM(N(ISNUMBER(FIND({"A","B","C","D","E","F","G","H","I","J","K","L","M","N","O","P","Q","R","S","T","U","V","W","X","Y","Z"}, B79))))&gt;0, 26, 0)</f>
        <v>0</v>
      </c>
      <c r="R79" cm="1">
        <f t="array" ref="R79">IF(SUM(N(ISNUMBER(FIND({0,1,2,3,4,5,6,7,8,9}, B79))))&gt;0, 10, 0)</f>
        <v>0</v>
      </c>
      <c r="S79" cm="1">
        <f t="array" ref="S79">IF(LEN(B79)&gt;SUMPRODUCT(LEN(B79)-LEN(SUBSTITUTE(B79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79" s="2" t="s">
        <v>316</v>
      </c>
    </row>
    <row r="80" spans="1:21" ht="15.6">
      <c r="A80" s="3">
        <v>1</v>
      </c>
      <c r="B80" s="7" t="s">
        <v>416</v>
      </c>
      <c r="C80" t="s">
        <v>29</v>
      </c>
      <c r="D80">
        <f t="shared" si="4"/>
        <v>9</v>
      </c>
      <c r="E80">
        <f t="shared" si="5"/>
        <v>58.991299665098765</v>
      </c>
      <c r="F80" s="10">
        <v>0</v>
      </c>
      <c r="G80" s="10">
        <f t="shared" si="3"/>
        <v>0</v>
      </c>
      <c r="H80" s="10"/>
      <c r="I80" s="10"/>
      <c r="J80" s="10"/>
      <c r="K80" s="10"/>
      <c r="L80" s="10"/>
      <c r="P80" cm="1">
        <f t="array" ref="P80">IF(SUM(N(ISNUMBER(FIND({"a","b","c","d","e","f","g","h","i","j","k","l","m","n","o","p","q","r","s","t","u","v","w","x","y","z"}, B80))))&gt;0, 26, 0)</f>
        <v>26</v>
      </c>
      <c r="Q80" cm="1">
        <f t="array" ref="Q80">IF(SUM(N(ISNUMBER(FIND({"A","B","C","D","E","F","G","H","I","J","K","L","M","N","O","P","Q","R","S","T","U","V","W","X","Y","Z"}, B80))))&gt;0, 26, 0)</f>
        <v>26</v>
      </c>
      <c r="R80" cm="1">
        <f t="array" ref="R80">IF(SUM(N(ISNUMBER(FIND({0,1,2,3,4,5,6,7,8,9}, B80))))&gt;0, 10, 0)</f>
        <v>0</v>
      </c>
      <c r="S80" cm="1">
        <f t="array" ref="S80">IF(LEN(B80)&gt;SUMPRODUCT(LEN(B80)-LEN(SUBSTITUTE(B80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0" s="7" t="s">
        <v>331</v>
      </c>
    </row>
    <row r="81" spans="1:21" ht="15.6">
      <c r="A81" s="3">
        <v>1</v>
      </c>
      <c r="B81" s="7" t="s">
        <v>417</v>
      </c>
      <c r="C81" t="s">
        <v>29</v>
      </c>
      <c r="D81">
        <f t="shared" si="4"/>
        <v>8</v>
      </c>
      <c r="E81">
        <f t="shared" si="5"/>
        <v>52.436710813421122</v>
      </c>
      <c r="F81" s="10">
        <v>2.75</v>
      </c>
      <c r="G81" s="10">
        <f t="shared" si="3"/>
        <v>22</v>
      </c>
      <c r="H81" s="10">
        <v>2</v>
      </c>
      <c r="I81" s="20">
        <v>100000000</v>
      </c>
      <c r="J81" s="10">
        <v>8</v>
      </c>
      <c r="K81" s="10"/>
      <c r="L81" s="10"/>
      <c r="P81" cm="1">
        <f t="array" ref="P81">IF(SUM(N(ISNUMBER(FIND({"a","b","c","d","e","f","g","h","i","j","k","l","m","n","o","p","q","r","s","t","u","v","w","x","y","z"}, B81))))&gt;0, 26, 0)</f>
        <v>26</v>
      </c>
      <c r="Q81" cm="1">
        <f t="array" ref="Q81">IF(SUM(N(ISNUMBER(FIND({"A","B","C","D","E","F","G","H","I","J","K","L","M","N","O","P","Q","R","S","T","U","V","W","X","Y","Z"}, B81))))&gt;0, 26, 0)</f>
        <v>0</v>
      </c>
      <c r="R81" cm="1">
        <f t="array" ref="R81">IF(SUM(N(ISNUMBER(FIND({0,1,2,3,4,5,6,7,8,9}, B81))))&gt;0, 10, 0)</f>
        <v>0</v>
      </c>
      <c r="S81" cm="1">
        <f t="array" ref="S81">IF(LEN(B81)&gt;SUMPRODUCT(LEN(B81)-LEN(SUBSTITUTE(B81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1" s="2" t="s">
        <v>347</v>
      </c>
    </row>
    <row r="82" spans="1:21" ht="15.6">
      <c r="A82" s="3">
        <v>1</v>
      </c>
      <c r="B82" s="7" t="s">
        <v>418</v>
      </c>
      <c r="C82" t="s">
        <v>29</v>
      </c>
      <c r="D82">
        <f t="shared" si="4"/>
        <v>12</v>
      </c>
      <c r="E82">
        <f t="shared" si="5"/>
        <v>78.655066220131687</v>
      </c>
      <c r="F82" s="10">
        <v>3.0849630000000001</v>
      </c>
      <c r="G82" s="10">
        <f t="shared" si="3"/>
        <v>37.019556000000001</v>
      </c>
      <c r="H82" s="10">
        <v>4</v>
      </c>
      <c r="I82" s="20">
        <v>1000000000000</v>
      </c>
      <c r="J82" s="10">
        <v>12</v>
      </c>
      <c r="K82" s="10"/>
      <c r="L82" s="10"/>
      <c r="P82" cm="1">
        <f t="array" ref="P82">IF(SUM(N(ISNUMBER(FIND({"a","b","c","d","e","f","g","h","i","j","k","l","m","n","o","p","q","r","s","t","u","v","w","x","y","z"}, B82))))&gt;0, 26, 0)</f>
        <v>26</v>
      </c>
      <c r="Q82" cm="1">
        <f t="array" ref="Q82">IF(SUM(N(ISNUMBER(FIND({"A","B","C","D","E","F","G","H","I","J","K","L","M","N","O","P","Q","R","S","T","U","V","W","X","Y","Z"}, B82))))&gt;0, 26, 0)</f>
        <v>26</v>
      </c>
      <c r="R82" cm="1">
        <f t="array" ref="R82">IF(SUM(N(ISNUMBER(FIND({0,1,2,3,4,5,6,7,8,9}, B82))))&gt;0, 10, 0)</f>
        <v>0</v>
      </c>
      <c r="S82" cm="1">
        <f t="array" ref="S82">IF(LEN(B82)&gt;SUMPRODUCT(LEN(B82)-LEN(SUBSTITUTE(B82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2" s="2" t="s">
        <v>41</v>
      </c>
    </row>
    <row r="83" spans="1:21" ht="15.6">
      <c r="A83" s="3">
        <v>1</v>
      </c>
      <c r="B83" s="7" t="s">
        <v>419</v>
      </c>
      <c r="C83" t="s">
        <v>29</v>
      </c>
      <c r="D83">
        <f t="shared" si="4"/>
        <v>14</v>
      </c>
      <c r="E83">
        <f t="shared" si="5"/>
        <v>91.764243923486958</v>
      </c>
      <c r="F83" s="10">
        <v>3.5216409999999998</v>
      </c>
      <c r="G83" s="10">
        <f t="shared" si="3"/>
        <v>49.302973999999999</v>
      </c>
      <c r="H83" s="10">
        <v>4</v>
      </c>
      <c r="I83" s="20">
        <v>77600000000000</v>
      </c>
      <c r="J83" s="10">
        <v>13.889860000000001</v>
      </c>
      <c r="K83" s="10"/>
      <c r="L83" s="10"/>
      <c r="P83" cm="1">
        <f t="array" ref="P83">IF(SUM(N(ISNUMBER(FIND({"a","b","c","d","e","f","g","h","i","j","k","l","m","n","o","p","q","r","s","t","u","v","w","x","y","z"}, B83))))&gt;0, 26, 0)</f>
        <v>26</v>
      </c>
      <c r="Q83" cm="1">
        <f t="array" ref="Q83">IF(SUM(N(ISNUMBER(FIND({"A","B","C","D","E","F","G","H","I","J","K","L","M","N","O","P","Q","R","S","T","U","V","W","X","Y","Z"}, B83))))&gt;0, 26, 0)</f>
        <v>26</v>
      </c>
      <c r="R83" cm="1">
        <f t="array" ref="R83">IF(SUM(N(ISNUMBER(FIND({0,1,2,3,4,5,6,7,8,9}, B83))))&gt;0, 10, 0)</f>
        <v>10</v>
      </c>
      <c r="S83" cm="1">
        <f t="array" ref="S83">IF(LEN(B83)&gt;SUMPRODUCT(LEN(B83)-LEN(SUBSTITUTE(B83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3" s="2" t="s">
        <v>58</v>
      </c>
    </row>
    <row r="84" spans="1:21" ht="15.6">
      <c r="A84" s="3">
        <v>1</v>
      </c>
      <c r="B84" s="7" t="s">
        <v>420</v>
      </c>
      <c r="C84" t="s">
        <v>29</v>
      </c>
      <c r="D84">
        <f t="shared" si="4"/>
        <v>14</v>
      </c>
      <c r="E84">
        <f t="shared" si="5"/>
        <v>91.764243923486958</v>
      </c>
      <c r="F84" s="10">
        <v>3.3787829999999999</v>
      </c>
      <c r="G84" s="10">
        <f t="shared" si="3"/>
        <v>47.302962000000001</v>
      </c>
      <c r="H84" s="10">
        <v>4</v>
      </c>
      <c r="I84" s="20">
        <v>100000000000000</v>
      </c>
      <c r="J84" s="10">
        <v>14</v>
      </c>
      <c r="K84" s="10"/>
      <c r="L84" s="10"/>
      <c r="P84" cm="1">
        <f t="array" ref="P84">IF(SUM(N(ISNUMBER(FIND({"a","b","c","d","e","f","g","h","i","j","k","l","m","n","o","p","q","r","s","t","u","v","w","x","y","z"}, B84))))&gt;0, 26, 0)</f>
        <v>26</v>
      </c>
      <c r="Q84" cm="1">
        <f t="array" ref="Q84">IF(SUM(N(ISNUMBER(FIND({"A","B","C","D","E","F","G","H","I","J","K","L","M","N","O","P","Q","R","S","T","U","V","W","X","Y","Z"}, B84))))&gt;0, 26, 0)</f>
        <v>26</v>
      </c>
      <c r="R84" cm="1">
        <f t="array" ref="R84">IF(SUM(N(ISNUMBER(FIND({0,1,2,3,4,5,6,7,8,9}, B84))))&gt;0, 10, 0)</f>
        <v>10</v>
      </c>
      <c r="S84" cm="1">
        <f t="array" ref="S84">IF(LEN(B84)&gt;SUMPRODUCT(LEN(B84)-LEN(SUBSTITUTE(B84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4" s="2" t="s">
        <v>74</v>
      </c>
    </row>
    <row r="85" spans="1:21" ht="15.6">
      <c r="A85" s="3">
        <v>1</v>
      </c>
      <c r="B85" s="7" t="s">
        <v>421</v>
      </c>
      <c r="C85" t="s">
        <v>29</v>
      </c>
      <c r="D85">
        <f t="shared" si="4"/>
        <v>11</v>
      </c>
      <c r="E85">
        <f t="shared" si="5"/>
        <v>72.100477368454037</v>
      </c>
      <c r="F85" s="10">
        <v>3.0271690000000002</v>
      </c>
      <c r="G85" s="10">
        <f t="shared" si="3"/>
        <v>33.298859</v>
      </c>
      <c r="H85" s="10">
        <v>4</v>
      </c>
      <c r="I85" s="20">
        <v>100000000000</v>
      </c>
      <c r="J85" s="10">
        <v>11</v>
      </c>
      <c r="K85" s="10"/>
      <c r="L85" s="10"/>
      <c r="P85" cm="1">
        <f t="array" ref="P85">IF(SUM(N(ISNUMBER(FIND({"a","b","c","d","e","f","g","h","i","j","k","l","m","n","o","p","q","r","s","t","u","v","w","x","y","z"}, B85))))&gt;0, 26, 0)</f>
        <v>26</v>
      </c>
      <c r="Q85" cm="1">
        <f t="array" ref="Q85">IF(SUM(N(ISNUMBER(FIND({"A","B","C","D","E","F","G","H","I","J","K","L","M","N","O","P","Q","R","S","T","U","V","W","X","Y","Z"}, B85))))&gt;0, 26, 0)</f>
        <v>26</v>
      </c>
      <c r="R85" cm="1">
        <f t="array" ref="R85">IF(SUM(N(ISNUMBER(FIND({0,1,2,3,4,5,6,7,8,9}, B85))))&gt;0, 10, 0)</f>
        <v>0</v>
      </c>
      <c r="S85" cm="1">
        <f t="array" ref="S85">IF(LEN(B85)&gt;SUMPRODUCT(LEN(B85)-LEN(SUBSTITUTE(B85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5" s="2" t="s">
        <v>90</v>
      </c>
    </row>
    <row r="86" spans="1:21" ht="15.6">
      <c r="A86" s="3">
        <v>1</v>
      </c>
      <c r="B86" s="7" t="s">
        <v>422</v>
      </c>
      <c r="C86" t="s">
        <v>29</v>
      </c>
      <c r="D86">
        <f t="shared" si="4"/>
        <v>13</v>
      </c>
      <c r="E86">
        <f t="shared" si="5"/>
        <v>85.209655071809323</v>
      </c>
      <c r="F86" s="10">
        <v>3.5465939999999998</v>
      </c>
      <c r="G86" s="10">
        <f t="shared" si="3"/>
        <v>46.105722</v>
      </c>
      <c r="H86" s="10">
        <v>4</v>
      </c>
      <c r="I86" s="20">
        <v>10000000000000</v>
      </c>
      <c r="J86" s="10">
        <v>13</v>
      </c>
      <c r="K86" s="10"/>
      <c r="L86" s="10"/>
      <c r="P86" cm="1">
        <f t="array" ref="P86">IF(SUM(N(ISNUMBER(FIND({"a","b","c","d","e","f","g","h","i","j","k","l","m","n","o","p","q","r","s","t","u","v","w","x","y","z"}, B86))))&gt;0, 26, 0)</f>
        <v>26</v>
      </c>
      <c r="Q86" cm="1">
        <f t="array" ref="Q86">IF(SUM(N(ISNUMBER(FIND({"A","B","C","D","E","F","G","H","I","J","K","L","M","N","O","P","Q","R","S","T","U","V","W","X","Y","Z"}, B86))))&gt;0, 26, 0)</f>
        <v>26</v>
      </c>
      <c r="R86" cm="1">
        <f t="array" ref="R86">IF(SUM(N(ISNUMBER(FIND({0,1,2,3,4,5,6,7,8,9}, B86))))&gt;0, 10, 0)</f>
        <v>10</v>
      </c>
      <c r="S86" cm="1">
        <f t="array" ref="S86">IF(LEN(B86)&gt;SUMPRODUCT(LEN(B86)-LEN(SUBSTITUTE(B86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6" s="2" t="s">
        <v>106</v>
      </c>
    </row>
    <row r="87" spans="1:21" ht="15.6">
      <c r="A87" s="3">
        <v>1</v>
      </c>
      <c r="B87" s="7" t="s">
        <v>423</v>
      </c>
      <c r="C87" t="s">
        <v>29</v>
      </c>
      <c r="D87">
        <f t="shared" si="4"/>
        <v>12</v>
      </c>
      <c r="E87">
        <f t="shared" si="5"/>
        <v>78.655066220131687</v>
      </c>
      <c r="F87" s="10">
        <v>3.2516289999999999</v>
      </c>
      <c r="G87" s="10">
        <f t="shared" si="3"/>
        <v>39.019548</v>
      </c>
      <c r="H87" s="10">
        <v>4</v>
      </c>
      <c r="I87" s="20">
        <v>1000000000000</v>
      </c>
      <c r="J87" s="10">
        <v>12</v>
      </c>
      <c r="K87" s="10"/>
      <c r="L87" s="10"/>
      <c r="P87" cm="1">
        <f t="array" ref="P87">IF(SUM(N(ISNUMBER(FIND({"a","b","c","d","e","f","g","h","i","j","k","l","m","n","o","p","q","r","s","t","u","v","w","x","y","z"}, B87))))&gt;0, 26, 0)</f>
        <v>26</v>
      </c>
      <c r="Q87" cm="1">
        <f t="array" ref="Q87">IF(SUM(N(ISNUMBER(FIND({"A","B","C","D","E","F","G","H","I","J","K","L","M","N","O","P","Q","R","S","T","U","V","W","X","Y","Z"}, B87))))&gt;0, 26, 0)</f>
        <v>0</v>
      </c>
      <c r="R87" cm="1">
        <f t="array" ref="R87">IF(SUM(N(ISNUMBER(FIND({0,1,2,3,4,5,6,7,8,9}, B87))))&gt;0, 10, 0)</f>
        <v>0</v>
      </c>
      <c r="S87" cm="1">
        <f t="array" ref="S87">IF(LEN(B87)&gt;SUMPRODUCT(LEN(B87)-LEN(SUBSTITUTE(B87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7" s="2" t="s">
        <v>123</v>
      </c>
    </row>
    <row r="88" spans="1:21" ht="15.6">
      <c r="A88" s="3">
        <v>1</v>
      </c>
      <c r="B88" s="7" t="s">
        <v>424</v>
      </c>
      <c r="C88" t="s">
        <v>29</v>
      </c>
      <c r="D88">
        <f t="shared" si="4"/>
        <v>11</v>
      </c>
      <c r="E88">
        <f t="shared" si="5"/>
        <v>72.100477368454037</v>
      </c>
      <c r="F88" s="10">
        <v>3.0957949999999999</v>
      </c>
      <c r="G88" s="10">
        <f t="shared" si="3"/>
        <v>34.053744999999999</v>
      </c>
      <c r="H88" s="10">
        <v>4</v>
      </c>
      <c r="I88" s="20">
        <v>100000000000</v>
      </c>
      <c r="J88" s="10">
        <v>11</v>
      </c>
      <c r="K88" s="10"/>
      <c r="L88" s="10"/>
      <c r="P88" cm="1">
        <f t="array" ref="P88">IF(SUM(N(ISNUMBER(FIND({"a","b","c","d","e","f","g","h","i","j","k","l","m","n","o","p","q","r","s","t","u","v","w","x","y","z"}, B88))))&gt;0, 26, 0)</f>
        <v>26</v>
      </c>
      <c r="Q88" cm="1">
        <f t="array" ref="Q88">IF(SUM(N(ISNUMBER(FIND({"A","B","C","D","E","F","G","H","I","J","K","L","M","N","O","P","Q","R","S","T","U","V","W","X","Y","Z"}, B88))))&gt;0, 26, 0)</f>
        <v>0</v>
      </c>
      <c r="R88" cm="1">
        <f t="array" ref="R88">IF(SUM(N(ISNUMBER(FIND({0,1,2,3,4,5,6,7,8,9}, B88))))&gt;0, 10, 0)</f>
        <v>0</v>
      </c>
      <c r="S88" cm="1">
        <f t="array" ref="S88">IF(LEN(B88)&gt;SUMPRODUCT(LEN(B88)-LEN(SUBSTITUTE(B88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8" s="2" t="s">
        <v>139</v>
      </c>
    </row>
    <row r="89" spans="1:21" ht="15.6">
      <c r="A89" s="3">
        <v>1</v>
      </c>
      <c r="B89" s="7" t="s">
        <v>425</v>
      </c>
      <c r="C89" t="s">
        <v>29</v>
      </c>
      <c r="D89">
        <f t="shared" si="4"/>
        <v>9</v>
      </c>
      <c r="E89">
        <f t="shared" si="5"/>
        <v>58.991299665098765</v>
      </c>
      <c r="F89" s="10">
        <v>3.1699250000000001</v>
      </c>
      <c r="G89" s="10">
        <f t="shared" si="3"/>
        <v>28.529325</v>
      </c>
      <c r="H89" s="10">
        <v>3</v>
      </c>
      <c r="I89" s="20">
        <v>1000000000</v>
      </c>
      <c r="J89" s="10">
        <v>9</v>
      </c>
      <c r="K89" s="10"/>
      <c r="L89" s="10"/>
      <c r="P89" cm="1">
        <f t="array" ref="P89">IF(SUM(N(ISNUMBER(FIND({"a","b","c","d","e","f","g","h","i","j","k","l","m","n","o","p","q","r","s","t","u","v","w","x","y","z"}, B89))))&gt;0, 26, 0)</f>
        <v>26</v>
      </c>
      <c r="Q89" cm="1">
        <f t="array" ref="Q89">IF(SUM(N(ISNUMBER(FIND({"A","B","C","D","E","F","G","H","I","J","K","L","M","N","O","P","Q","R","S","T","U","V","W","X","Y","Z"}, B89))))&gt;0, 26, 0)</f>
        <v>0</v>
      </c>
      <c r="R89" cm="1">
        <f t="array" ref="R89">IF(SUM(N(ISNUMBER(FIND({0,1,2,3,4,5,6,7,8,9}, B89))))&gt;0, 10, 0)</f>
        <v>0</v>
      </c>
      <c r="S89" cm="1">
        <f t="array" ref="S89">IF(LEN(B89)&gt;SUMPRODUCT(LEN(B89)-LEN(SUBSTITUTE(B89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89" s="2" t="s">
        <v>155</v>
      </c>
    </row>
    <row r="90" spans="1:21" ht="15.6">
      <c r="A90" s="3">
        <v>1</v>
      </c>
      <c r="B90" s="7" t="s">
        <v>426</v>
      </c>
      <c r="C90" t="s">
        <v>29</v>
      </c>
      <c r="D90">
        <f t="shared" si="4"/>
        <v>7</v>
      </c>
      <c r="E90">
        <f t="shared" si="5"/>
        <v>45.882121961743479</v>
      </c>
      <c r="F90" s="10">
        <v>2.8073549999999998</v>
      </c>
      <c r="G90" s="10">
        <f t="shared" si="3"/>
        <v>19.651484999999997</v>
      </c>
      <c r="H90" s="10">
        <v>2</v>
      </c>
      <c r="I90" s="10">
        <v>10000001</v>
      </c>
      <c r="J90" s="10">
        <v>7</v>
      </c>
      <c r="K90" s="10"/>
      <c r="L90" s="10"/>
      <c r="P90" cm="1">
        <f t="array" ref="P90">IF(SUM(N(ISNUMBER(FIND({"a","b","c","d","e","f","g","h","i","j","k","l","m","n","o","p","q","r","s","t","u","v","w","x","y","z"}, B90))))&gt;0, 26, 0)</f>
        <v>26</v>
      </c>
      <c r="Q90" cm="1">
        <f t="array" ref="Q90">IF(SUM(N(ISNUMBER(FIND({"A","B","C","D","E","F","G","H","I","J","K","L","M","N","O","P","Q","R","S","T","U","V","W","X","Y","Z"}, B90))))&gt;0, 26, 0)</f>
        <v>0</v>
      </c>
      <c r="R90" cm="1">
        <f t="array" ref="R90">IF(SUM(N(ISNUMBER(FIND({0,1,2,3,4,5,6,7,8,9}, B90))))&gt;0, 10, 0)</f>
        <v>0</v>
      </c>
      <c r="S90" cm="1">
        <f t="array" ref="S90">IF(LEN(B90)&gt;SUMPRODUCT(LEN(B90)-LEN(SUBSTITUTE(B90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90" s="2" t="s">
        <v>171</v>
      </c>
    </row>
    <row r="91" spans="1:21" ht="15.6">
      <c r="A91" s="3">
        <v>1</v>
      </c>
      <c r="B91" s="7" t="s">
        <v>427</v>
      </c>
      <c r="C91" t="s">
        <v>29</v>
      </c>
      <c r="D91">
        <f t="shared" si="4"/>
        <v>14</v>
      </c>
      <c r="E91">
        <f t="shared" si="5"/>
        <v>91.764243923486958</v>
      </c>
      <c r="F91" s="10">
        <v>3.664498</v>
      </c>
      <c r="G91" s="10">
        <f t="shared" si="3"/>
        <v>51.302971999999997</v>
      </c>
      <c r="H91" s="10">
        <v>4</v>
      </c>
      <c r="I91" s="20">
        <v>100000000000000</v>
      </c>
      <c r="J91" s="10">
        <v>14</v>
      </c>
      <c r="K91" s="10"/>
      <c r="L91" s="10"/>
      <c r="P91" cm="1">
        <f t="array" ref="P91">IF(SUM(N(ISNUMBER(FIND({"a","b","c","d","e","f","g","h","i","j","k","l","m","n","o","p","q","r","s","t","u","v","w","x","y","z"}, B91))))&gt;0, 26, 0)</f>
        <v>26</v>
      </c>
      <c r="Q91" cm="1">
        <f t="array" ref="Q91">IF(SUM(N(ISNUMBER(FIND({"A","B","C","D","E","F","G","H","I","J","K","L","M","N","O","P","Q","R","S","T","U","V","W","X","Y","Z"}, B91))))&gt;0, 26, 0)</f>
        <v>0</v>
      </c>
      <c r="R91" cm="1">
        <f t="array" ref="R91">IF(SUM(N(ISNUMBER(FIND({0,1,2,3,4,5,6,7,8,9}, B91))))&gt;0, 10, 0)</f>
        <v>0</v>
      </c>
      <c r="S91" cm="1">
        <f t="array" ref="S91">IF(LEN(B91)&gt;SUMPRODUCT(LEN(B91)-LEN(SUBSTITUTE(B91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91" s="2" t="s">
        <v>188</v>
      </c>
    </row>
    <row r="92" spans="1:21" ht="15.6">
      <c r="A92" s="3">
        <v>1</v>
      </c>
      <c r="B92" s="7" t="s">
        <v>428</v>
      </c>
      <c r="C92" t="s">
        <v>29</v>
      </c>
      <c r="D92">
        <f t="shared" si="4"/>
        <v>11</v>
      </c>
      <c r="E92">
        <f t="shared" si="5"/>
        <v>72.100477368454037</v>
      </c>
      <c r="F92" s="10">
        <v>3.2776130000000001</v>
      </c>
      <c r="G92" s="10">
        <f t="shared" si="3"/>
        <v>36.053743000000004</v>
      </c>
      <c r="H92" s="10">
        <v>4</v>
      </c>
      <c r="I92" s="20">
        <v>100000000000</v>
      </c>
      <c r="J92" s="10">
        <v>11</v>
      </c>
      <c r="K92" s="10"/>
      <c r="L92" s="10"/>
      <c r="P92" cm="1">
        <f t="array" ref="P92">IF(SUM(N(ISNUMBER(FIND({"a","b","c","d","e","f","g","h","i","j","k","l","m","n","o","p","q","r","s","t","u","v","w","x","y","z"}, B92))))&gt;0, 26, 0)</f>
        <v>26</v>
      </c>
      <c r="Q92" cm="1">
        <f t="array" ref="Q92">IF(SUM(N(ISNUMBER(FIND({"A","B","C","D","E","F","G","H","I","J","K","L","M","N","O","P","Q","R","S","T","U","V","W","X","Y","Z"}, B92))))&gt;0, 26, 0)</f>
        <v>0</v>
      </c>
      <c r="R92" cm="1">
        <f t="array" ref="R92">IF(SUM(N(ISNUMBER(FIND({0,1,2,3,4,5,6,7,8,9}, B92))))&gt;0, 10, 0)</f>
        <v>0</v>
      </c>
      <c r="S92" cm="1">
        <f t="array" ref="S92">IF(LEN(B92)&gt;SUMPRODUCT(LEN(B92)-LEN(SUBSTITUTE(B92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92" s="2" t="s">
        <v>204</v>
      </c>
    </row>
    <row r="93" spans="1:21" ht="15.6">
      <c r="A93" s="3">
        <v>1</v>
      </c>
      <c r="B93" s="7" t="s">
        <v>429</v>
      </c>
      <c r="C93" t="s">
        <v>29</v>
      </c>
      <c r="D93">
        <f t="shared" si="4"/>
        <v>10</v>
      </c>
      <c r="E93">
        <f t="shared" si="5"/>
        <v>65.545888516776401</v>
      </c>
      <c r="F93" s="10">
        <v>3.3219280000000002</v>
      </c>
      <c r="G93" s="10">
        <f t="shared" si="3"/>
        <v>33.219280000000005</v>
      </c>
      <c r="H93" s="10">
        <v>3</v>
      </c>
      <c r="I93" s="20">
        <v>10000000000</v>
      </c>
      <c r="J93" s="10">
        <v>10</v>
      </c>
      <c r="K93" s="10"/>
      <c r="L93" s="10"/>
      <c r="P93" cm="1">
        <f t="array" ref="P93">IF(SUM(N(ISNUMBER(FIND({"a","b","c","d","e","f","g","h","i","j","k","l","m","n","o","p","q","r","s","t","u","v","w","x","y","z"}, B93))))&gt;0, 26, 0)</f>
        <v>26</v>
      </c>
      <c r="Q93" cm="1">
        <f t="array" ref="Q93">IF(SUM(N(ISNUMBER(FIND({"A","B","C","D","E","F","G","H","I","J","K","L","M","N","O","P","Q","R","S","T","U","V","W","X","Y","Z"}, B93))))&gt;0, 26, 0)</f>
        <v>26</v>
      </c>
      <c r="R93" cm="1">
        <f t="array" ref="R93">IF(SUM(N(ISNUMBER(FIND({0,1,2,3,4,5,6,7,8,9}, B93))))&gt;0, 10, 0)</f>
        <v>10</v>
      </c>
      <c r="S93" cm="1">
        <f t="array" ref="S93">IF(LEN(B93)&gt;SUMPRODUCT(LEN(B93)-LEN(SUBSTITUTE(B93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93" s="2" t="s">
        <v>220</v>
      </c>
    </row>
    <row r="94" spans="1:21" ht="15.6">
      <c r="A94" s="3">
        <v>1</v>
      </c>
      <c r="B94" s="7" t="s">
        <v>430</v>
      </c>
      <c r="C94" t="s">
        <v>29</v>
      </c>
      <c r="D94">
        <f t="shared" si="4"/>
        <v>13</v>
      </c>
      <c r="E94">
        <f t="shared" si="5"/>
        <v>85.209655071809323</v>
      </c>
      <c r="F94" s="10">
        <v>3.2389009999999998</v>
      </c>
      <c r="G94" s="10">
        <f t="shared" si="3"/>
        <v>42.105712999999994</v>
      </c>
      <c r="H94" s="10">
        <v>4</v>
      </c>
      <c r="I94" s="20">
        <v>10000000000000</v>
      </c>
      <c r="J94" s="10">
        <v>13</v>
      </c>
      <c r="K94" s="10"/>
      <c r="L94" s="10"/>
      <c r="P94" cm="1">
        <f t="array" ref="P94">IF(SUM(N(ISNUMBER(FIND({"a","b","c","d","e","f","g","h","i","j","k","l","m","n","o","p","q","r","s","t","u","v","w","x","y","z"}, B94))))&gt;0, 26, 0)</f>
        <v>26</v>
      </c>
      <c r="Q94" cm="1">
        <f t="array" ref="Q94">IF(SUM(N(ISNUMBER(FIND({"A","B","C","D","E","F","G","H","I","J","K","L","M","N","O","P","Q","R","S","T","U","V","W","X","Y","Z"}, B94))))&gt;0, 26, 0)</f>
        <v>0</v>
      </c>
      <c r="R94" cm="1">
        <f t="array" ref="R94">IF(SUM(N(ISNUMBER(FIND({0,1,2,3,4,5,6,7,8,9}, B94))))&gt;0, 10, 0)</f>
        <v>0</v>
      </c>
      <c r="S94" cm="1">
        <f t="array" ref="S94">IF(LEN(B94)&gt;SUMPRODUCT(LEN(B94)-LEN(SUBSTITUTE(B94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94" s="2" t="s">
        <v>236</v>
      </c>
    </row>
    <row r="95" spans="1:21" ht="15.6">
      <c r="A95" s="3">
        <v>1</v>
      </c>
      <c r="B95" s="7" t="s">
        <v>431</v>
      </c>
      <c r="C95" t="s">
        <v>29</v>
      </c>
      <c r="D95">
        <f t="shared" si="4"/>
        <v>10</v>
      </c>
      <c r="E95">
        <f t="shared" si="5"/>
        <v>65.545888516776401</v>
      </c>
      <c r="F95" s="10">
        <v>2.7219280000000001</v>
      </c>
      <c r="G95" s="10">
        <f t="shared" si="3"/>
        <v>27.219280000000001</v>
      </c>
      <c r="H95" s="10">
        <v>3</v>
      </c>
      <c r="I95" s="20">
        <v>2440000000</v>
      </c>
      <c r="J95" s="10">
        <v>9.3873899999999999</v>
      </c>
      <c r="K95" s="10"/>
      <c r="L95" s="10"/>
      <c r="P95" cm="1">
        <f t="array" ref="P95">IF(SUM(N(ISNUMBER(FIND({"a","b","c","d","e","f","g","h","i","j","k","l","m","n","o","p","q","r","s","t","u","v","w","x","y","z"}, B95))))&gt;0, 26, 0)</f>
        <v>26</v>
      </c>
      <c r="Q95" cm="1">
        <f t="array" ref="Q95">IF(SUM(N(ISNUMBER(FIND({"A","B","C","D","E","F","G","H","I","J","K","L","M","N","O","P","Q","R","S","T","U","V","W","X","Y","Z"}, B95))))&gt;0, 26, 0)</f>
        <v>0</v>
      </c>
      <c r="R95" cm="1">
        <f t="array" ref="R95">IF(SUM(N(ISNUMBER(FIND({0,1,2,3,4,5,6,7,8,9}, B95))))&gt;0, 10, 0)</f>
        <v>0</v>
      </c>
      <c r="S95" cm="1">
        <f t="array" ref="S95">IF(LEN(B95)&gt;SUMPRODUCT(LEN(B95)-LEN(SUBSTITUTE(B95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95" s="2" t="s">
        <v>252</v>
      </c>
    </row>
    <row r="96" spans="1:21" ht="15.6">
      <c r="A96" s="3">
        <v>1</v>
      </c>
      <c r="B96" s="9" t="s">
        <v>432</v>
      </c>
      <c r="C96" t="s">
        <v>29</v>
      </c>
      <c r="D96">
        <f t="shared" si="4"/>
        <v>10</v>
      </c>
      <c r="E96">
        <f t="shared" si="5"/>
        <v>65.545888516776401</v>
      </c>
      <c r="F96" s="10">
        <v>3.121928</v>
      </c>
      <c r="G96" s="10">
        <f t="shared" si="3"/>
        <v>31.219280000000001</v>
      </c>
      <c r="H96" s="10">
        <v>3</v>
      </c>
      <c r="I96" s="20">
        <v>3100000000</v>
      </c>
      <c r="J96" s="10">
        <v>9.4913620000000005</v>
      </c>
      <c r="K96" s="10"/>
      <c r="L96" s="10"/>
      <c r="P96" cm="1">
        <f t="array" ref="P96">IF(SUM(N(ISNUMBER(FIND({"a","b","c","d","e","f","g","h","i","j","k","l","m","n","o","p","q","r","s","t","u","v","w","x","y","z"}, B96))))&gt;0, 26, 0)</f>
        <v>26</v>
      </c>
      <c r="Q96" cm="1">
        <f t="array" ref="Q96">IF(SUM(N(ISNUMBER(FIND({"A","B","C","D","E","F","G","H","I","J","K","L","M","N","O","P","Q","R","S","T","U","V","W","X","Y","Z"}, B96))))&gt;0, 26, 0)</f>
        <v>0</v>
      </c>
      <c r="R96" cm="1">
        <f t="array" ref="R96">IF(SUM(N(ISNUMBER(FIND({0,1,2,3,4,5,6,7,8,9}, B96))))&gt;0, 10, 0)</f>
        <v>0</v>
      </c>
      <c r="S96" cm="1">
        <f t="array" ref="S96">IF(LEN(B96)&gt;SUMPRODUCT(LEN(B96)-LEN(SUBSTITUTE(B96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96" s="5" t="s">
        <v>268</v>
      </c>
    </row>
    <row r="97" spans="1:21" ht="15.6">
      <c r="A97" s="3">
        <v>1</v>
      </c>
      <c r="B97" s="7" t="s">
        <v>433</v>
      </c>
      <c r="C97" t="s">
        <v>29</v>
      </c>
      <c r="D97">
        <f t="shared" si="4"/>
        <v>12</v>
      </c>
      <c r="E97">
        <f t="shared" si="5"/>
        <v>78.655066220131687</v>
      </c>
      <c r="F97" s="10">
        <v>2.8553890000000002</v>
      </c>
      <c r="G97" s="10">
        <f t="shared" si="3"/>
        <v>34.264668</v>
      </c>
      <c r="H97" s="10">
        <v>4</v>
      </c>
      <c r="I97" s="20">
        <v>1000000000000</v>
      </c>
      <c r="J97" s="10">
        <v>12</v>
      </c>
      <c r="K97" s="10"/>
      <c r="L97" s="10"/>
      <c r="P97" cm="1">
        <f t="array" ref="P97">IF(SUM(N(ISNUMBER(FIND({"a","b","c","d","e","f","g","h","i","j","k","l","m","n","o","p","q","r","s","t","u","v","w","x","y","z"}, B97))))&gt;0, 26, 0)</f>
        <v>26</v>
      </c>
      <c r="Q97" cm="1">
        <f t="array" ref="Q97">IF(SUM(N(ISNUMBER(FIND({"A","B","C","D","E","F","G","H","I","J","K","L","M","N","O","P","Q","R","S","T","U","V","W","X","Y","Z"}, B97))))&gt;0, 26, 0)</f>
        <v>0</v>
      </c>
      <c r="R97" cm="1">
        <f t="array" ref="R97">IF(SUM(N(ISNUMBER(FIND({0,1,2,3,4,5,6,7,8,9}, B97))))&gt;0, 10, 0)</f>
        <v>0</v>
      </c>
      <c r="S97" cm="1">
        <f t="array" ref="S97">IF(LEN(B97)&gt;SUMPRODUCT(LEN(B97)-LEN(SUBSTITUTE(B97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97" s="2" t="s">
        <v>284</v>
      </c>
    </row>
    <row r="98" spans="1:21" ht="15.6">
      <c r="A98" s="3">
        <v>1</v>
      </c>
      <c r="B98" s="7" t="s">
        <v>434</v>
      </c>
      <c r="C98" t="s">
        <v>29</v>
      </c>
      <c r="D98">
        <f t="shared" si="4"/>
        <v>16</v>
      </c>
      <c r="E98">
        <f t="shared" si="5"/>
        <v>104.87342162684224</v>
      </c>
      <c r="F98" s="10">
        <v>3.625</v>
      </c>
      <c r="G98" s="10">
        <f t="shared" si="3"/>
        <v>58</v>
      </c>
      <c r="H98" s="10">
        <v>4</v>
      </c>
      <c r="I98" s="20">
        <v>1E+16</v>
      </c>
      <c r="J98" s="10">
        <v>16</v>
      </c>
      <c r="K98" s="10"/>
      <c r="L98" s="10"/>
      <c r="P98" cm="1">
        <f t="array" ref="P98">IF(SUM(N(ISNUMBER(FIND({"a","b","c","d","e","f","g","h","i","j","k","l","m","n","o","p","q","r","s","t","u","v","w","x","y","z"}, B98))))&gt;0, 26, 0)</f>
        <v>26</v>
      </c>
      <c r="Q98" cm="1">
        <f t="array" ref="Q98">IF(SUM(N(ISNUMBER(FIND({"A","B","C","D","E","F","G","H","I","J","K","L","M","N","O","P","Q","R","S","T","U","V","W","X","Y","Z"}, B98))))&gt;0, 26, 0)</f>
        <v>26</v>
      </c>
      <c r="R98" cm="1">
        <f t="array" ref="R98">IF(SUM(N(ISNUMBER(FIND({0,1,2,3,4,5,6,7,8,9}, B98))))&gt;0, 10, 0)</f>
        <v>10</v>
      </c>
      <c r="S98" cm="1">
        <f t="array" ref="S98">IF(LEN(B98)&gt;SUMPRODUCT(LEN(B98)-LEN(SUBSTITUTE(B98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98" s="2" t="s">
        <v>301</v>
      </c>
    </row>
    <row r="99" spans="1:21" ht="15.6">
      <c r="A99" s="3">
        <v>1</v>
      </c>
      <c r="B99" s="7" t="s">
        <v>435</v>
      </c>
      <c r="C99" t="s">
        <v>29</v>
      </c>
      <c r="D99">
        <f t="shared" si="4"/>
        <v>11</v>
      </c>
      <c r="E99">
        <f t="shared" si="5"/>
        <v>72.100477368454037</v>
      </c>
      <c r="F99" s="10">
        <v>3.2776130000000001</v>
      </c>
      <c r="G99" s="10">
        <f t="shared" si="3"/>
        <v>36.053743000000004</v>
      </c>
      <c r="H99" s="10">
        <v>4</v>
      </c>
      <c r="I99" s="20">
        <v>100000000000</v>
      </c>
      <c r="J99" s="10">
        <v>11</v>
      </c>
      <c r="K99" s="10"/>
      <c r="L99" s="10"/>
      <c r="P99" cm="1">
        <f t="array" ref="P99">IF(SUM(N(ISNUMBER(FIND({"a","b","c","d","e","f","g","h","i","j","k","l","m","n","o","p","q","r","s","t","u","v","w","x","y","z"}, B99))))&gt;0, 26, 0)</f>
        <v>26</v>
      </c>
      <c r="Q99" cm="1">
        <f t="array" ref="Q99">IF(SUM(N(ISNUMBER(FIND({"A","B","C","D","E","F","G","H","I","J","K","L","M","N","O","P","Q","R","S","T","U","V","W","X","Y","Z"}, B99))))&gt;0, 26, 0)</f>
        <v>26</v>
      </c>
      <c r="R99" cm="1">
        <f t="array" ref="R99">IF(SUM(N(ISNUMBER(FIND({0,1,2,3,4,5,6,7,8,9}, B99))))&gt;0, 10, 0)</f>
        <v>10</v>
      </c>
      <c r="S99" cm="1">
        <f t="array" ref="S99">IF(LEN(B99)&gt;SUMPRODUCT(LEN(B99)-LEN(SUBSTITUTE(B99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99" s="2" t="s">
        <v>317</v>
      </c>
    </row>
    <row r="100" spans="1:21" ht="15.6">
      <c r="A100" s="3">
        <v>1</v>
      </c>
      <c r="B100" s="7" t="s">
        <v>436</v>
      </c>
      <c r="C100" t="s">
        <v>29</v>
      </c>
      <c r="D100">
        <f t="shared" si="4"/>
        <v>9</v>
      </c>
      <c r="E100">
        <f t="shared" si="5"/>
        <v>58.991299665098765</v>
      </c>
      <c r="F100" s="10">
        <v>2.7254809999999998</v>
      </c>
      <c r="G100" s="10">
        <f t="shared" si="3"/>
        <v>24.529328999999997</v>
      </c>
      <c r="H100" s="10">
        <v>3</v>
      </c>
      <c r="I100" s="20">
        <v>1000000000</v>
      </c>
      <c r="J100" s="10">
        <v>9</v>
      </c>
      <c r="K100" s="10"/>
      <c r="L100" s="10"/>
      <c r="P100" cm="1">
        <f t="array" ref="P100">IF(SUM(N(ISNUMBER(FIND({"a","b","c","d","e","f","g","h","i","j","k","l","m","n","o","p","q","r","s","t","u","v","w","x","y","z"}, B100))))&gt;0, 26, 0)</f>
        <v>26</v>
      </c>
      <c r="Q100" cm="1">
        <f t="array" ref="Q100">IF(SUM(N(ISNUMBER(FIND({"A","B","C","D","E","F","G","H","I","J","K","L","M","N","O","P","Q","R","S","T","U","V","W","X","Y","Z"}, B100))))&gt;0, 26, 0)</f>
        <v>26</v>
      </c>
      <c r="R100" cm="1">
        <f t="array" ref="R100">IF(SUM(N(ISNUMBER(FIND({0,1,2,3,4,5,6,7,8,9}, B100))))&gt;0, 10, 0)</f>
        <v>0</v>
      </c>
      <c r="S100" cm="1">
        <f t="array" ref="S100">IF(LEN(B100)&gt;SUMPRODUCT(LEN(B100)-LEN(SUBSTITUTE(B100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00" s="2" t="s">
        <v>332</v>
      </c>
    </row>
    <row r="101" spans="1:21" ht="15.6">
      <c r="A101" s="3">
        <v>1</v>
      </c>
      <c r="B101" s="7" t="s">
        <v>437</v>
      </c>
      <c r="C101" t="s">
        <v>29</v>
      </c>
      <c r="D101">
        <f t="shared" si="4"/>
        <v>15</v>
      </c>
      <c r="E101">
        <f t="shared" si="5"/>
        <v>98.318832775164609</v>
      </c>
      <c r="F101" s="10">
        <v>3.3232309999999998</v>
      </c>
      <c r="G101" s="10">
        <f t="shared" si="3"/>
        <v>49.848464999999997</v>
      </c>
      <c r="H101" s="10">
        <v>4</v>
      </c>
      <c r="I101" s="20">
        <v>1000000000000000</v>
      </c>
      <c r="J101" s="10">
        <v>15</v>
      </c>
      <c r="K101" s="10"/>
      <c r="L101" s="10"/>
      <c r="P101" cm="1">
        <f t="array" ref="P101">IF(SUM(N(ISNUMBER(FIND({"a","b","c","d","e","f","g","h","i","j","k","l","m","n","o","p","q","r","s","t","u","v","w","x","y","z"}, B101))))&gt;0, 26, 0)</f>
        <v>26</v>
      </c>
      <c r="Q101" cm="1">
        <f t="array" ref="Q101">IF(SUM(N(ISNUMBER(FIND({"A","B","C","D","E","F","G","H","I","J","K","L","M","N","O","P","Q","R","S","T","U","V","W","X","Y","Z"}, B101))))&gt;0, 26, 0)</f>
        <v>26</v>
      </c>
      <c r="R101" cm="1">
        <f t="array" ref="R101">IF(SUM(N(ISNUMBER(FIND({0,1,2,3,4,5,6,7,8,9}, B101))))&gt;0, 10, 0)</f>
        <v>0</v>
      </c>
      <c r="S101" cm="1">
        <f t="array" ref="S101">IF(LEN(B101)&gt;SUMPRODUCT(LEN(B101)-LEN(SUBSTITUTE(B101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1" s="2" t="s">
        <v>348</v>
      </c>
    </row>
    <row r="102" spans="1:21" ht="15.6">
      <c r="A102" s="3">
        <v>1</v>
      </c>
      <c r="B102" s="7" t="s">
        <v>438</v>
      </c>
      <c r="C102" t="s">
        <v>29</v>
      </c>
      <c r="D102">
        <f t="shared" si="4"/>
        <v>14</v>
      </c>
      <c r="E102">
        <f t="shared" si="5"/>
        <v>91.764243923486958</v>
      </c>
      <c r="F102" s="10">
        <v>3.3787829999999999</v>
      </c>
      <c r="G102" s="10">
        <f t="shared" si="3"/>
        <v>47.302962000000001</v>
      </c>
      <c r="H102" s="10">
        <v>4</v>
      </c>
      <c r="I102" s="20">
        <v>100000000000000</v>
      </c>
      <c r="J102" s="10">
        <v>14</v>
      </c>
      <c r="K102" s="10"/>
      <c r="L102" s="10"/>
      <c r="P102" cm="1">
        <f t="array" ref="P102">IF(SUM(N(ISNUMBER(FIND({"a","b","c","d","e","f","g","h","i","j","k","l","m","n","o","p","q","r","s","t","u","v","w","x","y","z"}, B102))))&gt;0, 26, 0)</f>
        <v>26</v>
      </c>
      <c r="Q102" cm="1">
        <f t="array" ref="Q102">IF(SUM(N(ISNUMBER(FIND({"A","B","C","D","E","F","G","H","I","J","K","L","M","N","O","P","Q","R","S","T","U","V","W","X","Y","Z"}, B102))))&gt;0, 26, 0)</f>
        <v>26</v>
      </c>
      <c r="R102" cm="1">
        <f t="array" ref="R102">IF(SUM(N(ISNUMBER(FIND({0,1,2,3,4,5,6,7,8,9}, B102))))&gt;0, 10, 0)</f>
        <v>10</v>
      </c>
      <c r="S102" cm="1">
        <f t="array" ref="S102">IF(LEN(B102)&gt;SUMPRODUCT(LEN(B102)-LEN(SUBSTITUTE(B102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2" s="2" t="s">
        <v>42</v>
      </c>
    </row>
    <row r="103" spans="1:21" ht="15.6">
      <c r="A103" s="3">
        <v>1</v>
      </c>
      <c r="B103" s="7" t="s">
        <v>439</v>
      </c>
      <c r="C103" t="s">
        <v>29</v>
      </c>
      <c r="D103">
        <f t="shared" si="4"/>
        <v>9</v>
      </c>
      <c r="E103">
        <f t="shared" si="5"/>
        <v>58.991299665098765</v>
      </c>
      <c r="F103" s="10">
        <v>2.6416040000000001</v>
      </c>
      <c r="G103" s="10">
        <f t="shared" si="3"/>
        <v>23.774436000000001</v>
      </c>
      <c r="H103" s="10">
        <v>3</v>
      </c>
      <c r="I103" s="20">
        <v>1000000000</v>
      </c>
      <c r="J103" s="10">
        <v>9</v>
      </c>
      <c r="K103" s="10"/>
      <c r="L103" s="10"/>
      <c r="P103" cm="1">
        <f t="array" ref="P103">IF(SUM(N(ISNUMBER(FIND({"a","b","c","d","e","f","g","h","i","j","k","l","m","n","o","p","q","r","s","t","u","v","w","x","y","z"}, B103))))&gt;0, 26, 0)</f>
        <v>26</v>
      </c>
      <c r="Q103" cm="1">
        <f t="array" ref="Q103">IF(SUM(N(ISNUMBER(FIND({"A","B","C","D","E","F","G","H","I","J","K","L","M","N","O","P","Q","R","S","T","U","V","W","X","Y","Z"}, B103))))&gt;0, 26, 0)</f>
        <v>0</v>
      </c>
      <c r="R103" cm="1">
        <f t="array" ref="R103">IF(SUM(N(ISNUMBER(FIND({0,1,2,3,4,5,6,7,8,9}, B103))))&gt;0, 10, 0)</f>
        <v>10</v>
      </c>
      <c r="S103" cm="1">
        <f t="array" ref="S103">IF(LEN(B103)&gt;SUMPRODUCT(LEN(B103)-LEN(SUBSTITUTE(B103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3" s="2" t="s">
        <v>59</v>
      </c>
    </row>
    <row r="104" spans="1:21" ht="15.6">
      <c r="A104" s="3">
        <v>1</v>
      </c>
      <c r="B104" s="7" t="s">
        <v>440</v>
      </c>
      <c r="C104" t="s">
        <v>29</v>
      </c>
      <c r="D104">
        <f t="shared" si="4"/>
        <v>11</v>
      </c>
      <c r="E104">
        <f t="shared" si="5"/>
        <v>72.100477368454037</v>
      </c>
      <c r="F104" s="10">
        <v>3.0957949999999999</v>
      </c>
      <c r="G104" s="10">
        <f t="shared" si="3"/>
        <v>34.053744999999999</v>
      </c>
      <c r="H104" s="10">
        <v>4</v>
      </c>
      <c r="I104" s="20">
        <v>100000000000</v>
      </c>
      <c r="J104" s="10">
        <v>11</v>
      </c>
      <c r="K104" s="10"/>
      <c r="L104" s="10"/>
      <c r="P104" cm="1">
        <f t="array" ref="P104">IF(SUM(N(ISNUMBER(FIND({"a","b","c","d","e","f","g","h","i","j","k","l","m","n","o","p","q","r","s","t","u","v","w","x","y","z"}, B104))))&gt;0, 26, 0)</f>
        <v>26</v>
      </c>
      <c r="Q104" cm="1">
        <f t="array" ref="Q104">IF(SUM(N(ISNUMBER(FIND({"A","B","C","D","E","F","G","H","I","J","K","L","M","N","O","P","Q","R","S","T","U","V","W","X","Y","Z"}, B104))))&gt;0, 26, 0)</f>
        <v>0</v>
      </c>
      <c r="R104" cm="1">
        <f t="array" ref="R104">IF(SUM(N(ISNUMBER(FIND({0,1,2,3,4,5,6,7,8,9}, B104))))&gt;0, 10, 0)</f>
        <v>10</v>
      </c>
      <c r="S104" cm="1">
        <f t="array" ref="S104">IF(LEN(B104)&gt;SUMPRODUCT(LEN(B104)-LEN(SUBSTITUTE(B104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4" s="2" t="s">
        <v>75</v>
      </c>
    </row>
    <row r="105" spans="1:21" ht="15.6">
      <c r="A105" s="3">
        <v>1</v>
      </c>
      <c r="B105" s="7" t="s">
        <v>441</v>
      </c>
      <c r="C105" t="s">
        <v>29</v>
      </c>
      <c r="D105">
        <f t="shared" si="4"/>
        <v>11</v>
      </c>
      <c r="E105">
        <f t="shared" si="5"/>
        <v>72.100477368454037</v>
      </c>
      <c r="F105" s="10">
        <v>2.845351</v>
      </c>
      <c r="G105" s="10">
        <f t="shared" si="3"/>
        <v>31.298860999999999</v>
      </c>
      <c r="H105" s="10">
        <v>4</v>
      </c>
      <c r="I105" s="20">
        <v>100000000000</v>
      </c>
      <c r="J105" s="10">
        <v>11</v>
      </c>
      <c r="K105" s="10"/>
      <c r="L105" s="10"/>
      <c r="P105" cm="1">
        <f t="array" ref="P105">IF(SUM(N(ISNUMBER(FIND({"a","b","c","d","e","f","g","h","i","j","k","l","m","n","o","p","q","r","s","t","u","v","w","x","y","z"}, B105))))&gt;0, 26, 0)</f>
        <v>26</v>
      </c>
      <c r="Q105" cm="1">
        <f t="array" ref="Q105">IF(SUM(N(ISNUMBER(FIND({"A","B","C","D","E","F","G","H","I","J","K","L","M","N","O","P","Q","R","S","T","U","V","W","X","Y","Z"}, B105))))&gt;0, 26, 0)</f>
        <v>0</v>
      </c>
      <c r="R105" cm="1">
        <f t="array" ref="R105">IF(SUM(N(ISNUMBER(FIND({0,1,2,3,4,5,6,7,8,9}, B105))))&gt;0, 10, 0)</f>
        <v>0</v>
      </c>
      <c r="S105" cm="1">
        <f t="array" ref="S105">IF(LEN(B105)&gt;SUMPRODUCT(LEN(B105)-LEN(SUBSTITUTE(B105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5" s="2" t="s">
        <v>91</v>
      </c>
    </row>
    <row r="106" spans="1:21" ht="15.6">
      <c r="A106" s="3">
        <v>1</v>
      </c>
      <c r="B106" s="7" t="s">
        <v>442</v>
      </c>
      <c r="C106" t="s">
        <v>29</v>
      </c>
      <c r="D106">
        <f t="shared" si="4"/>
        <v>9</v>
      </c>
      <c r="E106">
        <f t="shared" si="5"/>
        <v>58.991299665098765</v>
      </c>
      <c r="F106" s="10">
        <v>2.9477030000000002</v>
      </c>
      <c r="G106" s="10">
        <f t="shared" si="3"/>
        <v>26.529327000000002</v>
      </c>
      <c r="H106" s="10">
        <v>3</v>
      </c>
      <c r="I106" s="20">
        <v>235000000</v>
      </c>
      <c r="J106" s="10">
        <v>8.3702719999999999</v>
      </c>
      <c r="K106" s="10"/>
      <c r="L106" s="10"/>
      <c r="P106" cm="1">
        <f t="array" ref="P106">IF(SUM(N(ISNUMBER(FIND({"a","b","c","d","e","f","g","h","i","j","k","l","m","n","o","p","q","r","s","t","u","v","w","x","y","z"}, B106))))&gt;0, 26, 0)</f>
        <v>26</v>
      </c>
      <c r="Q106" cm="1">
        <f t="array" ref="Q106">IF(SUM(N(ISNUMBER(FIND({"A","B","C","D","E","F","G","H","I","J","K","L","M","N","O","P","Q","R","S","T","U","V","W","X","Y","Z"}, B106))))&gt;0, 26, 0)</f>
        <v>0</v>
      </c>
      <c r="R106" cm="1">
        <f t="array" ref="R106">IF(SUM(N(ISNUMBER(FIND({0,1,2,3,4,5,6,7,8,9}, B106))))&gt;0, 10, 0)</f>
        <v>10</v>
      </c>
      <c r="S106" cm="1">
        <f t="array" ref="S106">IF(LEN(B106)&gt;SUMPRODUCT(LEN(B106)-LEN(SUBSTITUTE(B106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6" s="2" t="s">
        <v>107</v>
      </c>
    </row>
    <row r="107" spans="1:21" ht="15.6">
      <c r="A107" s="3">
        <v>1</v>
      </c>
      <c r="B107" s="7" t="s">
        <v>443</v>
      </c>
      <c r="C107" t="s">
        <v>29</v>
      </c>
      <c r="D107">
        <f t="shared" si="4"/>
        <v>15</v>
      </c>
      <c r="E107">
        <f t="shared" si="5"/>
        <v>98.318832775164609</v>
      </c>
      <c r="F107" s="10">
        <v>3.3735569999999999</v>
      </c>
      <c r="G107" s="10">
        <f t="shared" si="3"/>
        <v>50.603355000000001</v>
      </c>
      <c r="H107" s="10">
        <v>4</v>
      </c>
      <c r="I107" s="20">
        <v>1000000000000000</v>
      </c>
      <c r="J107" s="10">
        <v>15</v>
      </c>
      <c r="K107" s="10"/>
      <c r="L107" s="10"/>
      <c r="P107" cm="1">
        <f t="array" ref="P107">IF(SUM(N(ISNUMBER(FIND({"a","b","c","d","e","f","g","h","i","j","k","l","m","n","o","p","q","r","s","t","u","v","w","x","y","z"}, B107))))&gt;0, 26, 0)</f>
        <v>26</v>
      </c>
      <c r="Q107" cm="1">
        <f t="array" ref="Q107">IF(SUM(N(ISNUMBER(FIND({"A","B","C","D","E","F","G","H","I","J","K","L","M","N","O","P","Q","R","S","T","U","V","W","X","Y","Z"}, B107))))&gt;0, 26, 0)</f>
        <v>0</v>
      </c>
      <c r="R107" cm="1">
        <f t="array" ref="R107">IF(SUM(N(ISNUMBER(FIND({0,1,2,3,4,5,6,7,8,9}, B107))))&gt;0, 10, 0)</f>
        <v>10</v>
      </c>
      <c r="S107" cm="1">
        <f t="array" ref="S107">IF(LEN(B107)&gt;SUMPRODUCT(LEN(B107)-LEN(SUBSTITUTE(B107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7" s="2" t="s">
        <v>124</v>
      </c>
    </row>
    <row r="108" spans="1:21" ht="15.6">
      <c r="A108" s="3">
        <v>1</v>
      </c>
      <c r="B108" s="7" t="s">
        <v>444</v>
      </c>
      <c r="C108" t="s">
        <v>29</v>
      </c>
      <c r="D108">
        <f t="shared" si="4"/>
        <v>12</v>
      </c>
      <c r="E108">
        <f t="shared" si="5"/>
        <v>78.655066220131687</v>
      </c>
      <c r="F108" s="10">
        <v>3.0849630000000001</v>
      </c>
      <c r="G108" s="10">
        <f t="shared" si="3"/>
        <v>37.019556000000001</v>
      </c>
      <c r="H108" s="10">
        <v>4</v>
      </c>
      <c r="I108" s="20">
        <v>1000000000000</v>
      </c>
      <c r="J108" s="10">
        <v>12</v>
      </c>
      <c r="K108" s="10"/>
      <c r="L108" s="10"/>
      <c r="P108" cm="1">
        <f t="array" ref="P108">IF(SUM(N(ISNUMBER(FIND({"a","b","c","d","e","f","g","h","i","j","k","l","m","n","o","p","q","r","s","t","u","v","w","x","y","z"}, B108))))&gt;0, 26, 0)</f>
        <v>26</v>
      </c>
      <c r="Q108" cm="1">
        <f t="array" ref="Q108">IF(SUM(N(ISNUMBER(FIND({"A","B","C","D","E","F","G","H","I","J","K","L","M","N","O","P","Q","R","S","T","U","V","W","X","Y","Z"}, B108))))&gt;0, 26, 0)</f>
        <v>0</v>
      </c>
      <c r="R108" cm="1">
        <f t="array" ref="R108">IF(SUM(N(ISNUMBER(FIND({0,1,2,3,4,5,6,7,8,9}, B108))))&gt;0, 10, 0)</f>
        <v>10</v>
      </c>
      <c r="S108" cm="1">
        <f t="array" ref="S108">IF(LEN(B108)&gt;SUMPRODUCT(LEN(B108)-LEN(SUBSTITUTE(B108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8" s="2" t="s">
        <v>140</v>
      </c>
    </row>
    <row r="109" spans="1:21" ht="15.6">
      <c r="A109" s="3">
        <v>1</v>
      </c>
      <c r="B109" s="7" t="s">
        <v>445</v>
      </c>
      <c r="C109" t="s">
        <v>29</v>
      </c>
      <c r="D109">
        <f t="shared" si="4"/>
        <v>11</v>
      </c>
      <c r="E109">
        <f t="shared" si="5"/>
        <v>72.100477368454037</v>
      </c>
      <c r="F109" s="10">
        <v>3.0957949999999999</v>
      </c>
      <c r="G109" s="10">
        <f t="shared" si="3"/>
        <v>34.053744999999999</v>
      </c>
      <c r="H109" s="10">
        <v>3</v>
      </c>
      <c r="I109" s="20">
        <v>4040000000</v>
      </c>
      <c r="J109" s="10">
        <v>9.606382</v>
      </c>
      <c r="K109" s="10"/>
      <c r="L109" s="10"/>
      <c r="P109" cm="1">
        <f t="array" ref="P109">IF(SUM(N(ISNUMBER(FIND({"a","b","c","d","e","f","g","h","i","j","k","l","m","n","o","p","q","r","s","t","u","v","w","x","y","z"}, B109))))&gt;0, 26, 0)</f>
        <v>26</v>
      </c>
      <c r="Q109" cm="1">
        <f t="array" ref="Q109">IF(SUM(N(ISNUMBER(FIND({"A","B","C","D","E","F","G","H","I","J","K","L","M","N","O","P","Q","R","S","T","U","V","W","X","Y","Z"}, B109))))&gt;0, 26, 0)</f>
        <v>0</v>
      </c>
      <c r="R109" cm="1">
        <f t="array" ref="R109">IF(SUM(N(ISNUMBER(FIND({0,1,2,3,4,5,6,7,8,9}, B109))))&gt;0, 10, 0)</f>
        <v>0</v>
      </c>
      <c r="S109" cm="1">
        <f t="array" ref="S109">IF(LEN(B109)&gt;SUMPRODUCT(LEN(B109)-LEN(SUBSTITUTE(B109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09" s="2" t="s">
        <v>156</v>
      </c>
    </row>
    <row r="110" spans="1:21" ht="15.6">
      <c r="A110" s="3">
        <v>1</v>
      </c>
      <c r="B110" s="7" t="s">
        <v>446</v>
      </c>
      <c r="C110" t="s">
        <v>29</v>
      </c>
      <c r="D110">
        <f t="shared" si="4"/>
        <v>11</v>
      </c>
      <c r="E110">
        <f t="shared" si="5"/>
        <v>72.100477368454037</v>
      </c>
      <c r="F110" s="10">
        <v>3.2776130000000001</v>
      </c>
      <c r="G110" s="10">
        <f t="shared" si="3"/>
        <v>36.053743000000004</v>
      </c>
      <c r="H110" s="10">
        <v>4</v>
      </c>
      <c r="I110" s="20">
        <v>100000000000</v>
      </c>
      <c r="J110" s="10">
        <v>11</v>
      </c>
      <c r="K110" s="10"/>
      <c r="L110" s="10"/>
      <c r="P110" cm="1">
        <f t="array" ref="P110">IF(SUM(N(ISNUMBER(FIND({"a","b","c","d","e","f","g","h","i","j","k","l","m","n","o","p","q","r","s","t","u","v","w","x","y","z"}, B110))))&gt;0, 26, 0)</f>
        <v>26</v>
      </c>
      <c r="Q110" cm="1">
        <f t="array" ref="Q110">IF(SUM(N(ISNUMBER(FIND({"A","B","C","D","E","F","G","H","I","J","K","L","M","N","O","P","Q","R","S","T","U","V","W","X","Y","Z"}, B110))))&gt;0, 26, 0)</f>
        <v>26</v>
      </c>
      <c r="R110" cm="1">
        <f t="array" ref="R110">IF(SUM(N(ISNUMBER(FIND({0,1,2,3,4,5,6,7,8,9}, B110))))&gt;0, 10, 0)</f>
        <v>0</v>
      </c>
      <c r="S110" cm="1">
        <f t="array" ref="S110">IF(LEN(B110)&gt;SUMPRODUCT(LEN(B110)-LEN(SUBSTITUTE(B110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0" s="2" t="s">
        <v>172</v>
      </c>
    </row>
    <row r="111" spans="1:21" ht="15.6">
      <c r="A111" s="3">
        <v>1</v>
      </c>
      <c r="B111" s="7" t="s">
        <v>447</v>
      </c>
      <c r="C111" t="s">
        <v>29</v>
      </c>
      <c r="D111">
        <f t="shared" si="4"/>
        <v>11</v>
      </c>
      <c r="E111">
        <f t="shared" si="5"/>
        <v>72.100477368454037</v>
      </c>
      <c r="F111" s="10">
        <v>3.2776130000000001</v>
      </c>
      <c r="G111" s="10">
        <f t="shared" si="3"/>
        <v>36.053743000000004</v>
      </c>
      <c r="H111" s="10">
        <v>4</v>
      </c>
      <c r="I111" s="20">
        <v>62700000000</v>
      </c>
      <c r="J111" s="10">
        <v>10.797409999999999</v>
      </c>
      <c r="K111" s="10"/>
      <c r="L111" s="10"/>
      <c r="P111" cm="1">
        <f t="array" ref="P111">IF(SUM(N(ISNUMBER(FIND({"a","b","c","d","e","f","g","h","i","j","k","l","m","n","o","p","q","r","s","t","u","v","w","x","y","z"}, B111))))&gt;0, 26, 0)</f>
        <v>26</v>
      </c>
      <c r="Q111" cm="1">
        <f t="array" ref="Q111">IF(SUM(N(ISNUMBER(FIND({"A","B","C","D","E","F","G","H","I","J","K","L","M","N","O","P","Q","R","S","T","U","V","W","X","Y","Z"}, B111))))&gt;0, 26, 0)</f>
        <v>26</v>
      </c>
      <c r="R111" cm="1">
        <f t="array" ref="R111">IF(SUM(N(ISNUMBER(FIND({0,1,2,3,4,5,6,7,8,9}, B111))))&gt;0, 10, 0)</f>
        <v>0</v>
      </c>
      <c r="S111" cm="1">
        <f t="array" ref="S111">IF(LEN(B111)&gt;SUMPRODUCT(LEN(B111)-LEN(SUBSTITUTE(B111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1" s="2" t="s">
        <v>189</v>
      </c>
    </row>
    <row r="112" spans="1:21" ht="15.6">
      <c r="A112" s="3">
        <v>1</v>
      </c>
      <c r="B112" s="7" t="s">
        <v>448</v>
      </c>
      <c r="C112" t="s">
        <v>29</v>
      </c>
      <c r="D112">
        <f t="shared" si="4"/>
        <v>15</v>
      </c>
      <c r="E112">
        <f t="shared" si="5"/>
        <v>98.318832775164609</v>
      </c>
      <c r="F112" s="10">
        <v>3.1898979999999999</v>
      </c>
      <c r="G112" s="10">
        <f t="shared" si="3"/>
        <v>47.848469999999999</v>
      </c>
      <c r="H112" s="10">
        <v>4</v>
      </c>
      <c r="I112" s="20">
        <v>1000000000000000</v>
      </c>
      <c r="J112" s="10">
        <v>15</v>
      </c>
      <c r="K112" s="10"/>
      <c r="L112" s="10"/>
      <c r="P112" cm="1">
        <f t="array" ref="P112">IF(SUM(N(ISNUMBER(FIND({"a","b","c","d","e","f","g","h","i","j","k","l","m","n","o","p","q","r","s","t","u","v","w","x","y","z"}, B112))))&gt;0, 26, 0)</f>
        <v>26</v>
      </c>
      <c r="Q112" cm="1">
        <f t="array" ref="Q112">IF(SUM(N(ISNUMBER(FIND({"A","B","C","D","E","F","G","H","I","J","K","L","M","N","O","P","Q","R","S","T","U","V","W","X","Y","Z"}, B112))))&gt;0, 26, 0)</f>
        <v>0</v>
      </c>
      <c r="R112" cm="1">
        <f t="array" ref="R112">IF(SUM(N(ISNUMBER(FIND({0,1,2,3,4,5,6,7,8,9}, B112))))&gt;0, 10, 0)</f>
        <v>10</v>
      </c>
      <c r="S112" cm="1">
        <f t="array" ref="S112">IF(LEN(B112)&gt;SUMPRODUCT(LEN(B112)-LEN(SUBSTITUTE(B112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2" s="2" t="s">
        <v>205</v>
      </c>
    </row>
    <row r="113" spans="1:21" ht="15.6">
      <c r="A113" s="3">
        <v>1</v>
      </c>
      <c r="B113" s="7" t="s">
        <v>449</v>
      </c>
      <c r="C113" t="s">
        <v>29</v>
      </c>
      <c r="D113">
        <f t="shared" si="4"/>
        <v>15</v>
      </c>
      <c r="E113">
        <f t="shared" si="5"/>
        <v>98.318832775164609</v>
      </c>
      <c r="F113" s="10">
        <v>3.3735569999999999</v>
      </c>
      <c r="G113" s="10">
        <f t="shared" si="3"/>
        <v>50.603355000000001</v>
      </c>
      <c r="H113" s="10">
        <v>4</v>
      </c>
      <c r="I113" s="20">
        <v>1000000000000000</v>
      </c>
      <c r="J113" s="10">
        <v>15</v>
      </c>
      <c r="K113" s="10"/>
      <c r="L113" s="10"/>
      <c r="P113" cm="1">
        <f t="array" ref="P113">IF(SUM(N(ISNUMBER(FIND({"a","b","c","d","e","f","g","h","i","j","k","l","m","n","o","p","q","r","s","t","u","v","w","x","y","z"}, B113))))&gt;0, 26, 0)</f>
        <v>26</v>
      </c>
      <c r="Q113" cm="1">
        <f t="array" ref="Q113">IF(SUM(N(ISNUMBER(FIND({"A","B","C","D","E","F","G","H","I","J","K","L","M","N","O","P","Q","R","S","T","U","V","W","X","Y","Z"}, B113))))&gt;0, 26, 0)</f>
        <v>0</v>
      </c>
      <c r="R113" cm="1">
        <f t="array" ref="R113">IF(SUM(N(ISNUMBER(FIND({0,1,2,3,4,5,6,7,8,9}, B113))))&gt;0, 10, 0)</f>
        <v>10</v>
      </c>
      <c r="S113" cm="1">
        <f t="array" ref="S113">IF(LEN(B113)&gt;SUMPRODUCT(LEN(B113)-LEN(SUBSTITUTE(B113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3" s="2" t="s">
        <v>221</v>
      </c>
    </row>
    <row r="114" spans="1:21" ht="15.6">
      <c r="A114" s="3">
        <v>1</v>
      </c>
      <c r="B114" s="7" t="s">
        <v>450</v>
      </c>
      <c r="C114" t="s">
        <v>29</v>
      </c>
      <c r="D114">
        <f t="shared" si="4"/>
        <v>12</v>
      </c>
      <c r="E114">
        <f t="shared" si="5"/>
        <v>78.655066220131687</v>
      </c>
      <c r="F114" s="10">
        <v>3.2516289999999999</v>
      </c>
      <c r="G114" s="10">
        <f t="shared" si="3"/>
        <v>39.019548</v>
      </c>
      <c r="H114" s="10">
        <v>4</v>
      </c>
      <c r="I114" s="20">
        <v>69700000000</v>
      </c>
      <c r="J114" s="10">
        <v>10.84323</v>
      </c>
      <c r="K114" s="10"/>
      <c r="L114" s="10"/>
      <c r="P114" cm="1">
        <f t="array" ref="P114">IF(SUM(N(ISNUMBER(FIND({"a","b","c","d","e","f","g","h","i","j","k","l","m","n","o","p","q","r","s","t","u","v","w","x","y","z"}, B114))))&gt;0, 26, 0)</f>
        <v>26</v>
      </c>
      <c r="Q114" cm="1">
        <f t="array" ref="Q114">IF(SUM(N(ISNUMBER(FIND({"A","B","C","D","E","F","G","H","I","J","K","L","M","N","O","P","Q","R","S","T","U","V","W","X","Y","Z"}, B114))))&gt;0, 26, 0)</f>
        <v>26</v>
      </c>
      <c r="R114" cm="1">
        <f t="array" ref="R114">IF(SUM(N(ISNUMBER(FIND({0,1,2,3,4,5,6,7,8,9}, B114))))&gt;0, 10, 0)</f>
        <v>10</v>
      </c>
      <c r="S114" cm="1">
        <f t="array" ref="S114">IF(LEN(B114)&gt;SUMPRODUCT(LEN(B114)-LEN(SUBSTITUTE(B114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4" s="2" t="s">
        <v>237</v>
      </c>
    </row>
    <row r="115" spans="1:21" ht="15.6">
      <c r="A115" s="3">
        <v>1</v>
      </c>
      <c r="B115" s="7" t="s">
        <v>451</v>
      </c>
      <c r="C115" t="s">
        <v>29</v>
      </c>
      <c r="D115">
        <f t="shared" si="4"/>
        <v>13</v>
      </c>
      <c r="E115">
        <f t="shared" si="5"/>
        <v>85.209655071809323</v>
      </c>
      <c r="F115" s="10">
        <v>3.0269870000000001</v>
      </c>
      <c r="G115" s="10">
        <f t="shared" si="3"/>
        <v>39.350830999999999</v>
      </c>
      <c r="H115" s="10">
        <v>4</v>
      </c>
      <c r="I115" s="20">
        <v>10000000000000</v>
      </c>
      <c r="J115" s="10">
        <v>13</v>
      </c>
      <c r="K115" s="10"/>
      <c r="L115" s="10"/>
      <c r="P115" cm="1">
        <f t="array" ref="P115">IF(SUM(N(ISNUMBER(FIND({"a","b","c","d","e","f","g","h","i","j","k","l","m","n","o","p","q","r","s","t","u","v","w","x","y","z"}, B115))))&gt;0, 26, 0)</f>
        <v>26</v>
      </c>
      <c r="Q115" cm="1">
        <f t="array" ref="Q115">IF(SUM(N(ISNUMBER(FIND({"A","B","C","D","E","F","G","H","I","J","K","L","M","N","O","P","Q","R","S","T","U","V","W","X","Y","Z"}, B115))))&gt;0, 26, 0)</f>
        <v>26</v>
      </c>
      <c r="R115" cm="1">
        <f t="array" ref="R115">IF(SUM(N(ISNUMBER(FIND({0,1,2,3,4,5,6,7,8,9}, B115))))&gt;0, 10, 0)</f>
        <v>10</v>
      </c>
      <c r="S115" cm="1">
        <f t="array" ref="S115">IF(LEN(B115)&gt;SUMPRODUCT(LEN(B115)-LEN(SUBSTITUTE(B115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5" s="2" t="s">
        <v>253</v>
      </c>
    </row>
    <row r="116" spans="1:21" ht="15.6">
      <c r="A116" s="3">
        <v>1</v>
      </c>
      <c r="B116" s="7" t="s">
        <v>452</v>
      </c>
      <c r="C116" t="s">
        <v>29</v>
      </c>
      <c r="D116">
        <f t="shared" si="4"/>
        <v>14</v>
      </c>
      <c r="E116">
        <f t="shared" si="5"/>
        <v>91.764243923486958</v>
      </c>
      <c r="F116" s="10">
        <v>3.3248630000000001</v>
      </c>
      <c r="G116" s="10">
        <f t="shared" si="3"/>
        <v>46.548082000000001</v>
      </c>
      <c r="H116" s="10">
        <v>4</v>
      </c>
      <c r="I116" s="20">
        <v>100000000000000</v>
      </c>
      <c r="J116" s="10">
        <v>14</v>
      </c>
      <c r="K116" s="10"/>
      <c r="L116" s="10"/>
      <c r="P116" cm="1">
        <f t="array" ref="P116">IF(SUM(N(ISNUMBER(FIND({"a","b","c","d","e","f","g","h","i","j","k","l","m","n","o","p","q","r","s","t","u","v","w","x","y","z"}, B116))))&gt;0, 26, 0)</f>
        <v>26</v>
      </c>
      <c r="Q116" cm="1">
        <f t="array" ref="Q116">IF(SUM(N(ISNUMBER(FIND({"A","B","C","D","E","F","G","H","I","J","K","L","M","N","O","P","Q","R","S","T","U","V","W","X","Y","Z"}, B116))))&gt;0, 26, 0)</f>
        <v>26</v>
      </c>
      <c r="R116" cm="1">
        <f t="array" ref="R116">IF(SUM(N(ISNUMBER(FIND({0,1,2,3,4,5,6,7,8,9}, B116))))&gt;0, 10, 0)</f>
        <v>0</v>
      </c>
      <c r="S116" cm="1">
        <f t="array" ref="S116">IF(LEN(B116)&gt;SUMPRODUCT(LEN(B116)-LEN(SUBSTITUTE(B116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6" s="2" t="s">
        <v>269</v>
      </c>
    </row>
    <row r="117" spans="1:21" ht="15.6">
      <c r="A117" s="3">
        <v>1</v>
      </c>
      <c r="B117" s="7" t="s">
        <v>453</v>
      </c>
      <c r="C117" t="s">
        <v>29</v>
      </c>
      <c r="D117">
        <f t="shared" si="4"/>
        <v>12</v>
      </c>
      <c r="E117">
        <f t="shared" si="5"/>
        <v>78.655066220131687</v>
      </c>
      <c r="F117" s="10">
        <v>3.4182959999999998</v>
      </c>
      <c r="G117" s="10">
        <f t="shared" si="3"/>
        <v>41.019551999999997</v>
      </c>
      <c r="H117" s="10">
        <v>4</v>
      </c>
      <c r="I117" s="20">
        <v>1000000000000</v>
      </c>
      <c r="J117" s="10">
        <v>12</v>
      </c>
      <c r="K117" s="10"/>
      <c r="L117" s="10"/>
      <c r="P117" cm="1">
        <f t="array" ref="P117">IF(SUM(N(ISNUMBER(FIND({"a","b","c","d","e","f","g","h","i","j","k","l","m","n","o","p","q","r","s","t","u","v","w","x","y","z"}, B117))))&gt;0, 26, 0)</f>
        <v>26</v>
      </c>
      <c r="Q117" cm="1">
        <f t="array" ref="Q117">IF(SUM(N(ISNUMBER(FIND({"A","B","C","D","E","F","G","H","I","J","K","L","M","N","O","P","Q","R","S","T","U","V","W","X","Y","Z"}, B117))))&gt;0, 26, 0)</f>
        <v>0</v>
      </c>
      <c r="R117" cm="1">
        <f t="array" ref="R117">IF(SUM(N(ISNUMBER(FIND({0,1,2,3,4,5,6,7,8,9}, B117))))&gt;0, 10, 0)</f>
        <v>10</v>
      </c>
      <c r="S117" cm="1">
        <f t="array" ref="S117">IF(LEN(B117)&gt;SUMPRODUCT(LEN(B117)-LEN(SUBSTITUTE(B117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7" s="2" t="s">
        <v>285</v>
      </c>
    </row>
    <row r="118" spans="1:21" ht="15.6">
      <c r="A118" s="3">
        <v>1</v>
      </c>
      <c r="B118" s="7" t="s">
        <v>454</v>
      </c>
      <c r="C118" t="s">
        <v>29</v>
      </c>
      <c r="D118">
        <f t="shared" si="4"/>
        <v>13</v>
      </c>
      <c r="E118">
        <f t="shared" si="5"/>
        <v>85.209655071809323</v>
      </c>
      <c r="F118" s="10">
        <v>3.392747</v>
      </c>
      <c r="G118" s="10">
        <f t="shared" si="3"/>
        <v>44.105710999999999</v>
      </c>
      <c r="H118" s="10">
        <v>4</v>
      </c>
      <c r="I118" s="20">
        <v>10000000000000</v>
      </c>
      <c r="J118" s="10">
        <v>13</v>
      </c>
      <c r="K118" s="10"/>
      <c r="L118" s="10"/>
      <c r="P118" cm="1">
        <f t="array" ref="P118">IF(SUM(N(ISNUMBER(FIND({"a","b","c","d","e","f","g","h","i","j","k","l","m","n","o","p","q","r","s","t","u","v","w","x","y","z"}, B118))))&gt;0, 26, 0)</f>
        <v>26</v>
      </c>
      <c r="Q118" cm="1">
        <f t="array" ref="Q118">IF(SUM(N(ISNUMBER(FIND({"A","B","C","D","E","F","G","H","I","J","K","L","M","N","O","P","Q","R","S","T","U","V","W","X","Y","Z"}, B118))))&gt;0, 26, 0)</f>
        <v>26</v>
      </c>
      <c r="R118" cm="1">
        <f t="array" ref="R118">IF(SUM(N(ISNUMBER(FIND({0,1,2,3,4,5,6,7,8,9}, B118))))&gt;0, 10, 0)</f>
        <v>0</v>
      </c>
      <c r="S118" cm="1">
        <f t="array" ref="S118">IF(LEN(B118)&gt;SUMPRODUCT(LEN(B118)-LEN(SUBSTITUTE(B118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8" s="2" t="s">
        <v>302</v>
      </c>
    </row>
    <row r="119" spans="1:21" ht="15.6">
      <c r="A119" s="3">
        <v>1</v>
      </c>
      <c r="B119" s="7" t="s">
        <v>455</v>
      </c>
      <c r="C119" t="s">
        <v>29</v>
      </c>
      <c r="D119">
        <f t="shared" si="4"/>
        <v>11</v>
      </c>
      <c r="E119">
        <f t="shared" si="5"/>
        <v>72.100477368454037</v>
      </c>
      <c r="F119" s="10">
        <v>2.913977</v>
      </c>
      <c r="G119" s="10">
        <f t="shared" si="3"/>
        <v>32.053747000000001</v>
      </c>
      <c r="H119" s="10">
        <v>3</v>
      </c>
      <c r="I119" s="20">
        <v>400000000</v>
      </c>
      <c r="J119" s="10">
        <v>8.6025050000000007</v>
      </c>
      <c r="K119" s="10"/>
      <c r="L119" s="10"/>
      <c r="P119" cm="1">
        <f t="array" ref="P119">IF(SUM(N(ISNUMBER(FIND({"a","b","c","d","e","f","g","h","i","j","k","l","m","n","o","p","q","r","s","t","u","v","w","x","y","z"}, B119))))&gt;0, 26, 0)</f>
        <v>26</v>
      </c>
      <c r="Q119" cm="1">
        <f t="array" ref="Q119">IF(SUM(N(ISNUMBER(FIND({"A","B","C","D","E","F","G","H","I","J","K","L","M","N","O","P","Q","R","S","T","U","V","W","X","Y","Z"}, B119))))&gt;0, 26, 0)</f>
        <v>0</v>
      </c>
      <c r="R119" cm="1">
        <f t="array" ref="R119">IF(SUM(N(ISNUMBER(FIND({0,1,2,3,4,5,6,7,8,9}, B119))))&gt;0, 10, 0)</f>
        <v>10</v>
      </c>
      <c r="S119" cm="1">
        <f t="array" ref="S119">IF(LEN(B119)&gt;SUMPRODUCT(LEN(B119)-LEN(SUBSTITUTE(B119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19" s="2" t="s">
        <v>318</v>
      </c>
    </row>
    <row r="120" spans="1:21" ht="15.6">
      <c r="A120" s="3">
        <v>1</v>
      </c>
      <c r="B120" s="7" t="s">
        <v>456</v>
      </c>
      <c r="C120" t="s">
        <v>29</v>
      </c>
      <c r="D120">
        <f t="shared" si="4"/>
        <v>14</v>
      </c>
      <c r="E120">
        <f t="shared" si="5"/>
        <v>91.764243923486958</v>
      </c>
      <c r="F120" s="10">
        <v>3.3787829999999999</v>
      </c>
      <c r="G120" s="10">
        <f t="shared" si="3"/>
        <v>47.302962000000001</v>
      </c>
      <c r="H120" s="10">
        <v>4</v>
      </c>
      <c r="I120" s="20">
        <v>4040000000000</v>
      </c>
      <c r="J120" s="10">
        <v>12.60638</v>
      </c>
      <c r="K120" s="10"/>
      <c r="L120" s="10"/>
      <c r="P120" cm="1">
        <f t="array" ref="P120">IF(SUM(N(ISNUMBER(FIND({"a","b","c","d","e","f","g","h","i","j","k","l","m","n","o","p","q","r","s","t","u","v","w","x","y","z"}, B120))))&gt;0, 26, 0)</f>
        <v>26</v>
      </c>
      <c r="Q120" cm="1">
        <f t="array" ref="Q120">IF(SUM(N(ISNUMBER(FIND({"A","B","C","D","E","F","G","H","I","J","K","L","M","N","O","P","Q","R","S","T","U","V","W","X","Y","Z"}, B120))))&gt;0, 26, 0)</f>
        <v>0</v>
      </c>
      <c r="R120" cm="1">
        <f t="array" ref="R120">IF(SUM(N(ISNUMBER(FIND({0,1,2,3,4,5,6,7,8,9}, B120))))&gt;0, 10, 0)</f>
        <v>0</v>
      </c>
      <c r="S120" cm="1">
        <f t="array" ref="S120">IF(LEN(B120)&gt;SUMPRODUCT(LEN(B120)-LEN(SUBSTITUTE(B120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20" s="2" t="s">
        <v>333</v>
      </c>
    </row>
    <row r="121" spans="1:21" ht="15.6">
      <c r="A121" s="3">
        <v>1</v>
      </c>
      <c r="B121" s="7" t="s">
        <v>457</v>
      </c>
      <c r="C121" t="s">
        <v>29</v>
      </c>
      <c r="D121">
        <f t="shared" si="4"/>
        <v>13</v>
      </c>
      <c r="E121">
        <f t="shared" si="5"/>
        <v>85.209655071809323</v>
      </c>
      <c r="F121" s="10">
        <v>3.2389009999999998</v>
      </c>
      <c r="G121" s="10">
        <f t="shared" si="3"/>
        <v>42.105712999999994</v>
      </c>
      <c r="H121" s="10">
        <v>4</v>
      </c>
      <c r="I121" s="20">
        <v>10000000000000</v>
      </c>
      <c r="J121" s="10">
        <v>13</v>
      </c>
      <c r="K121" s="10"/>
      <c r="L121" s="10"/>
      <c r="P121" cm="1">
        <f t="array" ref="P121">IF(SUM(N(ISNUMBER(FIND({"a","b","c","d","e","f","g","h","i","j","k","l","m","n","o","p","q","r","s","t","u","v","w","x","y","z"}, B121))))&gt;0, 26, 0)</f>
        <v>26</v>
      </c>
      <c r="Q121" cm="1">
        <f t="array" ref="Q121">IF(SUM(N(ISNUMBER(FIND({"A","B","C","D","E","F","G","H","I","J","K","L","M","N","O","P","Q","R","S","T","U","V","W","X","Y","Z"}, B121))))&gt;0, 26, 0)</f>
        <v>26</v>
      </c>
      <c r="R121" cm="1">
        <f t="array" ref="R121">IF(SUM(N(ISNUMBER(FIND({0,1,2,3,4,5,6,7,8,9}, B121))))&gt;0, 10, 0)</f>
        <v>10</v>
      </c>
      <c r="S121" cm="1">
        <f t="array" ref="S121">IF(LEN(B121)&gt;SUMPRODUCT(LEN(B121)-LEN(SUBSTITUTE(B121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21" s="2" t="s">
        <v>349</v>
      </c>
    </row>
    <row r="122" spans="1:21" ht="15.6">
      <c r="A122" s="3">
        <v>1</v>
      </c>
      <c r="B122" s="7" t="s">
        <v>458</v>
      </c>
      <c r="C122" t="s">
        <v>29</v>
      </c>
      <c r="D122">
        <f t="shared" si="4"/>
        <v>13</v>
      </c>
      <c r="E122">
        <f t="shared" si="5"/>
        <v>85.209655071809323</v>
      </c>
      <c r="F122" s="10">
        <v>3.0269870000000001</v>
      </c>
      <c r="G122" s="10">
        <f t="shared" si="3"/>
        <v>39.350830999999999</v>
      </c>
      <c r="H122" s="10">
        <v>4</v>
      </c>
      <c r="I122" s="20">
        <v>10000000000000</v>
      </c>
      <c r="J122" s="10">
        <v>13</v>
      </c>
      <c r="K122" s="10"/>
      <c r="L122" s="10"/>
      <c r="P122" cm="1">
        <f t="array" ref="P122">IF(SUM(N(ISNUMBER(FIND({"a","b","c","d","e","f","g","h","i","j","k","l","m","n","o","p","q","r","s","t","u","v","w","x","y","z"}, B122))))&gt;0, 26, 0)</f>
        <v>26</v>
      </c>
      <c r="Q122" cm="1">
        <f t="array" ref="Q122">IF(SUM(N(ISNUMBER(FIND({"A","B","C","D","E","F","G","H","I","J","K","L","M","N","O","P","Q","R","S","T","U","V","W","X","Y","Z"}, B122))))&gt;0, 26, 0)</f>
        <v>26</v>
      </c>
      <c r="R122" cm="1">
        <f t="array" ref="R122">IF(SUM(N(ISNUMBER(FIND({0,1,2,3,4,5,6,7,8,9}, B122))))&gt;0, 10, 0)</f>
        <v>0</v>
      </c>
      <c r="S122" cm="1">
        <f t="array" ref="S122">IF(LEN(B122)&gt;SUMPRODUCT(LEN(B122)-LEN(SUBSTITUTE(B122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22" s="2" t="s">
        <v>43</v>
      </c>
    </row>
    <row r="123" spans="1:21" ht="15.6">
      <c r="A123" s="3">
        <v>1</v>
      </c>
      <c r="B123" s="7" t="s">
        <v>459</v>
      </c>
      <c r="C123" t="s">
        <v>29</v>
      </c>
      <c r="D123">
        <f t="shared" si="4"/>
        <v>15</v>
      </c>
      <c r="E123">
        <f t="shared" si="5"/>
        <v>98.318832775164609</v>
      </c>
      <c r="F123" s="10">
        <v>3.3735569999999999</v>
      </c>
      <c r="G123" s="10">
        <f t="shared" si="3"/>
        <v>50.603355000000001</v>
      </c>
      <c r="H123" s="10">
        <v>4</v>
      </c>
      <c r="I123" s="20">
        <v>1000000000000000</v>
      </c>
      <c r="J123" s="10">
        <v>15</v>
      </c>
      <c r="K123" s="10"/>
      <c r="L123" s="10"/>
      <c r="P123" cm="1">
        <f t="array" ref="P123">IF(SUM(N(ISNUMBER(FIND({"a","b","c","d","e","f","g","h","i","j","k","l","m","n","o","p","q","r","s","t","u","v","w","x","y","z"}, B123))))&gt;0, 26, 0)</f>
        <v>26</v>
      </c>
      <c r="Q123" cm="1">
        <f t="array" ref="Q123">IF(SUM(N(ISNUMBER(FIND({"A","B","C","D","E","F","G","H","I","J","K","L","M","N","O","P","Q","R","S","T","U","V","W","X","Y","Z"}, B123))))&gt;0, 26, 0)</f>
        <v>0</v>
      </c>
      <c r="R123" cm="1">
        <f t="array" ref="R123">IF(SUM(N(ISNUMBER(FIND({0,1,2,3,4,5,6,7,8,9}, B123))))&gt;0, 10, 0)</f>
        <v>0</v>
      </c>
      <c r="S123" cm="1">
        <f t="array" ref="S123">IF(LEN(B123)&gt;SUMPRODUCT(LEN(B123)-LEN(SUBSTITUTE(B123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23" s="2" t="s">
        <v>60</v>
      </c>
    </row>
    <row r="124" spans="1:21" ht="15.6">
      <c r="A124" s="3">
        <v>1</v>
      </c>
      <c r="B124" s="7" t="s">
        <v>460</v>
      </c>
      <c r="C124" t="s">
        <v>29</v>
      </c>
      <c r="D124">
        <f t="shared" si="4"/>
        <v>10</v>
      </c>
      <c r="E124">
        <f t="shared" si="5"/>
        <v>65.545888516776401</v>
      </c>
      <c r="F124" s="10">
        <v>3.121928</v>
      </c>
      <c r="G124" s="10">
        <f t="shared" si="3"/>
        <v>31.219280000000001</v>
      </c>
      <c r="H124" s="10">
        <v>3</v>
      </c>
      <c r="I124" s="20">
        <v>10000000000</v>
      </c>
      <c r="J124" s="10">
        <v>10</v>
      </c>
      <c r="K124" s="10"/>
      <c r="L124" s="10"/>
      <c r="P124" cm="1">
        <f t="array" ref="P124">IF(SUM(N(ISNUMBER(FIND({"a","b","c","d","e","f","g","h","i","j","k","l","m","n","o","p","q","r","s","t","u","v","w","x","y","z"}, B124))))&gt;0, 26, 0)</f>
        <v>26</v>
      </c>
      <c r="Q124" cm="1">
        <f t="array" ref="Q124">IF(SUM(N(ISNUMBER(FIND({"A","B","C","D","E","F","G","H","I","J","K","L","M","N","O","P","Q","R","S","T","U","V","W","X","Y","Z"}, B124))))&gt;0, 26, 0)</f>
        <v>26</v>
      </c>
      <c r="R124" cm="1">
        <f t="array" ref="R124">IF(SUM(N(ISNUMBER(FIND({0,1,2,3,4,5,6,7,8,9}, B124))))&gt;0, 10, 0)</f>
        <v>10</v>
      </c>
      <c r="S124" cm="1">
        <f t="array" ref="S124">IF(LEN(B124)&gt;SUMPRODUCT(LEN(B124)-LEN(SUBSTITUTE(B124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24" s="2" t="s">
        <v>76</v>
      </c>
    </row>
    <row r="125" spans="1:21" ht="15.6">
      <c r="A125" s="3">
        <v>1</v>
      </c>
      <c r="B125" s="7" t="s">
        <v>461</v>
      </c>
      <c r="C125" t="s">
        <v>29</v>
      </c>
      <c r="D125">
        <f t="shared" si="4"/>
        <v>11</v>
      </c>
      <c r="E125">
        <f t="shared" si="5"/>
        <v>72.100477368454037</v>
      </c>
      <c r="F125" s="10">
        <v>3.2776130000000001</v>
      </c>
      <c r="G125" s="10">
        <f t="shared" si="3"/>
        <v>36.053743000000004</v>
      </c>
      <c r="H125" s="10">
        <v>4</v>
      </c>
      <c r="I125" s="20">
        <v>100000000000</v>
      </c>
      <c r="J125" s="10">
        <v>11</v>
      </c>
      <c r="K125" s="10"/>
      <c r="L125" s="10"/>
      <c r="P125" cm="1">
        <f t="array" ref="P125">IF(SUM(N(ISNUMBER(FIND({"a","b","c","d","e","f","g","h","i","j","k","l","m","n","o","p","q","r","s","t","u","v","w","x","y","z"}, B125))))&gt;0, 26, 0)</f>
        <v>26</v>
      </c>
      <c r="Q125" cm="1">
        <f t="array" ref="Q125">IF(SUM(N(ISNUMBER(FIND({"A","B","C","D","E","F","G","H","I","J","K","L","M","N","O","P","Q","R","S","T","U","V","W","X","Y","Z"}, B125))))&gt;0, 26, 0)</f>
        <v>26</v>
      </c>
      <c r="R125" cm="1">
        <f t="array" ref="R125">IF(SUM(N(ISNUMBER(FIND({0,1,2,3,4,5,6,7,8,9}, B125))))&gt;0, 10, 0)</f>
        <v>10</v>
      </c>
      <c r="S125" cm="1">
        <f t="array" ref="S125">IF(LEN(B125)&gt;SUMPRODUCT(LEN(B125)-LEN(SUBSTITUTE(B125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25" s="2" t="s">
        <v>92</v>
      </c>
    </row>
    <row r="126" spans="1:21" ht="15.6">
      <c r="A126" s="3">
        <v>1</v>
      </c>
      <c r="B126" s="7" t="s">
        <v>462</v>
      </c>
      <c r="C126" t="s">
        <v>29</v>
      </c>
      <c r="D126">
        <f t="shared" si="4"/>
        <v>11</v>
      </c>
      <c r="E126">
        <f t="shared" si="5"/>
        <v>72.100477368454037</v>
      </c>
      <c r="F126" s="10">
        <v>3.0271690000000002</v>
      </c>
      <c r="G126" s="10">
        <f t="shared" si="3"/>
        <v>33.298859</v>
      </c>
      <c r="H126" s="10">
        <v>4</v>
      </c>
      <c r="I126" s="20">
        <v>100000000000</v>
      </c>
      <c r="J126" s="10">
        <v>11</v>
      </c>
      <c r="K126" s="10"/>
      <c r="L126" s="10"/>
      <c r="P126" cm="1">
        <f t="array" ref="P126">IF(SUM(N(ISNUMBER(FIND({"a","b","c","d","e","f","g","h","i","j","k","l","m","n","o","p","q","r","s","t","u","v","w","x","y","z"}, B126))))&gt;0, 26, 0)</f>
        <v>26</v>
      </c>
      <c r="Q126" cm="1">
        <f t="array" ref="Q126">IF(SUM(N(ISNUMBER(FIND({"A","B","C","D","E","F","G","H","I","J","K","L","M","N","O","P","Q","R","S","T","U","V","W","X","Y","Z"}, B126))))&gt;0, 26, 0)</f>
        <v>26</v>
      </c>
      <c r="R126" cm="1">
        <f t="array" ref="R126">IF(SUM(N(ISNUMBER(FIND({0,1,2,3,4,5,6,7,8,9}, B126))))&gt;0, 10, 0)</f>
        <v>10</v>
      </c>
      <c r="S126" cm="1">
        <f t="array" ref="S126">IF(LEN(B126)&gt;SUMPRODUCT(LEN(B126)-LEN(SUBSTITUTE(B126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26" s="2" t="s">
        <v>108</v>
      </c>
    </row>
    <row r="127" spans="1:21" ht="15.6">
      <c r="A127" s="3">
        <v>1</v>
      </c>
      <c r="B127" s="7" t="s">
        <v>463</v>
      </c>
      <c r="C127" t="s">
        <v>29</v>
      </c>
      <c r="D127">
        <f t="shared" si="4"/>
        <v>10</v>
      </c>
      <c r="E127">
        <f t="shared" si="5"/>
        <v>65.545888516776401</v>
      </c>
      <c r="F127" s="10">
        <v>2.9219279999999999</v>
      </c>
      <c r="G127" s="10">
        <f t="shared" si="3"/>
        <v>29.219279999999998</v>
      </c>
      <c r="H127" s="10">
        <v>3</v>
      </c>
      <c r="I127" s="20">
        <v>10000000000</v>
      </c>
      <c r="J127" s="10">
        <v>10</v>
      </c>
      <c r="K127" s="10"/>
      <c r="L127" s="10"/>
      <c r="P127" cm="1">
        <f t="array" ref="P127">IF(SUM(N(ISNUMBER(FIND({"a","b","c","d","e","f","g","h","i","j","k","l","m","n","o","p","q","r","s","t","u","v","w","x","y","z"}, B127))))&gt;0, 26, 0)</f>
        <v>26</v>
      </c>
      <c r="Q127" cm="1">
        <f t="array" ref="Q127">IF(SUM(N(ISNUMBER(FIND({"A","B","C","D","E","F","G","H","I","J","K","L","M","N","O","P","Q","R","S","T","U","V","W","X","Y","Z"}, B127))))&gt;0, 26, 0)</f>
        <v>26</v>
      </c>
      <c r="R127" cm="1">
        <f t="array" ref="R127">IF(SUM(N(ISNUMBER(FIND({0,1,2,3,4,5,6,7,8,9}, B127))))&gt;0, 10, 0)</f>
        <v>10</v>
      </c>
      <c r="S127" cm="1">
        <f t="array" ref="S127">IF(LEN(B127)&gt;SUMPRODUCT(LEN(B127)-LEN(SUBSTITUTE(B127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27" s="2" t="s">
        <v>125</v>
      </c>
    </row>
    <row r="128" spans="1:21" ht="15.6">
      <c r="A128" s="3">
        <v>1</v>
      </c>
      <c r="B128" s="7" t="s">
        <v>464</v>
      </c>
      <c r="C128" t="s">
        <v>29</v>
      </c>
      <c r="D128">
        <f t="shared" si="4"/>
        <v>10</v>
      </c>
      <c r="E128">
        <f t="shared" si="5"/>
        <v>65.545888516776401</v>
      </c>
      <c r="F128" s="10">
        <v>3.3219280000000002</v>
      </c>
      <c r="G128" s="10">
        <f t="shared" si="3"/>
        <v>33.219280000000005</v>
      </c>
      <c r="H128" s="10">
        <v>3</v>
      </c>
      <c r="I128" s="20">
        <v>10000000000</v>
      </c>
      <c r="J128" s="10">
        <v>10</v>
      </c>
      <c r="K128" s="10"/>
      <c r="L128" s="10"/>
      <c r="P128" cm="1">
        <f t="array" ref="P128">IF(SUM(N(ISNUMBER(FIND({"a","b","c","d","e","f","g","h","i","j","k","l","m","n","o","p","q","r","s","t","u","v","w","x","y","z"}, B128))))&gt;0, 26, 0)</f>
        <v>26</v>
      </c>
      <c r="Q128" cm="1">
        <f t="array" ref="Q128">IF(SUM(N(ISNUMBER(FIND({"A","B","C","D","E","F","G","H","I","J","K","L","M","N","O","P","Q","R","S","T","U","V","W","X","Y","Z"}, B128))))&gt;0, 26, 0)</f>
        <v>26</v>
      </c>
      <c r="R128" cm="1">
        <f t="array" ref="R128">IF(SUM(N(ISNUMBER(FIND({0,1,2,3,4,5,6,7,8,9}, B128))))&gt;0, 10, 0)</f>
        <v>10</v>
      </c>
      <c r="S128" cm="1">
        <f t="array" ref="S128">IF(LEN(B128)&gt;SUMPRODUCT(LEN(B128)-LEN(SUBSTITUTE(B128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28" s="2" t="s">
        <v>141</v>
      </c>
    </row>
    <row r="129" spans="1:21" ht="15.6">
      <c r="A129" s="3">
        <v>1</v>
      </c>
      <c r="B129" s="7" t="s">
        <v>465</v>
      </c>
      <c r="C129" t="s">
        <v>29</v>
      </c>
      <c r="D129">
        <f t="shared" si="4"/>
        <v>13</v>
      </c>
      <c r="E129">
        <f t="shared" si="5"/>
        <v>85.209655071809323</v>
      </c>
      <c r="F129" s="10">
        <v>3.392747</v>
      </c>
      <c r="G129" s="10">
        <f t="shared" si="3"/>
        <v>44.105710999999999</v>
      </c>
      <c r="H129" s="10">
        <v>4</v>
      </c>
      <c r="I129" s="20">
        <v>10000000000000</v>
      </c>
      <c r="J129" s="10">
        <v>13</v>
      </c>
      <c r="K129" s="10"/>
      <c r="L129" s="10"/>
      <c r="P129" cm="1">
        <f t="array" ref="P129">IF(SUM(N(ISNUMBER(FIND({"a","b","c","d","e","f","g","h","i","j","k","l","m","n","o","p","q","r","s","t","u","v","w","x","y","z"}, B129))))&gt;0, 26, 0)</f>
        <v>26</v>
      </c>
      <c r="Q129" cm="1">
        <f t="array" ref="Q129">IF(SUM(N(ISNUMBER(FIND({"A","B","C","D","E","F","G","H","I","J","K","L","M","N","O","P","Q","R","S","T","U","V","W","X","Y","Z"}, B129))))&gt;0, 26, 0)</f>
        <v>26</v>
      </c>
      <c r="R129" cm="1">
        <f t="array" ref="R129">IF(SUM(N(ISNUMBER(FIND({0,1,2,3,4,5,6,7,8,9}, B129))))&gt;0, 10, 0)</f>
        <v>10</v>
      </c>
      <c r="S129" cm="1">
        <f t="array" ref="S129">IF(LEN(B129)&gt;SUMPRODUCT(LEN(B129)-LEN(SUBSTITUTE(B129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29" s="2" t="s">
        <v>157</v>
      </c>
    </row>
    <row r="130" spans="1:21" ht="15.6">
      <c r="A130" s="3">
        <v>1</v>
      </c>
      <c r="B130" s="8" t="s">
        <v>466</v>
      </c>
      <c r="C130" t="s">
        <v>29</v>
      </c>
      <c r="D130">
        <f t="shared" si="4"/>
        <v>8</v>
      </c>
      <c r="E130">
        <f t="shared" si="5"/>
        <v>52.436710813421122</v>
      </c>
      <c r="F130" s="10">
        <v>2.75</v>
      </c>
      <c r="G130" s="10">
        <f t="shared" ref="G130:G193" si="6">F130 * D130</f>
        <v>22</v>
      </c>
      <c r="H130" s="10">
        <v>2</v>
      </c>
      <c r="I130" s="20">
        <v>100000000</v>
      </c>
      <c r="J130" s="10">
        <v>8</v>
      </c>
      <c r="K130" s="10"/>
      <c r="L130" s="10"/>
      <c r="P130" cm="1">
        <f t="array" ref="P130">IF(SUM(N(ISNUMBER(FIND({"a","b","c","d","e","f","g","h","i","j","k","l","m","n","o","p","q","r","s","t","u","v","w","x","y","z"}, B130))))&gt;0, 26, 0)</f>
        <v>26</v>
      </c>
      <c r="Q130" cm="1">
        <f t="array" ref="Q130">IF(SUM(N(ISNUMBER(FIND({"A","B","C","D","E","F","G","H","I","J","K","L","M","N","O","P","Q","R","S","T","U","V","W","X","Y","Z"}, B130))))&gt;0, 26, 0)</f>
        <v>0</v>
      </c>
      <c r="R130" cm="1">
        <f t="array" ref="R130">IF(SUM(N(ISNUMBER(FIND({0,1,2,3,4,5,6,7,8,9}, B130))))&gt;0, 10, 0)</f>
        <v>0</v>
      </c>
      <c r="S130" cm="1">
        <f t="array" ref="S130">IF(LEN(B130)&gt;SUMPRODUCT(LEN(B130)-LEN(SUBSTITUTE(B130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0" s="8" t="s">
        <v>173</v>
      </c>
    </row>
    <row r="131" spans="1:21" ht="15.6">
      <c r="A131" s="3">
        <v>1</v>
      </c>
      <c r="B131" s="7" t="s">
        <v>467</v>
      </c>
      <c r="C131" t="s">
        <v>29</v>
      </c>
      <c r="D131">
        <f t="shared" ref="D131:D194" si="7">LEN(B131)</f>
        <v>14</v>
      </c>
      <c r="E131">
        <f t="shared" ref="E131:E194" si="8">IMLOG2(94) * D131</f>
        <v>91.764243923486958</v>
      </c>
      <c r="F131" s="10">
        <v>3.3248630000000001</v>
      </c>
      <c r="G131" s="10">
        <f t="shared" si="6"/>
        <v>46.548082000000001</v>
      </c>
      <c r="H131" s="10">
        <v>4</v>
      </c>
      <c r="I131" s="20">
        <v>100000000000000</v>
      </c>
      <c r="J131" s="10">
        <v>14</v>
      </c>
      <c r="K131" s="10"/>
      <c r="L131" s="10"/>
      <c r="P131" cm="1">
        <f t="array" ref="P131">IF(SUM(N(ISNUMBER(FIND({"a","b","c","d","e","f","g","h","i","j","k","l","m","n","o","p","q","r","s","t","u","v","w","x","y","z"}, B131))))&gt;0, 26, 0)</f>
        <v>26</v>
      </c>
      <c r="Q131" cm="1">
        <f t="array" ref="Q131">IF(SUM(N(ISNUMBER(FIND({"A","B","C","D","E","F","G","H","I","J","K","L","M","N","O","P","Q","R","S","T","U","V","W","X","Y","Z"}, B131))))&gt;0, 26, 0)</f>
        <v>0</v>
      </c>
      <c r="R131" cm="1">
        <f t="array" ref="R131">IF(SUM(N(ISNUMBER(FIND({0,1,2,3,4,5,6,7,8,9}, B131))))&gt;0, 10, 0)</f>
        <v>10</v>
      </c>
      <c r="S131" cm="1">
        <f t="array" ref="S131">IF(LEN(B131)&gt;SUMPRODUCT(LEN(B131)-LEN(SUBSTITUTE(B131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1" s="2" t="s">
        <v>190</v>
      </c>
    </row>
    <row r="132" spans="1:21" ht="15.6">
      <c r="A132" s="3">
        <v>1</v>
      </c>
      <c r="B132" s="7" t="s">
        <v>468</v>
      </c>
      <c r="C132" t="s">
        <v>29</v>
      </c>
      <c r="D132">
        <f t="shared" si="7"/>
        <v>17</v>
      </c>
      <c r="E132">
        <f t="shared" si="8"/>
        <v>111.42801047851988</v>
      </c>
      <c r="F132" s="10">
        <v>3.852169</v>
      </c>
      <c r="G132" s="10">
        <f t="shared" si="6"/>
        <v>65.486873000000003</v>
      </c>
      <c r="H132" s="10">
        <v>4</v>
      </c>
      <c r="I132" s="20">
        <v>1E+17</v>
      </c>
      <c r="J132" s="10">
        <v>17</v>
      </c>
      <c r="K132" s="10"/>
      <c r="L132" s="10"/>
      <c r="P132" cm="1">
        <f t="array" ref="P132">IF(SUM(N(ISNUMBER(FIND({"a","b","c","d","e","f","g","h","i","j","k","l","m","n","o","p","q","r","s","t","u","v","w","x","y","z"}, B132))))&gt;0, 26, 0)</f>
        <v>26</v>
      </c>
      <c r="Q132" cm="1">
        <f t="array" ref="Q132">IF(SUM(N(ISNUMBER(FIND({"A","B","C","D","E","F","G","H","I","J","K","L","M","N","O","P","Q","R","S","T","U","V","W","X","Y","Z"}, B132))))&gt;0, 26, 0)</f>
        <v>26</v>
      </c>
      <c r="R132" cm="1">
        <f t="array" ref="R132">IF(SUM(N(ISNUMBER(FIND({0,1,2,3,4,5,6,7,8,9}, B132))))&gt;0, 10, 0)</f>
        <v>10</v>
      </c>
      <c r="S132" cm="1">
        <f t="array" ref="S132">IF(LEN(B132)&gt;SUMPRODUCT(LEN(B132)-LEN(SUBSTITUTE(B132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2" s="2" t="s">
        <v>206</v>
      </c>
    </row>
    <row r="133" spans="1:21" ht="15.6">
      <c r="A133" s="3">
        <v>1</v>
      </c>
      <c r="B133" s="7" t="s">
        <v>469</v>
      </c>
      <c r="C133" t="s">
        <v>29</v>
      </c>
      <c r="D133">
        <f t="shared" si="7"/>
        <v>11</v>
      </c>
      <c r="E133">
        <f t="shared" si="8"/>
        <v>72.100477368454037</v>
      </c>
      <c r="F133" s="10">
        <v>3.0957949999999999</v>
      </c>
      <c r="G133" s="10">
        <f t="shared" si="6"/>
        <v>34.053744999999999</v>
      </c>
      <c r="H133" s="10">
        <v>4</v>
      </c>
      <c r="I133" s="20">
        <v>100000000000</v>
      </c>
      <c r="J133" s="10">
        <v>11</v>
      </c>
      <c r="K133" s="10"/>
      <c r="L133" s="10"/>
      <c r="P133" cm="1">
        <f t="array" ref="P133">IF(SUM(N(ISNUMBER(FIND({"a","b","c","d","e","f","g","h","i","j","k","l","m","n","o","p","q","r","s","t","u","v","w","x","y","z"}, B133))))&gt;0, 26, 0)</f>
        <v>26</v>
      </c>
      <c r="Q133" cm="1">
        <f t="array" ref="Q133">IF(SUM(N(ISNUMBER(FIND({"A","B","C","D","E","F","G","H","I","J","K","L","M","N","O","P","Q","R","S","T","U","V","W","X","Y","Z"}, B133))))&gt;0, 26, 0)</f>
        <v>26</v>
      </c>
      <c r="R133" cm="1">
        <f t="array" ref="R133">IF(SUM(N(ISNUMBER(FIND({0,1,2,3,4,5,6,7,8,9}, B133))))&gt;0, 10, 0)</f>
        <v>10</v>
      </c>
      <c r="S133" cm="1">
        <f t="array" ref="S133">IF(LEN(B133)&gt;SUMPRODUCT(LEN(B133)-LEN(SUBSTITUTE(B133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3" s="2" t="s">
        <v>222</v>
      </c>
    </row>
    <row r="134" spans="1:21" ht="15.6">
      <c r="A134" s="3">
        <v>1</v>
      </c>
      <c r="B134" s="7" t="s">
        <v>470</v>
      </c>
      <c r="C134" t="s">
        <v>29</v>
      </c>
      <c r="D134">
        <f t="shared" si="7"/>
        <v>15</v>
      </c>
      <c r="E134">
        <f t="shared" si="8"/>
        <v>98.318832775164609</v>
      </c>
      <c r="F134" s="10">
        <v>3.506891</v>
      </c>
      <c r="G134" s="10">
        <f t="shared" si="6"/>
        <v>52.603364999999997</v>
      </c>
      <c r="H134" s="10">
        <v>4</v>
      </c>
      <c r="I134" s="20">
        <v>1000000000000000</v>
      </c>
      <c r="J134" s="10">
        <v>15</v>
      </c>
      <c r="K134" s="10"/>
      <c r="L134" s="10"/>
      <c r="P134" cm="1">
        <f t="array" ref="P134">IF(SUM(N(ISNUMBER(FIND({"a","b","c","d","e","f","g","h","i","j","k","l","m","n","o","p","q","r","s","t","u","v","w","x","y","z"}, B134))))&gt;0, 26, 0)</f>
        <v>26</v>
      </c>
      <c r="Q134" cm="1">
        <f t="array" ref="Q134">IF(SUM(N(ISNUMBER(FIND({"A","B","C","D","E","F","G","H","I","J","K","L","M","N","O","P","Q","R","S","T","U","V","W","X","Y","Z"}, B134))))&gt;0, 26, 0)</f>
        <v>0</v>
      </c>
      <c r="R134" cm="1">
        <f t="array" ref="R134">IF(SUM(N(ISNUMBER(FIND({0,1,2,3,4,5,6,7,8,9}, B134))))&gt;0, 10, 0)</f>
        <v>10</v>
      </c>
      <c r="S134" cm="1">
        <f t="array" ref="S134">IF(LEN(B134)&gt;SUMPRODUCT(LEN(B134)-LEN(SUBSTITUTE(B134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4" s="2" t="s">
        <v>238</v>
      </c>
    </row>
    <row r="135" spans="1:21" ht="15.6">
      <c r="A135" s="3">
        <v>1</v>
      </c>
      <c r="B135" s="7" t="s">
        <v>471</v>
      </c>
      <c r="C135" t="s">
        <v>29</v>
      </c>
      <c r="D135">
        <f t="shared" si="7"/>
        <v>17</v>
      </c>
      <c r="E135">
        <f t="shared" si="8"/>
        <v>111.42801047851988</v>
      </c>
      <c r="F135" s="10">
        <v>3.499228</v>
      </c>
      <c r="G135" s="10">
        <f t="shared" si="6"/>
        <v>59.486876000000002</v>
      </c>
      <c r="H135" s="10">
        <v>4</v>
      </c>
      <c r="I135" s="20">
        <v>4.68E+16</v>
      </c>
      <c r="J135" s="10">
        <v>16.670249999999999</v>
      </c>
      <c r="K135" s="10"/>
      <c r="L135" s="10"/>
      <c r="P135" cm="1">
        <f t="array" ref="P135">IF(SUM(N(ISNUMBER(FIND({"a","b","c","d","e","f","g","h","i","j","k","l","m","n","o","p","q","r","s","t","u","v","w","x","y","z"}, B135))))&gt;0, 26, 0)</f>
        <v>26</v>
      </c>
      <c r="Q135" cm="1">
        <f t="array" ref="Q135">IF(SUM(N(ISNUMBER(FIND({"A","B","C","D","E","F","G","H","I","J","K","L","M","N","O","P","Q","R","S","T","U","V","W","X","Y","Z"}, B135))))&gt;0, 26, 0)</f>
        <v>26</v>
      </c>
      <c r="R135" cm="1">
        <f t="array" ref="R135">IF(SUM(N(ISNUMBER(FIND({0,1,2,3,4,5,6,7,8,9}, B135))))&gt;0, 10, 0)</f>
        <v>10</v>
      </c>
      <c r="S135" cm="1">
        <f t="array" ref="S135">IF(LEN(B135)&gt;SUMPRODUCT(LEN(B135)-LEN(SUBSTITUTE(B135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5" s="2" t="s">
        <v>254</v>
      </c>
    </row>
    <row r="136" spans="1:21" ht="15.6">
      <c r="A136" s="3">
        <v>1</v>
      </c>
      <c r="B136" s="7" t="s">
        <v>472</v>
      </c>
      <c r="C136" t="s">
        <v>29</v>
      </c>
      <c r="D136">
        <f t="shared" si="7"/>
        <v>11</v>
      </c>
      <c r="E136">
        <f t="shared" si="8"/>
        <v>72.100477368454037</v>
      </c>
      <c r="F136" s="10">
        <v>3.0957949999999999</v>
      </c>
      <c r="G136" s="10">
        <f t="shared" si="6"/>
        <v>34.053744999999999</v>
      </c>
      <c r="H136" s="10">
        <v>4</v>
      </c>
      <c r="I136" s="20">
        <v>100000000000</v>
      </c>
      <c r="J136" s="10">
        <v>11</v>
      </c>
      <c r="K136" s="10"/>
      <c r="L136" s="10"/>
      <c r="P136" cm="1">
        <f t="array" ref="P136">IF(SUM(N(ISNUMBER(FIND({"a","b","c","d","e","f","g","h","i","j","k","l","m","n","o","p","q","r","s","t","u","v","w","x","y","z"}, B136))))&gt;0, 26, 0)</f>
        <v>26</v>
      </c>
      <c r="Q136" cm="1">
        <f t="array" ref="Q136">IF(SUM(N(ISNUMBER(FIND({"A","B","C","D","E","F","G","H","I","J","K","L","M","N","O","P","Q","R","S","T","U","V","W","X","Y","Z"}, B136))))&gt;0, 26, 0)</f>
        <v>0</v>
      </c>
      <c r="R136" cm="1">
        <f t="array" ref="R136">IF(SUM(N(ISNUMBER(FIND({0,1,2,3,4,5,6,7,8,9}, B136))))&gt;0, 10, 0)</f>
        <v>10</v>
      </c>
      <c r="S136" cm="1">
        <f t="array" ref="S136">IF(LEN(B136)&gt;SUMPRODUCT(LEN(B136)-LEN(SUBSTITUTE(B136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6" s="2" t="s">
        <v>270</v>
      </c>
    </row>
    <row r="137" spans="1:21" ht="15.6">
      <c r="A137" s="3">
        <v>1</v>
      </c>
      <c r="B137" s="7" t="s">
        <v>473</v>
      </c>
      <c r="C137" t="s">
        <v>29</v>
      </c>
      <c r="D137">
        <f t="shared" si="7"/>
        <v>15</v>
      </c>
      <c r="E137">
        <f t="shared" si="8"/>
        <v>98.318832775164609</v>
      </c>
      <c r="F137" s="10">
        <v>3.7735569999999998</v>
      </c>
      <c r="G137" s="10">
        <f t="shared" si="6"/>
        <v>56.603355000000001</v>
      </c>
      <c r="H137" s="10">
        <v>4</v>
      </c>
      <c r="I137" s="20">
        <v>1000000000000000</v>
      </c>
      <c r="J137" s="10">
        <v>15</v>
      </c>
      <c r="K137" s="10"/>
      <c r="L137" s="10"/>
      <c r="P137" cm="1">
        <f t="array" ref="P137">IF(SUM(N(ISNUMBER(FIND({"a","b","c","d","e","f","g","h","i","j","k","l","m","n","o","p","q","r","s","t","u","v","w","x","y","z"}, B137))))&gt;0, 26, 0)</f>
        <v>26</v>
      </c>
      <c r="Q137" cm="1">
        <f t="array" ref="Q137">IF(SUM(N(ISNUMBER(FIND({"A","B","C","D","E","F","G","H","I","J","K","L","M","N","O","P","Q","R","S","T","U","V","W","X","Y","Z"}, B137))))&gt;0, 26, 0)</f>
        <v>26</v>
      </c>
      <c r="R137" cm="1">
        <f t="array" ref="R137">IF(SUM(N(ISNUMBER(FIND({0,1,2,3,4,5,6,7,8,9}, B137))))&gt;0, 10, 0)</f>
        <v>10</v>
      </c>
      <c r="S137" cm="1">
        <f t="array" ref="S137">IF(LEN(B137)&gt;SUMPRODUCT(LEN(B137)-LEN(SUBSTITUTE(B137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7" s="2" t="s">
        <v>286</v>
      </c>
    </row>
    <row r="138" spans="1:21" ht="15.6">
      <c r="A138" s="3">
        <v>1</v>
      </c>
      <c r="B138" s="7" t="s">
        <v>474</v>
      </c>
      <c r="C138" t="s">
        <v>29</v>
      </c>
      <c r="D138">
        <f t="shared" si="7"/>
        <v>15</v>
      </c>
      <c r="E138">
        <f t="shared" si="8"/>
        <v>98.318832775164609</v>
      </c>
      <c r="F138" s="10">
        <v>3.3735569999999999</v>
      </c>
      <c r="G138" s="10">
        <f t="shared" si="6"/>
        <v>50.603355000000001</v>
      </c>
      <c r="H138" s="10">
        <v>4</v>
      </c>
      <c r="I138" s="20">
        <v>708000000000000</v>
      </c>
      <c r="J138" s="10">
        <v>14.85003</v>
      </c>
      <c r="K138" s="10"/>
      <c r="L138" s="10"/>
      <c r="P138" cm="1">
        <f t="array" ref="P138">IF(SUM(N(ISNUMBER(FIND({"a","b","c","d","e","f","g","h","i","j","k","l","m","n","o","p","q","r","s","t","u","v","w","x","y","z"}, B138))))&gt;0, 26, 0)</f>
        <v>26</v>
      </c>
      <c r="Q138" cm="1">
        <f t="array" ref="Q138">IF(SUM(N(ISNUMBER(FIND({"A","B","C","D","E","F","G","H","I","J","K","L","M","N","O","P","Q","R","S","T","U","V","W","X","Y","Z"}, B138))))&gt;0, 26, 0)</f>
        <v>0</v>
      </c>
      <c r="R138" cm="1">
        <f t="array" ref="R138">IF(SUM(N(ISNUMBER(FIND({0,1,2,3,4,5,6,7,8,9}, B138))))&gt;0, 10, 0)</f>
        <v>10</v>
      </c>
      <c r="S138" cm="1">
        <f t="array" ref="S138">IF(LEN(B138)&gt;SUMPRODUCT(LEN(B138)-LEN(SUBSTITUTE(B138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8" s="2" t="s">
        <v>303</v>
      </c>
    </row>
    <row r="139" spans="1:21" ht="15.6">
      <c r="A139" s="3">
        <v>1</v>
      </c>
      <c r="B139" s="7" t="s">
        <v>475</v>
      </c>
      <c r="C139" t="s">
        <v>29</v>
      </c>
      <c r="D139">
        <f t="shared" si="7"/>
        <v>12</v>
      </c>
      <c r="E139">
        <f t="shared" si="8"/>
        <v>78.655066220131687</v>
      </c>
      <c r="F139" s="10">
        <v>3.4182959999999998</v>
      </c>
      <c r="G139" s="10">
        <f t="shared" si="6"/>
        <v>41.019551999999997</v>
      </c>
      <c r="H139" s="10">
        <v>4</v>
      </c>
      <c r="I139" s="20">
        <v>1000000000000</v>
      </c>
      <c r="J139" s="10">
        <v>12</v>
      </c>
      <c r="K139" s="10"/>
      <c r="L139" s="10"/>
      <c r="P139" cm="1">
        <f t="array" ref="P139">IF(SUM(N(ISNUMBER(FIND({"a","b","c","d","e","f","g","h","i","j","k","l","m","n","o","p","q","r","s","t","u","v","w","x","y","z"}, B139))))&gt;0, 26, 0)</f>
        <v>26</v>
      </c>
      <c r="Q139" cm="1">
        <f t="array" ref="Q139">IF(SUM(N(ISNUMBER(FIND({"A","B","C","D","E","F","G","H","I","J","K","L","M","N","O","P","Q","R","S","T","U","V","W","X","Y","Z"}, B139))))&gt;0, 26, 0)</f>
        <v>26</v>
      </c>
      <c r="R139" cm="1">
        <f t="array" ref="R139">IF(SUM(N(ISNUMBER(FIND({0,1,2,3,4,5,6,7,8,9}, B139))))&gt;0, 10, 0)</f>
        <v>10</v>
      </c>
      <c r="S139" cm="1">
        <f t="array" ref="S139">IF(LEN(B139)&gt;SUMPRODUCT(LEN(B139)-LEN(SUBSTITUTE(B139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39" s="2" t="s">
        <v>319</v>
      </c>
    </row>
    <row r="140" spans="1:21" ht="15.6">
      <c r="A140" s="3">
        <v>1</v>
      </c>
      <c r="B140" s="7" t="s">
        <v>476</v>
      </c>
      <c r="C140" t="s">
        <v>29</v>
      </c>
      <c r="D140">
        <f t="shared" si="7"/>
        <v>9</v>
      </c>
      <c r="E140">
        <f t="shared" si="8"/>
        <v>58.991299665098765</v>
      </c>
      <c r="F140" s="10">
        <v>3.1699250000000001</v>
      </c>
      <c r="G140" s="10">
        <f t="shared" si="6"/>
        <v>28.529325</v>
      </c>
      <c r="H140" s="10">
        <v>3</v>
      </c>
      <c r="I140" s="20">
        <v>1000000000</v>
      </c>
      <c r="J140" s="10">
        <v>9</v>
      </c>
      <c r="K140" s="10"/>
      <c r="L140" s="10"/>
      <c r="P140" cm="1">
        <f t="array" ref="P140">IF(SUM(N(ISNUMBER(FIND({"a","b","c","d","e","f","g","h","i","j","k","l","m","n","o","p","q","r","s","t","u","v","w","x","y","z"}, B140))))&gt;0, 26, 0)</f>
        <v>26</v>
      </c>
      <c r="Q140" cm="1">
        <f t="array" ref="Q140">IF(SUM(N(ISNUMBER(FIND({"A","B","C","D","E","F","G","H","I","J","K","L","M","N","O","P","Q","R","S","T","U","V","W","X","Y","Z"}, B140))))&gt;0, 26, 0)</f>
        <v>0</v>
      </c>
      <c r="R140" cm="1">
        <f t="array" ref="R140">IF(SUM(N(ISNUMBER(FIND({0,1,2,3,4,5,6,7,8,9}, B140))))&gt;0, 10, 0)</f>
        <v>10</v>
      </c>
      <c r="S140" cm="1">
        <f t="array" ref="S140">IF(LEN(B140)&gt;SUMPRODUCT(LEN(B140)-LEN(SUBSTITUTE(B140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0" s="2" t="s">
        <v>334</v>
      </c>
    </row>
    <row r="141" spans="1:21" ht="15.6">
      <c r="A141" s="3">
        <v>1</v>
      </c>
      <c r="B141" s="7" t="s">
        <v>477</v>
      </c>
      <c r="C141" t="s">
        <v>29</v>
      </c>
      <c r="D141">
        <f t="shared" si="7"/>
        <v>15</v>
      </c>
      <c r="E141">
        <f t="shared" si="8"/>
        <v>98.318832775164609</v>
      </c>
      <c r="F141" s="10">
        <v>3.506891</v>
      </c>
      <c r="G141" s="10">
        <f t="shared" si="6"/>
        <v>52.603364999999997</v>
      </c>
      <c r="H141" s="10">
        <v>4</v>
      </c>
      <c r="I141" s="20">
        <v>1000000000000000</v>
      </c>
      <c r="J141" s="10">
        <v>15</v>
      </c>
      <c r="K141" s="10"/>
      <c r="L141" s="10"/>
      <c r="P141" cm="1">
        <f t="array" ref="P141">IF(SUM(N(ISNUMBER(FIND({"a","b","c","d","e","f","g","h","i","j","k","l","m","n","o","p","q","r","s","t","u","v","w","x","y","z"}, B141))))&gt;0, 26, 0)</f>
        <v>26</v>
      </c>
      <c r="Q141" cm="1">
        <f t="array" ref="Q141">IF(SUM(N(ISNUMBER(FIND({"A","B","C","D","E","F","G","H","I","J","K","L","M","N","O","P","Q","R","S","T","U","V","W","X","Y","Z"}, B141))))&gt;0, 26, 0)</f>
        <v>26</v>
      </c>
      <c r="R141" cm="1">
        <f t="array" ref="R141">IF(SUM(N(ISNUMBER(FIND({0,1,2,3,4,5,6,7,8,9}, B141))))&gt;0, 10, 0)</f>
        <v>10</v>
      </c>
      <c r="S141" cm="1">
        <f t="array" ref="S141">IF(LEN(B141)&gt;SUMPRODUCT(LEN(B141)-LEN(SUBSTITUTE(B141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1" s="2" t="s">
        <v>350</v>
      </c>
    </row>
    <row r="142" spans="1:21" ht="15.6">
      <c r="A142" s="3">
        <v>1</v>
      </c>
      <c r="B142" s="7" t="s">
        <v>478</v>
      </c>
      <c r="C142" t="s">
        <v>29</v>
      </c>
      <c r="D142">
        <f t="shared" si="7"/>
        <v>18</v>
      </c>
      <c r="E142">
        <f t="shared" si="8"/>
        <v>117.98259933019753</v>
      </c>
      <c r="F142" s="10">
        <v>3.836592</v>
      </c>
      <c r="G142" s="10">
        <f t="shared" si="6"/>
        <v>69.058655999999999</v>
      </c>
      <c r="H142" s="10">
        <v>4</v>
      </c>
      <c r="I142" s="20">
        <v>1E+18</v>
      </c>
      <c r="J142" s="10">
        <v>18</v>
      </c>
      <c r="K142" s="10"/>
      <c r="L142" s="10"/>
      <c r="P142" cm="1">
        <f t="array" ref="P142">IF(SUM(N(ISNUMBER(FIND({"a","b","c","d","e","f","g","h","i","j","k","l","m","n","o","p","q","r","s","t","u","v","w","x","y","z"}, B142))))&gt;0, 26, 0)</f>
        <v>26</v>
      </c>
      <c r="Q142" cm="1">
        <f t="array" ref="Q142">IF(SUM(N(ISNUMBER(FIND({"A","B","C","D","E","F","G","H","I","J","K","L","M","N","O","P","Q","R","S","T","U","V","W","X","Y","Z"}, B142))))&gt;0, 26, 0)</f>
        <v>26</v>
      </c>
      <c r="R142" cm="1">
        <f t="array" ref="R142">IF(SUM(N(ISNUMBER(FIND({0,1,2,3,4,5,6,7,8,9}, B142))))&gt;0, 10, 0)</f>
        <v>0</v>
      </c>
      <c r="S142" cm="1">
        <f t="array" ref="S142">IF(LEN(B142)&gt;SUMPRODUCT(LEN(B142)-LEN(SUBSTITUTE(B142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2" s="2" t="s">
        <v>44</v>
      </c>
    </row>
    <row r="143" spans="1:21" ht="15.6">
      <c r="A143" s="3">
        <v>1</v>
      </c>
      <c r="B143" s="7" t="s">
        <v>479</v>
      </c>
      <c r="C143" t="s">
        <v>29</v>
      </c>
      <c r="D143">
        <f t="shared" si="7"/>
        <v>12</v>
      </c>
      <c r="E143">
        <f t="shared" si="8"/>
        <v>78.655066220131687</v>
      </c>
      <c r="F143" s="10">
        <v>2.8553890000000002</v>
      </c>
      <c r="G143" s="10">
        <f t="shared" si="6"/>
        <v>34.264668</v>
      </c>
      <c r="H143" s="10">
        <v>4</v>
      </c>
      <c r="I143" s="20">
        <v>1000000000000</v>
      </c>
      <c r="J143" s="10">
        <v>12</v>
      </c>
      <c r="K143" s="10"/>
      <c r="L143" s="10"/>
      <c r="P143" cm="1">
        <f t="array" ref="P143">IF(SUM(N(ISNUMBER(FIND({"a","b","c","d","e","f","g","h","i","j","k","l","m","n","o","p","q","r","s","t","u","v","w","x","y","z"}, B143))))&gt;0, 26, 0)</f>
        <v>26</v>
      </c>
      <c r="Q143" cm="1">
        <f t="array" ref="Q143">IF(SUM(N(ISNUMBER(FIND({"A","B","C","D","E","F","G","H","I","J","K","L","M","N","O","P","Q","R","S","T","U","V","W","X","Y","Z"}, B143))))&gt;0, 26, 0)</f>
        <v>0</v>
      </c>
      <c r="R143" cm="1">
        <f t="array" ref="R143">IF(SUM(N(ISNUMBER(FIND({0,1,2,3,4,5,6,7,8,9}, B143))))&gt;0, 10, 0)</f>
        <v>0</v>
      </c>
      <c r="S143" cm="1">
        <f t="array" ref="S143">IF(LEN(B143)&gt;SUMPRODUCT(LEN(B143)-LEN(SUBSTITUTE(B143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3" s="2" t="s">
        <v>61</v>
      </c>
    </row>
    <row r="144" spans="1:21" ht="15.6">
      <c r="A144" s="3">
        <v>1</v>
      </c>
      <c r="B144" s="7" t="s">
        <v>480</v>
      </c>
      <c r="C144" t="s">
        <v>29</v>
      </c>
      <c r="D144">
        <f t="shared" si="7"/>
        <v>10</v>
      </c>
      <c r="E144">
        <f t="shared" si="8"/>
        <v>65.545888516776401</v>
      </c>
      <c r="F144" s="10">
        <v>2.646439</v>
      </c>
      <c r="G144" s="10">
        <f t="shared" si="6"/>
        <v>26.464390000000002</v>
      </c>
      <c r="H144" s="10">
        <v>3</v>
      </c>
      <c r="I144" s="20">
        <v>3820000000</v>
      </c>
      <c r="J144" s="10">
        <v>9.5820629999999998</v>
      </c>
      <c r="K144" s="10"/>
      <c r="L144" s="10"/>
      <c r="P144" cm="1">
        <f t="array" ref="P144">IF(SUM(N(ISNUMBER(FIND({"a","b","c","d","e","f","g","h","i","j","k","l","m","n","o","p","q","r","s","t","u","v","w","x","y","z"}, B144))))&gt;0, 26, 0)</f>
        <v>26</v>
      </c>
      <c r="Q144" cm="1">
        <f t="array" ref="Q144">IF(SUM(N(ISNUMBER(FIND({"A","B","C","D","E","F","G","H","I","J","K","L","M","N","O","P","Q","R","S","T","U","V","W","X","Y","Z"}, B144))))&gt;0, 26, 0)</f>
        <v>0</v>
      </c>
      <c r="R144" cm="1">
        <f t="array" ref="R144">IF(SUM(N(ISNUMBER(FIND({0,1,2,3,4,5,6,7,8,9}, B144))))&gt;0, 10, 0)</f>
        <v>0</v>
      </c>
      <c r="S144" cm="1">
        <f t="array" ref="S144">IF(LEN(B144)&gt;SUMPRODUCT(LEN(B144)-LEN(SUBSTITUTE(B144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4" s="2" t="s">
        <v>77</v>
      </c>
    </row>
    <row r="145" spans="1:21" ht="15.6">
      <c r="A145" s="3">
        <v>1</v>
      </c>
      <c r="B145" s="7" t="s">
        <v>481</v>
      </c>
      <c r="C145" t="s">
        <v>29</v>
      </c>
      <c r="D145">
        <f t="shared" si="7"/>
        <v>10</v>
      </c>
      <c r="E145">
        <f t="shared" si="8"/>
        <v>65.545888516776401</v>
      </c>
      <c r="F145" s="10">
        <v>3.3219280000000002</v>
      </c>
      <c r="G145" s="10">
        <f t="shared" si="6"/>
        <v>33.219280000000005</v>
      </c>
      <c r="H145" s="10">
        <v>3</v>
      </c>
      <c r="I145" s="20">
        <v>10000000000</v>
      </c>
      <c r="J145" s="10">
        <v>10</v>
      </c>
      <c r="K145" s="10"/>
      <c r="L145" s="10"/>
      <c r="P145" cm="1">
        <f t="array" ref="P145">IF(SUM(N(ISNUMBER(FIND({"a","b","c","d","e","f","g","h","i","j","k","l","m","n","o","p","q","r","s","t","u","v","w","x","y","z"}, B145))))&gt;0, 26, 0)</f>
        <v>26</v>
      </c>
      <c r="Q145" cm="1">
        <f t="array" ref="Q145">IF(SUM(N(ISNUMBER(FIND({"A","B","C","D","E","F","G","H","I","J","K","L","M","N","O","P","Q","R","S","T","U","V","W","X","Y","Z"}, B145))))&gt;0, 26, 0)</f>
        <v>0</v>
      </c>
      <c r="R145" cm="1">
        <f t="array" ref="R145">IF(SUM(N(ISNUMBER(FIND({0,1,2,3,4,5,6,7,8,9}, B145))))&gt;0, 10, 0)</f>
        <v>10</v>
      </c>
      <c r="S145" cm="1">
        <f t="array" ref="S145">IF(LEN(B145)&gt;SUMPRODUCT(LEN(B145)-LEN(SUBSTITUTE(B145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5" s="2" t="s">
        <v>93</v>
      </c>
    </row>
    <row r="146" spans="1:21" ht="15.6">
      <c r="A146" s="3">
        <v>1</v>
      </c>
      <c r="B146" s="7" t="s">
        <v>482</v>
      </c>
      <c r="C146" t="s">
        <v>29</v>
      </c>
      <c r="D146">
        <f t="shared" si="7"/>
        <v>18</v>
      </c>
      <c r="E146">
        <f t="shared" si="8"/>
        <v>117.98259933019753</v>
      </c>
      <c r="F146" s="10">
        <v>3.6143689999999999</v>
      </c>
      <c r="G146" s="10">
        <f t="shared" si="6"/>
        <v>65.058641999999992</v>
      </c>
      <c r="H146" s="10">
        <v>4</v>
      </c>
      <c r="I146" s="20">
        <v>1E+18</v>
      </c>
      <c r="J146" s="10">
        <v>18</v>
      </c>
      <c r="K146" s="10"/>
      <c r="L146" s="10"/>
      <c r="P146" cm="1">
        <f t="array" ref="P146">IF(SUM(N(ISNUMBER(FIND({"a","b","c","d","e","f","g","h","i","j","k","l","m","n","o","p","q","r","s","t","u","v","w","x","y","z"}, B146))))&gt;0, 26, 0)</f>
        <v>26</v>
      </c>
      <c r="Q146" cm="1">
        <f t="array" ref="Q146">IF(SUM(N(ISNUMBER(FIND({"A","B","C","D","E","F","G","H","I","J","K","L","M","N","O","P","Q","R","S","T","U","V","W","X","Y","Z"}, B146))))&gt;0, 26, 0)</f>
        <v>26</v>
      </c>
      <c r="R146" cm="1">
        <f t="array" ref="R146">IF(SUM(N(ISNUMBER(FIND({0,1,2,3,4,5,6,7,8,9}, B146))))&gt;0, 10, 0)</f>
        <v>10</v>
      </c>
      <c r="S146" cm="1">
        <f t="array" ref="S146">IF(LEN(B146)&gt;SUMPRODUCT(LEN(B146)-LEN(SUBSTITUTE(B146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6" s="2" t="s">
        <v>109</v>
      </c>
    </row>
    <row r="147" spans="1:21" ht="15.6">
      <c r="A147" s="3">
        <v>1</v>
      </c>
      <c r="B147" s="7" t="s">
        <v>483</v>
      </c>
      <c r="C147" t="s">
        <v>29</v>
      </c>
      <c r="D147">
        <f t="shared" si="7"/>
        <v>11</v>
      </c>
      <c r="E147">
        <f t="shared" si="8"/>
        <v>72.100477368454037</v>
      </c>
      <c r="F147" s="10">
        <v>2.913977</v>
      </c>
      <c r="G147" s="10">
        <f t="shared" si="6"/>
        <v>32.053747000000001</v>
      </c>
      <c r="H147" s="10">
        <v>4</v>
      </c>
      <c r="I147" s="20">
        <v>100000000000</v>
      </c>
      <c r="J147" s="10">
        <v>11</v>
      </c>
      <c r="K147" s="10"/>
      <c r="L147" s="10"/>
      <c r="P147" cm="1">
        <f t="array" ref="P147">IF(SUM(N(ISNUMBER(FIND({"a","b","c","d","e","f","g","h","i","j","k","l","m","n","o","p","q","r","s","t","u","v","w","x","y","z"}, B147))))&gt;0, 26, 0)</f>
        <v>26</v>
      </c>
      <c r="Q147" cm="1">
        <f t="array" ref="Q147">IF(SUM(N(ISNUMBER(FIND({"A","B","C","D","E","F","G","H","I","J","K","L","M","N","O","P","Q","R","S","T","U","V","W","X","Y","Z"}, B147))))&gt;0, 26, 0)</f>
        <v>0</v>
      </c>
      <c r="R147" cm="1">
        <f t="array" ref="R147">IF(SUM(N(ISNUMBER(FIND({0,1,2,3,4,5,6,7,8,9}, B147))))&gt;0, 10, 0)</f>
        <v>10</v>
      </c>
      <c r="S147" cm="1">
        <f t="array" ref="S147">IF(LEN(B147)&gt;SUMPRODUCT(LEN(B147)-LEN(SUBSTITUTE(B147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7" s="2" t="s">
        <v>126</v>
      </c>
    </row>
    <row r="148" spans="1:21" ht="15.6">
      <c r="A148" s="3">
        <v>1</v>
      </c>
      <c r="B148" s="7" t="s">
        <v>484</v>
      </c>
      <c r="C148" t="s">
        <v>29</v>
      </c>
      <c r="D148">
        <f t="shared" si="7"/>
        <v>11</v>
      </c>
      <c r="E148">
        <f t="shared" si="8"/>
        <v>72.100477368454037</v>
      </c>
      <c r="F148" s="10">
        <v>3.2776130000000001</v>
      </c>
      <c r="G148" s="10">
        <f t="shared" si="6"/>
        <v>36.053743000000004</v>
      </c>
      <c r="H148" s="10">
        <v>4</v>
      </c>
      <c r="I148" s="20">
        <v>100000000000</v>
      </c>
      <c r="J148" s="10">
        <v>11</v>
      </c>
      <c r="K148" s="10"/>
      <c r="L148" s="10"/>
      <c r="P148" cm="1">
        <f t="array" ref="P148">IF(SUM(N(ISNUMBER(FIND({"a","b","c","d","e","f","g","h","i","j","k","l","m","n","o","p","q","r","s","t","u","v","w","x","y","z"}, B148))))&gt;0, 26, 0)</f>
        <v>26</v>
      </c>
      <c r="Q148" cm="1">
        <f t="array" ref="Q148">IF(SUM(N(ISNUMBER(FIND({"A","B","C","D","E","F","G","H","I","J","K","L","M","N","O","P","Q","R","S","T","U","V","W","X","Y","Z"}, B148))))&gt;0, 26, 0)</f>
        <v>26</v>
      </c>
      <c r="R148" cm="1">
        <f t="array" ref="R148">IF(SUM(N(ISNUMBER(FIND({0,1,2,3,4,5,6,7,8,9}, B148))))&gt;0, 10, 0)</f>
        <v>0</v>
      </c>
      <c r="S148" cm="1">
        <f t="array" ref="S148">IF(LEN(B148)&gt;SUMPRODUCT(LEN(B148)-LEN(SUBSTITUTE(B148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8" s="2" t="s">
        <v>142</v>
      </c>
    </row>
    <row r="149" spans="1:21" ht="15.6">
      <c r="A149" s="3">
        <v>1</v>
      </c>
      <c r="B149" s="7" t="s">
        <v>485</v>
      </c>
      <c r="C149" t="s">
        <v>29</v>
      </c>
      <c r="D149">
        <f t="shared" si="7"/>
        <v>10</v>
      </c>
      <c r="E149">
        <f t="shared" si="8"/>
        <v>65.545888516776401</v>
      </c>
      <c r="F149" s="10">
        <v>3.121928</v>
      </c>
      <c r="G149" s="10">
        <f t="shared" si="6"/>
        <v>31.219280000000001</v>
      </c>
      <c r="H149" s="10">
        <v>3</v>
      </c>
      <c r="I149" s="20">
        <v>10000000000</v>
      </c>
      <c r="J149" s="10">
        <v>10</v>
      </c>
      <c r="K149" s="10"/>
      <c r="L149" s="10"/>
      <c r="P149" cm="1">
        <f t="array" ref="P149">IF(SUM(N(ISNUMBER(FIND({"a","b","c","d","e","f","g","h","i","j","k","l","m","n","o","p","q","r","s","t","u","v","w","x","y","z"}, B149))))&gt;0, 26, 0)</f>
        <v>26</v>
      </c>
      <c r="Q149" cm="1">
        <f t="array" ref="Q149">IF(SUM(N(ISNUMBER(FIND({"A","B","C","D","E","F","G","H","I","J","K","L","M","N","O","P","Q","R","S","T","U","V","W","X","Y","Z"}, B149))))&gt;0, 26, 0)</f>
        <v>26</v>
      </c>
      <c r="R149" cm="1">
        <f t="array" ref="R149">IF(SUM(N(ISNUMBER(FIND({0,1,2,3,4,5,6,7,8,9}, B149))))&gt;0, 10, 0)</f>
        <v>10</v>
      </c>
      <c r="S149" cm="1">
        <f t="array" ref="S149">IF(LEN(B149)&gt;SUMPRODUCT(LEN(B149)-LEN(SUBSTITUTE(B149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49" s="2" t="s">
        <v>158</v>
      </c>
    </row>
    <row r="150" spans="1:21" ht="15.6">
      <c r="A150" s="3">
        <v>1</v>
      </c>
      <c r="B150" s="7" t="s">
        <v>486</v>
      </c>
      <c r="C150" t="s">
        <v>29</v>
      </c>
      <c r="D150">
        <f t="shared" si="7"/>
        <v>8</v>
      </c>
      <c r="E150">
        <f t="shared" si="8"/>
        <v>52.436710813421122</v>
      </c>
      <c r="F150" s="10">
        <v>2.75</v>
      </c>
      <c r="G150" s="10">
        <f t="shared" si="6"/>
        <v>22</v>
      </c>
      <c r="H150" s="10">
        <v>2</v>
      </c>
      <c r="I150" s="20">
        <v>100000000</v>
      </c>
      <c r="J150" s="10">
        <v>8</v>
      </c>
      <c r="K150" s="10"/>
      <c r="L150" s="10"/>
      <c r="P150" cm="1">
        <f t="array" ref="P150">IF(SUM(N(ISNUMBER(FIND({"a","b","c","d","e","f","g","h","i","j","k","l","m","n","o","p","q","r","s","t","u","v","w","x","y","z"}, B150))))&gt;0, 26, 0)</f>
        <v>26</v>
      </c>
      <c r="Q150" cm="1">
        <f t="array" ref="Q150">IF(SUM(N(ISNUMBER(FIND({"A","B","C","D","E","F","G","H","I","J","K","L","M","N","O","P","Q","R","S","T","U","V","W","X","Y","Z"}, B150))))&gt;0, 26, 0)</f>
        <v>26</v>
      </c>
      <c r="R150" cm="1">
        <f t="array" ref="R150">IF(SUM(N(ISNUMBER(FIND({0,1,2,3,4,5,6,7,8,9}, B150))))&gt;0, 10, 0)</f>
        <v>10</v>
      </c>
      <c r="S150" cm="1">
        <f t="array" ref="S150">IF(LEN(B150)&gt;SUMPRODUCT(LEN(B150)-LEN(SUBSTITUTE(B150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50" s="2" t="s">
        <v>174</v>
      </c>
    </row>
    <row r="151" spans="1:21" ht="15.6">
      <c r="A151" s="3">
        <v>1</v>
      </c>
      <c r="B151" s="7" t="s">
        <v>487</v>
      </c>
      <c r="C151" t="s">
        <v>29</v>
      </c>
      <c r="D151">
        <f t="shared" si="7"/>
        <v>13</v>
      </c>
      <c r="E151">
        <f t="shared" si="8"/>
        <v>85.209655071809323</v>
      </c>
      <c r="F151" s="10">
        <v>3.2389009999999998</v>
      </c>
      <c r="G151" s="10">
        <f t="shared" si="6"/>
        <v>42.105712999999994</v>
      </c>
      <c r="H151" s="10">
        <v>4</v>
      </c>
      <c r="I151" s="20">
        <v>10000000000000</v>
      </c>
      <c r="J151" s="10">
        <v>13</v>
      </c>
      <c r="K151" s="10"/>
      <c r="L151" s="10"/>
      <c r="P151" cm="1">
        <f t="array" ref="P151">IF(SUM(N(ISNUMBER(FIND({"a","b","c","d","e","f","g","h","i","j","k","l","m","n","o","p","q","r","s","t","u","v","w","x","y","z"}, B151))))&gt;0, 26, 0)</f>
        <v>26</v>
      </c>
      <c r="Q151" cm="1">
        <f t="array" ref="Q151">IF(SUM(N(ISNUMBER(FIND({"A","B","C","D","E","F","G","H","I","J","K","L","M","N","O","P","Q","R","S","T","U","V","W","X","Y","Z"}, B151))))&gt;0, 26, 0)</f>
        <v>26</v>
      </c>
      <c r="R151" cm="1">
        <f t="array" ref="R151">IF(SUM(N(ISNUMBER(FIND({0,1,2,3,4,5,6,7,8,9}, B151))))&gt;0, 10, 0)</f>
        <v>10</v>
      </c>
      <c r="S151" cm="1">
        <f t="array" ref="S151">IF(LEN(B151)&gt;SUMPRODUCT(LEN(B151)-LEN(SUBSTITUTE(B151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51" s="2" t="s">
        <v>191</v>
      </c>
    </row>
    <row r="152" spans="1:21" ht="15.6">
      <c r="A152" s="3">
        <v>1</v>
      </c>
      <c r="B152" s="7" t="s">
        <v>488</v>
      </c>
      <c r="C152" t="s">
        <v>29</v>
      </c>
      <c r="D152">
        <f t="shared" si="7"/>
        <v>9</v>
      </c>
      <c r="E152">
        <f t="shared" si="8"/>
        <v>58.991299665098765</v>
      </c>
      <c r="F152" s="10">
        <v>2.7254809999999998</v>
      </c>
      <c r="G152" s="10">
        <f t="shared" si="6"/>
        <v>24.529328999999997</v>
      </c>
      <c r="H152" s="10">
        <v>3</v>
      </c>
      <c r="I152" s="20">
        <v>1000000000</v>
      </c>
      <c r="J152" s="10">
        <v>9</v>
      </c>
      <c r="K152" s="10"/>
      <c r="L152" s="10"/>
      <c r="P152" cm="1">
        <f t="array" ref="P152">IF(SUM(N(ISNUMBER(FIND({"a","b","c","d","e","f","g","h","i","j","k","l","m","n","o","p","q","r","s","t","u","v","w","x","y","z"}, B152))))&gt;0, 26, 0)</f>
        <v>26</v>
      </c>
      <c r="Q152" cm="1">
        <f t="array" ref="Q152">IF(SUM(N(ISNUMBER(FIND({"A","B","C","D","E","F","G","H","I","J","K","L","M","N","O","P","Q","R","S","T","U","V","W","X","Y","Z"}, B152))))&gt;0, 26, 0)</f>
        <v>26</v>
      </c>
      <c r="R152" cm="1">
        <f t="array" ref="R152">IF(SUM(N(ISNUMBER(FIND({0,1,2,3,4,5,6,7,8,9}, B152))))&gt;0, 10, 0)</f>
        <v>10</v>
      </c>
      <c r="S152" cm="1">
        <f t="array" ref="S152">IF(LEN(B152)&gt;SUMPRODUCT(LEN(B152)-LEN(SUBSTITUTE(B152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52" s="2" t="s">
        <v>207</v>
      </c>
    </row>
    <row r="153" spans="1:21" ht="15.6">
      <c r="A153" s="3">
        <v>1</v>
      </c>
      <c r="B153" s="7" t="s">
        <v>489</v>
      </c>
      <c r="C153" t="s">
        <v>29</v>
      </c>
      <c r="D153">
        <f t="shared" si="7"/>
        <v>9</v>
      </c>
      <c r="E153">
        <f t="shared" si="8"/>
        <v>58.991299665098765</v>
      </c>
      <c r="F153" s="10">
        <v>3.1699250000000001</v>
      </c>
      <c r="G153" s="10">
        <f t="shared" si="6"/>
        <v>28.529325</v>
      </c>
      <c r="H153" s="10">
        <v>3</v>
      </c>
      <c r="I153" s="20">
        <v>1000000000</v>
      </c>
      <c r="J153" s="10">
        <v>9</v>
      </c>
      <c r="K153" s="10"/>
      <c r="L153" s="10"/>
      <c r="P153" cm="1">
        <f t="array" ref="P153">IF(SUM(N(ISNUMBER(FIND({"a","b","c","d","e","f","g","h","i","j","k","l","m","n","o","p","q","r","s","t","u","v","w","x","y","z"}, B153))))&gt;0, 26, 0)</f>
        <v>26</v>
      </c>
      <c r="Q153" cm="1">
        <f t="array" ref="Q153">IF(SUM(N(ISNUMBER(FIND({"A","B","C","D","E","F","G","H","I","J","K","L","M","N","O","P","Q","R","S","T","U","V","W","X","Y","Z"}, B153))))&gt;0, 26, 0)</f>
        <v>26</v>
      </c>
      <c r="R153" cm="1">
        <f t="array" ref="R153">IF(SUM(N(ISNUMBER(FIND({0,1,2,3,4,5,6,7,8,9}, B153))))&gt;0, 10, 0)</f>
        <v>10</v>
      </c>
      <c r="S153" cm="1">
        <f t="array" ref="S153">IF(LEN(B153)&gt;SUMPRODUCT(LEN(B153)-LEN(SUBSTITUTE(B153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53" s="2" t="s">
        <v>223</v>
      </c>
    </row>
    <row r="154" spans="1:21" ht="15.6">
      <c r="A154" s="3">
        <v>1</v>
      </c>
      <c r="B154" s="7" t="s">
        <v>490</v>
      </c>
      <c r="C154" t="s">
        <v>29</v>
      </c>
      <c r="D154">
        <f t="shared" si="7"/>
        <v>11</v>
      </c>
      <c r="E154">
        <f t="shared" si="8"/>
        <v>72.100477368454037</v>
      </c>
      <c r="F154" s="10">
        <v>2.7321589999999998</v>
      </c>
      <c r="G154" s="10">
        <f t="shared" si="6"/>
        <v>30.053748999999996</v>
      </c>
      <c r="H154" s="10">
        <v>4</v>
      </c>
      <c r="I154" s="20">
        <v>100000000000</v>
      </c>
      <c r="J154" s="10">
        <v>11</v>
      </c>
      <c r="K154" s="10"/>
      <c r="L154" s="10"/>
      <c r="P154" cm="1">
        <f t="array" ref="P154">IF(SUM(N(ISNUMBER(FIND({"a","b","c","d","e","f","g","h","i","j","k","l","m","n","o","p","q","r","s","t","u","v","w","x","y","z"}, B154))))&gt;0, 26, 0)</f>
        <v>26</v>
      </c>
      <c r="Q154" cm="1">
        <f t="array" ref="Q154">IF(SUM(N(ISNUMBER(FIND({"A","B","C","D","E","F","G","H","I","J","K","L","M","N","O","P","Q","R","S","T","U","V","W","X","Y","Z"}, B154))))&gt;0, 26, 0)</f>
        <v>26</v>
      </c>
      <c r="R154" cm="1">
        <f t="array" ref="R154">IF(SUM(N(ISNUMBER(FIND({0,1,2,3,4,5,6,7,8,9}, B154))))&gt;0, 10, 0)</f>
        <v>10</v>
      </c>
      <c r="S154" cm="1">
        <f t="array" ref="S154">IF(LEN(B154)&gt;SUMPRODUCT(LEN(B154)-LEN(SUBSTITUTE(B154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54" s="2" t="s">
        <v>239</v>
      </c>
    </row>
    <row r="155" spans="1:21" ht="15.6">
      <c r="A155" s="3">
        <v>1</v>
      </c>
      <c r="B155" s="7" t="s">
        <v>491</v>
      </c>
      <c r="C155" t="s">
        <v>29</v>
      </c>
      <c r="D155">
        <f t="shared" si="7"/>
        <v>14</v>
      </c>
      <c r="E155">
        <f t="shared" si="8"/>
        <v>91.764243923486958</v>
      </c>
      <c r="F155" s="10">
        <v>3.3248630000000001</v>
      </c>
      <c r="G155" s="10">
        <f t="shared" si="6"/>
        <v>46.548082000000001</v>
      </c>
      <c r="H155" s="10">
        <v>4</v>
      </c>
      <c r="I155" s="20">
        <v>100000000000000</v>
      </c>
      <c r="J155" s="10">
        <v>14</v>
      </c>
      <c r="K155" s="10"/>
      <c r="L155" s="10"/>
      <c r="P155" cm="1">
        <f t="array" ref="P155">IF(SUM(N(ISNUMBER(FIND({"a","b","c","d","e","f","g","h","i","j","k","l","m","n","o","p","q","r","s","t","u","v","w","x","y","z"}, B155))))&gt;0, 26, 0)</f>
        <v>26</v>
      </c>
      <c r="Q155" cm="1">
        <f t="array" ref="Q155">IF(SUM(N(ISNUMBER(FIND({"A","B","C","D","E","F","G","H","I","J","K","L","M","N","O","P","Q","R","S","T","U","V","W","X","Y","Z"}, B155))))&gt;0, 26, 0)</f>
        <v>26</v>
      </c>
      <c r="R155" cm="1">
        <f t="array" ref="R155">IF(SUM(N(ISNUMBER(FIND({0,1,2,3,4,5,6,7,8,9}, B155))))&gt;0, 10, 0)</f>
        <v>10</v>
      </c>
      <c r="S155" cm="1">
        <f t="array" ref="S155">IF(LEN(B155)&gt;SUMPRODUCT(LEN(B155)-LEN(SUBSTITUTE(B155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55" s="2" t="s">
        <v>255</v>
      </c>
    </row>
    <row r="156" spans="1:21" ht="15.6">
      <c r="A156" s="3">
        <v>1</v>
      </c>
      <c r="B156" s="7" t="s">
        <v>492</v>
      </c>
      <c r="C156" t="s">
        <v>29</v>
      </c>
      <c r="D156">
        <f t="shared" si="7"/>
        <v>14</v>
      </c>
      <c r="E156">
        <f t="shared" si="8"/>
        <v>91.764243923486958</v>
      </c>
      <c r="F156" s="10">
        <v>3.2359260000000001</v>
      </c>
      <c r="G156" s="10">
        <f t="shared" si="6"/>
        <v>45.302964000000003</v>
      </c>
      <c r="H156" s="10">
        <v>4</v>
      </c>
      <c r="I156" s="20">
        <v>100000000000000</v>
      </c>
      <c r="J156" s="10">
        <v>14</v>
      </c>
      <c r="K156" s="10"/>
      <c r="L156" s="10"/>
      <c r="P156" cm="1">
        <f t="array" ref="P156">IF(SUM(N(ISNUMBER(FIND({"a","b","c","d","e","f","g","h","i","j","k","l","m","n","o","p","q","r","s","t","u","v","w","x","y","z"}, B156))))&gt;0, 26, 0)</f>
        <v>26</v>
      </c>
      <c r="Q156" cm="1">
        <f t="array" ref="Q156">IF(SUM(N(ISNUMBER(FIND({"A","B","C","D","E","F","G","H","I","J","K","L","M","N","O","P","Q","R","S","T","U","V","W","X","Y","Z"}, B156))))&gt;0, 26, 0)</f>
        <v>26</v>
      </c>
      <c r="R156" cm="1">
        <f t="array" ref="R156">IF(SUM(N(ISNUMBER(FIND({0,1,2,3,4,5,6,7,8,9}, B156))))&gt;0, 10, 0)</f>
        <v>10</v>
      </c>
      <c r="S156" cm="1">
        <f t="array" ref="S156">IF(LEN(B156)&gt;SUMPRODUCT(LEN(B156)-LEN(SUBSTITUTE(B156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56" s="2" t="s">
        <v>271</v>
      </c>
    </row>
    <row r="157" spans="1:21" ht="15.6">
      <c r="A157" s="3">
        <v>1</v>
      </c>
      <c r="B157" s="7" t="s">
        <v>493</v>
      </c>
      <c r="C157" t="s">
        <v>29</v>
      </c>
      <c r="D157">
        <f t="shared" si="7"/>
        <v>10</v>
      </c>
      <c r="E157">
        <f t="shared" si="8"/>
        <v>65.545888516776401</v>
      </c>
      <c r="F157" s="10">
        <v>2.9219279999999999</v>
      </c>
      <c r="G157" s="10">
        <f t="shared" si="6"/>
        <v>29.219279999999998</v>
      </c>
      <c r="H157" s="10">
        <v>3</v>
      </c>
      <c r="I157" s="20">
        <v>10000000000</v>
      </c>
      <c r="J157" s="10">
        <v>10</v>
      </c>
      <c r="K157" s="10"/>
      <c r="L157" s="10"/>
      <c r="P157" cm="1">
        <f t="array" ref="P157">IF(SUM(N(ISNUMBER(FIND({"a","b","c","d","e","f","g","h","i","j","k","l","m","n","o","p","q","r","s","t","u","v","w","x","y","z"}, B157))))&gt;0, 26, 0)</f>
        <v>26</v>
      </c>
      <c r="Q157" cm="1">
        <f t="array" ref="Q157">IF(SUM(N(ISNUMBER(FIND({"A","B","C","D","E","F","G","H","I","J","K","L","M","N","O","P","Q","R","S","T","U","V","W","X","Y","Z"}, B157))))&gt;0, 26, 0)</f>
        <v>26</v>
      </c>
      <c r="R157" cm="1">
        <f t="array" ref="R157">IF(SUM(N(ISNUMBER(FIND({0,1,2,3,4,5,6,7,8,9}, B157))))&gt;0, 10, 0)</f>
        <v>0</v>
      </c>
      <c r="S157" cm="1">
        <f t="array" ref="S157">IF(LEN(B157)&gt;SUMPRODUCT(LEN(B157)-LEN(SUBSTITUTE(B157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57" s="2" t="s">
        <v>287</v>
      </c>
    </row>
    <row r="158" spans="1:21" ht="15.6">
      <c r="A158" s="3">
        <v>1</v>
      </c>
      <c r="B158" s="7" t="s">
        <v>494</v>
      </c>
      <c r="C158" t="s">
        <v>29</v>
      </c>
      <c r="D158">
        <f t="shared" si="7"/>
        <v>17</v>
      </c>
      <c r="E158">
        <f t="shared" si="8"/>
        <v>111.42801047851988</v>
      </c>
      <c r="F158" s="10">
        <v>3.852169</v>
      </c>
      <c r="G158" s="10">
        <f t="shared" si="6"/>
        <v>65.486873000000003</v>
      </c>
      <c r="H158" s="10">
        <v>4</v>
      </c>
      <c r="I158" s="20">
        <v>1E+17</v>
      </c>
      <c r="J158" s="10">
        <v>17</v>
      </c>
      <c r="K158" s="10"/>
      <c r="L158" s="10"/>
      <c r="P158" cm="1">
        <f t="array" ref="P158">IF(SUM(N(ISNUMBER(FIND({"a","b","c","d","e","f","g","h","i","j","k","l","m","n","o","p","q","r","s","t","u","v","w","x","y","z"}, B158))))&gt;0, 26, 0)</f>
        <v>26</v>
      </c>
      <c r="Q158" cm="1">
        <f t="array" ref="Q158">IF(SUM(N(ISNUMBER(FIND({"A","B","C","D","E","F","G","H","I","J","K","L","M","N","O","P","Q","R","S","T","U","V","W","X","Y","Z"}, B158))))&gt;0, 26, 0)</f>
        <v>26</v>
      </c>
      <c r="R158" cm="1">
        <f t="array" ref="R158">IF(SUM(N(ISNUMBER(FIND({0,1,2,3,4,5,6,7,8,9}, B158))))&gt;0, 10, 0)</f>
        <v>10</v>
      </c>
      <c r="S158" cm="1">
        <f t="array" ref="S158">IF(LEN(B158)&gt;SUMPRODUCT(LEN(B158)-LEN(SUBSTITUTE(B158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58" s="2" t="s">
        <v>304</v>
      </c>
    </row>
    <row r="159" spans="1:21" ht="15.6">
      <c r="A159" s="3">
        <v>1</v>
      </c>
      <c r="B159" s="7" t="s">
        <v>495</v>
      </c>
      <c r="C159" t="s">
        <v>29</v>
      </c>
      <c r="D159">
        <f t="shared" si="7"/>
        <v>12</v>
      </c>
      <c r="E159">
        <f t="shared" si="8"/>
        <v>78.655066220131687</v>
      </c>
      <c r="F159" s="10">
        <v>2.8553890000000002</v>
      </c>
      <c r="G159" s="10">
        <f t="shared" si="6"/>
        <v>34.264668</v>
      </c>
      <c r="H159" s="10">
        <v>4</v>
      </c>
      <c r="I159" s="20">
        <v>1000000000000</v>
      </c>
      <c r="J159" s="10">
        <v>12</v>
      </c>
      <c r="K159" s="10"/>
      <c r="L159" s="10"/>
      <c r="P159" cm="1">
        <f t="array" ref="P159">IF(SUM(N(ISNUMBER(FIND({"a","b","c","d","e","f","g","h","i","j","k","l","m","n","o","p","q","r","s","t","u","v","w","x","y","z"}, B159))))&gt;0, 26, 0)</f>
        <v>26</v>
      </c>
      <c r="Q159" cm="1">
        <f t="array" ref="Q159">IF(SUM(N(ISNUMBER(FIND({"A","B","C","D","E","F","G","H","I","J","K","L","M","N","O","P","Q","R","S","T","U","V","W","X","Y","Z"}, B159))))&gt;0, 26, 0)</f>
        <v>26</v>
      </c>
      <c r="R159" cm="1">
        <f t="array" ref="R159">IF(SUM(N(ISNUMBER(FIND({0,1,2,3,4,5,6,7,8,9}, B159))))&gt;0, 10, 0)</f>
        <v>0</v>
      </c>
      <c r="S159" cm="1">
        <f t="array" ref="S159">IF(LEN(B159)&gt;SUMPRODUCT(LEN(B159)-LEN(SUBSTITUTE(B159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59" s="2" t="s">
        <v>320</v>
      </c>
    </row>
    <row r="160" spans="1:21" ht="15.6">
      <c r="A160" s="3">
        <v>1</v>
      </c>
      <c r="B160" s="7" t="s">
        <v>496</v>
      </c>
      <c r="C160" t="s">
        <v>29</v>
      </c>
      <c r="D160">
        <f t="shared" si="7"/>
        <v>11</v>
      </c>
      <c r="E160">
        <f t="shared" si="8"/>
        <v>72.100477368454037</v>
      </c>
      <c r="F160" s="10">
        <v>3.2776130000000001</v>
      </c>
      <c r="G160" s="10">
        <f t="shared" si="6"/>
        <v>36.053743000000004</v>
      </c>
      <c r="H160" s="10">
        <v>4</v>
      </c>
      <c r="I160" s="20">
        <v>100000000000</v>
      </c>
      <c r="J160" s="10">
        <v>11</v>
      </c>
      <c r="K160" s="10"/>
      <c r="L160" s="10"/>
      <c r="P160" cm="1">
        <f t="array" ref="P160">IF(SUM(N(ISNUMBER(FIND({"a","b","c","d","e","f","g","h","i","j","k","l","m","n","o","p","q","r","s","t","u","v","w","x","y","z"}, B160))))&gt;0, 26, 0)</f>
        <v>26</v>
      </c>
      <c r="Q160" cm="1">
        <f t="array" ref="Q160">IF(SUM(N(ISNUMBER(FIND({"A","B","C","D","E","F","G","H","I","J","K","L","M","N","O","P","Q","R","S","T","U","V","W","X","Y","Z"}, B160))))&gt;0, 26, 0)</f>
        <v>26</v>
      </c>
      <c r="R160" cm="1">
        <f t="array" ref="R160">IF(SUM(N(ISNUMBER(FIND({0,1,2,3,4,5,6,7,8,9}, B160))))&gt;0, 10, 0)</f>
        <v>0</v>
      </c>
      <c r="S160" cm="1">
        <f t="array" ref="S160">IF(LEN(B160)&gt;SUMPRODUCT(LEN(B160)-LEN(SUBSTITUTE(B160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60" s="2" t="s">
        <v>335</v>
      </c>
    </row>
    <row r="161" spans="1:21" ht="15.6">
      <c r="A161" s="3">
        <v>1</v>
      </c>
      <c r="B161" s="7" t="s">
        <v>497</v>
      </c>
      <c r="C161" t="s">
        <v>29</v>
      </c>
      <c r="D161">
        <f t="shared" si="7"/>
        <v>11</v>
      </c>
      <c r="E161">
        <f t="shared" si="8"/>
        <v>72.100477368454037</v>
      </c>
      <c r="F161" s="10">
        <v>3.4594320000000001</v>
      </c>
      <c r="G161" s="10">
        <f t="shared" si="6"/>
        <v>38.053752000000003</v>
      </c>
      <c r="H161" s="10">
        <v>4</v>
      </c>
      <c r="I161" s="20">
        <v>100000000000</v>
      </c>
      <c r="J161" s="10">
        <v>11</v>
      </c>
      <c r="K161" s="10"/>
      <c r="L161" s="10"/>
      <c r="P161" cm="1">
        <f t="array" ref="P161">IF(SUM(N(ISNUMBER(FIND({"a","b","c","d","e","f","g","h","i","j","k","l","m","n","o","p","q","r","s","t","u","v","w","x","y","z"}, B161))))&gt;0, 26, 0)</f>
        <v>26</v>
      </c>
      <c r="Q161" cm="1">
        <f t="array" ref="Q161">IF(SUM(N(ISNUMBER(FIND({"A","B","C","D","E","F","G","H","I","J","K","L","M","N","O","P","Q","R","S","T","U","V","W","X","Y","Z"}, B161))))&gt;0, 26, 0)</f>
        <v>26</v>
      </c>
      <c r="R161" cm="1">
        <f t="array" ref="R161">IF(SUM(N(ISNUMBER(FIND({0,1,2,3,4,5,6,7,8,9}, B161))))&gt;0, 10, 0)</f>
        <v>10</v>
      </c>
      <c r="S161" cm="1">
        <f t="array" ref="S161">IF(LEN(B161)&gt;SUMPRODUCT(LEN(B161)-LEN(SUBSTITUTE(B161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61" s="2" t="s">
        <v>351</v>
      </c>
    </row>
    <row r="162" spans="1:21" ht="15.6">
      <c r="A162" s="3">
        <v>1</v>
      </c>
      <c r="B162" s="7" t="s">
        <v>498</v>
      </c>
      <c r="C162" t="s">
        <v>29</v>
      </c>
      <c r="D162">
        <f t="shared" si="7"/>
        <v>10</v>
      </c>
      <c r="E162">
        <f t="shared" si="8"/>
        <v>65.545888516776401</v>
      </c>
      <c r="F162" s="10">
        <v>3.121928</v>
      </c>
      <c r="G162" s="10">
        <f t="shared" si="6"/>
        <v>31.219280000000001</v>
      </c>
      <c r="H162" s="10">
        <v>3</v>
      </c>
      <c r="I162" s="20">
        <v>10000000000</v>
      </c>
      <c r="J162" s="10">
        <v>10</v>
      </c>
      <c r="K162" s="10"/>
      <c r="L162" s="10"/>
      <c r="P162" cm="1">
        <f t="array" ref="P162">IF(SUM(N(ISNUMBER(FIND({"a","b","c","d","e","f","g","h","i","j","k","l","m","n","o","p","q","r","s","t","u","v","w","x","y","z"}, B162))))&gt;0, 26, 0)</f>
        <v>26</v>
      </c>
      <c r="Q162" cm="1">
        <f t="array" ref="Q162">IF(SUM(N(ISNUMBER(FIND({"A","B","C","D","E","F","G","H","I","J","K","L","M","N","O","P","Q","R","S","T","U","V","W","X","Y","Z"}, B162))))&gt;0, 26, 0)</f>
        <v>26</v>
      </c>
      <c r="R162" cm="1">
        <f t="array" ref="R162">IF(SUM(N(ISNUMBER(FIND({0,1,2,3,4,5,6,7,8,9}, B162))))&gt;0, 10, 0)</f>
        <v>10</v>
      </c>
      <c r="S162" cm="1">
        <f t="array" ref="S162">IF(LEN(B162)&gt;SUMPRODUCT(LEN(B162)-LEN(SUBSTITUTE(B162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62" s="2" t="s">
        <v>45</v>
      </c>
    </row>
    <row r="163" spans="1:21" ht="15.6">
      <c r="A163" s="3">
        <v>1</v>
      </c>
      <c r="B163" s="7" t="s">
        <v>499</v>
      </c>
      <c r="C163" t="s">
        <v>29</v>
      </c>
      <c r="D163">
        <f t="shared" si="7"/>
        <v>16</v>
      </c>
      <c r="E163">
        <f t="shared" si="8"/>
        <v>104.87342162684224</v>
      </c>
      <c r="F163" s="10">
        <v>3.625</v>
      </c>
      <c r="G163" s="10">
        <f t="shared" si="6"/>
        <v>58</v>
      </c>
      <c r="H163" s="10">
        <v>4</v>
      </c>
      <c r="I163" s="20">
        <v>1E+16</v>
      </c>
      <c r="J163" s="10">
        <v>16</v>
      </c>
      <c r="K163" s="10"/>
      <c r="L163" s="10"/>
      <c r="P163" cm="1">
        <f t="array" ref="P163">IF(SUM(N(ISNUMBER(FIND({"a","b","c","d","e","f","g","h","i","j","k","l","m","n","o","p","q","r","s","t","u","v","w","x","y","z"}, B163))))&gt;0, 26, 0)</f>
        <v>26</v>
      </c>
      <c r="Q163" cm="1">
        <f t="array" ref="Q163">IF(SUM(N(ISNUMBER(FIND({"A","B","C","D","E","F","G","H","I","J","K","L","M","N","O","P","Q","R","S","T","U","V","W","X","Y","Z"}, B163))))&gt;0, 26, 0)</f>
        <v>26</v>
      </c>
      <c r="R163" cm="1">
        <f t="array" ref="R163">IF(SUM(N(ISNUMBER(FIND({0,1,2,3,4,5,6,7,8,9}, B163))))&gt;0, 10, 0)</f>
        <v>10</v>
      </c>
      <c r="S163" cm="1">
        <f t="array" ref="S163">IF(LEN(B163)&gt;SUMPRODUCT(LEN(B163)-LEN(SUBSTITUTE(B163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63" s="2" t="s">
        <v>62</v>
      </c>
    </row>
    <row r="164" spans="1:21" ht="15.6">
      <c r="A164" s="3">
        <v>1</v>
      </c>
      <c r="B164" s="7" t="s">
        <v>500</v>
      </c>
      <c r="C164" t="s">
        <v>29</v>
      </c>
      <c r="D164">
        <f t="shared" si="7"/>
        <v>8</v>
      </c>
      <c r="E164">
        <f t="shared" si="8"/>
        <v>52.436710813421122</v>
      </c>
      <c r="F164" s="10">
        <v>3</v>
      </c>
      <c r="G164" s="10">
        <f t="shared" si="6"/>
        <v>24</v>
      </c>
      <c r="H164" s="10">
        <v>2</v>
      </c>
      <c r="I164" s="20">
        <v>100000000</v>
      </c>
      <c r="J164" s="10">
        <v>8</v>
      </c>
      <c r="K164" s="10"/>
      <c r="L164" s="10"/>
      <c r="P164" cm="1">
        <f t="array" ref="P164">IF(SUM(N(ISNUMBER(FIND({"a","b","c","d","e","f","g","h","i","j","k","l","m","n","o","p","q","r","s","t","u","v","w","x","y","z"}, B164))))&gt;0, 26, 0)</f>
        <v>26</v>
      </c>
      <c r="Q164" cm="1">
        <f t="array" ref="Q164">IF(SUM(N(ISNUMBER(FIND({"A","B","C","D","E","F","G","H","I","J","K","L","M","N","O","P","Q","R","S","T","U","V","W","X","Y","Z"}, B164))))&gt;0, 26, 0)</f>
        <v>0</v>
      </c>
      <c r="R164" cm="1">
        <f t="array" ref="R164">IF(SUM(N(ISNUMBER(FIND({0,1,2,3,4,5,6,7,8,9}, B164))))&gt;0, 10, 0)</f>
        <v>0</v>
      </c>
      <c r="S164" cm="1">
        <f t="array" ref="S164">IF(LEN(B164)&gt;SUMPRODUCT(LEN(B164)-LEN(SUBSTITUTE(B164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64" s="2" t="s">
        <v>78</v>
      </c>
    </row>
    <row r="165" spans="1:21" ht="15.6">
      <c r="A165" s="3">
        <v>1</v>
      </c>
      <c r="B165" s="7" t="s">
        <v>501</v>
      </c>
      <c r="C165" t="s">
        <v>29</v>
      </c>
      <c r="D165">
        <f t="shared" si="7"/>
        <v>9</v>
      </c>
      <c r="E165">
        <f t="shared" si="8"/>
        <v>58.991299665098765</v>
      </c>
      <c r="F165" s="10">
        <v>2.9477030000000002</v>
      </c>
      <c r="G165" s="10">
        <f t="shared" si="6"/>
        <v>26.529327000000002</v>
      </c>
      <c r="H165" s="10">
        <v>3</v>
      </c>
      <c r="I165" s="20">
        <v>1000000000</v>
      </c>
      <c r="J165" s="10">
        <v>9</v>
      </c>
      <c r="K165" s="10"/>
      <c r="L165" s="10"/>
      <c r="P165" cm="1">
        <f t="array" ref="P165">IF(SUM(N(ISNUMBER(FIND({"a","b","c","d","e","f","g","h","i","j","k","l","m","n","o","p","q","r","s","t","u","v","w","x","y","z"}, B165))))&gt;0, 26, 0)</f>
        <v>26</v>
      </c>
      <c r="Q165" cm="1">
        <f t="array" ref="Q165">IF(SUM(N(ISNUMBER(FIND({"A","B","C","D","E","F","G","H","I","J","K","L","M","N","O","P","Q","R","S","T","U","V","W","X","Y","Z"}, B165))))&gt;0, 26, 0)</f>
        <v>0</v>
      </c>
      <c r="R165" cm="1">
        <f t="array" ref="R165">IF(SUM(N(ISNUMBER(FIND({0,1,2,3,4,5,6,7,8,9}, B165))))&gt;0, 10, 0)</f>
        <v>0</v>
      </c>
      <c r="S165" cm="1">
        <f t="array" ref="S165">IF(LEN(B165)&gt;SUMPRODUCT(LEN(B165)-LEN(SUBSTITUTE(B165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65" s="2" t="s">
        <v>94</v>
      </c>
    </row>
    <row r="166" spans="1:21" ht="15.6">
      <c r="A166" s="3">
        <v>1</v>
      </c>
      <c r="B166" s="7" t="s">
        <v>502</v>
      </c>
      <c r="C166" t="s">
        <v>29</v>
      </c>
      <c r="D166">
        <f t="shared" si="7"/>
        <v>13</v>
      </c>
      <c r="E166">
        <f t="shared" si="8"/>
        <v>85.209655071809323</v>
      </c>
      <c r="F166" s="10">
        <v>3.392747</v>
      </c>
      <c r="G166" s="10">
        <f t="shared" si="6"/>
        <v>44.105710999999999</v>
      </c>
      <c r="H166" s="10">
        <v>4</v>
      </c>
      <c r="I166" s="20">
        <v>10000000000000</v>
      </c>
      <c r="J166" s="10">
        <v>13</v>
      </c>
      <c r="K166" s="10"/>
      <c r="L166" s="10"/>
      <c r="P166" cm="1">
        <f t="array" ref="P166">IF(SUM(N(ISNUMBER(FIND({"a","b","c","d","e","f","g","h","i","j","k","l","m","n","o","p","q","r","s","t","u","v","w","x","y","z"}, B166))))&gt;0, 26, 0)</f>
        <v>26</v>
      </c>
      <c r="Q166" cm="1">
        <f t="array" ref="Q166">IF(SUM(N(ISNUMBER(FIND({"A","B","C","D","E","F","G","H","I","J","K","L","M","N","O","P","Q","R","S","T","U","V","W","X","Y","Z"}, B166))))&gt;0, 26, 0)</f>
        <v>26</v>
      </c>
      <c r="R166" cm="1">
        <f t="array" ref="R166">IF(SUM(N(ISNUMBER(FIND({0,1,2,3,4,5,6,7,8,9}, B166))))&gt;0, 10, 0)</f>
        <v>0</v>
      </c>
      <c r="S166" cm="1">
        <f t="array" ref="S166">IF(LEN(B166)&gt;SUMPRODUCT(LEN(B166)-LEN(SUBSTITUTE(B166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66" s="2" t="s">
        <v>110</v>
      </c>
    </row>
    <row r="167" spans="1:21" ht="15.6">
      <c r="A167" s="3">
        <v>1</v>
      </c>
      <c r="B167" s="7" t="s">
        <v>503</v>
      </c>
      <c r="C167" t="s">
        <v>29</v>
      </c>
      <c r="D167">
        <f t="shared" si="7"/>
        <v>10</v>
      </c>
      <c r="E167">
        <f t="shared" si="8"/>
        <v>65.545888516776401</v>
      </c>
      <c r="F167" s="10">
        <v>3.3219280000000002</v>
      </c>
      <c r="G167" s="10">
        <f t="shared" si="6"/>
        <v>33.219280000000005</v>
      </c>
      <c r="H167" s="10">
        <v>3</v>
      </c>
      <c r="I167" s="20">
        <v>10000000000</v>
      </c>
      <c r="J167" s="10">
        <v>10</v>
      </c>
      <c r="K167" s="10"/>
      <c r="L167" s="10"/>
      <c r="P167" cm="1">
        <f t="array" ref="P167">IF(SUM(N(ISNUMBER(FIND({"a","b","c","d","e","f","g","h","i","j","k","l","m","n","o","p","q","r","s","t","u","v","w","x","y","z"}, B167))))&gt;0, 26, 0)</f>
        <v>26</v>
      </c>
      <c r="Q167" cm="1">
        <f t="array" ref="Q167">IF(SUM(N(ISNUMBER(FIND({"A","B","C","D","E","F","G","H","I","J","K","L","M","N","O","P","Q","R","S","T","U","V","W","X","Y","Z"}, B167))))&gt;0, 26, 0)</f>
        <v>26</v>
      </c>
      <c r="R167" cm="1">
        <f t="array" ref="R167">IF(SUM(N(ISNUMBER(FIND({0,1,2,3,4,5,6,7,8,9}, B167))))&gt;0, 10, 0)</f>
        <v>10</v>
      </c>
      <c r="S167" cm="1">
        <f t="array" ref="S167">IF(LEN(B167)&gt;SUMPRODUCT(LEN(B167)-LEN(SUBSTITUTE(B167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67" s="2" t="s">
        <v>127</v>
      </c>
    </row>
    <row r="168" spans="1:21" ht="15.6">
      <c r="A168" s="3">
        <v>1</v>
      </c>
      <c r="B168" s="7" t="s">
        <v>504</v>
      </c>
      <c r="C168" t="s">
        <v>29</v>
      </c>
      <c r="D168">
        <f t="shared" si="7"/>
        <v>10</v>
      </c>
      <c r="E168">
        <f t="shared" si="8"/>
        <v>65.545888516776401</v>
      </c>
      <c r="F168" s="10">
        <v>2.9219279999999999</v>
      </c>
      <c r="G168" s="10">
        <f t="shared" si="6"/>
        <v>29.219279999999998</v>
      </c>
      <c r="H168" s="10">
        <v>3</v>
      </c>
      <c r="I168" s="20">
        <v>10000000000</v>
      </c>
      <c r="J168" s="10">
        <v>10</v>
      </c>
      <c r="K168" s="10"/>
      <c r="L168" s="10"/>
      <c r="P168" cm="1">
        <f t="array" ref="P168">IF(SUM(N(ISNUMBER(FIND({"a","b","c","d","e","f","g","h","i","j","k","l","m","n","o","p","q","r","s","t","u","v","w","x","y","z"}, B168))))&gt;0, 26, 0)</f>
        <v>26</v>
      </c>
      <c r="Q168" cm="1">
        <f t="array" ref="Q168">IF(SUM(N(ISNUMBER(FIND({"A","B","C","D","E","F","G","H","I","J","K","L","M","N","O","P","Q","R","S","T","U","V","W","X","Y","Z"}, B168))))&gt;0, 26, 0)</f>
        <v>0</v>
      </c>
      <c r="R168" cm="1">
        <f t="array" ref="R168">IF(SUM(N(ISNUMBER(FIND({0,1,2,3,4,5,6,7,8,9}, B168))))&gt;0, 10, 0)</f>
        <v>0</v>
      </c>
      <c r="S168" cm="1">
        <f t="array" ref="S168">IF(LEN(B168)&gt;SUMPRODUCT(LEN(B168)-LEN(SUBSTITUTE(B168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68" s="2" t="s">
        <v>143</v>
      </c>
    </row>
    <row r="169" spans="1:21" ht="15.6">
      <c r="A169" s="3">
        <v>1</v>
      </c>
      <c r="B169" s="7" t="s">
        <v>505</v>
      </c>
      <c r="C169" t="s">
        <v>29</v>
      </c>
      <c r="D169">
        <f t="shared" si="7"/>
        <v>12</v>
      </c>
      <c r="E169">
        <f t="shared" si="8"/>
        <v>78.655066220131687</v>
      </c>
      <c r="F169" s="10">
        <v>3.4182959999999998</v>
      </c>
      <c r="G169" s="10">
        <f t="shared" si="6"/>
        <v>41.019551999999997</v>
      </c>
      <c r="H169" s="10">
        <v>4</v>
      </c>
      <c r="I169" s="20">
        <v>1000000000000</v>
      </c>
      <c r="J169" s="10">
        <v>12</v>
      </c>
      <c r="K169" s="10"/>
      <c r="L169" s="10"/>
      <c r="P169" cm="1">
        <f t="array" ref="P169">IF(SUM(N(ISNUMBER(FIND({"a","b","c","d","e","f","g","h","i","j","k","l","m","n","o","p","q","r","s","t","u","v","w","x","y","z"}, B169))))&gt;0, 26, 0)</f>
        <v>26</v>
      </c>
      <c r="Q169" cm="1">
        <f t="array" ref="Q169">IF(SUM(N(ISNUMBER(FIND({"A","B","C","D","E","F","G","H","I","J","K","L","M","N","O","P","Q","R","S","T","U","V","W","X","Y","Z"}, B169))))&gt;0, 26, 0)</f>
        <v>26</v>
      </c>
      <c r="R169" cm="1">
        <f t="array" ref="R169">IF(SUM(N(ISNUMBER(FIND({0,1,2,3,4,5,6,7,8,9}, B169))))&gt;0, 10, 0)</f>
        <v>0</v>
      </c>
      <c r="S169" cm="1">
        <f t="array" ref="S169">IF(LEN(B169)&gt;SUMPRODUCT(LEN(B169)-LEN(SUBSTITUTE(B169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69" s="2" t="s">
        <v>159</v>
      </c>
    </row>
    <row r="170" spans="1:21" ht="15.6">
      <c r="A170" s="3">
        <v>1</v>
      </c>
      <c r="B170" s="9" t="s">
        <v>506</v>
      </c>
      <c r="C170" t="s">
        <v>29</v>
      </c>
      <c r="D170">
        <f t="shared" si="7"/>
        <v>13</v>
      </c>
      <c r="E170">
        <f t="shared" si="8"/>
        <v>85.209655071809323</v>
      </c>
      <c r="F170" s="10">
        <v>3.0269870000000001</v>
      </c>
      <c r="G170" s="10">
        <f t="shared" si="6"/>
        <v>39.350830999999999</v>
      </c>
      <c r="H170" s="10">
        <v>4</v>
      </c>
      <c r="I170" s="20">
        <v>10000000000000</v>
      </c>
      <c r="J170" s="10">
        <v>13</v>
      </c>
      <c r="K170" s="10"/>
      <c r="L170" s="10"/>
      <c r="P170" cm="1">
        <f t="array" ref="P170">IF(SUM(N(ISNUMBER(FIND({"a","b","c","d","e","f","g","h","i","j","k","l","m","n","o","p","q","r","s","t","u","v","w","x","y","z"}, B170))))&gt;0, 26, 0)</f>
        <v>26</v>
      </c>
      <c r="Q170" cm="1">
        <f t="array" ref="Q170">IF(SUM(N(ISNUMBER(FIND({"A","B","C","D","E","F","G","H","I","J","K","L","M","N","O","P","Q","R","S","T","U","V","W","X","Y","Z"}, B170))))&gt;0, 26, 0)</f>
        <v>0</v>
      </c>
      <c r="R170" cm="1">
        <f t="array" ref="R170">IF(SUM(N(ISNUMBER(FIND({0,1,2,3,4,5,6,7,8,9}, B170))))&gt;0, 10, 0)</f>
        <v>10</v>
      </c>
      <c r="S170" cm="1">
        <f t="array" ref="S170">IF(LEN(B170)&gt;SUMPRODUCT(LEN(B170)-LEN(SUBSTITUTE(B170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70" s="5" t="s">
        <v>175</v>
      </c>
    </row>
    <row r="171" spans="1:21" ht="15.6">
      <c r="A171" s="3">
        <v>1</v>
      </c>
      <c r="B171" s="7" t="s">
        <v>507</v>
      </c>
      <c r="C171" t="s">
        <v>29</v>
      </c>
      <c r="D171">
        <f t="shared" si="7"/>
        <v>10</v>
      </c>
      <c r="E171">
        <f t="shared" si="8"/>
        <v>65.545888516776401</v>
      </c>
      <c r="F171" s="10">
        <v>3.121928</v>
      </c>
      <c r="G171" s="10">
        <f t="shared" si="6"/>
        <v>31.219280000000001</v>
      </c>
      <c r="H171" s="10">
        <v>3</v>
      </c>
      <c r="I171" s="20">
        <v>10000000000</v>
      </c>
      <c r="J171" s="10">
        <v>10</v>
      </c>
      <c r="K171" s="10"/>
      <c r="L171" s="10"/>
      <c r="P171" cm="1">
        <f t="array" ref="P171">IF(SUM(N(ISNUMBER(FIND({"a","b","c","d","e","f","g","h","i","j","k","l","m","n","o","p","q","r","s","t","u","v","w","x","y","z"}, B171))))&gt;0, 26, 0)</f>
        <v>26</v>
      </c>
      <c r="Q171" cm="1">
        <f t="array" ref="Q171">IF(SUM(N(ISNUMBER(FIND({"A","B","C","D","E","F","G","H","I","J","K","L","M","N","O","P","Q","R","S","T","U","V","W","X","Y","Z"}, B171))))&gt;0, 26, 0)</f>
        <v>26</v>
      </c>
      <c r="R171" cm="1">
        <f t="array" ref="R171">IF(SUM(N(ISNUMBER(FIND({0,1,2,3,4,5,6,7,8,9}, B171))))&gt;0, 10, 0)</f>
        <v>10</v>
      </c>
      <c r="S171" cm="1">
        <f t="array" ref="S171">IF(LEN(B171)&gt;SUMPRODUCT(LEN(B171)-LEN(SUBSTITUTE(B171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71" s="2" t="s">
        <v>192</v>
      </c>
    </row>
    <row r="172" spans="1:21" ht="15.6">
      <c r="A172" s="3">
        <v>1</v>
      </c>
      <c r="B172" s="7" t="s">
        <v>508</v>
      </c>
      <c r="C172" t="s">
        <v>29</v>
      </c>
      <c r="D172">
        <f t="shared" si="7"/>
        <v>15</v>
      </c>
      <c r="E172">
        <f t="shared" si="8"/>
        <v>98.318832775164609</v>
      </c>
      <c r="F172" s="10">
        <v>3.1898979999999999</v>
      </c>
      <c r="G172" s="10">
        <f t="shared" si="6"/>
        <v>47.848469999999999</v>
      </c>
      <c r="H172" s="10">
        <v>4</v>
      </c>
      <c r="I172" s="20">
        <v>1000000000000000</v>
      </c>
      <c r="J172" s="10">
        <v>15</v>
      </c>
      <c r="K172" s="10"/>
      <c r="L172" s="10"/>
      <c r="P172" cm="1">
        <f t="array" ref="P172">IF(SUM(N(ISNUMBER(FIND({"a","b","c","d","e","f","g","h","i","j","k","l","m","n","o","p","q","r","s","t","u","v","w","x","y","z"}, B172))))&gt;0, 26, 0)</f>
        <v>26</v>
      </c>
      <c r="Q172" cm="1">
        <f t="array" ref="Q172">IF(SUM(N(ISNUMBER(FIND({"A","B","C","D","E","F","G","H","I","J","K","L","M","N","O","P","Q","R","S","T","U","V","W","X","Y","Z"}, B172))))&gt;0, 26, 0)</f>
        <v>26</v>
      </c>
      <c r="R172" cm="1">
        <f t="array" ref="R172">IF(SUM(N(ISNUMBER(FIND({0,1,2,3,4,5,6,7,8,9}, B172))))&gt;0, 10, 0)</f>
        <v>10</v>
      </c>
      <c r="S172" cm="1">
        <f t="array" ref="S172">IF(LEN(B172)&gt;SUMPRODUCT(LEN(B172)-LEN(SUBSTITUTE(B172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72" s="2" t="s">
        <v>208</v>
      </c>
    </row>
    <row r="173" spans="1:21" ht="15.6">
      <c r="A173" s="3">
        <v>1</v>
      </c>
      <c r="B173" s="7" t="s">
        <v>509</v>
      </c>
      <c r="C173" t="s">
        <v>29</v>
      </c>
      <c r="D173">
        <f t="shared" si="7"/>
        <v>12</v>
      </c>
      <c r="E173">
        <f t="shared" si="8"/>
        <v>78.655066220131687</v>
      </c>
      <c r="F173" s="10">
        <v>3.4182959999999998</v>
      </c>
      <c r="G173" s="10">
        <f t="shared" si="6"/>
        <v>41.019551999999997</v>
      </c>
      <c r="H173" s="10">
        <v>4</v>
      </c>
      <c r="I173" s="20">
        <v>1000000000000</v>
      </c>
      <c r="J173" s="10">
        <v>12</v>
      </c>
      <c r="K173" s="10"/>
      <c r="L173" s="10"/>
      <c r="P173" cm="1">
        <f t="array" ref="P173">IF(SUM(N(ISNUMBER(FIND({"a","b","c","d","e","f","g","h","i","j","k","l","m","n","o","p","q","r","s","t","u","v","w","x","y","z"}, B173))))&gt;0, 26, 0)</f>
        <v>26</v>
      </c>
      <c r="Q173" cm="1">
        <f t="array" ref="Q173">IF(SUM(N(ISNUMBER(FIND({"A","B","C","D","E","F","G","H","I","J","K","L","M","N","O","P","Q","R","S","T","U","V","W","X","Y","Z"}, B173))))&gt;0, 26, 0)</f>
        <v>26</v>
      </c>
      <c r="R173" cm="1">
        <f t="array" ref="R173">IF(SUM(N(ISNUMBER(FIND({0,1,2,3,4,5,6,7,8,9}, B173))))&gt;0, 10, 0)</f>
        <v>0</v>
      </c>
      <c r="S173" cm="1">
        <f t="array" ref="S173">IF(LEN(B173)&gt;SUMPRODUCT(LEN(B173)-LEN(SUBSTITUTE(B173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73" s="2" t="s">
        <v>224</v>
      </c>
    </row>
    <row r="174" spans="1:21" ht="15.6">
      <c r="A174" s="3">
        <v>1</v>
      </c>
      <c r="B174" s="7" t="s">
        <v>510</v>
      </c>
      <c r="C174" t="s">
        <v>29</v>
      </c>
      <c r="D174">
        <f t="shared" si="7"/>
        <v>9</v>
      </c>
      <c r="E174">
        <f t="shared" si="8"/>
        <v>58.991299665098765</v>
      </c>
      <c r="F174" s="10">
        <v>3.1699250000000001</v>
      </c>
      <c r="G174" s="10">
        <f t="shared" si="6"/>
        <v>28.529325</v>
      </c>
      <c r="H174" s="10">
        <v>3</v>
      </c>
      <c r="I174" s="20">
        <v>1000000000</v>
      </c>
      <c r="J174" s="10">
        <v>9</v>
      </c>
      <c r="K174" s="10"/>
      <c r="L174" s="10"/>
      <c r="P174" cm="1">
        <f t="array" ref="P174">IF(SUM(N(ISNUMBER(FIND({"a","b","c","d","e","f","g","h","i","j","k","l","m","n","o","p","q","r","s","t","u","v","w","x","y","z"}, B174))))&gt;0, 26, 0)</f>
        <v>26</v>
      </c>
      <c r="Q174" cm="1">
        <f t="array" ref="Q174">IF(SUM(N(ISNUMBER(FIND({"A","B","C","D","E","F","G","H","I","J","K","L","M","N","O","P","Q","R","S","T","U","V","W","X","Y","Z"}, B174))))&gt;0, 26, 0)</f>
        <v>26</v>
      </c>
      <c r="R174" cm="1">
        <f t="array" ref="R174">IF(SUM(N(ISNUMBER(FIND({0,1,2,3,4,5,6,7,8,9}, B174))))&gt;0, 10, 0)</f>
        <v>0</v>
      </c>
      <c r="S174" cm="1">
        <f t="array" ref="S174">IF(LEN(B174)&gt;SUMPRODUCT(LEN(B174)-LEN(SUBSTITUTE(B174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74" s="2" t="s">
        <v>240</v>
      </c>
    </row>
    <row r="175" spans="1:21" ht="15.6">
      <c r="A175" s="3">
        <v>1</v>
      </c>
      <c r="B175" s="7" t="s">
        <v>511</v>
      </c>
      <c r="C175" t="s">
        <v>29</v>
      </c>
      <c r="D175">
        <f t="shared" si="7"/>
        <v>11</v>
      </c>
      <c r="E175">
        <f t="shared" si="8"/>
        <v>72.100477368454037</v>
      </c>
      <c r="F175" s="10">
        <v>3.4594320000000001</v>
      </c>
      <c r="G175" s="10">
        <f t="shared" si="6"/>
        <v>38.053752000000003</v>
      </c>
      <c r="H175" s="10">
        <v>4</v>
      </c>
      <c r="I175" s="20">
        <v>100000000000</v>
      </c>
      <c r="J175" s="10">
        <v>11</v>
      </c>
      <c r="K175" s="10"/>
      <c r="L175" s="10"/>
      <c r="P175" cm="1">
        <f t="array" ref="P175">IF(SUM(N(ISNUMBER(FIND({"a","b","c","d","e","f","g","h","i","j","k","l","m","n","o","p","q","r","s","t","u","v","w","x","y","z"}, B175))))&gt;0, 26, 0)</f>
        <v>26</v>
      </c>
      <c r="Q175" cm="1">
        <f t="array" ref="Q175">IF(SUM(N(ISNUMBER(FIND({"A","B","C","D","E","F","G","H","I","J","K","L","M","N","O","P","Q","R","S","T","U","V","W","X","Y","Z"}, B175))))&gt;0, 26, 0)</f>
        <v>26</v>
      </c>
      <c r="R175" cm="1">
        <f t="array" ref="R175">IF(SUM(N(ISNUMBER(FIND({0,1,2,3,4,5,6,7,8,9}, B175))))&gt;0, 10, 0)</f>
        <v>10</v>
      </c>
      <c r="S175" cm="1">
        <f t="array" ref="S175">IF(LEN(B175)&gt;SUMPRODUCT(LEN(B175)-LEN(SUBSTITUTE(B175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75" s="2" t="s">
        <v>256</v>
      </c>
    </row>
    <row r="176" spans="1:21" ht="15.6">
      <c r="A176" s="3">
        <v>1</v>
      </c>
      <c r="B176" s="7" t="s">
        <v>512</v>
      </c>
      <c r="C176" t="s">
        <v>29</v>
      </c>
      <c r="D176">
        <f t="shared" si="7"/>
        <v>11</v>
      </c>
      <c r="E176">
        <f t="shared" si="8"/>
        <v>72.100477368454037</v>
      </c>
      <c r="F176" s="10">
        <v>3.0957949999999999</v>
      </c>
      <c r="G176" s="10">
        <f t="shared" si="6"/>
        <v>34.053744999999999</v>
      </c>
      <c r="H176" s="10">
        <v>4</v>
      </c>
      <c r="I176" s="20">
        <v>11600000000</v>
      </c>
      <c r="J176" s="10">
        <v>10.06386</v>
      </c>
      <c r="K176" s="10"/>
      <c r="L176" s="10"/>
      <c r="P176" cm="1">
        <f t="array" ref="P176">IF(SUM(N(ISNUMBER(FIND({"a","b","c","d","e","f","g","h","i","j","k","l","m","n","o","p","q","r","s","t","u","v","w","x","y","z"}, B176))))&gt;0, 26, 0)</f>
        <v>26</v>
      </c>
      <c r="Q176" cm="1">
        <f t="array" ref="Q176">IF(SUM(N(ISNUMBER(FIND({"A","B","C","D","E","F","G","H","I","J","K","L","M","N","O","P","Q","R","S","T","U","V","W","X","Y","Z"}, B176))))&gt;0, 26, 0)</f>
        <v>26</v>
      </c>
      <c r="R176" cm="1">
        <f t="array" ref="R176">IF(SUM(N(ISNUMBER(FIND({0,1,2,3,4,5,6,7,8,9}, B176))))&gt;0, 10, 0)</f>
        <v>10</v>
      </c>
      <c r="S176" cm="1">
        <f t="array" ref="S176">IF(LEN(B176)&gt;SUMPRODUCT(LEN(B176)-LEN(SUBSTITUTE(B176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76" s="2" t="s">
        <v>272</v>
      </c>
    </row>
    <row r="177" spans="1:21" ht="15.6">
      <c r="A177" s="3">
        <v>1</v>
      </c>
      <c r="B177" s="7" t="s">
        <v>513</v>
      </c>
      <c r="C177" t="s">
        <v>29</v>
      </c>
      <c r="D177">
        <f t="shared" si="7"/>
        <v>12</v>
      </c>
      <c r="E177">
        <f t="shared" si="8"/>
        <v>78.655066220131687</v>
      </c>
      <c r="F177" s="10">
        <v>3.0849630000000001</v>
      </c>
      <c r="G177" s="10">
        <f t="shared" si="6"/>
        <v>37.019556000000001</v>
      </c>
      <c r="H177" s="10">
        <v>4</v>
      </c>
      <c r="I177" s="20">
        <v>1000000000000</v>
      </c>
      <c r="J177" s="10">
        <v>12</v>
      </c>
      <c r="K177" s="10"/>
      <c r="L177" s="10"/>
      <c r="P177" cm="1">
        <f t="array" ref="P177">IF(SUM(N(ISNUMBER(FIND({"a","b","c","d","e","f","g","h","i","j","k","l","m","n","o","p","q","r","s","t","u","v","w","x","y","z"}, B177))))&gt;0, 26, 0)</f>
        <v>26</v>
      </c>
      <c r="Q177" cm="1">
        <f t="array" ref="Q177">IF(SUM(N(ISNUMBER(FIND({"A","B","C","D","E","F","G","H","I","J","K","L","M","N","O","P","Q","R","S","T","U","V","W","X","Y","Z"}, B177))))&gt;0, 26, 0)</f>
        <v>26</v>
      </c>
      <c r="R177" cm="1">
        <f t="array" ref="R177">IF(SUM(N(ISNUMBER(FIND({0,1,2,3,4,5,6,7,8,9}, B177))))&gt;0, 10, 0)</f>
        <v>10</v>
      </c>
      <c r="S177" cm="1">
        <f t="array" ref="S177">IF(LEN(B177)&gt;SUMPRODUCT(LEN(B177)-LEN(SUBSTITUTE(B177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177" s="2" t="s">
        <v>288</v>
      </c>
    </row>
    <row r="178" spans="1:21" ht="15.6">
      <c r="A178" s="3">
        <v>1</v>
      </c>
      <c r="B178" s="7" t="s">
        <v>514</v>
      </c>
      <c r="C178" t="s">
        <v>29</v>
      </c>
      <c r="D178">
        <f t="shared" si="7"/>
        <v>15</v>
      </c>
      <c r="E178">
        <f t="shared" si="8"/>
        <v>98.318832775164609</v>
      </c>
      <c r="F178" s="10">
        <v>3.6402239999999999</v>
      </c>
      <c r="G178" s="10">
        <f t="shared" si="6"/>
        <v>54.603359999999995</v>
      </c>
      <c r="H178" s="10">
        <v>4</v>
      </c>
      <c r="I178" s="20">
        <v>1000000000000000</v>
      </c>
      <c r="J178" s="10">
        <v>15</v>
      </c>
      <c r="K178" s="10"/>
      <c r="L178" s="10"/>
      <c r="P178" cm="1">
        <f t="array" ref="P178">IF(SUM(N(ISNUMBER(FIND({"a","b","c","d","e","f","g","h","i","j","k","l","m","n","o","p","q","r","s","t","u","v","w","x","y","z"}, B178))))&gt;0, 26, 0)</f>
        <v>26</v>
      </c>
      <c r="Q178" cm="1">
        <f t="array" ref="Q178">IF(SUM(N(ISNUMBER(FIND({"A","B","C","D","E","F","G","H","I","J","K","L","M","N","O","P","Q","R","S","T","U","V","W","X","Y","Z"}, B178))))&gt;0, 26, 0)</f>
        <v>26</v>
      </c>
      <c r="R178" cm="1">
        <f t="array" ref="R178">IF(SUM(N(ISNUMBER(FIND({0,1,2,3,4,5,6,7,8,9}, B178))))&gt;0, 10, 0)</f>
        <v>10</v>
      </c>
      <c r="S178" cm="1">
        <f t="array" ref="S178">IF(LEN(B178)&gt;SUMPRODUCT(LEN(B178)-LEN(SUBSTITUTE(B178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78" s="2" t="s">
        <v>305</v>
      </c>
    </row>
    <row r="179" spans="1:21" ht="15.6">
      <c r="A179" s="3">
        <v>1</v>
      </c>
      <c r="B179" s="7" t="s">
        <v>515</v>
      </c>
      <c r="C179" t="s">
        <v>29</v>
      </c>
      <c r="D179">
        <f t="shared" si="7"/>
        <v>11</v>
      </c>
      <c r="E179">
        <f t="shared" si="8"/>
        <v>72.100477368454037</v>
      </c>
      <c r="F179" s="10">
        <v>3.4594320000000001</v>
      </c>
      <c r="G179" s="10">
        <f t="shared" si="6"/>
        <v>38.053752000000003</v>
      </c>
      <c r="H179" s="10">
        <v>4</v>
      </c>
      <c r="I179" s="20">
        <v>100000000000</v>
      </c>
      <c r="J179" s="10">
        <v>11</v>
      </c>
      <c r="K179" s="10"/>
      <c r="L179" s="10"/>
      <c r="P179" cm="1">
        <f t="array" ref="P179">IF(SUM(N(ISNUMBER(FIND({"a","b","c","d","e","f","g","h","i","j","k","l","m","n","o","p","q","r","s","t","u","v","w","x","y","z"}, B179))))&gt;0, 26, 0)</f>
        <v>26</v>
      </c>
      <c r="Q179" cm="1">
        <f t="array" ref="Q179">IF(SUM(N(ISNUMBER(FIND({"A","B","C","D","E","F","G","H","I","J","K","L","M","N","O","P","Q","R","S","T","U","V","W","X","Y","Z"}, B179))))&gt;0, 26, 0)</f>
        <v>26</v>
      </c>
      <c r="R179" cm="1">
        <f t="array" ref="R179">IF(SUM(N(ISNUMBER(FIND({0,1,2,3,4,5,6,7,8,9}, B179))))&gt;0, 10, 0)</f>
        <v>10</v>
      </c>
      <c r="S179" cm="1">
        <f t="array" ref="S179">IF(LEN(B179)&gt;SUMPRODUCT(LEN(B179)-LEN(SUBSTITUTE(B179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79" s="2" t="s">
        <v>321</v>
      </c>
    </row>
    <row r="180" spans="1:21" ht="15.6">
      <c r="A180" s="3">
        <v>1</v>
      </c>
      <c r="B180" s="7" t="s">
        <v>516</v>
      </c>
      <c r="C180" t="s">
        <v>29</v>
      </c>
      <c r="D180">
        <f t="shared" si="7"/>
        <v>13</v>
      </c>
      <c r="E180">
        <f t="shared" si="8"/>
        <v>85.209655071809323</v>
      </c>
      <c r="F180" s="10">
        <v>3.5465939999999998</v>
      </c>
      <c r="G180" s="10">
        <f t="shared" si="6"/>
        <v>46.105722</v>
      </c>
      <c r="H180" s="10">
        <v>4</v>
      </c>
      <c r="I180" s="20">
        <v>10000000000000</v>
      </c>
      <c r="J180" s="10">
        <v>13</v>
      </c>
      <c r="K180" s="10"/>
      <c r="L180" s="10"/>
      <c r="P180" cm="1">
        <f t="array" ref="P180">IF(SUM(N(ISNUMBER(FIND({"a","b","c","d","e","f","g","h","i","j","k","l","m","n","o","p","q","r","s","t","u","v","w","x","y","z"}, B180))))&gt;0, 26, 0)</f>
        <v>26</v>
      </c>
      <c r="Q180" cm="1">
        <f t="array" ref="Q180">IF(SUM(N(ISNUMBER(FIND({"A","B","C","D","E","F","G","H","I","J","K","L","M","N","O","P","Q","R","S","T","U","V","W","X","Y","Z"}, B180))))&gt;0, 26, 0)</f>
        <v>0</v>
      </c>
      <c r="R180" cm="1">
        <f t="array" ref="R180">IF(SUM(N(ISNUMBER(FIND({0,1,2,3,4,5,6,7,8,9}, B180))))&gt;0, 10, 0)</f>
        <v>10</v>
      </c>
      <c r="S180" cm="1">
        <f t="array" ref="S180">IF(LEN(B180)&gt;SUMPRODUCT(LEN(B180)-LEN(SUBSTITUTE(B180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0" s="2" t="s">
        <v>336</v>
      </c>
    </row>
    <row r="181" spans="1:21" ht="15.6">
      <c r="A181" s="3">
        <v>1</v>
      </c>
      <c r="B181" s="7" t="s">
        <v>517</v>
      </c>
      <c r="C181" t="s">
        <v>29</v>
      </c>
      <c r="D181">
        <f t="shared" si="7"/>
        <v>11</v>
      </c>
      <c r="E181">
        <f t="shared" si="8"/>
        <v>72.100477368454037</v>
      </c>
      <c r="F181" s="10">
        <v>3.0271690000000002</v>
      </c>
      <c r="G181" s="10">
        <f t="shared" si="6"/>
        <v>33.298859</v>
      </c>
      <c r="H181" s="10">
        <v>4</v>
      </c>
      <c r="I181" s="20">
        <v>100000000000</v>
      </c>
      <c r="J181" s="10">
        <v>11</v>
      </c>
      <c r="K181" s="10"/>
      <c r="L181" s="10"/>
      <c r="P181" cm="1">
        <f t="array" ref="P181">IF(SUM(N(ISNUMBER(FIND({"a","b","c","d","e","f","g","h","i","j","k","l","m","n","o","p","q","r","s","t","u","v","w","x","y","z"}, B181))))&gt;0, 26, 0)</f>
        <v>26</v>
      </c>
      <c r="Q181" cm="1">
        <f t="array" ref="Q181">IF(SUM(N(ISNUMBER(FIND({"A","B","C","D","E","F","G","H","I","J","K","L","M","N","O","P","Q","R","S","T","U","V","W","X","Y","Z"}, B181))))&gt;0, 26, 0)</f>
        <v>0</v>
      </c>
      <c r="R181" cm="1">
        <f t="array" ref="R181">IF(SUM(N(ISNUMBER(FIND({0,1,2,3,4,5,6,7,8,9}, B181))))&gt;0, 10, 0)</f>
        <v>10</v>
      </c>
      <c r="S181" cm="1">
        <f t="array" ref="S181">IF(LEN(B181)&gt;SUMPRODUCT(LEN(B181)-LEN(SUBSTITUTE(B181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1" s="2" t="s">
        <v>352</v>
      </c>
    </row>
    <row r="182" spans="1:21" ht="15.6">
      <c r="A182" s="3">
        <v>1</v>
      </c>
      <c r="B182" s="7" t="s">
        <v>518</v>
      </c>
      <c r="C182" t="s">
        <v>29</v>
      </c>
      <c r="D182">
        <f t="shared" si="7"/>
        <v>14</v>
      </c>
      <c r="E182">
        <f t="shared" si="8"/>
        <v>91.764243923486958</v>
      </c>
      <c r="F182" s="10">
        <v>3.5216409999999998</v>
      </c>
      <c r="G182" s="10">
        <f t="shared" si="6"/>
        <v>49.302973999999999</v>
      </c>
      <c r="H182" s="10">
        <v>4</v>
      </c>
      <c r="I182" s="20">
        <v>100000000000000</v>
      </c>
      <c r="J182" s="10">
        <v>14</v>
      </c>
      <c r="K182" s="10"/>
      <c r="L182" s="10"/>
      <c r="P182" cm="1">
        <f t="array" ref="P182">IF(SUM(N(ISNUMBER(FIND({"a","b","c","d","e","f","g","h","i","j","k","l","m","n","o","p","q","r","s","t","u","v","w","x","y","z"}, B182))))&gt;0, 26, 0)</f>
        <v>26</v>
      </c>
      <c r="Q182" cm="1">
        <f t="array" ref="Q182">IF(SUM(N(ISNUMBER(FIND({"A","B","C","D","E","F","G","H","I","J","K","L","M","N","O","P","Q","R","S","T","U","V","W","X","Y","Z"}, B182))))&gt;0, 26, 0)</f>
        <v>0</v>
      </c>
      <c r="R182" cm="1">
        <f t="array" ref="R182">IF(SUM(N(ISNUMBER(FIND({0,1,2,3,4,5,6,7,8,9}, B182))))&gt;0, 10, 0)</f>
        <v>10</v>
      </c>
      <c r="S182" cm="1">
        <f t="array" ref="S182">IF(LEN(B182)&gt;SUMPRODUCT(LEN(B182)-LEN(SUBSTITUTE(B182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2" s="2" t="s">
        <v>46</v>
      </c>
    </row>
    <row r="183" spans="1:21" ht="15.6">
      <c r="A183" s="3">
        <v>1</v>
      </c>
      <c r="B183" s="7" t="s">
        <v>519</v>
      </c>
      <c r="C183" t="s">
        <v>29</v>
      </c>
      <c r="D183">
        <f t="shared" si="7"/>
        <v>14</v>
      </c>
      <c r="E183">
        <f t="shared" si="8"/>
        <v>91.764243923486958</v>
      </c>
      <c r="F183" s="10">
        <v>3.0930689999999998</v>
      </c>
      <c r="G183" s="10">
        <f t="shared" si="6"/>
        <v>43.302965999999998</v>
      </c>
      <c r="H183" s="10">
        <v>4</v>
      </c>
      <c r="I183" s="20">
        <v>100000000000000</v>
      </c>
      <c r="J183" s="10">
        <v>14</v>
      </c>
      <c r="K183" s="10"/>
      <c r="L183" s="10"/>
      <c r="P183" cm="1">
        <f t="array" ref="P183">IF(SUM(N(ISNUMBER(FIND({"a","b","c","d","e","f","g","h","i","j","k","l","m","n","o","p","q","r","s","t","u","v","w","x","y","z"}, B183))))&gt;0, 26, 0)</f>
        <v>26</v>
      </c>
      <c r="Q183" cm="1">
        <f t="array" ref="Q183">IF(SUM(N(ISNUMBER(FIND({"A","B","C","D","E","F","G","H","I","J","K","L","M","N","O","P","Q","R","S","T","U","V","W","X","Y","Z"}, B183))))&gt;0, 26, 0)</f>
        <v>26</v>
      </c>
      <c r="R183" cm="1">
        <f t="array" ref="R183">IF(SUM(N(ISNUMBER(FIND({0,1,2,3,4,5,6,7,8,9}, B183))))&gt;0, 10, 0)</f>
        <v>0</v>
      </c>
      <c r="S183" cm="1">
        <f t="array" ref="S183">IF(LEN(B183)&gt;SUMPRODUCT(LEN(B183)-LEN(SUBSTITUTE(B183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3" s="2" t="s">
        <v>63</v>
      </c>
    </row>
    <row r="184" spans="1:21" ht="15.6">
      <c r="A184" s="3">
        <v>1</v>
      </c>
      <c r="B184" s="7" t="s">
        <v>520</v>
      </c>
      <c r="C184" t="s">
        <v>29</v>
      </c>
      <c r="D184">
        <f t="shared" si="7"/>
        <v>9</v>
      </c>
      <c r="E184">
        <f t="shared" si="8"/>
        <v>58.991299665098765</v>
      </c>
      <c r="F184" s="10">
        <v>2.9477030000000002</v>
      </c>
      <c r="G184" s="10">
        <f t="shared" si="6"/>
        <v>26.529327000000002</v>
      </c>
      <c r="H184" s="10">
        <v>3</v>
      </c>
      <c r="I184" s="20">
        <v>1000000000</v>
      </c>
      <c r="J184" s="10">
        <v>9</v>
      </c>
      <c r="K184" s="10"/>
      <c r="L184" s="10"/>
      <c r="P184" cm="1">
        <f t="array" ref="P184">IF(SUM(N(ISNUMBER(FIND({"a","b","c","d","e","f","g","h","i","j","k","l","m","n","o","p","q","r","s","t","u","v","w","x","y","z"}, B184))))&gt;0, 26, 0)</f>
        <v>26</v>
      </c>
      <c r="Q184" cm="1">
        <f t="array" ref="Q184">IF(SUM(N(ISNUMBER(FIND({"A","B","C","D","E","F","G","H","I","J","K","L","M","N","O","P","Q","R","S","T","U","V","W","X","Y","Z"}, B184))))&gt;0, 26, 0)</f>
        <v>26</v>
      </c>
      <c r="R184" cm="1">
        <f t="array" ref="R184">IF(SUM(N(ISNUMBER(FIND({0,1,2,3,4,5,6,7,8,9}, B184))))&gt;0, 10, 0)</f>
        <v>0</v>
      </c>
      <c r="S184" cm="1">
        <f t="array" ref="S184">IF(LEN(B184)&gt;SUMPRODUCT(LEN(B184)-LEN(SUBSTITUTE(B184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4" s="2" t="s">
        <v>79</v>
      </c>
    </row>
    <row r="185" spans="1:21" ht="15.6">
      <c r="A185" s="3">
        <v>1</v>
      </c>
      <c r="B185" s="7" t="s">
        <v>521</v>
      </c>
      <c r="C185" t="s">
        <v>29</v>
      </c>
      <c r="D185">
        <f t="shared" si="7"/>
        <v>15</v>
      </c>
      <c r="E185">
        <f t="shared" si="8"/>
        <v>98.318832775164609</v>
      </c>
      <c r="F185" s="10">
        <v>3.4565649999999999</v>
      </c>
      <c r="G185" s="10">
        <f t="shared" si="6"/>
        <v>51.848475000000001</v>
      </c>
      <c r="H185" s="10">
        <v>4</v>
      </c>
      <c r="I185" s="20">
        <v>1000000000000000</v>
      </c>
      <c r="J185" s="10">
        <v>15</v>
      </c>
      <c r="K185" s="10"/>
      <c r="L185" s="10"/>
      <c r="P185" cm="1">
        <f t="array" ref="P185">IF(SUM(N(ISNUMBER(FIND({"a","b","c","d","e","f","g","h","i","j","k","l","m","n","o","p","q","r","s","t","u","v","w","x","y","z"}, B185))))&gt;0, 26, 0)</f>
        <v>26</v>
      </c>
      <c r="Q185" cm="1">
        <f t="array" ref="Q185">IF(SUM(N(ISNUMBER(FIND({"A","B","C","D","E","F","G","H","I","J","K","L","M","N","O","P","Q","R","S","T","U","V","W","X","Y","Z"}, B185))))&gt;0, 26, 0)</f>
        <v>26</v>
      </c>
      <c r="R185" cm="1">
        <f t="array" ref="R185">IF(SUM(N(ISNUMBER(FIND({0,1,2,3,4,5,6,7,8,9}, B185))))&gt;0, 10, 0)</f>
        <v>10</v>
      </c>
      <c r="S185" cm="1">
        <f t="array" ref="S185">IF(LEN(B185)&gt;SUMPRODUCT(LEN(B185)-LEN(SUBSTITUTE(B185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5" s="2" t="s">
        <v>95</v>
      </c>
    </row>
    <row r="186" spans="1:21" ht="15.6">
      <c r="A186" s="3">
        <v>1</v>
      </c>
      <c r="B186" s="7" t="s">
        <v>522</v>
      </c>
      <c r="C186" t="s">
        <v>29</v>
      </c>
      <c r="D186">
        <f t="shared" si="7"/>
        <v>12</v>
      </c>
      <c r="E186">
        <f t="shared" si="8"/>
        <v>78.655066220131687</v>
      </c>
      <c r="F186" s="10">
        <v>3.5849630000000001</v>
      </c>
      <c r="G186" s="10">
        <f t="shared" si="6"/>
        <v>43.019556000000001</v>
      </c>
      <c r="H186" s="10">
        <v>4</v>
      </c>
      <c r="I186" s="20">
        <v>1000000000000</v>
      </c>
      <c r="J186" s="10">
        <v>12</v>
      </c>
      <c r="K186" s="10"/>
      <c r="L186" s="10"/>
      <c r="P186" cm="1">
        <f t="array" ref="P186">IF(SUM(N(ISNUMBER(FIND({"a","b","c","d","e","f","g","h","i","j","k","l","m","n","o","p","q","r","s","t","u","v","w","x","y","z"}, B186))))&gt;0, 26, 0)</f>
        <v>26</v>
      </c>
      <c r="Q186" cm="1">
        <f t="array" ref="Q186">IF(SUM(N(ISNUMBER(FIND({"A","B","C","D","E","F","G","H","I","J","K","L","M","N","O","P","Q","R","S","T","U","V","W","X","Y","Z"}, B186))))&gt;0, 26, 0)</f>
        <v>26</v>
      </c>
      <c r="R186" cm="1">
        <f t="array" ref="R186">IF(SUM(N(ISNUMBER(FIND({0,1,2,3,4,5,6,7,8,9}, B186))))&gt;0, 10, 0)</f>
        <v>10</v>
      </c>
      <c r="S186" cm="1">
        <f t="array" ref="S186">IF(LEN(B186)&gt;SUMPRODUCT(LEN(B186)-LEN(SUBSTITUTE(B186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6" s="2" t="s">
        <v>111</v>
      </c>
    </row>
    <row r="187" spans="1:21" ht="15.6">
      <c r="A187" s="3">
        <v>1</v>
      </c>
      <c r="B187" s="7" t="s">
        <v>523</v>
      </c>
      <c r="C187" t="s">
        <v>29</v>
      </c>
      <c r="D187">
        <f t="shared" si="7"/>
        <v>10</v>
      </c>
      <c r="E187">
        <f t="shared" si="8"/>
        <v>65.545888516776401</v>
      </c>
      <c r="F187" s="10">
        <v>3.121928</v>
      </c>
      <c r="G187" s="10">
        <f t="shared" si="6"/>
        <v>31.219280000000001</v>
      </c>
      <c r="H187" s="10">
        <v>3</v>
      </c>
      <c r="I187" s="20">
        <v>10000000000</v>
      </c>
      <c r="J187" s="10">
        <v>10</v>
      </c>
      <c r="K187" s="10"/>
      <c r="L187" s="10"/>
      <c r="P187" cm="1">
        <f t="array" ref="P187">IF(SUM(N(ISNUMBER(FIND({"a","b","c","d","e","f","g","h","i","j","k","l","m","n","o","p","q","r","s","t","u","v","w","x","y","z"}, B187))))&gt;0, 26, 0)</f>
        <v>26</v>
      </c>
      <c r="Q187" cm="1">
        <f t="array" ref="Q187">IF(SUM(N(ISNUMBER(FIND({"A","B","C","D","E","F","G","H","I","J","K","L","M","N","O","P","Q","R","S","T","U","V","W","X","Y","Z"}, B187))))&gt;0, 26, 0)</f>
        <v>0</v>
      </c>
      <c r="R187" cm="1">
        <f t="array" ref="R187">IF(SUM(N(ISNUMBER(FIND({0,1,2,3,4,5,6,7,8,9}, B187))))&gt;0, 10, 0)</f>
        <v>0</v>
      </c>
      <c r="S187" cm="1">
        <f t="array" ref="S187">IF(LEN(B187)&gt;SUMPRODUCT(LEN(B187)-LEN(SUBSTITUTE(B187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7" s="2" t="s">
        <v>128</v>
      </c>
    </row>
    <row r="188" spans="1:21" ht="15.6">
      <c r="A188" s="3">
        <v>1</v>
      </c>
      <c r="B188" s="7" t="s">
        <v>524</v>
      </c>
      <c r="C188" t="s">
        <v>29</v>
      </c>
      <c r="D188">
        <f t="shared" si="7"/>
        <v>8</v>
      </c>
      <c r="E188">
        <f t="shared" si="8"/>
        <v>52.436710813421122</v>
      </c>
      <c r="F188" s="10">
        <v>2.75</v>
      </c>
      <c r="G188" s="10">
        <f t="shared" si="6"/>
        <v>22</v>
      </c>
      <c r="H188" s="10">
        <v>2</v>
      </c>
      <c r="I188" s="20">
        <v>100000000</v>
      </c>
      <c r="J188" s="10">
        <v>8</v>
      </c>
      <c r="K188" s="10"/>
      <c r="L188" s="10"/>
      <c r="P188" cm="1">
        <f t="array" ref="P188">IF(SUM(N(ISNUMBER(FIND({"a","b","c","d","e","f","g","h","i","j","k","l","m","n","o","p","q","r","s","t","u","v","w","x","y","z"}, B188))))&gt;0, 26, 0)</f>
        <v>26</v>
      </c>
      <c r="Q188" cm="1">
        <f t="array" ref="Q188">IF(SUM(N(ISNUMBER(FIND({"A","B","C","D","E","F","G","H","I","J","K","L","M","N","O","P","Q","R","S","T","U","V","W","X","Y","Z"}, B188))))&gt;0, 26, 0)</f>
        <v>0</v>
      </c>
      <c r="R188" cm="1">
        <f t="array" ref="R188">IF(SUM(N(ISNUMBER(FIND({0,1,2,3,4,5,6,7,8,9}, B188))))&gt;0, 10, 0)</f>
        <v>0</v>
      </c>
      <c r="S188" cm="1">
        <f t="array" ref="S188">IF(LEN(B188)&gt;SUMPRODUCT(LEN(B188)-LEN(SUBSTITUTE(B188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8" s="2" t="s">
        <v>144</v>
      </c>
    </row>
    <row r="189" spans="1:21" ht="15.6">
      <c r="A189" s="3">
        <v>1</v>
      </c>
      <c r="B189" s="7" t="s">
        <v>525</v>
      </c>
      <c r="C189" t="s">
        <v>29</v>
      </c>
      <c r="D189">
        <f t="shared" si="7"/>
        <v>14</v>
      </c>
      <c r="E189">
        <f t="shared" si="8"/>
        <v>91.764243923486958</v>
      </c>
      <c r="F189" s="10">
        <v>3.3248630000000001</v>
      </c>
      <c r="G189" s="10">
        <f t="shared" si="6"/>
        <v>46.548082000000001</v>
      </c>
      <c r="H189" s="10">
        <v>4</v>
      </c>
      <c r="I189" s="20">
        <v>100000000000000</v>
      </c>
      <c r="J189" s="10">
        <v>14</v>
      </c>
      <c r="K189" s="10"/>
      <c r="L189" s="10"/>
      <c r="P189" cm="1">
        <f t="array" ref="P189">IF(SUM(N(ISNUMBER(FIND({"a","b","c","d","e","f","g","h","i","j","k","l","m","n","o","p","q","r","s","t","u","v","w","x","y","z"}, B189))))&gt;0, 26, 0)</f>
        <v>26</v>
      </c>
      <c r="Q189" cm="1">
        <f t="array" ref="Q189">IF(SUM(N(ISNUMBER(FIND({"A","B","C","D","E","F","G","H","I","J","K","L","M","N","O","P","Q","R","S","T","U","V","W","X","Y","Z"}, B189))))&gt;0, 26, 0)</f>
        <v>26</v>
      </c>
      <c r="R189" cm="1">
        <f t="array" ref="R189">IF(SUM(N(ISNUMBER(FIND({0,1,2,3,4,5,6,7,8,9}, B189))))&gt;0, 10, 0)</f>
        <v>10</v>
      </c>
      <c r="S189" cm="1">
        <f t="array" ref="S189">IF(LEN(B189)&gt;SUMPRODUCT(LEN(B189)-LEN(SUBSTITUTE(B189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89" s="2" t="s">
        <v>160</v>
      </c>
    </row>
    <row r="190" spans="1:21" ht="15.6">
      <c r="A190" s="3">
        <v>1</v>
      </c>
      <c r="B190" s="7" t="s">
        <v>526</v>
      </c>
      <c r="C190" t="s">
        <v>29</v>
      </c>
      <c r="D190">
        <f t="shared" si="7"/>
        <v>10</v>
      </c>
      <c r="E190">
        <f t="shared" si="8"/>
        <v>65.545888516776401</v>
      </c>
      <c r="F190" s="10">
        <v>3.121928</v>
      </c>
      <c r="G190" s="10">
        <f t="shared" si="6"/>
        <v>31.219280000000001</v>
      </c>
      <c r="H190" s="10">
        <v>3</v>
      </c>
      <c r="I190" s="20">
        <v>10000000000</v>
      </c>
      <c r="J190" s="10">
        <v>10</v>
      </c>
      <c r="K190" s="10"/>
      <c r="L190" s="10"/>
      <c r="P190" cm="1">
        <f t="array" ref="P190">IF(SUM(N(ISNUMBER(FIND({"a","b","c","d","e","f","g","h","i","j","k","l","m","n","o","p","q","r","s","t","u","v","w","x","y","z"}, B190))))&gt;0, 26, 0)</f>
        <v>26</v>
      </c>
      <c r="Q190" cm="1">
        <f t="array" ref="Q190">IF(SUM(N(ISNUMBER(FIND({"A","B","C","D","E","F","G","H","I","J","K","L","M","N","O","P","Q","R","S","T","U","V","W","X","Y","Z"}, B190))))&gt;0, 26, 0)</f>
        <v>26</v>
      </c>
      <c r="R190" cm="1">
        <f t="array" ref="R190">IF(SUM(N(ISNUMBER(FIND({0,1,2,3,4,5,6,7,8,9}, B190))))&gt;0, 10, 0)</f>
        <v>0</v>
      </c>
      <c r="S190" cm="1">
        <f t="array" ref="S190">IF(LEN(B190)&gt;SUMPRODUCT(LEN(B190)-LEN(SUBSTITUTE(B190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0" s="2" t="s">
        <v>176</v>
      </c>
    </row>
    <row r="191" spans="1:21" ht="15.6">
      <c r="A191" s="3">
        <v>1</v>
      </c>
      <c r="B191" s="8" t="s">
        <v>527</v>
      </c>
      <c r="C191" t="s">
        <v>29</v>
      </c>
      <c r="D191">
        <f t="shared" si="7"/>
        <v>13</v>
      </c>
      <c r="E191">
        <f t="shared" si="8"/>
        <v>85.209655071809323</v>
      </c>
      <c r="F191" s="10">
        <v>3.392747</v>
      </c>
      <c r="G191" s="10">
        <f t="shared" si="6"/>
        <v>44.105710999999999</v>
      </c>
      <c r="H191" s="10">
        <v>4</v>
      </c>
      <c r="I191" s="20">
        <v>10000000000000</v>
      </c>
      <c r="J191" s="10">
        <v>13</v>
      </c>
      <c r="K191" s="10"/>
      <c r="L191" s="10"/>
      <c r="P191" cm="1">
        <f t="array" ref="P191">IF(SUM(N(ISNUMBER(FIND({"a","b","c","d","e","f","g","h","i","j","k","l","m","n","o","p","q","r","s","t","u","v","w","x","y","z"}, B191))))&gt;0, 26, 0)</f>
        <v>26</v>
      </c>
      <c r="Q191" cm="1">
        <f t="array" ref="Q191">IF(SUM(N(ISNUMBER(FIND({"A","B","C","D","E","F","G","H","I","J","K","L","M","N","O","P","Q","R","S","T","U","V","W","X","Y","Z"}, B191))))&gt;0, 26, 0)</f>
        <v>0</v>
      </c>
      <c r="R191" cm="1">
        <f t="array" ref="R191">IF(SUM(N(ISNUMBER(FIND({0,1,2,3,4,5,6,7,8,9}, B191))))&gt;0, 10, 0)</f>
        <v>10</v>
      </c>
      <c r="S191" cm="1">
        <f t="array" ref="S191">IF(LEN(B191)&gt;SUMPRODUCT(LEN(B191)-LEN(SUBSTITUTE(B191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1" s="8" t="s">
        <v>193</v>
      </c>
    </row>
    <row r="192" spans="1:21" ht="15.6">
      <c r="A192" s="3">
        <v>1</v>
      </c>
      <c r="B192" s="7" t="s">
        <v>528</v>
      </c>
      <c r="C192" t="s">
        <v>29</v>
      </c>
      <c r="D192">
        <f t="shared" si="7"/>
        <v>13</v>
      </c>
      <c r="E192">
        <f t="shared" si="8"/>
        <v>85.209655071809323</v>
      </c>
      <c r="F192" s="10">
        <v>3.392747</v>
      </c>
      <c r="G192" s="10">
        <f t="shared" si="6"/>
        <v>44.105710999999999</v>
      </c>
      <c r="H192" s="10">
        <v>4</v>
      </c>
      <c r="I192" s="20">
        <v>10000000000000</v>
      </c>
      <c r="J192" s="10">
        <v>13</v>
      </c>
      <c r="K192" s="10"/>
      <c r="L192" s="10"/>
      <c r="P192" cm="1">
        <f t="array" ref="P192">IF(SUM(N(ISNUMBER(FIND({"a","b","c","d","e","f","g","h","i","j","k","l","m","n","o","p","q","r","s","t","u","v","w","x","y","z"}, B192))))&gt;0, 26, 0)</f>
        <v>26</v>
      </c>
      <c r="Q192" cm="1">
        <f t="array" ref="Q192">IF(SUM(N(ISNUMBER(FIND({"A","B","C","D","E","F","G","H","I","J","K","L","M","N","O","P","Q","R","S","T","U","V","W","X","Y","Z"}, B192))))&gt;0, 26, 0)</f>
        <v>26</v>
      </c>
      <c r="R192" cm="1">
        <f t="array" ref="R192">IF(SUM(N(ISNUMBER(FIND({0,1,2,3,4,5,6,7,8,9}, B192))))&gt;0, 10, 0)</f>
        <v>0</v>
      </c>
      <c r="S192" cm="1">
        <f t="array" ref="S192">IF(LEN(B192)&gt;SUMPRODUCT(LEN(B192)-LEN(SUBSTITUTE(B192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2" s="2" t="s">
        <v>209</v>
      </c>
    </row>
    <row r="193" spans="1:21" ht="15.6">
      <c r="A193" s="3">
        <v>1</v>
      </c>
      <c r="B193" s="7" t="s">
        <v>529</v>
      </c>
      <c r="C193" t="s">
        <v>29</v>
      </c>
      <c r="D193">
        <f t="shared" si="7"/>
        <v>7</v>
      </c>
      <c r="E193">
        <f t="shared" si="8"/>
        <v>45.882121961743479</v>
      </c>
      <c r="F193" s="10">
        <v>2.8073549999999998</v>
      </c>
      <c r="G193" s="10">
        <f t="shared" si="6"/>
        <v>19.651484999999997</v>
      </c>
      <c r="H193" s="10">
        <v>2</v>
      </c>
      <c r="I193" s="10">
        <v>10000001</v>
      </c>
      <c r="J193" s="10">
        <v>7</v>
      </c>
      <c r="K193" s="10"/>
      <c r="L193" s="10"/>
      <c r="P193" cm="1">
        <f t="array" ref="P193">IF(SUM(N(ISNUMBER(FIND({"a","b","c","d","e","f","g","h","i","j","k","l","m","n","o","p","q","r","s","t","u","v","w","x","y","z"}, B193))))&gt;0, 26, 0)</f>
        <v>26</v>
      </c>
      <c r="Q193" cm="1">
        <f t="array" ref="Q193">IF(SUM(N(ISNUMBER(FIND({"A","B","C","D","E","F","G","H","I","J","K","L","M","N","O","P","Q","R","S","T","U","V","W","X","Y","Z"}, B193))))&gt;0, 26, 0)</f>
        <v>26</v>
      </c>
      <c r="R193" cm="1">
        <f t="array" ref="R193">IF(SUM(N(ISNUMBER(FIND({0,1,2,3,4,5,6,7,8,9}, B193))))&gt;0, 10, 0)</f>
        <v>0</v>
      </c>
      <c r="S193" cm="1">
        <f t="array" ref="S193">IF(LEN(B193)&gt;SUMPRODUCT(LEN(B193)-LEN(SUBSTITUTE(B193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3" s="2" t="s">
        <v>225</v>
      </c>
    </row>
    <row r="194" spans="1:21" ht="15.6">
      <c r="A194" s="3">
        <v>1</v>
      </c>
      <c r="B194" s="7" t="s">
        <v>530</v>
      </c>
      <c r="C194" t="s">
        <v>29</v>
      </c>
      <c r="D194">
        <f t="shared" si="7"/>
        <v>10</v>
      </c>
      <c r="E194">
        <f t="shared" si="8"/>
        <v>65.545888516776401</v>
      </c>
      <c r="F194" s="10">
        <v>3.3219280000000002</v>
      </c>
      <c r="G194" s="10">
        <f t="shared" ref="G194:G257" si="9">F194 * D194</f>
        <v>33.219280000000005</v>
      </c>
      <c r="H194" s="10">
        <v>3</v>
      </c>
      <c r="I194" s="20">
        <v>10000000000</v>
      </c>
      <c r="J194" s="10">
        <v>10</v>
      </c>
      <c r="K194" s="10"/>
      <c r="L194" s="10"/>
      <c r="P194" cm="1">
        <f t="array" ref="P194">IF(SUM(N(ISNUMBER(FIND({"a","b","c","d","e","f","g","h","i","j","k","l","m","n","o","p","q","r","s","t","u","v","w","x","y","z"}, B194))))&gt;0, 26, 0)</f>
        <v>26</v>
      </c>
      <c r="Q194" cm="1">
        <f t="array" ref="Q194">IF(SUM(N(ISNUMBER(FIND({"A","B","C","D","E","F","G","H","I","J","K","L","M","N","O","P","Q","R","S","T","U","V","W","X","Y","Z"}, B194))))&gt;0, 26, 0)</f>
        <v>0</v>
      </c>
      <c r="R194" cm="1">
        <f t="array" ref="R194">IF(SUM(N(ISNUMBER(FIND({0,1,2,3,4,5,6,7,8,9}, B194))))&gt;0, 10, 0)</f>
        <v>10</v>
      </c>
      <c r="S194" cm="1">
        <f t="array" ref="S194">IF(LEN(B194)&gt;SUMPRODUCT(LEN(B194)-LEN(SUBSTITUTE(B194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4" s="2" t="s">
        <v>241</v>
      </c>
    </row>
    <row r="195" spans="1:21" ht="15.6">
      <c r="A195" s="3">
        <v>1</v>
      </c>
      <c r="B195" s="7" t="s">
        <v>531</v>
      </c>
      <c r="C195" t="s">
        <v>29</v>
      </c>
      <c r="D195">
        <f t="shared" ref="D195:D258" si="10">LEN(B195)</f>
        <v>12</v>
      </c>
      <c r="E195">
        <f t="shared" ref="E195:E258" si="11">IMLOG2(94) * D195</f>
        <v>78.655066220131687</v>
      </c>
      <c r="F195" s="10">
        <v>3.4182959999999998</v>
      </c>
      <c r="G195" s="10">
        <f t="shared" si="9"/>
        <v>41.019551999999997</v>
      </c>
      <c r="H195" s="10">
        <v>4</v>
      </c>
      <c r="I195" s="20">
        <v>1000000000000</v>
      </c>
      <c r="J195" s="10">
        <v>12</v>
      </c>
      <c r="K195" s="10"/>
      <c r="L195" s="10"/>
      <c r="P195" cm="1">
        <f t="array" ref="P195">IF(SUM(N(ISNUMBER(FIND({"a","b","c","d","e","f","g","h","i","j","k","l","m","n","o","p","q","r","s","t","u","v","w","x","y","z"}, B195))))&gt;0, 26, 0)</f>
        <v>26</v>
      </c>
      <c r="Q195" cm="1">
        <f t="array" ref="Q195">IF(SUM(N(ISNUMBER(FIND({"A","B","C","D","E","F","G","H","I","J","K","L","M","N","O","P","Q","R","S","T","U","V","W","X","Y","Z"}, B195))))&gt;0, 26, 0)</f>
        <v>26</v>
      </c>
      <c r="R195" cm="1">
        <f t="array" ref="R195">IF(SUM(N(ISNUMBER(FIND({0,1,2,3,4,5,6,7,8,9}, B195))))&gt;0, 10, 0)</f>
        <v>10</v>
      </c>
      <c r="S195" cm="1">
        <f t="array" ref="S195">IF(LEN(B195)&gt;SUMPRODUCT(LEN(B195)-LEN(SUBSTITUTE(B195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5" s="2" t="s">
        <v>257</v>
      </c>
    </row>
    <row r="196" spans="1:21" ht="15.6">
      <c r="A196" s="3">
        <v>1</v>
      </c>
      <c r="B196" s="7" t="s">
        <v>532</v>
      </c>
      <c r="C196" t="s">
        <v>29</v>
      </c>
      <c r="D196">
        <f t="shared" si="10"/>
        <v>12</v>
      </c>
      <c r="E196">
        <f t="shared" si="11"/>
        <v>78.655066220131687</v>
      </c>
      <c r="F196" s="10">
        <v>3.4182959999999998</v>
      </c>
      <c r="G196" s="10">
        <f t="shared" si="9"/>
        <v>41.019551999999997</v>
      </c>
      <c r="H196" s="10">
        <v>4</v>
      </c>
      <c r="I196" s="20">
        <v>1000000000000</v>
      </c>
      <c r="J196" s="10">
        <v>12</v>
      </c>
      <c r="K196" s="10"/>
      <c r="L196" s="10"/>
      <c r="P196" cm="1">
        <f t="array" ref="P196">IF(SUM(N(ISNUMBER(FIND({"a","b","c","d","e","f","g","h","i","j","k","l","m","n","o","p","q","r","s","t","u","v","w","x","y","z"}, B196))))&gt;0, 26, 0)</f>
        <v>26</v>
      </c>
      <c r="Q196" cm="1">
        <f t="array" ref="Q196">IF(SUM(N(ISNUMBER(FIND({"A","B","C","D","E","F","G","H","I","J","K","L","M","N","O","P","Q","R","S","T","U","V","W","X","Y","Z"}, B196))))&gt;0, 26, 0)</f>
        <v>0</v>
      </c>
      <c r="R196" cm="1">
        <f t="array" ref="R196">IF(SUM(N(ISNUMBER(FIND({0,1,2,3,4,5,6,7,8,9}, B196))))&gt;0, 10, 0)</f>
        <v>0</v>
      </c>
      <c r="S196" cm="1">
        <f t="array" ref="S196">IF(LEN(B196)&gt;SUMPRODUCT(LEN(B196)-LEN(SUBSTITUTE(B196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6" s="2" t="s">
        <v>273</v>
      </c>
    </row>
    <row r="197" spans="1:21" ht="15.6">
      <c r="A197" s="3">
        <v>1</v>
      </c>
      <c r="B197" s="7" t="s">
        <v>533</v>
      </c>
      <c r="C197" t="s">
        <v>29</v>
      </c>
      <c r="D197">
        <f t="shared" si="10"/>
        <v>9</v>
      </c>
      <c r="E197">
        <f t="shared" si="11"/>
        <v>58.991299665098765</v>
      </c>
      <c r="F197" s="10">
        <v>2.9477030000000002</v>
      </c>
      <c r="G197" s="10">
        <f t="shared" si="9"/>
        <v>26.529327000000002</v>
      </c>
      <c r="H197" s="10">
        <v>3</v>
      </c>
      <c r="I197" s="20">
        <v>1000000000</v>
      </c>
      <c r="J197" s="10">
        <v>9</v>
      </c>
      <c r="K197" s="10"/>
      <c r="L197" s="10"/>
      <c r="P197" cm="1">
        <f t="array" ref="P197">IF(SUM(N(ISNUMBER(FIND({"a","b","c","d","e","f","g","h","i","j","k","l","m","n","o","p","q","r","s","t","u","v","w","x","y","z"}, B197))))&gt;0, 26, 0)</f>
        <v>26</v>
      </c>
      <c r="Q197" cm="1">
        <f t="array" ref="Q197">IF(SUM(N(ISNUMBER(FIND({"A","B","C","D","E","F","G","H","I","J","K","L","M","N","O","P","Q","R","S","T","U","V","W","X","Y","Z"}, B197))))&gt;0, 26, 0)</f>
        <v>26</v>
      </c>
      <c r="R197" cm="1">
        <f t="array" ref="R197">IF(SUM(N(ISNUMBER(FIND({0,1,2,3,4,5,6,7,8,9}, B197))))&gt;0, 10, 0)</f>
        <v>0</v>
      </c>
      <c r="S197" cm="1">
        <f t="array" ref="S197">IF(LEN(B197)&gt;SUMPRODUCT(LEN(B197)-LEN(SUBSTITUTE(B197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7" s="2" t="s">
        <v>289</v>
      </c>
    </row>
    <row r="198" spans="1:21" ht="15.6">
      <c r="A198" s="3">
        <v>1</v>
      </c>
      <c r="B198" s="7" t="s">
        <v>534</v>
      </c>
      <c r="C198" t="s">
        <v>29</v>
      </c>
      <c r="D198">
        <f t="shared" si="10"/>
        <v>10</v>
      </c>
      <c r="E198">
        <f t="shared" si="11"/>
        <v>65.545888516776401</v>
      </c>
      <c r="F198" s="10">
        <v>2.9219279999999999</v>
      </c>
      <c r="G198" s="10">
        <f t="shared" si="9"/>
        <v>29.219279999999998</v>
      </c>
      <c r="H198" s="10">
        <v>3</v>
      </c>
      <c r="I198" s="20">
        <v>10000000000</v>
      </c>
      <c r="J198" s="10">
        <v>10</v>
      </c>
      <c r="K198" s="10"/>
      <c r="L198" s="10"/>
      <c r="P198" cm="1">
        <f t="array" ref="P198">IF(SUM(N(ISNUMBER(FIND({"a","b","c","d","e","f","g","h","i","j","k","l","m","n","o","p","q","r","s","t","u","v","w","x","y","z"}, B198))))&gt;0, 26, 0)</f>
        <v>26</v>
      </c>
      <c r="Q198" cm="1">
        <f t="array" ref="Q198">IF(SUM(N(ISNUMBER(FIND({"A","B","C","D","E","F","G","H","I","J","K","L","M","N","O","P","Q","R","S","T","U","V","W","X","Y","Z"}, B198))))&gt;0, 26, 0)</f>
        <v>0</v>
      </c>
      <c r="R198" cm="1">
        <f t="array" ref="R198">IF(SUM(N(ISNUMBER(FIND({0,1,2,3,4,5,6,7,8,9}, B198))))&gt;0, 10, 0)</f>
        <v>10</v>
      </c>
      <c r="S198" cm="1">
        <f t="array" ref="S198">IF(LEN(B198)&gt;SUMPRODUCT(LEN(B198)-LEN(SUBSTITUTE(B198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8" s="2" t="s">
        <v>306</v>
      </c>
    </row>
    <row r="199" spans="1:21" ht="15.6">
      <c r="A199" s="3">
        <v>1</v>
      </c>
      <c r="B199" s="7" t="s">
        <v>535</v>
      </c>
      <c r="C199" t="s">
        <v>29</v>
      </c>
      <c r="D199">
        <f t="shared" si="10"/>
        <v>12</v>
      </c>
      <c r="E199">
        <f t="shared" si="11"/>
        <v>78.655066220131687</v>
      </c>
      <c r="F199" s="10">
        <v>3.2516289999999999</v>
      </c>
      <c r="G199" s="10">
        <f t="shared" si="9"/>
        <v>39.019548</v>
      </c>
      <c r="H199" s="10">
        <v>4</v>
      </c>
      <c r="I199" s="20">
        <v>1000000000000</v>
      </c>
      <c r="J199" s="10">
        <v>12</v>
      </c>
      <c r="K199" s="10"/>
      <c r="L199" s="10"/>
      <c r="P199" cm="1">
        <f t="array" ref="P199">IF(SUM(N(ISNUMBER(FIND({"a","b","c","d","e","f","g","h","i","j","k","l","m","n","o","p","q","r","s","t","u","v","w","x","y","z"}, B199))))&gt;0, 26, 0)</f>
        <v>26</v>
      </c>
      <c r="Q199" cm="1">
        <f t="array" ref="Q199">IF(SUM(N(ISNUMBER(FIND({"A","B","C","D","E","F","G","H","I","J","K","L","M","N","O","P","Q","R","S","T","U","V","W","X","Y","Z"}, B199))))&gt;0, 26, 0)</f>
        <v>26</v>
      </c>
      <c r="R199" cm="1">
        <f t="array" ref="R199">IF(SUM(N(ISNUMBER(FIND({0,1,2,3,4,5,6,7,8,9}, B199))))&gt;0, 10, 0)</f>
        <v>0</v>
      </c>
      <c r="S199" cm="1">
        <f t="array" ref="S199">IF(LEN(B199)&gt;SUMPRODUCT(LEN(B199)-LEN(SUBSTITUTE(B199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199" s="2" t="s">
        <v>322</v>
      </c>
    </row>
    <row r="200" spans="1:21" ht="15.6">
      <c r="A200" s="3">
        <v>1</v>
      </c>
      <c r="B200" s="7" t="s">
        <v>536</v>
      </c>
      <c r="C200" t="s">
        <v>29</v>
      </c>
      <c r="D200">
        <f t="shared" si="10"/>
        <v>8</v>
      </c>
      <c r="E200">
        <f t="shared" si="11"/>
        <v>52.436710813421122</v>
      </c>
      <c r="F200" s="10">
        <v>3</v>
      </c>
      <c r="G200" s="10">
        <f t="shared" si="9"/>
        <v>24</v>
      </c>
      <c r="H200" s="10">
        <v>2</v>
      </c>
      <c r="I200" s="20">
        <v>100000000</v>
      </c>
      <c r="J200" s="10">
        <v>8</v>
      </c>
      <c r="K200" s="10"/>
      <c r="L200" s="10"/>
      <c r="P200" cm="1">
        <f t="array" ref="P200">IF(SUM(N(ISNUMBER(FIND({"a","b","c","d","e","f","g","h","i","j","k","l","m","n","o","p","q","r","s","t","u","v","w","x","y","z"}, B200))))&gt;0, 26, 0)</f>
        <v>26</v>
      </c>
      <c r="Q200" cm="1">
        <f t="array" ref="Q200">IF(SUM(N(ISNUMBER(FIND({"A","B","C","D","E","F","G","H","I","J","K","L","M","N","O","P","Q","R","S","T","U","V","W","X","Y","Z"}, B200))))&gt;0, 26, 0)</f>
        <v>26</v>
      </c>
      <c r="R200" cm="1">
        <f t="array" ref="R200">IF(SUM(N(ISNUMBER(FIND({0,1,2,3,4,5,6,7,8,9}, B200))))&gt;0, 10, 0)</f>
        <v>0</v>
      </c>
      <c r="S200" cm="1">
        <f t="array" ref="S200">IF(LEN(B200)&gt;SUMPRODUCT(LEN(B200)-LEN(SUBSTITUTE(B200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0" s="2" t="s">
        <v>337</v>
      </c>
    </row>
    <row r="201" spans="1:21" ht="15.6">
      <c r="A201" s="3">
        <v>1</v>
      </c>
      <c r="B201" s="7" t="s">
        <v>537</v>
      </c>
      <c r="C201" t="s">
        <v>29</v>
      </c>
      <c r="D201">
        <f t="shared" si="10"/>
        <v>13</v>
      </c>
      <c r="E201">
        <f t="shared" si="11"/>
        <v>85.209655071809323</v>
      </c>
      <c r="F201" s="10">
        <v>3.392747</v>
      </c>
      <c r="G201" s="10">
        <f t="shared" si="9"/>
        <v>44.105710999999999</v>
      </c>
      <c r="H201" s="10">
        <v>4</v>
      </c>
      <c r="I201" s="20">
        <v>10000000000000</v>
      </c>
      <c r="J201" s="10">
        <v>13</v>
      </c>
      <c r="K201" s="10"/>
      <c r="L201" s="10"/>
      <c r="P201" cm="1">
        <f t="array" ref="P201">IF(SUM(N(ISNUMBER(FIND({"a","b","c","d","e","f","g","h","i","j","k","l","m","n","o","p","q","r","s","t","u","v","w","x","y","z"}, B201))))&gt;0, 26, 0)</f>
        <v>26</v>
      </c>
      <c r="Q201" cm="1">
        <f t="array" ref="Q201">IF(SUM(N(ISNUMBER(FIND({"A","B","C","D","E","F","G","H","I","J","K","L","M","N","O","P","Q","R","S","T","U","V","W","X","Y","Z"}, B201))))&gt;0, 26, 0)</f>
        <v>26</v>
      </c>
      <c r="R201" cm="1">
        <f t="array" ref="R201">IF(SUM(N(ISNUMBER(FIND({0,1,2,3,4,5,6,7,8,9}, B201))))&gt;0, 10, 0)</f>
        <v>0</v>
      </c>
      <c r="S201" cm="1">
        <f t="array" ref="S201">IF(LEN(B201)&gt;SUMPRODUCT(LEN(B201)-LEN(SUBSTITUTE(B201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1" s="2" t="s">
        <v>353</v>
      </c>
    </row>
    <row r="202" spans="1:21" ht="15.6">
      <c r="A202" s="3">
        <v>1</v>
      </c>
      <c r="B202" s="7" t="s">
        <v>538</v>
      </c>
      <c r="C202" t="s">
        <v>29</v>
      </c>
      <c r="D202">
        <f t="shared" si="10"/>
        <v>10</v>
      </c>
      <c r="E202">
        <f t="shared" si="11"/>
        <v>65.545888516776401</v>
      </c>
      <c r="F202" s="10">
        <v>3.121928</v>
      </c>
      <c r="G202" s="10">
        <f t="shared" si="9"/>
        <v>31.219280000000001</v>
      </c>
      <c r="H202" s="10">
        <v>3</v>
      </c>
      <c r="I202" s="20">
        <v>10000000000</v>
      </c>
      <c r="J202" s="10">
        <v>10</v>
      </c>
      <c r="K202" s="10"/>
      <c r="L202" s="10"/>
      <c r="P202" cm="1">
        <f t="array" ref="P202">IF(SUM(N(ISNUMBER(FIND({"a","b","c","d","e","f","g","h","i","j","k","l","m","n","o","p","q","r","s","t","u","v","w","x","y","z"}, B202))))&gt;0, 26, 0)</f>
        <v>26</v>
      </c>
      <c r="Q202" cm="1">
        <f t="array" ref="Q202">IF(SUM(N(ISNUMBER(FIND({"A","B","C","D","E","F","G","H","I","J","K","L","M","N","O","P","Q","R","S","T","U","V","W","X","Y","Z"}, B202))))&gt;0, 26, 0)</f>
        <v>26</v>
      </c>
      <c r="R202" cm="1">
        <f t="array" ref="R202">IF(SUM(N(ISNUMBER(FIND({0,1,2,3,4,5,6,7,8,9}, B202))))&gt;0, 10, 0)</f>
        <v>0</v>
      </c>
      <c r="S202" cm="1">
        <f t="array" ref="S202">IF(LEN(B202)&gt;SUMPRODUCT(LEN(B202)-LEN(SUBSTITUTE(B202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2" s="2" t="s">
        <v>47</v>
      </c>
    </row>
    <row r="203" spans="1:21" ht="15.6">
      <c r="A203" s="3">
        <v>1</v>
      </c>
      <c r="B203" s="7" t="s">
        <v>539</v>
      </c>
      <c r="C203" t="s">
        <v>29</v>
      </c>
      <c r="D203">
        <f t="shared" si="10"/>
        <v>13</v>
      </c>
      <c r="E203">
        <f t="shared" si="11"/>
        <v>85.209655071809323</v>
      </c>
      <c r="F203" s="10">
        <v>3.5465939999999998</v>
      </c>
      <c r="G203" s="10">
        <f t="shared" si="9"/>
        <v>46.105722</v>
      </c>
      <c r="H203" s="10">
        <v>4</v>
      </c>
      <c r="I203" s="20">
        <v>10000000000000</v>
      </c>
      <c r="J203" s="10">
        <v>13</v>
      </c>
      <c r="K203" s="10"/>
      <c r="L203" s="10"/>
      <c r="P203" cm="1">
        <f t="array" ref="P203">IF(SUM(N(ISNUMBER(FIND({"a","b","c","d","e","f","g","h","i","j","k","l","m","n","o","p","q","r","s","t","u","v","w","x","y","z"}, B203))))&gt;0, 26, 0)</f>
        <v>26</v>
      </c>
      <c r="Q203" cm="1">
        <f t="array" ref="Q203">IF(SUM(N(ISNUMBER(FIND({"A","B","C","D","E","F","G","H","I","J","K","L","M","N","O","P","Q","R","S","T","U","V","W","X","Y","Z"}, B203))))&gt;0, 26, 0)</f>
        <v>26</v>
      </c>
      <c r="R203" cm="1">
        <f t="array" ref="R203">IF(SUM(N(ISNUMBER(FIND({0,1,2,3,4,5,6,7,8,9}, B203))))&gt;0, 10, 0)</f>
        <v>0</v>
      </c>
      <c r="S203" cm="1">
        <f t="array" ref="S203">IF(LEN(B203)&gt;SUMPRODUCT(LEN(B203)-LEN(SUBSTITUTE(B203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3" s="2" t="s">
        <v>64</v>
      </c>
    </row>
    <row r="204" spans="1:21" ht="15.6">
      <c r="A204" s="3">
        <v>1</v>
      </c>
      <c r="B204" s="7" t="s">
        <v>540</v>
      </c>
      <c r="C204" t="s">
        <v>29</v>
      </c>
      <c r="D204">
        <f t="shared" si="10"/>
        <v>14</v>
      </c>
      <c r="E204">
        <f t="shared" si="11"/>
        <v>91.764243923486958</v>
      </c>
      <c r="F204" s="10">
        <v>3.5216409999999998</v>
      </c>
      <c r="G204" s="10">
        <f t="shared" si="9"/>
        <v>49.302973999999999</v>
      </c>
      <c r="H204" s="10">
        <v>4</v>
      </c>
      <c r="I204" s="20">
        <v>100000000000000</v>
      </c>
      <c r="J204" s="10">
        <v>14</v>
      </c>
      <c r="K204" s="10"/>
      <c r="L204" s="10"/>
      <c r="P204" cm="1">
        <f t="array" ref="P204">IF(SUM(N(ISNUMBER(FIND({"a","b","c","d","e","f","g","h","i","j","k","l","m","n","o","p","q","r","s","t","u","v","w","x","y","z"}, B204))))&gt;0, 26, 0)</f>
        <v>26</v>
      </c>
      <c r="Q204" cm="1">
        <f t="array" ref="Q204">IF(SUM(N(ISNUMBER(FIND({"A","B","C","D","E","F","G","H","I","J","K","L","M","N","O","P","Q","R","S","T","U","V","W","X","Y","Z"}, B204))))&gt;0, 26, 0)</f>
        <v>26</v>
      </c>
      <c r="R204" cm="1">
        <f t="array" ref="R204">IF(SUM(N(ISNUMBER(FIND({0,1,2,3,4,5,6,7,8,9}, B204))))&gt;0, 10, 0)</f>
        <v>10</v>
      </c>
      <c r="S204" cm="1">
        <f t="array" ref="S204">IF(LEN(B204)&gt;SUMPRODUCT(LEN(B204)-LEN(SUBSTITUTE(B204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4" s="2" t="s">
        <v>80</v>
      </c>
    </row>
    <row r="205" spans="1:21" ht="15.6">
      <c r="A205" s="3">
        <v>1</v>
      </c>
      <c r="B205" s="7" t="s">
        <v>541</v>
      </c>
      <c r="C205" t="s">
        <v>29</v>
      </c>
      <c r="D205">
        <f t="shared" si="10"/>
        <v>12</v>
      </c>
      <c r="E205">
        <f t="shared" si="11"/>
        <v>78.655066220131687</v>
      </c>
      <c r="F205" s="10">
        <v>3.0849630000000001</v>
      </c>
      <c r="G205" s="10">
        <f t="shared" si="9"/>
        <v>37.019556000000001</v>
      </c>
      <c r="H205" s="10">
        <v>4</v>
      </c>
      <c r="I205" s="20">
        <v>1000000000000</v>
      </c>
      <c r="J205" s="10">
        <v>12</v>
      </c>
      <c r="K205" s="10"/>
      <c r="L205" s="10"/>
      <c r="P205" cm="1">
        <f t="array" ref="P205">IF(SUM(N(ISNUMBER(FIND({"a","b","c","d","e","f","g","h","i","j","k","l","m","n","o","p","q","r","s","t","u","v","w","x","y","z"}, B205))))&gt;0, 26, 0)</f>
        <v>26</v>
      </c>
      <c r="Q205" cm="1">
        <f t="array" ref="Q205">IF(SUM(N(ISNUMBER(FIND({"A","B","C","D","E","F","G","H","I","J","K","L","M","N","O","P","Q","R","S","T","U","V","W","X","Y","Z"}, B205))))&gt;0, 26, 0)</f>
        <v>26</v>
      </c>
      <c r="R205" cm="1">
        <f t="array" ref="R205">IF(SUM(N(ISNUMBER(FIND({0,1,2,3,4,5,6,7,8,9}, B205))))&gt;0, 10, 0)</f>
        <v>10</v>
      </c>
      <c r="S205" cm="1">
        <f t="array" ref="S205">IF(LEN(B205)&gt;SUMPRODUCT(LEN(B205)-LEN(SUBSTITUTE(B205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05" s="2" t="s">
        <v>96</v>
      </c>
    </row>
    <row r="206" spans="1:21" ht="15.6">
      <c r="A206" s="3">
        <v>1</v>
      </c>
      <c r="B206" s="7" t="s">
        <v>542</v>
      </c>
      <c r="C206" t="s">
        <v>29</v>
      </c>
      <c r="D206">
        <f t="shared" si="10"/>
        <v>15</v>
      </c>
      <c r="E206">
        <f t="shared" si="11"/>
        <v>98.318832775164609</v>
      </c>
      <c r="F206" s="10">
        <v>3.506891</v>
      </c>
      <c r="G206" s="10">
        <f t="shared" si="9"/>
        <v>52.603364999999997</v>
      </c>
      <c r="H206" s="10">
        <v>4</v>
      </c>
      <c r="I206" s="20">
        <v>1000000000000000</v>
      </c>
      <c r="J206" s="10">
        <v>15</v>
      </c>
      <c r="K206" s="10"/>
      <c r="L206" s="10"/>
      <c r="P206" cm="1">
        <f t="array" ref="P206">IF(SUM(N(ISNUMBER(FIND({"a","b","c","d","e","f","g","h","i","j","k","l","m","n","o","p","q","r","s","t","u","v","w","x","y","z"}, B206))))&gt;0, 26, 0)</f>
        <v>26</v>
      </c>
      <c r="Q206" cm="1">
        <f t="array" ref="Q206">IF(SUM(N(ISNUMBER(FIND({"A","B","C","D","E","F","G","H","I","J","K","L","M","N","O","P","Q","R","S","T","U","V","W","X","Y","Z"}, B206))))&gt;0, 26, 0)</f>
        <v>26</v>
      </c>
      <c r="R206" cm="1">
        <f t="array" ref="R206">IF(SUM(N(ISNUMBER(FIND({0,1,2,3,4,5,6,7,8,9}, B206))))&gt;0, 10, 0)</f>
        <v>10</v>
      </c>
      <c r="S206" cm="1">
        <f t="array" ref="S206">IF(LEN(B206)&gt;SUMPRODUCT(LEN(B206)-LEN(SUBSTITUTE(B206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6" s="2" t="s">
        <v>112</v>
      </c>
    </row>
    <row r="207" spans="1:21" ht="15.6">
      <c r="A207" s="3">
        <v>1</v>
      </c>
      <c r="B207" s="7" t="s">
        <v>543</v>
      </c>
      <c r="C207" t="s">
        <v>29</v>
      </c>
      <c r="D207">
        <f t="shared" si="10"/>
        <v>11</v>
      </c>
      <c r="E207">
        <f t="shared" si="11"/>
        <v>72.100477368454037</v>
      </c>
      <c r="F207" s="10">
        <v>2.550341</v>
      </c>
      <c r="G207" s="10">
        <f t="shared" si="9"/>
        <v>28.053750999999998</v>
      </c>
      <c r="H207" s="10">
        <v>4</v>
      </c>
      <c r="I207" s="20">
        <v>100000000000</v>
      </c>
      <c r="J207" s="10">
        <v>11</v>
      </c>
      <c r="K207" s="10"/>
      <c r="L207" s="10"/>
      <c r="P207" cm="1">
        <f t="array" ref="P207">IF(SUM(N(ISNUMBER(FIND({"a","b","c","d","e","f","g","h","i","j","k","l","m","n","o","p","q","r","s","t","u","v","w","x","y","z"}, B207))))&gt;0, 26, 0)</f>
        <v>26</v>
      </c>
      <c r="Q207" cm="1">
        <f t="array" ref="Q207">IF(SUM(N(ISNUMBER(FIND({"A","B","C","D","E","F","G","H","I","J","K","L","M","N","O","P","Q","R","S","T","U","V","W","X","Y","Z"}, B207))))&gt;0, 26, 0)</f>
        <v>26</v>
      </c>
      <c r="R207" cm="1">
        <f t="array" ref="R207">IF(SUM(N(ISNUMBER(FIND({0,1,2,3,4,5,6,7,8,9}, B207))))&gt;0, 10, 0)</f>
        <v>0</v>
      </c>
      <c r="S207" cm="1">
        <f t="array" ref="S207">IF(LEN(B207)&gt;SUMPRODUCT(LEN(B207)-LEN(SUBSTITUTE(B207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7" s="2" t="s">
        <v>129</v>
      </c>
    </row>
    <row r="208" spans="1:21" ht="15.6">
      <c r="A208" s="3">
        <v>1</v>
      </c>
      <c r="B208" s="7" t="s">
        <v>544</v>
      </c>
      <c r="C208" t="s">
        <v>29</v>
      </c>
      <c r="D208">
        <f t="shared" si="10"/>
        <v>9</v>
      </c>
      <c r="E208">
        <f t="shared" si="11"/>
        <v>58.991299665098765</v>
      </c>
      <c r="F208" s="10">
        <v>3.1699250000000001</v>
      </c>
      <c r="G208" s="10">
        <f t="shared" si="9"/>
        <v>28.529325</v>
      </c>
      <c r="H208" s="10">
        <v>3</v>
      </c>
      <c r="I208" s="20">
        <v>1000000000</v>
      </c>
      <c r="J208" s="10">
        <v>9</v>
      </c>
      <c r="K208" s="10"/>
      <c r="L208" s="10"/>
      <c r="P208" cm="1">
        <f t="array" ref="P208">IF(SUM(N(ISNUMBER(FIND({"a","b","c","d","e","f","g","h","i","j","k","l","m","n","o","p","q","r","s","t","u","v","w","x","y","z"}, B208))))&gt;0, 26, 0)</f>
        <v>26</v>
      </c>
      <c r="Q208" cm="1">
        <f t="array" ref="Q208">IF(SUM(N(ISNUMBER(FIND({"A","B","C","D","E","F","G","H","I","J","K","L","M","N","O","P","Q","R","S","T","U","V","W","X","Y","Z"}, B208))))&gt;0, 26, 0)</f>
        <v>26</v>
      </c>
      <c r="R208" cm="1">
        <f t="array" ref="R208">IF(SUM(N(ISNUMBER(FIND({0,1,2,3,4,5,6,7,8,9}, B208))))&gt;0, 10, 0)</f>
        <v>10</v>
      </c>
      <c r="S208" cm="1">
        <f t="array" ref="S208">IF(LEN(B208)&gt;SUMPRODUCT(LEN(B208)-LEN(SUBSTITUTE(B208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8" s="2" t="s">
        <v>145</v>
      </c>
    </row>
    <row r="209" spans="1:21" ht="15.6">
      <c r="A209" s="3">
        <v>1</v>
      </c>
      <c r="B209" s="7" t="s">
        <v>545</v>
      </c>
      <c r="C209" t="s">
        <v>29</v>
      </c>
      <c r="D209">
        <f t="shared" si="10"/>
        <v>10</v>
      </c>
      <c r="E209">
        <f t="shared" si="11"/>
        <v>65.545888516776401</v>
      </c>
      <c r="F209" s="10">
        <v>2.5219279999999999</v>
      </c>
      <c r="G209" s="10">
        <f t="shared" si="9"/>
        <v>25.219279999999998</v>
      </c>
      <c r="H209" s="10">
        <v>3</v>
      </c>
      <c r="I209" s="20">
        <v>10000000000</v>
      </c>
      <c r="J209" s="10">
        <v>10</v>
      </c>
      <c r="K209" s="10"/>
      <c r="L209" s="10"/>
      <c r="P209" cm="1">
        <f t="array" ref="P209">IF(SUM(N(ISNUMBER(FIND({"a","b","c","d","e","f","g","h","i","j","k","l","m","n","o","p","q","r","s","t","u","v","w","x","y","z"}, B209))))&gt;0, 26, 0)</f>
        <v>26</v>
      </c>
      <c r="Q209" cm="1">
        <f t="array" ref="Q209">IF(SUM(N(ISNUMBER(FIND({"A","B","C","D","E","F","G","H","I","J","K","L","M","N","O","P","Q","R","S","T","U","V","W","X","Y","Z"}, B209))))&gt;0, 26, 0)</f>
        <v>26</v>
      </c>
      <c r="R209" cm="1">
        <f t="array" ref="R209">IF(SUM(N(ISNUMBER(FIND({0,1,2,3,4,5,6,7,8,9}, B209))))&gt;0, 10, 0)</f>
        <v>0</v>
      </c>
      <c r="S209" cm="1">
        <f t="array" ref="S209">IF(LEN(B209)&gt;SUMPRODUCT(LEN(B209)-LEN(SUBSTITUTE(B209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09" s="2" t="s">
        <v>161</v>
      </c>
    </row>
    <row r="210" spans="1:21" ht="15.6">
      <c r="A210" s="3">
        <v>1</v>
      </c>
      <c r="B210" s="7" t="s">
        <v>546</v>
      </c>
      <c r="C210" t="s">
        <v>29</v>
      </c>
      <c r="D210">
        <f t="shared" si="10"/>
        <v>10</v>
      </c>
      <c r="E210">
        <f t="shared" si="11"/>
        <v>65.545888516776401</v>
      </c>
      <c r="F210" s="10">
        <v>2.9219279999999999</v>
      </c>
      <c r="G210" s="10">
        <f t="shared" si="9"/>
        <v>29.219279999999998</v>
      </c>
      <c r="H210" s="10">
        <v>3</v>
      </c>
      <c r="I210" s="20">
        <v>10000000000</v>
      </c>
      <c r="J210" s="10">
        <v>10</v>
      </c>
      <c r="K210" s="10"/>
      <c r="L210" s="10"/>
      <c r="P210" cm="1">
        <f t="array" ref="P210">IF(SUM(N(ISNUMBER(FIND({"a","b","c","d","e","f","g","h","i","j","k","l","m","n","o","p","q","r","s","t","u","v","w","x","y","z"}, B210))))&gt;0, 26, 0)</f>
        <v>26</v>
      </c>
      <c r="Q210" cm="1">
        <f t="array" ref="Q210">IF(SUM(N(ISNUMBER(FIND({"A","B","C","D","E","F","G","H","I","J","K","L","M","N","O","P","Q","R","S","T","U","V","W","X","Y","Z"}, B210))))&gt;0, 26, 0)</f>
        <v>26</v>
      </c>
      <c r="R210" cm="1">
        <f t="array" ref="R210">IF(SUM(N(ISNUMBER(FIND({0,1,2,3,4,5,6,7,8,9}, B210))))&gt;0, 10, 0)</f>
        <v>10</v>
      </c>
      <c r="S210" cm="1">
        <f t="array" ref="S210">IF(LEN(B210)&gt;SUMPRODUCT(LEN(B210)-LEN(SUBSTITUTE(B210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0" s="2" t="s">
        <v>177</v>
      </c>
    </row>
    <row r="211" spans="1:21" ht="15.6">
      <c r="A211" s="3">
        <v>1</v>
      </c>
      <c r="B211" s="9" t="s">
        <v>547</v>
      </c>
      <c r="C211" t="s">
        <v>29</v>
      </c>
      <c r="D211">
        <f t="shared" si="10"/>
        <v>8</v>
      </c>
      <c r="E211">
        <f t="shared" si="11"/>
        <v>52.436710813421122</v>
      </c>
      <c r="F211" s="10">
        <v>2.75</v>
      </c>
      <c r="G211" s="10">
        <f t="shared" si="9"/>
        <v>22</v>
      </c>
      <c r="H211" s="10">
        <v>2</v>
      </c>
      <c r="I211" s="20">
        <v>100000000</v>
      </c>
      <c r="J211" s="10">
        <v>8</v>
      </c>
      <c r="K211" s="10"/>
      <c r="L211" s="10"/>
      <c r="P211" cm="1">
        <f t="array" ref="P211">IF(SUM(N(ISNUMBER(FIND({"a","b","c","d","e","f","g","h","i","j","k","l","m","n","o","p","q","r","s","t","u","v","w","x","y","z"}, B211))))&gt;0, 26, 0)</f>
        <v>26</v>
      </c>
      <c r="Q211" cm="1">
        <f t="array" ref="Q211">IF(SUM(N(ISNUMBER(FIND({"A","B","C","D","E","F","G","H","I","J","K","L","M","N","O","P","Q","R","S","T","U","V","W","X","Y","Z"}, B211))))&gt;0, 26, 0)</f>
        <v>26</v>
      </c>
      <c r="R211" cm="1">
        <f t="array" ref="R211">IF(SUM(N(ISNUMBER(FIND({0,1,2,3,4,5,6,7,8,9}, B211))))&gt;0, 10, 0)</f>
        <v>0</v>
      </c>
      <c r="S211" cm="1">
        <f t="array" ref="S211">IF(LEN(B211)&gt;SUMPRODUCT(LEN(B211)-LEN(SUBSTITUTE(B211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1" s="9" t="s">
        <v>194</v>
      </c>
    </row>
    <row r="212" spans="1:21" ht="15.6">
      <c r="A212" s="3">
        <v>1</v>
      </c>
      <c r="B212" s="7" t="s">
        <v>548</v>
      </c>
      <c r="C212" t="s">
        <v>29</v>
      </c>
      <c r="D212">
        <f t="shared" si="10"/>
        <v>9</v>
      </c>
      <c r="E212">
        <f t="shared" si="11"/>
        <v>58.991299665098765</v>
      </c>
      <c r="F212" s="10">
        <v>2.9477030000000002</v>
      </c>
      <c r="G212" s="10">
        <f t="shared" si="9"/>
        <v>26.529327000000002</v>
      </c>
      <c r="H212" s="10">
        <v>3</v>
      </c>
      <c r="I212" s="20">
        <v>1000000000</v>
      </c>
      <c r="J212" s="10">
        <v>9</v>
      </c>
      <c r="K212" s="10"/>
      <c r="L212" s="10"/>
      <c r="P212" cm="1">
        <f t="array" ref="P212">IF(SUM(N(ISNUMBER(FIND({"a","b","c","d","e","f","g","h","i","j","k","l","m","n","o","p","q","r","s","t","u","v","w","x","y","z"}, B212))))&gt;0, 26, 0)</f>
        <v>26</v>
      </c>
      <c r="Q212" cm="1">
        <f t="array" ref="Q212">IF(SUM(N(ISNUMBER(FIND({"A","B","C","D","E","F","G","H","I","J","K","L","M","N","O","P","Q","R","S","T","U","V","W","X","Y","Z"}, B212))))&gt;0, 26, 0)</f>
        <v>0</v>
      </c>
      <c r="R212" cm="1">
        <f t="array" ref="R212">IF(SUM(N(ISNUMBER(FIND({0,1,2,3,4,5,6,7,8,9}, B212))))&gt;0, 10, 0)</f>
        <v>10</v>
      </c>
      <c r="S212" cm="1">
        <f t="array" ref="S212">IF(LEN(B212)&gt;SUMPRODUCT(LEN(B212)-LEN(SUBSTITUTE(B212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2" s="2" t="s">
        <v>210</v>
      </c>
    </row>
    <row r="213" spans="1:21" ht="15.6">
      <c r="A213" s="3">
        <v>1</v>
      </c>
      <c r="B213" s="7" t="s">
        <v>549</v>
      </c>
      <c r="C213" t="s">
        <v>29</v>
      </c>
      <c r="D213">
        <f t="shared" si="10"/>
        <v>11</v>
      </c>
      <c r="E213">
        <f t="shared" si="11"/>
        <v>72.100477368454037</v>
      </c>
      <c r="F213" s="10">
        <v>3.2776130000000001</v>
      </c>
      <c r="G213" s="10">
        <f t="shared" si="9"/>
        <v>36.053743000000004</v>
      </c>
      <c r="H213" s="10">
        <v>4</v>
      </c>
      <c r="I213" s="20">
        <v>100000000000</v>
      </c>
      <c r="J213" s="10">
        <v>11</v>
      </c>
      <c r="K213" s="10"/>
      <c r="L213" s="10"/>
      <c r="P213" cm="1">
        <f t="array" ref="P213">IF(SUM(N(ISNUMBER(FIND({"a","b","c","d","e","f","g","h","i","j","k","l","m","n","o","p","q","r","s","t","u","v","w","x","y","z"}, B213))))&gt;0, 26, 0)</f>
        <v>26</v>
      </c>
      <c r="Q213" cm="1">
        <f t="array" ref="Q213">IF(SUM(N(ISNUMBER(FIND({"A","B","C","D","E","F","G","H","I","J","K","L","M","N","O","P","Q","R","S","T","U","V","W","X","Y","Z"}, B213))))&gt;0, 26, 0)</f>
        <v>26</v>
      </c>
      <c r="R213" cm="1">
        <f t="array" ref="R213">IF(SUM(N(ISNUMBER(FIND({0,1,2,3,4,5,6,7,8,9}, B213))))&gt;0, 10, 0)</f>
        <v>10</v>
      </c>
      <c r="S213" cm="1">
        <f t="array" ref="S213">IF(LEN(B213)&gt;SUMPRODUCT(LEN(B213)-LEN(SUBSTITUTE(B213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3" s="2" t="s">
        <v>226</v>
      </c>
    </row>
    <row r="214" spans="1:21" ht="15.6">
      <c r="A214" s="3">
        <v>1</v>
      </c>
      <c r="B214" s="7" t="s">
        <v>550</v>
      </c>
      <c r="C214" t="s">
        <v>29</v>
      </c>
      <c r="D214">
        <f t="shared" si="10"/>
        <v>9</v>
      </c>
      <c r="E214">
        <f t="shared" si="11"/>
        <v>58.991299665098765</v>
      </c>
      <c r="F214" s="10">
        <v>3.1699250000000001</v>
      </c>
      <c r="G214" s="10">
        <f t="shared" si="9"/>
        <v>28.529325</v>
      </c>
      <c r="H214" s="10">
        <v>3</v>
      </c>
      <c r="I214" s="20">
        <v>1000000000</v>
      </c>
      <c r="J214" s="10">
        <v>9</v>
      </c>
      <c r="K214" s="10"/>
      <c r="L214" s="10"/>
      <c r="P214" cm="1">
        <f t="array" ref="P214">IF(SUM(N(ISNUMBER(FIND({"a","b","c","d","e","f","g","h","i","j","k","l","m","n","o","p","q","r","s","t","u","v","w","x","y","z"}, B214))))&gt;0, 26, 0)</f>
        <v>26</v>
      </c>
      <c r="Q214" cm="1">
        <f t="array" ref="Q214">IF(SUM(N(ISNUMBER(FIND({"A","B","C","D","E","F","G","H","I","J","K","L","M","N","O","P","Q","R","S","T","U","V","W","X","Y","Z"}, B214))))&gt;0, 26, 0)</f>
        <v>26</v>
      </c>
      <c r="R214" cm="1">
        <f t="array" ref="R214">IF(SUM(N(ISNUMBER(FIND({0,1,2,3,4,5,6,7,8,9}, B214))))&gt;0, 10, 0)</f>
        <v>0</v>
      </c>
      <c r="S214" cm="1">
        <f t="array" ref="S214">IF(LEN(B214)&gt;SUMPRODUCT(LEN(B214)-LEN(SUBSTITUTE(B214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4" s="2" t="s">
        <v>242</v>
      </c>
    </row>
    <row r="215" spans="1:21" ht="15.6">
      <c r="A215" s="3">
        <v>1</v>
      </c>
      <c r="B215" s="7" t="s">
        <v>551</v>
      </c>
      <c r="C215" t="s">
        <v>29</v>
      </c>
      <c r="D215">
        <f t="shared" si="10"/>
        <v>11</v>
      </c>
      <c r="E215">
        <f t="shared" si="11"/>
        <v>72.100477368454037</v>
      </c>
      <c r="F215" s="10">
        <v>3.2776130000000001</v>
      </c>
      <c r="G215" s="10">
        <f t="shared" si="9"/>
        <v>36.053743000000004</v>
      </c>
      <c r="H215" s="10">
        <v>4</v>
      </c>
      <c r="I215" s="20">
        <v>100000000000</v>
      </c>
      <c r="J215" s="10">
        <v>11</v>
      </c>
      <c r="K215" s="10"/>
      <c r="L215" s="10"/>
      <c r="P215" cm="1">
        <f t="array" ref="P215">IF(SUM(N(ISNUMBER(FIND({"a","b","c","d","e","f","g","h","i","j","k","l","m","n","o","p","q","r","s","t","u","v","w","x","y","z"}, B215))))&gt;0, 26, 0)</f>
        <v>26</v>
      </c>
      <c r="Q215" cm="1">
        <f t="array" ref="Q215">IF(SUM(N(ISNUMBER(FIND({"A","B","C","D","E","F","G","H","I","J","K","L","M","N","O","P","Q","R","S","T","U","V","W","X","Y","Z"}, B215))))&gt;0, 26, 0)</f>
        <v>26</v>
      </c>
      <c r="R215" cm="1">
        <f t="array" ref="R215">IF(SUM(N(ISNUMBER(FIND({0,1,2,3,4,5,6,7,8,9}, B215))))&gt;0, 10, 0)</f>
        <v>0</v>
      </c>
      <c r="S215" cm="1">
        <f t="array" ref="S215">IF(LEN(B215)&gt;SUMPRODUCT(LEN(B215)-LEN(SUBSTITUTE(B215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5" s="2" t="s">
        <v>258</v>
      </c>
    </row>
    <row r="216" spans="1:21" ht="15.6">
      <c r="A216" s="3">
        <v>1</v>
      </c>
      <c r="B216" s="7" t="s">
        <v>552</v>
      </c>
      <c r="C216" t="s">
        <v>29</v>
      </c>
      <c r="D216">
        <f t="shared" si="10"/>
        <v>11</v>
      </c>
      <c r="E216">
        <f t="shared" si="11"/>
        <v>72.100477368454037</v>
      </c>
      <c r="F216" s="10">
        <v>3.0957949999999999</v>
      </c>
      <c r="G216" s="10">
        <f t="shared" si="9"/>
        <v>34.053744999999999</v>
      </c>
      <c r="H216" s="10">
        <v>4</v>
      </c>
      <c r="I216" s="20">
        <v>100000000000</v>
      </c>
      <c r="J216" s="10">
        <v>11</v>
      </c>
      <c r="K216" s="10"/>
      <c r="L216" s="10"/>
      <c r="P216" cm="1">
        <f t="array" ref="P216">IF(SUM(N(ISNUMBER(FIND({"a","b","c","d","e","f","g","h","i","j","k","l","m","n","o","p","q","r","s","t","u","v","w","x","y","z"}, B216))))&gt;0, 26, 0)</f>
        <v>26</v>
      </c>
      <c r="Q216" cm="1">
        <f t="array" ref="Q216">IF(SUM(N(ISNUMBER(FIND({"A","B","C","D","E","F","G","H","I","J","K","L","M","N","O","P","Q","R","S","T","U","V","W","X","Y","Z"}, B216))))&gt;0, 26, 0)</f>
        <v>26</v>
      </c>
      <c r="R216" cm="1">
        <f t="array" ref="R216">IF(SUM(N(ISNUMBER(FIND({0,1,2,3,4,5,6,7,8,9}, B216))))&gt;0, 10, 0)</f>
        <v>10</v>
      </c>
      <c r="S216" cm="1">
        <f t="array" ref="S216">IF(LEN(B216)&gt;SUMPRODUCT(LEN(B216)-LEN(SUBSTITUTE(B216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6" s="2" t="s">
        <v>274</v>
      </c>
    </row>
    <row r="217" spans="1:21" ht="15.6">
      <c r="A217" s="3">
        <v>1</v>
      </c>
      <c r="B217" s="7" t="s">
        <v>553</v>
      </c>
      <c r="C217" t="s">
        <v>29</v>
      </c>
      <c r="D217">
        <f t="shared" si="10"/>
        <v>12</v>
      </c>
      <c r="E217">
        <f t="shared" si="11"/>
        <v>78.655066220131687</v>
      </c>
      <c r="F217" s="10">
        <v>3.2516289999999999</v>
      </c>
      <c r="G217" s="10">
        <f t="shared" si="9"/>
        <v>39.019548</v>
      </c>
      <c r="H217" s="10">
        <v>4</v>
      </c>
      <c r="I217" s="20">
        <v>1000000000000</v>
      </c>
      <c r="J217" s="10">
        <v>12</v>
      </c>
      <c r="K217" s="10"/>
      <c r="L217" s="10"/>
      <c r="P217" cm="1">
        <f t="array" ref="P217">IF(SUM(N(ISNUMBER(FIND({"a","b","c","d","e","f","g","h","i","j","k","l","m","n","o","p","q","r","s","t","u","v","w","x","y","z"}, B217))))&gt;0, 26, 0)</f>
        <v>26</v>
      </c>
      <c r="Q217" cm="1">
        <f t="array" ref="Q217">IF(SUM(N(ISNUMBER(FIND({"A","B","C","D","E","F","G","H","I","J","K","L","M","N","O","P","Q","R","S","T","U","V","W","X","Y","Z"}, B217))))&gt;0, 26, 0)</f>
        <v>26</v>
      </c>
      <c r="R217" cm="1">
        <f t="array" ref="R217">IF(SUM(N(ISNUMBER(FIND({0,1,2,3,4,5,6,7,8,9}, B217))))&gt;0, 10, 0)</f>
        <v>0</v>
      </c>
      <c r="S217" cm="1">
        <f t="array" ref="S217">IF(LEN(B217)&gt;SUMPRODUCT(LEN(B217)-LEN(SUBSTITUTE(B217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7" s="2" t="s">
        <v>290</v>
      </c>
    </row>
    <row r="218" spans="1:21" ht="15.6">
      <c r="A218" s="3">
        <v>1</v>
      </c>
      <c r="B218" s="7" t="s">
        <v>554</v>
      </c>
      <c r="C218" t="s">
        <v>29</v>
      </c>
      <c r="D218">
        <f t="shared" si="10"/>
        <v>11</v>
      </c>
      <c r="E218">
        <f t="shared" si="11"/>
        <v>72.100477368454037</v>
      </c>
      <c r="F218" s="10">
        <v>2.913977</v>
      </c>
      <c r="G218" s="10">
        <f t="shared" si="9"/>
        <v>32.053747000000001</v>
      </c>
      <c r="H218" s="10">
        <v>4</v>
      </c>
      <c r="I218" s="20">
        <v>100000000000</v>
      </c>
      <c r="J218" s="10">
        <v>11</v>
      </c>
      <c r="K218" s="10"/>
      <c r="L218" s="10"/>
      <c r="P218" cm="1">
        <f t="array" ref="P218">IF(SUM(N(ISNUMBER(FIND({"a","b","c","d","e","f","g","h","i","j","k","l","m","n","o","p","q","r","s","t","u","v","w","x","y","z"}, B218))))&gt;0, 26, 0)</f>
        <v>26</v>
      </c>
      <c r="Q218" cm="1">
        <f t="array" ref="Q218">IF(SUM(N(ISNUMBER(FIND({"A","B","C","D","E","F","G","H","I","J","K","L","M","N","O","P","Q","R","S","T","U","V","W","X","Y","Z"}, B218))))&gt;0, 26, 0)</f>
        <v>26</v>
      </c>
      <c r="R218" cm="1">
        <f t="array" ref="R218">IF(SUM(N(ISNUMBER(FIND({0,1,2,3,4,5,6,7,8,9}, B218))))&gt;0, 10, 0)</f>
        <v>10</v>
      </c>
      <c r="S218" cm="1">
        <f t="array" ref="S218">IF(LEN(B218)&gt;SUMPRODUCT(LEN(B218)-LEN(SUBSTITUTE(B218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8" s="2" t="s">
        <v>307</v>
      </c>
    </row>
    <row r="219" spans="1:21" ht="15.6">
      <c r="A219" s="3">
        <v>1</v>
      </c>
      <c r="B219" s="7" t="s">
        <v>555</v>
      </c>
      <c r="C219" t="s">
        <v>29</v>
      </c>
      <c r="D219">
        <f t="shared" si="10"/>
        <v>9</v>
      </c>
      <c r="E219">
        <f t="shared" si="11"/>
        <v>58.991299665098765</v>
      </c>
      <c r="F219" s="10">
        <v>2.2810359999999998</v>
      </c>
      <c r="G219" s="10">
        <f t="shared" si="9"/>
        <v>20.529323999999999</v>
      </c>
      <c r="H219" s="10">
        <v>3</v>
      </c>
      <c r="I219" s="20">
        <v>1000000000</v>
      </c>
      <c r="J219" s="10">
        <v>9</v>
      </c>
      <c r="K219" s="10"/>
      <c r="L219" s="10"/>
      <c r="P219" cm="1">
        <f t="array" ref="P219">IF(SUM(N(ISNUMBER(FIND({"a","b","c","d","e","f","g","h","i","j","k","l","m","n","o","p","q","r","s","t","u","v","w","x","y","z"}, B219))))&gt;0, 26, 0)</f>
        <v>26</v>
      </c>
      <c r="Q219" cm="1">
        <f t="array" ref="Q219">IF(SUM(N(ISNUMBER(FIND({"A","B","C","D","E","F","G","H","I","J","K","L","M","N","O","P","Q","R","S","T","U","V","W","X","Y","Z"}, B219))))&gt;0, 26, 0)</f>
        <v>26</v>
      </c>
      <c r="R219" cm="1">
        <f t="array" ref="R219">IF(SUM(N(ISNUMBER(FIND({0,1,2,3,4,5,6,7,8,9}, B219))))&gt;0, 10, 0)</f>
        <v>0</v>
      </c>
      <c r="S219" cm="1">
        <f t="array" ref="S219">IF(LEN(B219)&gt;SUMPRODUCT(LEN(B219)-LEN(SUBSTITUTE(B219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19" s="2" t="s">
        <v>323</v>
      </c>
    </row>
    <row r="220" spans="1:21" ht="15.6">
      <c r="A220" s="3">
        <v>1</v>
      </c>
      <c r="B220" s="7" t="s">
        <v>556</v>
      </c>
      <c r="C220" t="s">
        <v>29</v>
      </c>
      <c r="D220">
        <f t="shared" si="10"/>
        <v>10</v>
      </c>
      <c r="E220">
        <f t="shared" si="11"/>
        <v>65.545888516776401</v>
      </c>
      <c r="F220" s="10">
        <v>2.9219279999999999</v>
      </c>
      <c r="G220" s="10">
        <f t="shared" si="9"/>
        <v>29.219279999999998</v>
      </c>
      <c r="H220" s="10">
        <v>3</v>
      </c>
      <c r="I220" s="20">
        <v>10000000000</v>
      </c>
      <c r="J220" s="10">
        <v>10</v>
      </c>
      <c r="K220" s="10"/>
      <c r="L220" s="10"/>
      <c r="P220" cm="1">
        <f t="array" ref="P220">IF(SUM(N(ISNUMBER(FIND({"a","b","c","d","e","f","g","h","i","j","k","l","m","n","o","p","q","r","s","t","u","v","w","x","y","z"}, B220))))&gt;0, 26, 0)</f>
        <v>26</v>
      </c>
      <c r="Q220" cm="1">
        <f t="array" ref="Q220">IF(SUM(N(ISNUMBER(FIND({"A","B","C","D","E","F","G","H","I","J","K","L","M","N","O","P","Q","R","S","T","U","V","W","X","Y","Z"}, B220))))&gt;0, 26, 0)</f>
        <v>26</v>
      </c>
      <c r="R220" cm="1">
        <f t="array" ref="R220">IF(SUM(N(ISNUMBER(FIND({0,1,2,3,4,5,6,7,8,9}, B220))))&gt;0, 10, 0)</f>
        <v>0</v>
      </c>
      <c r="S220" cm="1">
        <f t="array" ref="S220">IF(LEN(B220)&gt;SUMPRODUCT(LEN(B220)-LEN(SUBSTITUTE(B220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0" s="2" t="s">
        <v>338</v>
      </c>
    </row>
    <row r="221" spans="1:21" ht="15.6">
      <c r="A221" s="3">
        <v>1</v>
      </c>
      <c r="B221" s="7" t="s">
        <v>557</v>
      </c>
      <c r="C221" t="s">
        <v>29</v>
      </c>
      <c r="D221">
        <f t="shared" si="10"/>
        <v>11</v>
      </c>
      <c r="E221">
        <f t="shared" si="11"/>
        <v>72.100477368454037</v>
      </c>
      <c r="F221" s="10">
        <v>3.0957949999999999</v>
      </c>
      <c r="G221" s="10">
        <f t="shared" si="9"/>
        <v>34.053744999999999</v>
      </c>
      <c r="H221" s="10">
        <v>4</v>
      </c>
      <c r="I221" s="20">
        <v>100000000000</v>
      </c>
      <c r="J221" s="10">
        <v>11</v>
      </c>
      <c r="K221" s="10"/>
      <c r="L221" s="10"/>
      <c r="P221" cm="1">
        <f t="array" ref="P221">IF(SUM(N(ISNUMBER(FIND({"a","b","c","d","e","f","g","h","i","j","k","l","m","n","o","p","q","r","s","t","u","v","w","x","y","z"}, B221))))&gt;0, 26, 0)</f>
        <v>26</v>
      </c>
      <c r="Q221" cm="1">
        <f t="array" ref="Q221">IF(SUM(N(ISNUMBER(FIND({"A","B","C","D","E","F","G","H","I","J","K","L","M","N","O","P","Q","R","S","T","U","V","W","X","Y","Z"}, B221))))&gt;0, 26, 0)</f>
        <v>26</v>
      </c>
      <c r="R221" cm="1">
        <f t="array" ref="R221">IF(SUM(N(ISNUMBER(FIND({0,1,2,3,4,5,6,7,8,9}, B221))))&gt;0, 10, 0)</f>
        <v>0</v>
      </c>
      <c r="S221" cm="1">
        <f t="array" ref="S221">IF(LEN(B221)&gt;SUMPRODUCT(LEN(B221)-LEN(SUBSTITUTE(B221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1" s="2" t="s">
        <v>354</v>
      </c>
    </row>
    <row r="222" spans="1:21" ht="15.6">
      <c r="A222" s="3">
        <v>1</v>
      </c>
      <c r="B222" s="7" t="s">
        <v>558</v>
      </c>
      <c r="C222" t="s">
        <v>29</v>
      </c>
      <c r="D222">
        <f t="shared" si="10"/>
        <v>12</v>
      </c>
      <c r="E222">
        <f t="shared" si="11"/>
        <v>78.655066220131687</v>
      </c>
      <c r="F222" s="10">
        <v>3.2516289999999999</v>
      </c>
      <c r="G222" s="10">
        <f t="shared" si="9"/>
        <v>39.019548</v>
      </c>
      <c r="H222" s="10">
        <v>4</v>
      </c>
      <c r="I222" s="20">
        <v>1000000000000</v>
      </c>
      <c r="J222" s="10">
        <v>12</v>
      </c>
      <c r="K222" s="10"/>
      <c r="L222" s="10"/>
      <c r="P222" cm="1">
        <f t="array" ref="P222">IF(SUM(N(ISNUMBER(FIND({"a","b","c","d","e","f","g","h","i","j","k","l","m","n","o","p","q","r","s","t","u","v","w","x","y","z"}, B222))))&gt;0, 26, 0)</f>
        <v>26</v>
      </c>
      <c r="Q222" cm="1">
        <f t="array" ref="Q222">IF(SUM(N(ISNUMBER(FIND({"A","B","C","D","E","F","G","H","I","J","K","L","M","N","O","P","Q","R","S","T","U","V","W","X","Y","Z"}, B222))))&gt;0, 26, 0)</f>
        <v>26</v>
      </c>
      <c r="R222" cm="1">
        <f t="array" ref="R222">IF(SUM(N(ISNUMBER(FIND({0,1,2,3,4,5,6,7,8,9}, B222))))&gt;0, 10, 0)</f>
        <v>10</v>
      </c>
      <c r="S222" cm="1">
        <f t="array" ref="S222">IF(LEN(B222)&gt;SUMPRODUCT(LEN(B222)-LEN(SUBSTITUTE(B222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2" s="2" t="s">
        <v>48</v>
      </c>
    </row>
    <row r="223" spans="1:21" ht="15.6">
      <c r="A223" s="3">
        <v>1</v>
      </c>
      <c r="B223" s="7" t="s">
        <v>559</v>
      </c>
      <c r="C223" t="s">
        <v>29</v>
      </c>
      <c r="D223">
        <f t="shared" si="10"/>
        <v>12</v>
      </c>
      <c r="E223">
        <f t="shared" si="11"/>
        <v>78.655066220131687</v>
      </c>
      <c r="F223" s="10">
        <v>2.8553890000000002</v>
      </c>
      <c r="G223" s="10">
        <f t="shared" si="9"/>
        <v>34.264668</v>
      </c>
      <c r="H223" s="10">
        <v>4</v>
      </c>
      <c r="I223" s="20">
        <v>1000000000000</v>
      </c>
      <c r="J223" s="10">
        <v>12</v>
      </c>
      <c r="K223" s="10"/>
      <c r="L223" s="10"/>
      <c r="P223" cm="1">
        <f t="array" ref="P223">IF(SUM(N(ISNUMBER(FIND({"a","b","c","d","e","f","g","h","i","j","k","l","m","n","o","p","q","r","s","t","u","v","w","x","y","z"}, B223))))&gt;0, 26, 0)</f>
        <v>26</v>
      </c>
      <c r="Q223" cm="1">
        <f t="array" ref="Q223">IF(SUM(N(ISNUMBER(FIND({"A","B","C","D","E","F","G","H","I","J","K","L","M","N","O","P","Q","R","S","T","U","V","W","X","Y","Z"}, B223))))&gt;0, 26, 0)</f>
        <v>26</v>
      </c>
      <c r="R223" cm="1">
        <f t="array" ref="R223">IF(SUM(N(ISNUMBER(FIND({0,1,2,3,4,5,6,7,8,9}, B223))))&gt;0, 10, 0)</f>
        <v>10</v>
      </c>
      <c r="S223" cm="1">
        <f t="array" ref="S223">IF(LEN(B223)&gt;SUMPRODUCT(LEN(B223)-LEN(SUBSTITUTE(B223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3" s="2" t="s">
        <v>65</v>
      </c>
    </row>
    <row r="224" spans="1:21" ht="15.6">
      <c r="A224" s="3">
        <v>1</v>
      </c>
      <c r="B224" s="7" t="s">
        <v>560</v>
      </c>
      <c r="C224" t="s">
        <v>29</v>
      </c>
      <c r="D224">
        <f t="shared" si="10"/>
        <v>10</v>
      </c>
      <c r="E224">
        <f t="shared" si="11"/>
        <v>65.545888516776401</v>
      </c>
      <c r="F224" s="10">
        <v>3.121928</v>
      </c>
      <c r="G224" s="10">
        <f t="shared" si="9"/>
        <v>31.219280000000001</v>
      </c>
      <c r="H224" s="10">
        <v>3</v>
      </c>
      <c r="I224" s="20">
        <v>10000000000</v>
      </c>
      <c r="J224" s="10">
        <v>10</v>
      </c>
      <c r="K224" s="10"/>
      <c r="L224" s="10"/>
      <c r="P224" cm="1">
        <f t="array" ref="P224">IF(SUM(N(ISNUMBER(FIND({"a","b","c","d","e","f","g","h","i","j","k","l","m","n","o","p","q","r","s","t","u","v","w","x","y","z"}, B224))))&gt;0, 26, 0)</f>
        <v>26</v>
      </c>
      <c r="Q224" cm="1">
        <f t="array" ref="Q224">IF(SUM(N(ISNUMBER(FIND({"A","B","C","D","E","F","G","H","I","J","K","L","M","N","O","P","Q","R","S","T","U","V","W","X","Y","Z"}, B224))))&gt;0, 26, 0)</f>
        <v>0</v>
      </c>
      <c r="R224" cm="1">
        <f t="array" ref="R224">IF(SUM(N(ISNUMBER(FIND({0,1,2,3,4,5,6,7,8,9}, B224))))&gt;0, 10, 0)</f>
        <v>0</v>
      </c>
      <c r="S224" cm="1">
        <f t="array" ref="S224">IF(LEN(B224)&gt;SUMPRODUCT(LEN(B224)-LEN(SUBSTITUTE(B224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4" s="2" t="s">
        <v>81</v>
      </c>
    </row>
    <row r="225" spans="1:21" ht="15.6">
      <c r="A225" s="3">
        <v>1</v>
      </c>
      <c r="B225" s="7" t="s">
        <v>561</v>
      </c>
      <c r="C225" t="s">
        <v>29</v>
      </c>
      <c r="D225">
        <f t="shared" si="10"/>
        <v>10</v>
      </c>
      <c r="E225">
        <f t="shared" si="11"/>
        <v>65.545888516776401</v>
      </c>
      <c r="F225" s="10">
        <v>3.121928</v>
      </c>
      <c r="G225" s="10">
        <f t="shared" si="9"/>
        <v>31.219280000000001</v>
      </c>
      <c r="H225" s="10">
        <v>3</v>
      </c>
      <c r="I225" s="20">
        <v>10000000000</v>
      </c>
      <c r="J225" s="10">
        <v>10</v>
      </c>
      <c r="K225" s="10"/>
      <c r="L225" s="10"/>
      <c r="P225" cm="1">
        <f t="array" ref="P225">IF(SUM(N(ISNUMBER(FIND({"a","b","c","d","e","f","g","h","i","j","k","l","m","n","o","p","q","r","s","t","u","v","w","x","y","z"}, B225))))&gt;0, 26, 0)</f>
        <v>26</v>
      </c>
      <c r="Q225" cm="1">
        <f t="array" ref="Q225">IF(SUM(N(ISNUMBER(FIND({"A","B","C","D","E","F","G","H","I","J","K","L","M","N","O","P","Q","R","S","T","U","V","W","X","Y","Z"}, B225))))&gt;0, 26, 0)</f>
        <v>0</v>
      </c>
      <c r="R225" cm="1">
        <f t="array" ref="R225">IF(SUM(N(ISNUMBER(FIND({0,1,2,3,4,5,6,7,8,9}, B225))))&gt;0, 10, 0)</f>
        <v>10</v>
      </c>
      <c r="S225" cm="1">
        <f t="array" ref="S225">IF(LEN(B225)&gt;SUMPRODUCT(LEN(B225)-LEN(SUBSTITUTE(B225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5" s="2" t="s">
        <v>97</v>
      </c>
    </row>
    <row r="226" spans="1:21" ht="15.6">
      <c r="A226" s="3">
        <v>1</v>
      </c>
      <c r="B226" s="7" t="s">
        <v>562</v>
      </c>
      <c r="C226" t="s">
        <v>29</v>
      </c>
      <c r="D226">
        <f t="shared" si="10"/>
        <v>14</v>
      </c>
      <c r="E226">
        <f t="shared" si="11"/>
        <v>91.764243923486958</v>
      </c>
      <c r="F226" s="10">
        <v>3.664498</v>
      </c>
      <c r="G226" s="10">
        <f t="shared" si="9"/>
        <v>51.302971999999997</v>
      </c>
      <c r="H226" s="10">
        <v>4</v>
      </c>
      <c r="I226" s="20">
        <v>100000000000000</v>
      </c>
      <c r="J226" s="10">
        <v>14</v>
      </c>
      <c r="K226" s="10"/>
      <c r="L226" s="10"/>
      <c r="P226" cm="1">
        <f t="array" ref="P226">IF(SUM(N(ISNUMBER(FIND({"a","b","c","d","e","f","g","h","i","j","k","l","m","n","o","p","q","r","s","t","u","v","w","x","y","z"}, B226))))&gt;0, 26, 0)</f>
        <v>26</v>
      </c>
      <c r="Q226" cm="1">
        <f t="array" ref="Q226">IF(SUM(N(ISNUMBER(FIND({"A","B","C","D","E","F","G","H","I","J","K","L","M","N","O","P","Q","R","S","T","U","V","W","X","Y","Z"}, B226))))&gt;0, 26, 0)</f>
        <v>0</v>
      </c>
      <c r="R226" cm="1">
        <f t="array" ref="R226">IF(SUM(N(ISNUMBER(FIND({0,1,2,3,4,5,6,7,8,9}, B226))))&gt;0, 10, 0)</f>
        <v>10</v>
      </c>
      <c r="S226" cm="1">
        <f t="array" ref="S226">IF(LEN(B226)&gt;SUMPRODUCT(LEN(B226)-LEN(SUBSTITUTE(B226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6" s="2" t="s">
        <v>113</v>
      </c>
    </row>
    <row r="227" spans="1:21" ht="15.6">
      <c r="A227" s="3">
        <v>1</v>
      </c>
      <c r="B227" s="7" t="s">
        <v>563</v>
      </c>
      <c r="C227" t="s">
        <v>29</v>
      </c>
      <c r="D227">
        <f t="shared" si="10"/>
        <v>14</v>
      </c>
      <c r="E227">
        <f t="shared" si="11"/>
        <v>91.764243923486958</v>
      </c>
      <c r="F227" s="10">
        <v>3.2359260000000001</v>
      </c>
      <c r="G227" s="10">
        <f t="shared" si="9"/>
        <v>45.302964000000003</v>
      </c>
      <c r="H227" s="10">
        <v>4</v>
      </c>
      <c r="I227" s="20">
        <v>100000000000000</v>
      </c>
      <c r="J227" s="10">
        <v>14</v>
      </c>
      <c r="K227" s="10"/>
      <c r="L227" s="10"/>
      <c r="P227" cm="1">
        <f t="array" ref="P227">IF(SUM(N(ISNUMBER(FIND({"a","b","c","d","e","f","g","h","i","j","k","l","m","n","o","p","q","r","s","t","u","v","w","x","y","z"}, B227))))&gt;0, 26, 0)</f>
        <v>26</v>
      </c>
      <c r="Q227" cm="1">
        <f t="array" ref="Q227">IF(SUM(N(ISNUMBER(FIND({"A","B","C","D","E","F","G","H","I","J","K","L","M","N","O","P","Q","R","S","T","U","V","W","X","Y","Z"}, B227))))&gt;0, 26, 0)</f>
        <v>0</v>
      </c>
      <c r="R227" cm="1">
        <f t="array" ref="R227">IF(SUM(N(ISNUMBER(FIND({0,1,2,3,4,5,6,7,8,9}, B227))))&gt;0, 10, 0)</f>
        <v>10</v>
      </c>
      <c r="S227" cm="1">
        <f t="array" ref="S227">IF(LEN(B227)&gt;SUMPRODUCT(LEN(B227)-LEN(SUBSTITUTE(B227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7" s="2" t="s">
        <v>130</v>
      </c>
    </row>
    <row r="228" spans="1:21" ht="15.6">
      <c r="A228" s="3">
        <v>1</v>
      </c>
      <c r="B228" s="7" t="s">
        <v>564</v>
      </c>
      <c r="C228" t="s">
        <v>29</v>
      </c>
      <c r="D228">
        <f t="shared" si="10"/>
        <v>14</v>
      </c>
      <c r="E228">
        <f t="shared" si="11"/>
        <v>91.764243923486958</v>
      </c>
      <c r="F228" s="10">
        <v>3.2359260000000001</v>
      </c>
      <c r="G228" s="10">
        <f t="shared" si="9"/>
        <v>45.302964000000003</v>
      </c>
      <c r="H228" s="10">
        <v>4</v>
      </c>
      <c r="I228" s="20">
        <v>100000000000000</v>
      </c>
      <c r="J228" s="10">
        <v>14</v>
      </c>
      <c r="K228" s="10"/>
      <c r="L228" s="10"/>
      <c r="P228" cm="1">
        <f t="array" ref="P228">IF(SUM(N(ISNUMBER(FIND({"a","b","c","d","e","f","g","h","i","j","k","l","m","n","o","p","q","r","s","t","u","v","w","x","y","z"}, B228))))&gt;0, 26, 0)</f>
        <v>26</v>
      </c>
      <c r="Q228" cm="1">
        <f t="array" ref="Q228">IF(SUM(N(ISNUMBER(FIND({"A","B","C","D","E","F","G","H","I","J","K","L","M","N","O","P","Q","R","S","T","U","V","W","X","Y","Z"}, B228))))&gt;0, 26, 0)</f>
        <v>0</v>
      </c>
      <c r="R228" cm="1">
        <f t="array" ref="R228">IF(SUM(N(ISNUMBER(FIND({0,1,2,3,4,5,6,7,8,9}, B228))))&gt;0, 10, 0)</f>
        <v>10</v>
      </c>
      <c r="S228" cm="1">
        <f t="array" ref="S228">IF(LEN(B228)&gt;SUMPRODUCT(LEN(B228)-LEN(SUBSTITUTE(B228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8" s="2" t="s">
        <v>146</v>
      </c>
    </row>
    <row r="229" spans="1:21" ht="15.6">
      <c r="A229" s="3">
        <v>1</v>
      </c>
      <c r="B229" s="7" t="s">
        <v>565</v>
      </c>
      <c r="C229" t="s">
        <v>29</v>
      </c>
      <c r="D229">
        <f t="shared" si="10"/>
        <v>17</v>
      </c>
      <c r="E229">
        <f t="shared" si="11"/>
        <v>111.42801047851988</v>
      </c>
      <c r="F229" s="10">
        <v>3.852169</v>
      </c>
      <c r="G229" s="10">
        <f t="shared" si="9"/>
        <v>65.486873000000003</v>
      </c>
      <c r="H229" s="10">
        <v>4</v>
      </c>
      <c r="I229" s="20">
        <v>1E+17</v>
      </c>
      <c r="J229" s="10">
        <v>17</v>
      </c>
      <c r="K229" s="10"/>
      <c r="L229" s="10"/>
      <c r="P229" cm="1">
        <f t="array" ref="P229">IF(SUM(N(ISNUMBER(FIND({"a","b","c","d","e","f","g","h","i","j","k","l","m","n","o","p","q","r","s","t","u","v","w","x","y","z"}, B229))))&gt;0, 26, 0)</f>
        <v>26</v>
      </c>
      <c r="Q229" cm="1">
        <f t="array" ref="Q229">IF(SUM(N(ISNUMBER(FIND({"A","B","C","D","E","F","G","H","I","J","K","L","M","N","O","P","Q","R","S","T","U","V","W","X","Y","Z"}, B229))))&gt;0, 26, 0)</f>
        <v>26</v>
      </c>
      <c r="R229" cm="1">
        <f t="array" ref="R229">IF(SUM(N(ISNUMBER(FIND({0,1,2,3,4,5,6,7,8,9}, B229))))&gt;0, 10, 0)</f>
        <v>10</v>
      </c>
      <c r="S229" cm="1">
        <f t="array" ref="S229">IF(LEN(B229)&gt;SUMPRODUCT(LEN(B229)-LEN(SUBSTITUTE(B229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29" s="2" t="s">
        <v>162</v>
      </c>
    </row>
    <row r="230" spans="1:21" ht="15.6">
      <c r="A230" s="3">
        <v>1</v>
      </c>
      <c r="B230" s="7" t="s">
        <v>566</v>
      </c>
      <c r="C230" t="s">
        <v>29</v>
      </c>
      <c r="D230">
        <f t="shared" si="10"/>
        <v>11</v>
      </c>
      <c r="E230">
        <f t="shared" si="11"/>
        <v>72.100477368454037</v>
      </c>
      <c r="F230" s="10">
        <v>3.0957949999999999</v>
      </c>
      <c r="G230" s="10">
        <f t="shared" si="9"/>
        <v>34.053744999999999</v>
      </c>
      <c r="H230" s="10">
        <v>4</v>
      </c>
      <c r="I230" s="20">
        <v>100000000000</v>
      </c>
      <c r="J230" s="10">
        <v>11</v>
      </c>
      <c r="K230" s="10"/>
      <c r="L230" s="10"/>
      <c r="P230" cm="1">
        <f t="array" ref="P230">IF(SUM(N(ISNUMBER(FIND({"a","b","c","d","e","f","g","h","i","j","k","l","m","n","o","p","q","r","s","t","u","v","w","x","y","z"}, B230))))&gt;0, 26, 0)</f>
        <v>26</v>
      </c>
      <c r="Q230" cm="1">
        <f t="array" ref="Q230">IF(SUM(N(ISNUMBER(FIND({"A","B","C","D","E","F","G","H","I","J","K","L","M","N","O","P","Q","R","S","T","U","V","W","X","Y","Z"}, B230))))&gt;0, 26, 0)</f>
        <v>26</v>
      </c>
      <c r="R230" cm="1">
        <f t="array" ref="R230">IF(SUM(N(ISNUMBER(FIND({0,1,2,3,4,5,6,7,8,9}, B230))))&gt;0, 10, 0)</f>
        <v>10</v>
      </c>
      <c r="S230" cm="1">
        <f t="array" ref="S230">IF(LEN(B230)&gt;SUMPRODUCT(LEN(B230)-LEN(SUBSTITUTE(B230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30" s="2" t="s">
        <v>178</v>
      </c>
    </row>
    <row r="231" spans="1:21" ht="15.6">
      <c r="A231" s="3">
        <v>1</v>
      </c>
      <c r="B231" s="7" t="s">
        <v>567</v>
      </c>
      <c r="C231" t="s">
        <v>29</v>
      </c>
      <c r="D231">
        <f t="shared" si="10"/>
        <v>16</v>
      </c>
      <c r="E231">
        <f t="shared" si="11"/>
        <v>104.87342162684224</v>
      </c>
      <c r="F231" s="10">
        <v>3.70282</v>
      </c>
      <c r="G231" s="10">
        <f t="shared" si="9"/>
        <v>59.24512</v>
      </c>
      <c r="H231" s="10">
        <v>4</v>
      </c>
      <c r="I231" s="20">
        <v>1E+16</v>
      </c>
      <c r="J231" s="10">
        <v>16</v>
      </c>
      <c r="K231" s="10"/>
      <c r="L231" s="10"/>
      <c r="P231" cm="1">
        <f t="array" ref="P231">IF(SUM(N(ISNUMBER(FIND({"a","b","c","d","e","f","g","h","i","j","k","l","m","n","o","p","q","r","s","t","u","v","w","x","y","z"}, B231))))&gt;0, 26, 0)</f>
        <v>26</v>
      </c>
      <c r="Q231" cm="1">
        <f t="array" ref="Q231">IF(SUM(N(ISNUMBER(FIND({"A","B","C","D","E","F","G","H","I","J","K","L","M","N","O","P","Q","R","S","T","U","V","W","X","Y","Z"}, B231))))&gt;0, 26, 0)</f>
        <v>0</v>
      </c>
      <c r="R231" cm="1">
        <f t="array" ref="R231">IF(SUM(N(ISNUMBER(FIND({0,1,2,3,4,5,6,7,8,9}, B231))))&gt;0, 10, 0)</f>
        <v>10</v>
      </c>
      <c r="S231" cm="1">
        <f t="array" ref="S231">IF(LEN(B231)&gt;SUMPRODUCT(LEN(B231)-LEN(SUBSTITUTE(B231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1" s="2" t="s">
        <v>195</v>
      </c>
    </row>
    <row r="232" spans="1:21" ht="15.6">
      <c r="A232" s="3">
        <v>1</v>
      </c>
      <c r="B232" s="7" t="s">
        <v>568</v>
      </c>
      <c r="C232" t="s">
        <v>29</v>
      </c>
      <c r="D232">
        <f t="shared" si="10"/>
        <v>10</v>
      </c>
      <c r="E232">
        <f t="shared" si="11"/>
        <v>65.545888516776401</v>
      </c>
      <c r="F232" s="10">
        <v>2.9219279999999999</v>
      </c>
      <c r="G232" s="10">
        <f t="shared" si="9"/>
        <v>29.219279999999998</v>
      </c>
      <c r="H232" s="10">
        <v>3</v>
      </c>
      <c r="I232" s="20">
        <v>10000000000</v>
      </c>
      <c r="J232" s="10">
        <v>10</v>
      </c>
      <c r="K232" s="10"/>
      <c r="L232" s="10"/>
      <c r="P232" cm="1">
        <f t="array" ref="P232">IF(SUM(N(ISNUMBER(FIND({"a","b","c","d","e","f","g","h","i","j","k","l","m","n","o","p","q","r","s","t","u","v","w","x","y","z"}, B232))))&gt;0, 26, 0)</f>
        <v>26</v>
      </c>
      <c r="Q232" cm="1">
        <f t="array" ref="Q232">IF(SUM(N(ISNUMBER(FIND({"A","B","C","D","E","F","G","H","I","J","K","L","M","N","O","P","Q","R","S","T","U","V","W","X","Y","Z"}, B232))))&gt;0, 26, 0)</f>
        <v>0</v>
      </c>
      <c r="R232" cm="1">
        <f t="array" ref="R232">IF(SUM(N(ISNUMBER(FIND({0,1,2,3,4,5,6,7,8,9}, B232))))&gt;0, 10, 0)</f>
        <v>10</v>
      </c>
      <c r="S232" cm="1">
        <f t="array" ref="S232">IF(LEN(B232)&gt;SUMPRODUCT(LEN(B232)-LEN(SUBSTITUTE(B232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2" s="2" t="s">
        <v>211</v>
      </c>
    </row>
    <row r="233" spans="1:21" ht="15.6">
      <c r="A233" s="3">
        <v>1</v>
      </c>
      <c r="B233" s="7" t="s">
        <v>569</v>
      </c>
      <c r="C233" t="s">
        <v>29</v>
      </c>
      <c r="D233">
        <f t="shared" si="10"/>
        <v>15</v>
      </c>
      <c r="E233">
        <f t="shared" si="11"/>
        <v>98.318832775164609</v>
      </c>
      <c r="F233" s="10">
        <v>3.4565649999999999</v>
      </c>
      <c r="G233" s="10">
        <f t="shared" si="9"/>
        <v>51.848475000000001</v>
      </c>
      <c r="H233" s="10">
        <v>4</v>
      </c>
      <c r="I233" s="20">
        <v>40400000000000</v>
      </c>
      <c r="J233" s="10">
        <v>13.60638</v>
      </c>
      <c r="K233" s="10"/>
      <c r="L233" s="10"/>
      <c r="P233" cm="1">
        <f t="array" ref="P233">IF(SUM(N(ISNUMBER(FIND({"a","b","c","d","e","f","g","h","i","j","k","l","m","n","o","p","q","r","s","t","u","v","w","x","y","z"}, B233))))&gt;0, 26, 0)</f>
        <v>26</v>
      </c>
      <c r="Q233" cm="1">
        <f t="array" ref="Q233">IF(SUM(N(ISNUMBER(FIND({"A","B","C","D","E","F","G","H","I","J","K","L","M","N","O","P","Q","R","S","T","U","V","W","X","Y","Z"}, B233))))&gt;0, 26, 0)</f>
        <v>26</v>
      </c>
      <c r="R233" cm="1">
        <f t="array" ref="R233">IF(SUM(N(ISNUMBER(FIND({0,1,2,3,4,5,6,7,8,9}, B233))))&gt;0, 10, 0)</f>
        <v>10</v>
      </c>
      <c r="S233" cm="1">
        <f t="array" ref="S233">IF(LEN(B233)&gt;SUMPRODUCT(LEN(B233)-LEN(SUBSTITUTE(B233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3" s="2" t="s">
        <v>227</v>
      </c>
    </row>
    <row r="234" spans="1:21" ht="15.6">
      <c r="A234" s="3">
        <v>1</v>
      </c>
      <c r="B234" s="7" t="s">
        <v>570</v>
      </c>
      <c r="C234" t="s">
        <v>29</v>
      </c>
      <c r="D234">
        <f t="shared" si="10"/>
        <v>16</v>
      </c>
      <c r="E234">
        <f t="shared" si="11"/>
        <v>104.87342162684224</v>
      </c>
      <c r="F234" s="10">
        <v>3.07782</v>
      </c>
      <c r="G234" s="10">
        <f t="shared" si="9"/>
        <v>49.24512</v>
      </c>
      <c r="H234" s="10">
        <v>4</v>
      </c>
      <c r="I234" s="20">
        <v>1330000000000000</v>
      </c>
      <c r="J234" s="10">
        <v>15.1249</v>
      </c>
      <c r="K234" s="10"/>
      <c r="L234" s="10"/>
      <c r="P234" cm="1">
        <f t="array" ref="P234">IF(SUM(N(ISNUMBER(FIND({"a","b","c","d","e","f","g","h","i","j","k","l","m","n","o","p","q","r","s","t","u","v","w","x","y","z"}, B234))))&gt;0, 26, 0)</f>
        <v>26</v>
      </c>
      <c r="Q234" cm="1">
        <f t="array" ref="Q234">IF(SUM(N(ISNUMBER(FIND({"A","B","C","D","E","F","G","H","I","J","K","L","M","N","O","P","Q","R","S","T","U","V","W","X","Y","Z"}, B234))))&gt;0, 26, 0)</f>
        <v>26</v>
      </c>
      <c r="R234" cm="1">
        <f t="array" ref="R234">IF(SUM(N(ISNUMBER(FIND({0,1,2,3,4,5,6,7,8,9}, B234))))&gt;0, 10, 0)</f>
        <v>10</v>
      </c>
      <c r="S234" cm="1">
        <f t="array" ref="S234">IF(LEN(B234)&gt;SUMPRODUCT(LEN(B234)-LEN(SUBSTITUTE(B234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4" s="2" t="s">
        <v>243</v>
      </c>
    </row>
    <row r="235" spans="1:21" ht="15.6">
      <c r="A235" s="3">
        <v>1</v>
      </c>
      <c r="B235" s="7" t="s">
        <v>571</v>
      </c>
      <c r="C235" t="s">
        <v>29</v>
      </c>
      <c r="D235">
        <f t="shared" si="10"/>
        <v>8</v>
      </c>
      <c r="E235">
        <f t="shared" si="11"/>
        <v>52.436710813421122</v>
      </c>
      <c r="F235" s="10">
        <v>3</v>
      </c>
      <c r="G235" s="10">
        <f t="shared" si="9"/>
        <v>24</v>
      </c>
      <c r="H235" s="10">
        <v>2</v>
      </c>
      <c r="I235" s="20">
        <v>100000000</v>
      </c>
      <c r="J235" s="10">
        <v>8</v>
      </c>
      <c r="K235" s="10"/>
      <c r="L235" s="10"/>
      <c r="P235" cm="1">
        <f t="array" ref="P235">IF(SUM(N(ISNUMBER(FIND({"a","b","c","d","e","f","g","h","i","j","k","l","m","n","o","p","q","r","s","t","u","v","w","x","y","z"}, B235))))&gt;0, 26, 0)</f>
        <v>26</v>
      </c>
      <c r="Q235" cm="1">
        <f t="array" ref="Q235">IF(SUM(N(ISNUMBER(FIND({"A","B","C","D","E","F","G","H","I","J","K","L","M","N","O","P","Q","R","S","T","U","V","W","X","Y","Z"}, B235))))&gt;0, 26, 0)</f>
        <v>26</v>
      </c>
      <c r="R235" cm="1">
        <f t="array" ref="R235">IF(SUM(N(ISNUMBER(FIND({0,1,2,3,4,5,6,7,8,9}, B235))))&gt;0, 10, 0)</f>
        <v>0</v>
      </c>
      <c r="S235" cm="1">
        <f t="array" ref="S235">IF(LEN(B235)&gt;SUMPRODUCT(LEN(B235)-LEN(SUBSTITUTE(B235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5" s="2" t="s">
        <v>259</v>
      </c>
    </row>
    <row r="236" spans="1:21" ht="15.6">
      <c r="A236" s="3">
        <v>1</v>
      </c>
      <c r="B236" s="7" t="s">
        <v>572</v>
      </c>
      <c r="C236" t="s">
        <v>29</v>
      </c>
      <c r="D236">
        <f t="shared" si="10"/>
        <v>12</v>
      </c>
      <c r="E236">
        <f t="shared" si="11"/>
        <v>78.655066220131687</v>
      </c>
      <c r="F236" s="10">
        <v>2.9182959999999998</v>
      </c>
      <c r="G236" s="10">
        <f t="shared" si="9"/>
        <v>35.019551999999997</v>
      </c>
      <c r="H236" s="10">
        <v>4</v>
      </c>
      <c r="I236" s="20">
        <v>1000000000000</v>
      </c>
      <c r="J236" s="10">
        <v>12</v>
      </c>
      <c r="K236" s="10"/>
      <c r="L236" s="10"/>
      <c r="P236" cm="1">
        <f t="array" ref="P236">IF(SUM(N(ISNUMBER(FIND({"a","b","c","d","e","f","g","h","i","j","k","l","m","n","o","p","q","r","s","t","u","v","w","x","y","z"}, B236))))&gt;0, 26, 0)</f>
        <v>26</v>
      </c>
      <c r="Q236" cm="1">
        <f t="array" ref="Q236">IF(SUM(N(ISNUMBER(FIND({"A","B","C","D","E","F","G","H","I","J","K","L","M","N","O","P","Q","R","S","T","U","V","W","X","Y","Z"}, B236))))&gt;0, 26, 0)</f>
        <v>0</v>
      </c>
      <c r="R236" cm="1">
        <f t="array" ref="R236">IF(SUM(N(ISNUMBER(FIND({0,1,2,3,4,5,6,7,8,9}, B236))))&gt;0, 10, 0)</f>
        <v>10</v>
      </c>
      <c r="S236" cm="1">
        <f t="array" ref="S236">IF(LEN(B236)&gt;SUMPRODUCT(LEN(B236)-LEN(SUBSTITUTE(B236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6" s="2" t="s">
        <v>275</v>
      </c>
    </row>
    <row r="237" spans="1:21" ht="15.6">
      <c r="A237" s="3">
        <v>1</v>
      </c>
      <c r="B237" s="7" t="s">
        <v>573</v>
      </c>
      <c r="C237" t="s">
        <v>29</v>
      </c>
      <c r="D237">
        <f t="shared" si="10"/>
        <v>7</v>
      </c>
      <c r="E237">
        <f t="shared" si="11"/>
        <v>45.882121961743479</v>
      </c>
      <c r="F237" s="10">
        <v>2.5216409999999998</v>
      </c>
      <c r="G237" s="10">
        <f t="shared" si="9"/>
        <v>17.651486999999999</v>
      </c>
      <c r="H237" s="10">
        <v>2</v>
      </c>
      <c r="I237" s="10">
        <v>10000001</v>
      </c>
      <c r="J237" s="10">
        <v>7</v>
      </c>
      <c r="K237" s="10"/>
      <c r="L237" s="10"/>
      <c r="P237" cm="1">
        <f t="array" ref="P237">IF(SUM(N(ISNUMBER(FIND({"a","b","c","d","e","f","g","h","i","j","k","l","m","n","o","p","q","r","s","t","u","v","w","x","y","z"}, B237))))&gt;0, 26, 0)</f>
        <v>26</v>
      </c>
      <c r="Q237" cm="1">
        <f t="array" ref="Q237">IF(SUM(N(ISNUMBER(FIND({"A","B","C","D","E","F","G","H","I","J","K","L","M","N","O","P","Q","R","S","T","U","V","W","X","Y","Z"}, B237))))&gt;0, 26, 0)</f>
        <v>0</v>
      </c>
      <c r="R237" cm="1">
        <f t="array" ref="R237">IF(SUM(N(ISNUMBER(FIND({0,1,2,3,4,5,6,7,8,9}, B237))))&gt;0, 10, 0)</f>
        <v>10</v>
      </c>
      <c r="S237" cm="1">
        <f t="array" ref="S237">IF(LEN(B237)&gt;SUMPRODUCT(LEN(B237)-LEN(SUBSTITUTE(B237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7" s="2" t="s">
        <v>291</v>
      </c>
    </row>
    <row r="238" spans="1:21" ht="15.6">
      <c r="A238" s="3">
        <v>1</v>
      </c>
      <c r="B238" s="7" t="s">
        <v>574</v>
      </c>
      <c r="C238" t="s">
        <v>29</v>
      </c>
      <c r="D238">
        <f t="shared" si="10"/>
        <v>11</v>
      </c>
      <c r="E238">
        <f t="shared" si="11"/>
        <v>72.100477368454037</v>
      </c>
      <c r="F238" s="10">
        <v>3.0957949999999999</v>
      </c>
      <c r="G238" s="10">
        <f t="shared" si="9"/>
        <v>34.053744999999999</v>
      </c>
      <c r="H238" s="10">
        <v>4</v>
      </c>
      <c r="I238" s="20">
        <v>100000000000</v>
      </c>
      <c r="J238" s="10">
        <v>11</v>
      </c>
      <c r="K238" s="10"/>
      <c r="L238" s="10"/>
      <c r="P238" cm="1">
        <f t="array" ref="P238">IF(SUM(N(ISNUMBER(FIND({"a","b","c","d","e","f","g","h","i","j","k","l","m","n","o","p","q","r","s","t","u","v","w","x","y","z"}, B238))))&gt;0, 26, 0)</f>
        <v>26</v>
      </c>
      <c r="Q238" cm="1">
        <f t="array" ref="Q238">IF(SUM(N(ISNUMBER(FIND({"A","B","C","D","E","F","G","H","I","J","K","L","M","N","O","P","Q","R","S","T","U","V","W","X","Y","Z"}, B238))))&gt;0, 26, 0)</f>
        <v>0</v>
      </c>
      <c r="R238" cm="1">
        <f t="array" ref="R238">IF(SUM(N(ISNUMBER(FIND({0,1,2,3,4,5,6,7,8,9}, B238))))&gt;0, 10, 0)</f>
        <v>10</v>
      </c>
      <c r="S238" cm="1">
        <f t="array" ref="S238">IF(LEN(B238)&gt;SUMPRODUCT(LEN(B238)-LEN(SUBSTITUTE(B238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8" s="2" t="s">
        <v>308</v>
      </c>
    </row>
    <row r="239" spans="1:21" ht="15.6">
      <c r="A239" s="3">
        <v>1</v>
      </c>
      <c r="B239" s="7" t="s">
        <v>575</v>
      </c>
      <c r="C239" t="s">
        <v>29</v>
      </c>
      <c r="D239">
        <f t="shared" si="10"/>
        <v>17</v>
      </c>
      <c r="E239">
        <f t="shared" si="11"/>
        <v>111.42801047851988</v>
      </c>
      <c r="F239" s="10">
        <v>3.499228</v>
      </c>
      <c r="G239" s="10">
        <f t="shared" si="9"/>
        <v>59.486876000000002</v>
      </c>
      <c r="H239" s="10">
        <v>4</v>
      </c>
      <c r="I239" s="20">
        <v>1E+17</v>
      </c>
      <c r="J239" s="10">
        <v>17</v>
      </c>
      <c r="K239" s="10"/>
      <c r="L239" s="10"/>
      <c r="P239" cm="1">
        <f t="array" ref="P239">IF(SUM(N(ISNUMBER(FIND({"a","b","c","d","e","f","g","h","i","j","k","l","m","n","o","p","q","r","s","t","u","v","w","x","y","z"}, B239))))&gt;0, 26, 0)</f>
        <v>26</v>
      </c>
      <c r="Q239" cm="1">
        <f t="array" ref="Q239">IF(SUM(N(ISNUMBER(FIND({"A","B","C","D","E","F","G","H","I","J","K","L","M","N","O","P","Q","R","S","T","U","V","W","X","Y","Z"}, B239))))&gt;0, 26, 0)</f>
        <v>26</v>
      </c>
      <c r="R239" cm="1">
        <f t="array" ref="R239">IF(SUM(N(ISNUMBER(FIND({0,1,2,3,4,5,6,7,8,9}, B239))))&gt;0, 10, 0)</f>
        <v>10</v>
      </c>
      <c r="S239" cm="1">
        <f t="array" ref="S239">IF(LEN(B239)&gt;SUMPRODUCT(LEN(B239)-LEN(SUBSTITUTE(B239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39" s="2" t="s">
        <v>324</v>
      </c>
    </row>
    <row r="240" spans="1:21" ht="15.6">
      <c r="A240" s="3">
        <v>1</v>
      </c>
      <c r="B240" s="7" t="s">
        <v>576</v>
      </c>
      <c r="C240" t="s">
        <v>29</v>
      </c>
      <c r="D240">
        <f t="shared" si="10"/>
        <v>15</v>
      </c>
      <c r="E240">
        <f t="shared" si="11"/>
        <v>98.318832775164609</v>
      </c>
      <c r="F240" s="10">
        <v>3.3232309999999998</v>
      </c>
      <c r="G240" s="10">
        <f t="shared" si="9"/>
        <v>49.848464999999997</v>
      </c>
      <c r="H240" s="10">
        <v>4</v>
      </c>
      <c r="I240" s="20">
        <v>1000000000000000</v>
      </c>
      <c r="J240" s="10">
        <v>15</v>
      </c>
      <c r="K240" s="10"/>
      <c r="L240" s="10"/>
      <c r="P240" cm="1">
        <f t="array" ref="P240">IF(SUM(N(ISNUMBER(FIND({"a","b","c","d","e","f","g","h","i","j","k","l","m","n","o","p","q","r","s","t","u","v","w","x","y","z"}, B240))))&gt;0, 26, 0)</f>
        <v>26</v>
      </c>
      <c r="Q240" cm="1">
        <f t="array" ref="Q240">IF(SUM(N(ISNUMBER(FIND({"A","B","C","D","E","F","G","H","I","J","K","L","M","N","O","P","Q","R","S","T","U","V","W","X","Y","Z"}, B240))))&gt;0, 26, 0)</f>
        <v>0</v>
      </c>
      <c r="R240" cm="1">
        <f t="array" ref="R240">IF(SUM(N(ISNUMBER(FIND({0,1,2,3,4,5,6,7,8,9}, B240))))&gt;0, 10, 0)</f>
        <v>0</v>
      </c>
      <c r="S240" cm="1">
        <f t="array" ref="S240">IF(LEN(B240)&gt;SUMPRODUCT(LEN(B240)-LEN(SUBSTITUTE(B240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40" s="2" t="s">
        <v>339</v>
      </c>
    </row>
    <row r="241" spans="1:21" ht="15.6">
      <c r="A241" s="3">
        <v>1</v>
      </c>
      <c r="B241" s="7" t="s">
        <v>577</v>
      </c>
      <c r="C241" t="s">
        <v>29</v>
      </c>
      <c r="D241">
        <f t="shared" si="10"/>
        <v>13</v>
      </c>
      <c r="E241">
        <f t="shared" si="11"/>
        <v>85.209655071809323</v>
      </c>
      <c r="F241" s="10">
        <v>3.0269870000000001</v>
      </c>
      <c r="G241" s="10">
        <f t="shared" si="9"/>
        <v>39.350830999999999</v>
      </c>
      <c r="H241" s="10">
        <v>4</v>
      </c>
      <c r="I241" s="20">
        <v>10000000000000</v>
      </c>
      <c r="J241" s="10">
        <v>13</v>
      </c>
      <c r="K241" s="10"/>
      <c r="L241" s="10"/>
      <c r="P241" cm="1">
        <f t="array" ref="P241">IF(SUM(N(ISNUMBER(FIND({"a","b","c","d","e","f","g","h","i","j","k","l","m","n","o","p","q","r","s","t","u","v","w","x","y","z"}, B241))))&gt;0, 26, 0)</f>
        <v>26</v>
      </c>
      <c r="Q241" cm="1">
        <f t="array" ref="Q241">IF(SUM(N(ISNUMBER(FIND({"A","B","C","D","E","F","G","H","I","J","K","L","M","N","O","P","Q","R","S","T","U","V","W","X","Y","Z"}, B241))))&gt;0, 26, 0)</f>
        <v>26</v>
      </c>
      <c r="R241" cm="1">
        <f t="array" ref="R241">IF(SUM(N(ISNUMBER(FIND({0,1,2,3,4,5,6,7,8,9}, B241))))&gt;0, 10, 0)</f>
        <v>10</v>
      </c>
      <c r="S241" cm="1">
        <f t="array" ref="S241">IF(LEN(B241)&gt;SUMPRODUCT(LEN(B241)-LEN(SUBSTITUTE(B241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41" s="2" t="s">
        <v>355</v>
      </c>
    </row>
    <row r="242" spans="1:21" ht="15.6">
      <c r="A242" s="3">
        <v>1</v>
      </c>
      <c r="B242" s="7" t="s">
        <v>578</v>
      </c>
      <c r="C242" t="s">
        <v>29</v>
      </c>
      <c r="D242">
        <f t="shared" si="10"/>
        <v>20</v>
      </c>
      <c r="E242">
        <f t="shared" si="11"/>
        <v>131.0917770335528</v>
      </c>
      <c r="F242" s="10">
        <v>3.646439</v>
      </c>
      <c r="G242" s="10">
        <f t="shared" si="9"/>
        <v>72.928780000000003</v>
      </c>
      <c r="H242" s="10">
        <v>4</v>
      </c>
      <c r="I242" s="20">
        <v>1E+20</v>
      </c>
      <c r="J242" s="10">
        <v>20</v>
      </c>
      <c r="K242" s="10"/>
      <c r="L242" s="10"/>
      <c r="P242" cm="1">
        <f t="array" ref="P242">IF(SUM(N(ISNUMBER(FIND({"a","b","c","d","e","f","g","h","i","j","k","l","m","n","o","p","q","r","s","t","u","v","w","x","y","z"}, B242))))&gt;0, 26, 0)</f>
        <v>26</v>
      </c>
      <c r="Q242" cm="1">
        <f t="array" ref="Q242">IF(SUM(N(ISNUMBER(FIND({"A","B","C","D","E","F","G","H","I","J","K","L","M","N","O","P","Q","R","S","T","U","V","W","X","Y","Z"}, B242))))&gt;0, 26, 0)</f>
        <v>26</v>
      </c>
      <c r="R242" cm="1">
        <f t="array" ref="R242">IF(SUM(N(ISNUMBER(FIND({0,1,2,3,4,5,6,7,8,9}, B242))))&gt;0, 10, 0)</f>
        <v>10</v>
      </c>
      <c r="S242" cm="1">
        <f t="array" ref="S242">IF(LEN(B242)&gt;SUMPRODUCT(LEN(B242)-LEN(SUBSTITUTE(B242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42" s="2" t="s">
        <v>49</v>
      </c>
    </row>
    <row r="243" spans="1:21" ht="15.6">
      <c r="A243" s="3">
        <v>1</v>
      </c>
      <c r="B243" s="7" t="s">
        <v>579</v>
      </c>
      <c r="C243" t="s">
        <v>29</v>
      </c>
      <c r="D243">
        <f t="shared" si="10"/>
        <v>13</v>
      </c>
      <c r="E243">
        <f t="shared" si="11"/>
        <v>85.209655071809323</v>
      </c>
      <c r="F243" s="10">
        <v>3.5465939999999998</v>
      </c>
      <c r="G243" s="10">
        <f t="shared" si="9"/>
        <v>46.105722</v>
      </c>
      <c r="H243" s="10">
        <v>4</v>
      </c>
      <c r="I243" s="20">
        <v>10000000000000</v>
      </c>
      <c r="J243" s="10">
        <v>13</v>
      </c>
      <c r="K243" s="10"/>
      <c r="L243" s="10"/>
      <c r="P243" cm="1">
        <f t="array" ref="P243">IF(SUM(N(ISNUMBER(FIND({"a","b","c","d","e","f","g","h","i","j","k","l","m","n","o","p","q","r","s","t","u","v","w","x","y","z"}, B243))))&gt;0, 26, 0)</f>
        <v>26</v>
      </c>
      <c r="Q243" cm="1">
        <f t="array" ref="Q243">IF(SUM(N(ISNUMBER(FIND({"A","B","C","D","E","F","G","H","I","J","K","L","M","N","O","P","Q","R","S","T","U","V","W","X","Y","Z"}, B243))))&gt;0, 26, 0)</f>
        <v>0</v>
      </c>
      <c r="R243" cm="1">
        <f t="array" ref="R243">IF(SUM(N(ISNUMBER(FIND({0,1,2,3,4,5,6,7,8,9}, B243))))&gt;0, 10, 0)</f>
        <v>10</v>
      </c>
      <c r="S243" cm="1">
        <f t="array" ref="S243">IF(LEN(B243)&gt;SUMPRODUCT(LEN(B243)-LEN(SUBSTITUTE(B243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43" s="2" t="s">
        <v>66</v>
      </c>
    </row>
    <row r="244" spans="1:21" ht="15.6">
      <c r="A244" s="3">
        <v>1</v>
      </c>
      <c r="B244" s="7" t="s">
        <v>580</v>
      </c>
      <c r="C244" t="s">
        <v>29</v>
      </c>
      <c r="D244">
        <f t="shared" si="10"/>
        <v>15</v>
      </c>
      <c r="E244">
        <f t="shared" si="11"/>
        <v>98.318832775164609</v>
      </c>
      <c r="F244" s="10">
        <v>3.6402239999999999</v>
      </c>
      <c r="G244" s="10">
        <f t="shared" si="9"/>
        <v>54.603359999999995</v>
      </c>
      <c r="H244" s="10">
        <v>4</v>
      </c>
      <c r="I244" s="20">
        <v>1000000000000000</v>
      </c>
      <c r="J244" s="10">
        <v>15</v>
      </c>
      <c r="K244" s="10"/>
      <c r="L244" s="10"/>
      <c r="P244" cm="1">
        <f t="array" ref="P244">IF(SUM(N(ISNUMBER(FIND({"a","b","c","d","e","f","g","h","i","j","k","l","m","n","o","p","q","r","s","t","u","v","w","x","y","z"}, B244))))&gt;0, 26, 0)</f>
        <v>26</v>
      </c>
      <c r="Q244" cm="1">
        <f t="array" ref="Q244">IF(SUM(N(ISNUMBER(FIND({"A","B","C","D","E","F","G","H","I","J","K","L","M","N","O","P","Q","R","S","T","U","V","W","X","Y","Z"}, B244))))&gt;0, 26, 0)</f>
        <v>26</v>
      </c>
      <c r="R244" cm="1">
        <f t="array" ref="R244">IF(SUM(N(ISNUMBER(FIND({0,1,2,3,4,5,6,7,8,9}, B244))))&gt;0, 10, 0)</f>
        <v>10</v>
      </c>
      <c r="S244" cm="1">
        <f t="array" ref="S244">IF(LEN(B244)&gt;SUMPRODUCT(LEN(B244)-LEN(SUBSTITUTE(B244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44" s="2" t="s">
        <v>82</v>
      </c>
    </row>
    <row r="245" spans="1:21" ht="15.6">
      <c r="A245" s="3">
        <v>1</v>
      </c>
      <c r="B245" s="7" t="s">
        <v>581</v>
      </c>
      <c r="C245" t="s">
        <v>29</v>
      </c>
      <c r="D245">
        <f t="shared" si="10"/>
        <v>13</v>
      </c>
      <c r="E245">
        <f t="shared" si="11"/>
        <v>85.209655071809323</v>
      </c>
      <c r="F245" s="10">
        <v>3.2389009999999998</v>
      </c>
      <c r="G245" s="10">
        <f t="shared" si="9"/>
        <v>42.105712999999994</v>
      </c>
      <c r="H245" s="10">
        <v>4</v>
      </c>
      <c r="I245" s="20">
        <v>10000000000000</v>
      </c>
      <c r="J245" s="10">
        <v>13</v>
      </c>
      <c r="K245" s="10"/>
      <c r="L245" s="10"/>
      <c r="P245" cm="1">
        <f t="array" ref="P245">IF(SUM(N(ISNUMBER(FIND({"a","b","c","d","e","f","g","h","i","j","k","l","m","n","o","p","q","r","s","t","u","v","w","x","y","z"}, B245))))&gt;0, 26, 0)</f>
        <v>26</v>
      </c>
      <c r="Q245" cm="1">
        <f t="array" ref="Q245">IF(SUM(N(ISNUMBER(FIND({"A","B","C","D","E","F","G","H","I","J","K","L","M","N","O","P","Q","R","S","T","U","V","W","X","Y","Z"}, B245))))&gt;0, 26, 0)</f>
        <v>26</v>
      </c>
      <c r="R245" cm="1">
        <f t="array" ref="R245">IF(SUM(N(ISNUMBER(FIND({0,1,2,3,4,5,6,7,8,9}, B245))))&gt;0, 10, 0)</f>
        <v>10</v>
      </c>
      <c r="S245" cm="1">
        <f t="array" ref="S245">IF(LEN(B245)&gt;SUMPRODUCT(LEN(B245)-LEN(SUBSTITUTE(B245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45" s="2" t="s">
        <v>98</v>
      </c>
    </row>
    <row r="246" spans="1:21" ht="15.6">
      <c r="A246" s="3">
        <v>1</v>
      </c>
      <c r="B246" s="7" t="s">
        <v>582</v>
      </c>
      <c r="C246" t="s">
        <v>29</v>
      </c>
      <c r="D246">
        <f t="shared" si="10"/>
        <v>11</v>
      </c>
      <c r="E246">
        <f t="shared" si="11"/>
        <v>72.100477368454037</v>
      </c>
      <c r="F246" s="10">
        <v>3.2776130000000001</v>
      </c>
      <c r="G246" s="10">
        <f t="shared" si="9"/>
        <v>36.053743000000004</v>
      </c>
      <c r="H246" s="10">
        <v>4</v>
      </c>
      <c r="I246" s="20">
        <v>100000000000</v>
      </c>
      <c r="J246" s="10">
        <v>11</v>
      </c>
      <c r="K246" s="10"/>
      <c r="L246" s="10"/>
      <c r="P246" cm="1">
        <f t="array" ref="P246">IF(SUM(N(ISNUMBER(FIND({"a","b","c","d","e","f","g","h","i","j","k","l","m","n","o","p","q","r","s","t","u","v","w","x","y","z"}, B246))))&gt;0, 26, 0)</f>
        <v>26</v>
      </c>
      <c r="Q246" cm="1">
        <f t="array" ref="Q246">IF(SUM(N(ISNUMBER(FIND({"A","B","C","D","E","F","G","H","I","J","K","L","M","N","O","P","Q","R","S","T","U","V","W","X","Y","Z"}, B246))))&gt;0, 26, 0)</f>
        <v>26</v>
      </c>
      <c r="R246" cm="1">
        <f t="array" ref="R246">IF(SUM(N(ISNUMBER(FIND({0,1,2,3,4,5,6,7,8,9}, B246))))&gt;0, 10, 0)</f>
        <v>10</v>
      </c>
      <c r="S246" cm="1">
        <f t="array" ref="S246">IF(LEN(B246)&gt;SUMPRODUCT(LEN(B246)-LEN(SUBSTITUTE(B246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46" s="2" t="s">
        <v>114</v>
      </c>
    </row>
    <row r="247" spans="1:21" ht="15.6">
      <c r="A247" s="3">
        <v>1</v>
      </c>
      <c r="B247" s="7" t="s">
        <v>583</v>
      </c>
      <c r="C247" t="s">
        <v>29</v>
      </c>
      <c r="D247">
        <f t="shared" si="10"/>
        <v>10</v>
      </c>
      <c r="E247">
        <f t="shared" si="11"/>
        <v>65.545888516776401</v>
      </c>
      <c r="F247" s="10">
        <v>3.121928</v>
      </c>
      <c r="G247" s="10">
        <f t="shared" si="9"/>
        <v>31.219280000000001</v>
      </c>
      <c r="H247" s="10">
        <v>3</v>
      </c>
      <c r="I247" s="20">
        <v>10000000000</v>
      </c>
      <c r="J247" s="10">
        <v>10</v>
      </c>
      <c r="K247" s="10"/>
      <c r="L247" s="10"/>
      <c r="P247" cm="1">
        <f t="array" ref="P247">IF(SUM(N(ISNUMBER(FIND({"a","b","c","d","e","f","g","h","i","j","k","l","m","n","o","p","q","r","s","t","u","v","w","x","y","z"}, B247))))&gt;0, 26, 0)</f>
        <v>26</v>
      </c>
      <c r="Q247" cm="1">
        <f t="array" ref="Q247">IF(SUM(N(ISNUMBER(FIND({"A","B","C","D","E","F","G","H","I","J","K","L","M","N","O","P","Q","R","S","T","U","V","W","X","Y","Z"}, B247))))&gt;0, 26, 0)</f>
        <v>26</v>
      </c>
      <c r="R247" cm="1">
        <f t="array" ref="R247">IF(SUM(N(ISNUMBER(FIND({0,1,2,3,4,5,6,7,8,9}, B247))))&gt;0, 10, 0)</f>
        <v>0</v>
      </c>
      <c r="S247" cm="1">
        <f t="array" ref="S247">IF(LEN(B247)&gt;SUMPRODUCT(LEN(B247)-LEN(SUBSTITUTE(B247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47" s="2" t="s">
        <v>131</v>
      </c>
    </row>
    <row r="248" spans="1:21" ht="15.6">
      <c r="A248" s="3">
        <v>1</v>
      </c>
      <c r="B248" s="7" t="s">
        <v>584</v>
      </c>
      <c r="C248" t="s">
        <v>29</v>
      </c>
      <c r="D248">
        <f t="shared" si="10"/>
        <v>9</v>
      </c>
      <c r="E248">
        <f t="shared" si="11"/>
        <v>58.991299665098765</v>
      </c>
      <c r="F248" s="10">
        <v>2.9477030000000002</v>
      </c>
      <c r="G248" s="10">
        <f t="shared" si="9"/>
        <v>26.529327000000002</v>
      </c>
      <c r="H248" s="10">
        <v>3</v>
      </c>
      <c r="I248" s="20">
        <v>1000000000</v>
      </c>
      <c r="J248" s="10">
        <v>9</v>
      </c>
      <c r="K248" s="10"/>
      <c r="L248" s="10"/>
      <c r="P248" cm="1">
        <f t="array" ref="P248">IF(SUM(N(ISNUMBER(FIND({"a","b","c","d","e","f","g","h","i","j","k","l","m","n","o","p","q","r","s","t","u","v","w","x","y","z"}, B248))))&gt;0, 26, 0)</f>
        <v>26</v>
      </c>
      <c r="Q248" cm="1">
        <f t="array" ref="Q248">IF(SUM(N(ISNUMBER(FIND({"A","B","C","D","E","F","G","H","I","J","K","L","M","N","O","P","Q","R","S","T","U","V","W","X","Y","Z"}, B248))))&gt;0, 26, 0)</f>
        <v>26</v>
      </c>
      <c r="R248" cm="1">
        <f t="array" ref="R248">IF(SUM(N(ISNUMBER(FIND({0,1,2,3,4,5,6,7,8,9}, B248))))&gt;0, 10, 0)</f>
        <v>0</v>
      </c>
      <c r="S248" cm="1">
        <f t="array" ref="S248">IF(LEN(B248)&gt;SUMPRODUCT(LEN(B248)-LEN(SUBSTITUTE(B248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48" s="2" t="s">
        <v>147</v>
      </c>
    </row>
    <row r="249" spans="1:21" ht="15.6">
      <c r="A249" s="3">
        <v>1</v>
      </c>
      <c r="B249" s="7" t="s">
        <v>585</v>
      </c>
      <c r="C249" t="s">
        <v>29</v>
      </c>
      <c r="D249">
        <f t="shared" si="10"/>
        <v>14</v>
      </c>
      <c r="E249">
        <f t="shared" si="11"/>
        <v>91.764243923486958</v>
      </c>
      <c r="F249" s="10">
        <v>3.2359260000000001</v>
      </c>
      <c r="G249" s="10">
        <f t="shared" si="9"/>
        <v>45.302964000000003</v>
      </c>
      <c r="H249" s="10">
        <v>4</v>
      </c>
      <c r="I249" s="20">
        <v>100000000000000</v>
      </c>
      <c r="J249" s="10">
        <v>14</v>
      </c>
      <c r="K249" s="10"/>
      <c r="L249" s="10"/>
      <c r="P249" cm="1">
        <f t="array" ref="P249">IF(SUM(N(ISNUMBER(FIND({"a","b","c","d","e","f","g","h","i","j","k","l","m","n","o","p","q","r","s","t","u","v","w","x","y","z"}, B249))))&gt;0, 26, 0)</f>
        <v>26</v>
      </c>
      <c r="Q249" cm="1">
        <f t="array" ref="Q249">IF(SUM(N(ISNUMBER(FIND({"A","B","C","D","E","F","G","H","I","J","K","L","M","N","O","P","Q","R","S","T","U","V","W","X","Y","Z"}, B249))))&gt;0, 26, 0)</f>
        <v>26</v>
      </c>
      <c r="R249" cm="1">
        <f t="array" ref="R249">IF(SUM(N(ISNUMBER(FIND({0,1,2,3,4,5,6,7,8,9}, B249))))&gt;0, 10, 0)</f>
        <v>10</v>
      </c>
      <c r="S249" cm="1">
        <f t="array" ref="S249">IF(LEN(B249)&gt;SUMPRODUCT(LEN(B249)-LEN(SUBSTITUTE(B249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49" s="2" t="s">
        <v>163</v>
      </c>
    </row>
    <row r="250" spans="1:21" ht="15.6">
      <c r="A250" s="3">
        <v>1</v>
      </c>
      <c r="B250" s="7" t="s">
        <v>586</v>
      </c>
      <c r="C250" t="s">
        <v>29</v>
      </c>
      <c r="D250">
        <f t="shared" si="10"/>
        <v>11</v>
      </c>
      <c r="E250">
        <f t="shared" si="11"/>
        <v>72.100477368454037</v>
      </c>
      <c r="F250" s="10">
        <v>3.2776130000000001</v>
      </c>
      <c r="G250" s="10">
        <f t="shared" si="9"/>
        <v>36.053743000000004</v>
      </c>
      <c r="H250" s="10">
        <v>4</v>
      </c>
      <c r="I250" s="20">
        <v>100000000000</v>
      </c>
      <c r="J250" s="10">
        <v>11</v>
      </c>
      <c r="K250" s="10"/>
      <c r="L250" s="10"/>
      <c r="P250" cm="1">
        <f t="array" ref="P250">IF(SUM(N(ISNUMBER(FIND({"a","b","c","d","e","f","g","h","i","j","k","l","m","n","o","p","q","r","s","t","u","v","w","x","y","z"}, B250))))&gt;0, 26, 0)</f>
        <v>26</v>
      </c>
      <c r="Q250" cm="1">
        <f t="array" ref="Q250">IF(SUM(N(ISNUMBER(FIND({"A","B","C","D","E","F","G","H","I","J","K","L","M","N","O","P","Q","R","S","T","U","V","W","X","Y","Z"}, B250))))&gt;0, 26, 0)</f>
        <v>26</v>
      </c>
      <c r="R250" cm="1">
        <f t="array" ref="R250">IF(SUM(N(ISNUMBER(FIND({0,1,2,3,4,5,6,7,8,9}, B250))))&gt;0, 10, 0)</f>
        <v>10</v>
      </c>
      <c r="S250" cm="1">
        <f t="array" ref="S250">IF(LEN(B250)&gt;SUMPRODUCT(LEN(B250)-LEN(SUBSTITUTE(B250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50" s="2" t="s">
        <v>179</v>
      </c>
    </row>
    <row r="251" spans="1:21" ht="15.6">
      <c r="A251" s="3">
        <v>1</v>
      </c>
      <c r="B251" s="7" t="s">
        <v>587</v>
      </c>
      <c r="C251" t="s">
        <v>29</v>
      </c>
      <c r="D251">
        <f t="shared" si="10"/>
        <v>15</v>
      </c>
      <c r="E251">
        <f t="shared" si="11"/>
        <v>98.318832775164609</v>
      </c>
      <c r="F251" s="10">
        <v>3.6402239999999999</v>
      </c>
      <c r="G251" s="10">
        <f t="shared" si="9"/>
        <v>54.603359999999995</v>
      </c>
      <c r="H251" s="10">
        <v>4</v>
      </c>
      <c r="I251" s="20">
        <v>1000000000000000</v>
      </c>
      <c r="J251" s="10">
        <v>15</v>
      </c>
      <c r="K251" s="10"/>
      <c r="L251" s="10"/>
      <c r="P251" cm="1">
        <f t="array" ref="P251">IF(SUM(N(ISNUMBER(FIND({"a","b","c","d","e","f","g","h","i","j","k","l","m","n","o","p","q","r","s","t","u","v","w","x","y","z"}, B251))))&gt;0, 26, 0)</f>
        <v>26</v>
      </c>
      <c r="Q251" cm="1">
        <f t="array" ref="Q251">IF(SUM(N(ISNUMBER(FIND({"A","B","C","D","E","F","G","H","I","J","K","L","M","N","O","P","Q","R","S","T","U","V","W","X","Y","Z"}, B251))))&gt;0, 26, 0)</f>
        <v>26</v>
      </c>
      <c r="R251" cm="1">
        <f t="array" ref="R251">IF(SUM(N(ISNUMBER(FIND({0,1,2,3,4,5,6,7,8,9}, B251))))&gt;0, 10, 0)</f>
        <v>10</v>
      </c>
      <c r="S251" cm="1">
        <f t="array" ref="S251">IF(LEN(B251)&gt;SUMPRODUCT(LEN(B251)-LEN(SUBSTITUTE(B251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51" s="2" t="s">
        <v>196</v>
      </c>
    </row>
    <row r="252" spans="1:21" ht="15.6">
      <c r="A252" s="3">
        <v>1</v>
      </c>
      <c r="B252" s="7" t="s">
        <v>588</v>
      </c>
      <c r="C252" t="s">
        <v>29</v>
      </c>
      <c r="D252">
        <f t="shared" si="10"/>
        <v>15</v>
      </c>
      <c r="E252">
        <f t="shared" si="11"/>
        <v>98.318832775164609</v>
      </c>
      <c r="F252" s="10">
        <v>3.6402239999999999</v>
      </c>
      <c r="G252" s="10">
        <f t="shared" si="9"/>
        <v>54.603359999999995</v>
      </c>
      <c r="H252" s="10">
        <v>4</v>
      </c>
      <c r="I252" s="20">
        <v>1000000000000000</v>
      </c>
      <c r="J252" s="10">
        <v>15</v>
      </c>
      <c r="K252" s="10"/>
      <c r="L252" s="10"/>
      <c r="P252" cm="1">
        <f t="array" ref="P252">IF(SUM(N(ISNUMBER(FIND({"a","b","c","d","e","f","g","h","i","j","k","l","m","n","o","p","q","r","s","t","u","v","w","x","y","z"}, B252))))&gt;0, 26, 0)</f>
        <v>26</v>
      </c>
      <c r="Q252" cm="1">
        <f t="array" ref="Q252">IF(SUM(N(ISNUMBER(FIND({"A","B","C","D","E","F","G","H","I","J","K","L","M","N","O","P","Q","R","S","T","U","V","W","X","Y","Z"}, B252))))&gt;0, 26, 0)</f>
        <v>0</v>
      </c>
      <c r="R252" cm="1">
        <f t="array" ref="R252">IF(SUM(N(ISNUMBER(FIND({0,1,2,3,4,5,6,7,8,9}, B252))))&gt;0, 10, 0)</f>
        <v>10</v>
      </c>
      <c r="S252" cm="1">
        <f t="array" ref="S252">IF(LEN(B252)&gt;SUMPRODUCT(LEN(B252)-LEN(SUBSTITUTE(B252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52" s="2" t="s">
        <v>212</v>
      </c>
    </row>
    <row r="253" spans="1:21" ht="15.6">
      <c r="A253" s="3">
        <v>1</v>
      </c>
      <c r="B253" s="7" t="s">
        <v>589</v>
      </c>
      <c r="C253" t="s">
        <v>29</v>
      </c>
      <c r="D253">
        <f t="shared" si="10"/>
        <v>11</v>
      </c>
      <c r="E253">
        <f t="shared" si="11"/>
        <v>72.100477368454037</v>
      </c>
      <c r="F253" s="10">
        <v>3.2776130000000001</v>
      </c>
      <c r="G253" s="10">
        <f t="shared" si="9"/>
        <v>36.053743000000004</v>
      </c>
      <c r="H253" s="10">
        <v>4</v>
      </c>
      <c r="I253" s="20">
        <v>100000000000</v>
      </c>
      <c r="J253" s="10">
        <v>11</v>
      </c>
      <c r="K253" s="10"/>
      <c r="L253" s="10"/>
      <c r="P253" cm="1">
        <f t="array" ref="P253">IF(SUM(N(ISNUMBER(FIND({"a","b","c","d","e","f","g","h","i","j","k","l","m","n","o","p","q","r","s","t","u","v","w","x","y","z"}, B253))))&gt;0, 26, 0)</f>
        <v>26</v>
      </c>
      <c r="Q253" cm="1">
        <f t="array" ref="Q253">IF(SUM(N(ISNUMBER(FIND({"A","B","C","D","E","F","G","H","I","J","K","L","M","N","O","P","Q","R","S","T","U","V","W","X","Y","Z"}, B253))))&gt;0, 26, 0)</f>
        <v>0</v>
      </c>
      <c r="R253" cm="1">
        <f t="array" ref="R253">IF(SUM(N(ISNUMBER(FIND({0,1,2,3,4,5,6,7,8,9}, B253))))&gt;0, 10, 0)</f>
        <v>0</v>
      </c>
      <c r="S253" cm="1">
        <f t="array" ref="S253">IF(LEN(B253)&gt;SUMPRODUCT(LEN(B253)-LEN(SUBSTITUTE(B253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53" s="2" t="s">
        <v>228</v>
      </c>
    </row>
    <row r="254" spans="1:21" ht="15.6">
      <c r="A254" s="3">
        <v>1</v>
      </c>
      <c r="B254" s="7" t="s">
        <v>590</v>
      </c>
      <c r="C254" t="s">
        <v>29</v>
      </c>
      <c r="D254">
        <f t="shared" si="10"/>
        <v>12</v>
      </c>
      <c r="E254">
        <f t="shared" si="11"/>
        <v>78.655066220131687</v>
      </c>
      <c r="F254" s="10">
        <v>3.5849630000000001</v>
      </c>
      <c r="G254" s="10">
        <f t="shared" si="9"/>
        <v>43.019556000000001</v>
      </c>
      <c r="H254" s="10">
        <v>4</v>
      </c>
      <c r="I254" s="20">
        <v>1000000000000</v>
      </c>
      <c r="J254" s="10">
        <v>12</v>
      </c>
      <c r="K254" s="10"/>
      <c r="L254" s="10"/>
      <c r="P254" cm="1">
        <f t="array" ref="P254">IF(SUM(N(ISNUMBER(FIND({"a","b","c","d","e","f","g","h","i","j","k","l","m","n","o","p","q","r","s","t","u","v","w","x","y","z"}, B254))))&gt;0, 26, 0)</f>
        <v>26</v>
      </c>
      <c r="Q254" cm="1">
        <f t="array" ref="Q254">IF(SUM(N(ISNUMBER(FIND({"A","B","C","D","E","F","G","H","I","J","K","L","M","N","O","P","Q","R","S","T","U","V","W","X","Y","Z"}, B254))))&gt;0, 26, 0)</f>
        <v>0</v>
      </c>
      <c r="R254" cm="1">
        <f t="array" ref="R254">IF(SUM(N(ISNUMBER(FIND({0,1,2,3,4,5,6,7,8,9}, B254))))&gt;0, 10, 0)</f>
        <v>10</v>
      </c>
      <c r="S254" cm="1">
        <f t="array" ref="S254">IF(LEN(B254)&gt;SUMPRODUCT(LEN(B254)-LEN(SUBSTITUTE(B254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54" s="2" t="s">
        <v>244</v>
      </c>
    </row>
    <row r="255" spans="1:21" ht="15.6">
      <c r="A255" s="3">
        <v>1</v>
      </c>
      <c r="B255" s="7" t="s">
        <v>591</v>
      </c>
      <c r="C255" t="s">
        <v>29</v>
      </c>
      <c r="D255">
        <f t="shared" si="10"/>
        <v>11</v>
      </c>
      <c r="E255">
        <f t="shared" si="11"/>
        <v>72.100477368454037</v>
      </c>
      <c r="F255" s="10">
        <v>3.2776130000000001</v>
      </c>
      <c r="G255" s="10">
        <f t="shared" si="9"/>
        <v>36.053743000000004</v>
      </c>
      <c r="H255" s="10">
        <v>4</v>
      </c>
      <c r="I255" s="20">
        <v>100000000000</v>
      </c>
      <c r="J255" s="10">
        <v>11</v>
      </c>
      <c r="K255" s="10"/>
      <c r="L255" s="10"/>
      <c r="P255" cm="1">
        <f t="array" ref="P255">IF(SUM(N(ISNUMBER(FIND({"a","b","c","d","e","f","g","h","i","j","k","l","m","n","o","p","q","r","s","t","u","v","w","x","y","z"}, B255))))&gt;0, 26, 0)</f>
        <v>26</v>
      </c>
      <c r="Q255" cm="1">
        <f t="array" ref="Q255">IF(SUM(N(ISNUMBER(FIND({"A","B","C","D","E","F","G","H","I","J","K","L","M","N","O","P","Q","R","S","T","U","V","W","X","Y","Z"}, B255))))&gt;0, 26, 0)</f>
        <v>0</v>
      </c>
      <c r="R255" cm="1">
        <f t="array" ref="R255">IF(SUM(N(ISNUMBER(FIND({0,1,2,3,4,5,6,7,8,9}, B255))))&gt;0, 10, 0)</f>
        <v>0</v>
      </c>
      <c r="S255" cm="1">
        <f t="array" ref="S255">IF(LEN(B255)&gt;SUMPRODUCT(LEN(B255)-LEN(SUBSTITUTE(B255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55" s="2" t="s">
        <v>260</v>
      </c>
    </row>
    <row r="256" spans="1:21" ht="15.6">
      <c r="A256" s="3">
        <v>1</v>
      </c>
      <c r="B256" s="7" t="s">
        <v>592</v>
      </c>
      <c r="C256" t="s">
        <v>29</v>
      </c>
      <c r="D256">
        <f t="shared" si="10"/>
        <v>12</v>
      </c>
      <c r="E256">
        <f t="shared" si="11"/>
        <v>78.655066220131687</v>
      </c>
      <c r="F256" s="10">
        <v>3.5849630000000001</v>
      </c>
      <c r="G256" s="10">
        <f t="shared" si="9"/>
        <v>43.019556000000001</v>
      </c>
      <c r="H256" s="10">
        <v>4</v>
      </c>
      <c r="I256" s="20">
        <v>1000000000000</v>
      </c>
      <c r="J256" s="10">
        <v>12</v>
      </c>
      <c r="K256" s="10"/>
      <c r="L256" s="10"/>
      <c r="P256" cm="1">
        <f t="array" ref="P256">IF(SUM(N(ISNUMBER(FIND({"a","b","c","d","e","f","g","h","i","j","k","l","m","n","o","p","q","r","s","t","u","v","w","x","y","z"}, B256))))&gt;0, 26, 0)</f>
        <v>26</v>
      </c>
      <c r="Q256" cm="1">
        <f t="array" ref="Q256">IF(SUM(N(ISNUMBER(FIND({"A","B","C","D","E","F","G","H","I","J","K","L","M","N","O","P","Q","R","S","T","U","V","W","X","Y","Z"}, B256))))&gt;0, 26, 0)</f>
        <v>26</v>
      </c>
      <c r="R256" cm="1">
        <f t="array" ref="R256">IF(SUM(N(ISNUMBER(FIND({0,1,2,3,4,5,6,7,8,9}, B256))))&gt;0, 10, 0)</f>
        <v>0</v>
      </c>
      <c r="S256" cm="1">
        <f t="array" ref="S256">IF(LEN(B256)&gt;SUMPRODUCT(LEN(B256)-LEN(SUBSTITUTE(B256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56" s="2" t="s">
        <v>276</v>
      </c>
    </row>
    <row r="257" spans="1:21" ht="15.6">
      <c r="A257" s="3">
        <v>1</v>
      </c>
      <c r="B257" s="7" t="s">
        <v>593</v>
      </c>
      <c r="C257" t="s">
        <v>29</v>
      </c>
      <c r="D257">
        <f t="shared" si="10"/>
        <v>7</v>
      </c>
      <c r="E257">
        <f t="shared" si="11"/>
        <v>45.882121961743479</v>
      </c>
      <c r="F257" s="10">
        <v>2.8073549999999998</v>
      </c>
      <c r="G257" s="10">
        <f t="shared" si="9"/>
        <v>19.651484999999997</v>
      </c>
      <c r="H257" s="10">
        <v>2</v>
      </c>
      <c r="I257" s="10">
        <v>10000001</v>
      </c>
      <c r="J257" s="10">
        <v>7</v>
      </c>
      <c r="K257" s="10"/>
      <c r="L257" s="10"/>
      <c r="P257" cm="1">
        <f t="array" ref="P257">IF(SUM(N(ISNUMBER(FIND({"a","b","c","d","e","f","g","h","i","j","k","l","m","n","o","p","q","r","s","t","u","v","w","x","y","z"}, B257))))&gt;0, 26, 0)</f>
        <v>26</v>
      </c>
      <c r="Q257" cm="1">
        <f t="array" ref="Q257">IF(SUM(N(ISNUMBER(FIND({"A","B","C","D","E","F","G","H","I","J","K","L","M","N","O","P","Q","R","S","T","U","V","W","X","Y","Z"}, B257))))&gt;0, 26, 0)</f>
        <v>0</v>
      </c>
      <c r="R257" cm="1">
        <f t="array" ref="R257">IF(SUM(N(ISNUMBER(FIND({0,1,2,3,4,5,6,7,8,9}, B257))))&gt;0, 10, 0)</f>
        <v>0</v>
      </c>
      <c r="S257" cm="1">
        <f t="array" ref="S257">IF(LEN(B257)&gt;SUMPRODUCT(LEN(B257)-LEN(SUBSTITUTE(B257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57" s="2" t="s">
        <v>292</v>
      </c>
    </row>
    <row r="258" spans="1:21" ht="15.6">
      <c r="A258" s="3">
        <v>1</v>
      </c>
      <c r="B258" s="7" t="s">
        <v>594</v>
      </c>
      <c r="C258" t="s">
        <v>29</v>
      </c>
      <c r="D258">
        <f t="shared" si="10"/>
        <v>12</v>
      </c>
      <c r="E258">
        <f t="shared" si="11"/>
        <v>78.655066220131687</v>
      </c>
      <c r="F258" s="10">
        <v>2.8553890000000002</v>
      </c>
      <c r="G258" s="10">
        <f t="shared" ref="G258:G321" si="12">F258 * D258</f>
        <v>34.264668</v>
      </c>
      <c r="H258" s="10">
        <v>4</v>
      </c>
      <c r="I258" s="20">
        <v>68900000000</v>
      </c>
      <c r="J258" s="10">
        <v>10.83797</v>
      </c>
      <c r="K258" s="10"/>
      <c r="L258" s="10"/>
      <c r="P258" cm="1">
        <f t="array" ref="P258">IF(SUM(N(ISNUMBER(FIND({"a","b","c","d","e","f","g","h","i","j","k","l","m","n","o","p","q","r","s","t","u","v","w","x","y","z"}, B258))))&gt;0, 26, 0)</f>
        <v>26</v>
      </c>
      <c r="Q258" cm="1">
        <f t="array" ref="Q258">IF(SUM(N(ISNUMBER(FIND({"A","B","C","D","E","F","G","H","I","J","K","L","M","N","O","P","Q","R","S","T","U","V","W","X","Y","Z"}, B258))))&gt;0, 26, 0)</f>
        <v>26</v>
      </c>
      <c r="R258" cm="1">
        <f t="array" ref="R258">IF(SUM(N(ISNUMBER(FIND({0,1,2,3,4,5,6,7,8,9}, B258))))&gt;0, 10, 0)</f>
        <v>0</v>
      </c>
      <c r="S258" cm="1">
        <f t="array" ref="S258">IF(LEN(B258)&gt;SUMPRODUCT(LEN(B258)-LEN(SUBSTITUTE(B258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58" s="2" t="s">
        <v>309</v>
      </c>
    </row>
    <row r="259" spans="1:21" ht="15.6">
      <c r="A259" s="3">
        <v>1</v>
      </c>
      <c r="B259" s="7" t="s">
        <v>595</v>
      </c>
      <c r="C259" t="s">
        <v>29</v>
      </c>
      <c r="D259">
        <f t="shared" ref="D259:D322" si="13">LEN(B259)</f>
        <v>9</v>
      </c>
      <c r="E259">
        <f t="shared" ref="E259:E322" si="14">IMLOG2(94) * D259</f>
        <v>58.991299665098765</v>
      </c>
      <c r="F259" s="10">
        <v>2.9477030000000002</v>
      </c>
      <c r="G259" s="10">
        <f t="shared" si="12"/>
        <v>26.529327000000002</v>
      </c>
      <c r="H259" s="10">
        <v>3</v>
      </c>
      <c r="I259" s="20">
        <v>1000000000</v>
      </c>
      <c r="J259" s="10">
        <v>9</v>
      </c>
      <c r="K259" s="10"/>
      <c r="L259" s="10"/>
      <c r="P259" cm="1">
        <f t="array" ref="P259">IF(SUM(N(ISNUMBER(FIND({"a","b","c","d","e","f","g","h","i","j","k","l","m","n","o","p","q","r","s","t","u","v","w","x","y","z"}, B259))))&gt;0, 26, 0)</f>
        <v>26</v>
      </c>
      <c r="Q259" cm="1">
        <f t="array" ref="Q259">IF(SUM(N(ISNUMBER(FIND({"A","B","C","D","E","F","G","H","I","J","K","L","M","N","O","P","Q","R","S","T","U","V","W","X","Y","Z"}, B259))))&gt;0, 26, 0)</f>
        <v>0</v>
      </c>
      <c r="R259" cm="1">
        <f t="array" ref="R259">IF(SUM(N(ISNUMBER(FIND({0,1,2,3,4,5,6,7,8,9}, B259))))&gt;0, 10, 0)</f>
        <v>0</v>
      </c>
      <c r="S259" cm="1">
        <f t="array" ref="S259">IF(LEN(B259)&gt;SUMPRODUCT(LEN(B259)-LEN(SUBSTITUTE(B259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59" s="2" t="s">
        <v>325</v>
      </c>
    </row>
    <row r="260" spans="1:21" ht="15.6">
      <c r="A260" s="3">
        <v>1</v>
      </c>
      <c r="B260" s="7" t="s">
        <v>596</v>
      </c>
      <c r="C260" t="s">
        <v>29</v>
      </c>
      <c r="D260">
        <f t="shared" si="13"/>
        <v>16</v>
      </c>
      <c r="E260">
        <f t="shared" si="14"/>
        <v>104.87342162684224</v>
      </c>
      <c r="F260" s="10">
        <v>3.875</v>
      </c>
      <c r="G260" s="10">
        <f t="shared" si="12"/>
        <v>62</v>
      </c>
      <c r="H260" s="10">
        <v>4</v>
      </c>
      <c r="I260" s="20">
        <v>1E+16</v>
      </c>
      <c r="J260" s="10">
        <v>16</v>
      </c>
      <c r="K260" s="10"/>
      <c r="L260" s="10"/>
      <c r="P260" cm="1">
        <f t="array" ref="P260">IF(SUM(N(ISNUMBER(FIND({"a","b","c","d","e","f","g","h","i","j","k","l","m","n","o","p","q","r","s","t","u","v","w","x","y","z"}, B260))))&gt;0, 26, 0)</f>
        <v>26</v>
      </c>
      <c r="Q260" cm="1">
        <f t="array" ref="Q260">IF(SUM(N(ISNUMBER(FIND({"A","B","C","D","E","F","G","H","I","J","K","L","M","N","O","P","Q","R","S","T","U","V","W","X","Y","Z"}, B260))))&gt;0, 26, 0)</f>
        <v>26</v>
      </c>
      <c r="R260" cm="1">
        <f t="array" ref="R260">IF(SUM(N(ISNUMBER(FIND({0,1,2,3,4,5,6,7,8,9}, B260))))&gt;0, 10, 0)</f>
        <v>10</v>
      </c>
      <c r="S260" cm="1">
        <f t="array" ref="S260">IF(LEN(B260)&gt;SUMPRODUCT(LEN(B260)-LEN(SUBSTITUTE(B260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0" s="2" t="s">
        <v>340</v>
      </c>
    </row>
    <row r="261" spans="1:21" ht="15.6">
      <c r="A261" s="3">
        <v>1</v>
      </c>
      <c r="B261" s="7" t="s">
        <v>597</v>
      </c>
      <c r="C261" t="s">
        <v>29</v>
      </c>
      <c r="D261">
        <f t="shared" si="13"/>
        <v>12</v>
      </c>
      <c r="E261">
        <f t="shared" si="14"/>
        <v>78.655066220131687</v>
      </c>
      <c r="F261" s="10">
        <v>3.2516289999999999</v>
      </c>
      <c r="G261" s="10">
        <f t="shared" si="12"/>
        <v>39.019548</v>
      </c>
      <c r="H261" s="10">
        <v>4</v>
      </c>
      <c r="I261" s="20">
        <v>1000000000000</v>
      </c>
      <c r="J261" s="10">
        <v>12</v>
      </c>
      <c r="K261" s="10"/>
      <c r="L261" s="10"/>
      <c r="P261" cm="1">
        <f t="array" ref="P261">IF(SUM(N(ISNUMBER(FIND({"a","b","c","d","e","f","g","h","i","j","k","l","m","n","o","p","q","r","s","t","u","v","w","x","y","z"}, B261))))&gt;0, 26, 0)</f>
        <v>26</v>
      </c>
      <c r="Q261" cm="1">
        <f t="array" ref="Q261">IF(SUM(N(ISNUMBER(FIND({"A","B","C","D","E","F","G","H","I","J","K","L","M","N","O","P","Q","R","S","T","U","V","W","X","Y","Z"}, B261))))&gt;0, 26, 0)</f>
        <v>26</v>
      </c>
      <c r="R261" cm="1">
        <f t="array" ref="R261">IF(SUM(N(ISNUMBER(FIND({0,1,2,3,4,5,6,7,8,9}, B261))))&gt;0, 10, 0)</f>
        <v>10</v>
      </c>
      <c r="S261" cm="1">
        <f t="array" ref="S261">IF(LEN(B261)&gt;SUMPRODUCT(LEN(B261)-LEN(SUBSTITUTE(B261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1" s="2" t="s">
        <v>356</v>
      </c>
    </row>
    <row r="262" spans="1:21" ht="15.6">
      <c r="A262" s="3">
        <v>1</v>
      </c>
      <c r="B262" s="7" t="s">
        <v>598</v>
      </c>
      <c r="C262" t="s">
        <v>29</v>
      </c>
      <c r="D262">
        <f t="shared" si="13"/>
        <v>12</v>
      </c>
      <c r="E262">
        <f t="shared" si="14"/>
        <v>78.655066220131687</v>
      </c>
      <c r="F262" s="10">
        <v>3.5849630000000001</v>
      </c>
      <c r="G262" s="10">
        <f t="shared" si="12"/>
        <v>43.019556000000001</v>
      </c>
      <c r="H262" s="10">
        <v>4</v>
      </c>
      <c r="I262" s="20">
        <v>1000000000000</v>
      </c>
      <c r="J262" s="10">
        <v>12</v>
      </c>
      <c r="K262" s="10"/>
      <c r="L262" s="10"/>
      <c r="P262" cm="1">
        <f t="array" ref="P262">IF(SUM(N(ISNUMBER(FIND({"a","b","c","d","e","f","g","h","i","j","k","l","m","n","o","p","q","r","s","t","u","v","w","x","y","z"}, B262))))&gt;0, 26, 0)</f>
        <v>26</v>
      </c>
      <c r="Q262" cm="1">
        <f t="array" ref="Q262">IF(SUM(N(ISNUMBER(FIND({"A","B","C","D","E","F","G","H","I","J","K","L","M","N","O","P","Q","R","S","T","U","V","W","X","Y","Z"}, B262))))&gt;0, 26, 0)</f>
        <v>0</v>
      </c>
      <c r="R262" cm="1">
        <f t="array" ref="R262">IF(SUM(N(ISNUMBER(FIND({0,1,2,3,4,5,6,7,8,9}, B262))))&gt;0, 10, 0)</f>
        <v>10</v>
      </c>
      <c r="S262" cm="1">
        <f t="array" ref="S262">IF(LEN(B262)&gt;SUMPRODUCT(LEN(B262)-LEN(SUBSTITUTE(B262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2" s="2" t="s">
        <v>50</v>
      </c>
    </row>
    <row r="263" spans="1:21" ht="15.6">
      <c r="A263" s="3">
        <v>1</v>
      </c>
      <c r="B263" s="7" t="s">
        <v>599</v>
      </c>
      <c r="C263" t="s">
        <v>29</v>
      </c>
      <c r="D263">
        <f t="shared" si="13"/>
        <v>16</v>
      </c>
      <c r="E263">
        <f t="shared" si="14"/>
        <v>104.87342162684224</v>
      </c>
      <c r="F263" s="10">
        <v>3.57782</v>
      </c>
      <c r="G263" s="10">
        <f t="shared" si="12"/>
        <v>57.24512</v>
      </c>
      <c r="H263" s="10">
        <v>4</v>
      </c>
      <c r="I263" s="20">
        <v>1E+16</v>
      </c>
      <c r="J263" s="10">
        <v>16</v>
      </c>
      <c r="K263" s="10"/>
      <c r="L263" s="10"/>
      <c r="P263" cm="1">
        <f t="array" ref="P263">IF(SUM(N(ISNUMBER(FIND({"a","b","c","d","e","f","g","h","i","j","k","l","m","n","o","p","q","r","s","t","u","v","w","x","y","z"}, B263))))&gt;0, 26, 0)</f>
        <v>26</v>
      </c>
      <c r="Q263" cm="1">
        <f t="array" ref="Q263">IF(SUM(N(ISNUMBER(FIND({"A","B","C","D","E","F","G","H","I","J","K","L","M","N","O","P","Q","R","S","T","U","V","W","X","Y","Z"}, B263))))&gt;0, 26, 0)</f>
        <v>26</v>
      </c>
      <c r="R263" cm="1">
        <f t="array" ref="R263">IF(SUM(N(ISNUMBER(FIND({0,1,2,3,4,5,6,7,8,9}, B263))))&gt;0, 10, 0)</f>
        <v>10</v>
      </c>
      <c r="S263" cm="1">
        <f t="array" ref="S263">IF(LEN(B263)&gt;SUMPRODUCT(LEN(B263)-LEN(SUBSTITUTE(B263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3" s="2" t="s">
        <v>67</v>
      </c>
    </row>
    <row r="264" spans="1:21" ht="15.6">
      <c r="A264" s="3">
        <v>1</v>
      </c>
      <c r="B264" s="7" t="s">
        <v>600</v>
      </c>
      <c r="C264" t="s">
        <v>29</v>
      </c>
      <c r="D264">
        <f t="shared" si="13"/>
        <v>12</v>
      </c>
      <c r="E264">
        <f t="shared" si="14"/>
        <v>78.655066220131687</v>
      </c>
      <c r="F264" s="10">
        <v>3.4182959999999998</v>
      </c>
      <c r="G264" s="10">
        <f t="shared" si="12"/>
        <v>41.019551999999997</v>
      </c>
      <c r="H264" s="10">
        <v>4</v>
      </c>
      <c r="I264" s="20">
        <v>1000000000000</v>
      </c>
      <c r="J264" s="10">
        <v>12</v>
      </c>
      <c r="K264" s="10"/>
      <c r="L264" s="10"/>
      <c r="P264" cm="1">
        <f t="array" ref="P264">IF(SUM(N(ISNUMBER(FIND({"a","b","c","d","e","f","g","h","i","j","k","l","m","n","o","p","q","r","s","t","u","v","w","x","y","z"}, B264))))&gt;0, 26, 0)</f>
        <v>26</v>
      </c>
      <c r="Q264" cm="1">
        <f t="array" ref="Q264">IF(SUM(N(ISNUMBER(FIND({"A","B","C","D","E","F","G","H","I","J","K","L","M","N","O","P","Q","R","S","T","U","V","W","X","Y","Z"}, B264))))&gt;0, 26, 0)</f>
        <v>26</v>
      </c>
      <c r="R264" cm="1">
        <f t="array" ref="R264">IF(SUM(N(ISNUMBER(FIND({0,1,2,3,4,5,6,7,8,9}, B264))))&gt;0, 10, 0)</f>
        <v>10</v>
      </c>
      <c r="S264" cm="1">
        <f t="array" ref="S264">IF(LEN(B264)&gt;SUMPRODUCT(LEN(B264)-LEN(SUBSTITUTE(B264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4" s="2" t="s">
        <v>83</v>
      </c>
    </row>
    <row r="265" spans="1:21" ht="15.6">
      <c r="A265" s="3">
        <v>1</v>
      </c>
      <c r="B265" s="7" t="s">
        <v>601</v>
      </c>
      <c r="C265" t="s">
        <v>29</v>
      </c>
      <c r="D265">
        <f t="shared" si="13"/>
        <v>18</v>
      </c>
      <c r="E265">
        <f t="shared" si="14"/>
        <v>117.98259933019753</v>
      </c>
      <c r="F265" s="10">
        <v>3.836592</v>
      </c>
      <c r="G265" s="10">
        <f t="shared" si="12"/>
        <v>69.058655999999999</v>
      </c>
      <c r="H265" s="10">
        <v>4</v>
      </c>
      <c r="I265" s="20">
        <v>1E+18</v>
      </c>
      <c r="J265" s="10">
        <v>18</v>
      </c>
      <c r="K265" s="10"/>
      <c r="L265" s="10"/>
      <c r="P265" cm="1">
        <f t="array" ref="P265">IF(SUM(N(ISNUMBER(FIND({"a","b","c","d","e","f","g","h","i","j","k","l","m","n","o","p","q","r","s","t","u","v","w","x","y","z"}, B265))))&gt;0, 26, 0)</f>
        <v>26</v>
      </c>
      <c r="Q265" cm="1">
        <f t="array" ref="Q265">IF(SUM(N(ISNUMBER(FIND({"A","B","C","D","E","F","G","H","I","J","K","L","M","N","O","P","Q","R","S","T","U","V","W","X","Y","Z"}, B265))))&gt;0, 26, 0)</f>
        <v>26</v>
      </c>
      <c r="R265" cm="1">
        <f t="array" ref="R265">IF(SUM(N(ISNUMBER(FIND({0,1,2,3,4,5,6,7,8,9}, B265))))&gt;0, 10, 0)</f>
        <v>10</v>
      </c>
      <c r="S265" cm="1">
        <f t="array" ref="S265">IF(LEN(B265)&gt;SUMPRODUCT(LEN(B265)-LEN(SUBSTITUTE(B265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5" s="2" t="s">
        <v>99</v>
      </c>
    </row>
    <row r="266" spans="1:21" ht="15.6">
      <c r="A266" s="3">
        <v>1</v>
      </c>
      <c r="B266" s="7" t="s">
        <v>602</v>
      </c>
      <c r="C266" t="s">
        <v>29</v>
      </c>
      <c r="D266">
        <f t="shared" si="13"/>
        <v>11</v>
      </c>
      <c r="E266">
        <f t="shared" si="14"/>
        <v>72.100477368454037</v>
      </c>
      <c r="F266" s="10">
        <v>3.4594320000000001</v>
      </c>
      <c r="G266" s="10">
        <f t="shared" si="12"/>
        <v>38.053752000000003</v>
      </c>
      <c r="H266" s="10">
        <v>4</v>
      </c>
      <c r="I266" s="20">
        <v>33100000000</v>
      </c>
      <c r="J266" s="10">
        <v>10.519830000000001</v>
      </c>
      <c r="K266" s="10"/>
      <c r="L266" s="10"/>
      <c r="P266" cm="1">
        <f t="array" ref="P266">IF(SUM(N(ISNUMBER(FIND({"a","b","c","d","e","f","g","h","i","j","k","l","m","n","o","p","q","r","s","t","u","v","w","x","y","z"}, B266))))&gt;0, 26, 0)</f>
        <v>26</v>
      </c>
      <c r="Q266" cm="1">
        <f t="array" ref="Q266">IF(SUM(N(ISNUMBER(FIND({"A","B","C","D","E","F","G","H","I","J","K","L","M","N","O","P","Q","R","S","T","U","V","W","X","Y","Z"}, B266))))&gt;0, 26, 0)</f>
        <v>26</v>
      </c>
      <c r="R266" cm="1">
        <f t="array" ref="R266">IF(SUM(N(ISNUMBER(FIND({0,1,2,3,4,5,6,7,8,9}, B266))))&gt;0, 10, 0)</f>
        <v>0</v>
      </c>
      <c r="S266" cm="1">
        <f t="array" ref="S266">IF(LEN(B266)&gt;SUMPRODUCT(LEN(B266)-LEN(SUBSTITUTE(B266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66" s="2" t="s">
        <v>115</v>
      </c>
    </row>
    <row r="267" spans="1:21" ht="15.6">
      <c r="A267" s="3">
        <v>1</v>
      </c>
      <c r="B267" s="7" t="s">
        <v>603</v>
      </c>
      <c r="C267" t="s">
        <v>29</v>
      </c>
      <c r="D267">
        <f t="shared" si="13"/>
        <v>19</v>
      </c>
      <c r="E267">
        <f t="shared" si="14"/>
        <v>124.53718818187517</v>
      </c>
      <c r="F267" s="10">
        <v>3.8268749999999998</v>
      </c>
      <c r="G267" s="10">
        <f t="shared" si="12"/>
        <v>72.710624999999993</v>
      </c>
      <c r="H267" s="10">
        <v>4</v>
      </c>
      <c r="I267" s="20">
        <v>1E+19</v>
      </c>
      <c r="J267" s="10">
        <v>19</v>
      </c>
      <c r="K267" s="10"/>
      <c r="L267" s="10"/>
      <c r="P267" cm="1">
        <f t="array" ref="P267">IF(SUM(N(ISNUMBER(FIND({"a","b","c","d","e","f","g","h","i","j","k","l","m","n","o","p","q","r","s","t","u","v","w","x","y","z"}, B267))))&gt;0, 26, 0)</f>
        <v>26</v>
      </c>
      <c r="Q267" cm="1">
        <f t="array" ref="Q267">IF(SUM(N(ISNUMBER(FIND({"A","B","C","D","E","F","G","H","I","J","K","L","M","N","O","P","Q","R","S","T","U","V","W","X","Y","Z"}, B267))))&gt;0, 26, 0)</f>
        <v>26</v>
      </c>
      <c r="R267" cm="1">
        <f t="array" ref="R267">IF(SUM(N(ISNUMBER(FIND({0,1,2,3,4,5,6,7,8,9}, B267))))&gt;0, 10, 0)</f>
        <v>10</v>
      </c>
      <c r="S267" cm="1">
        <f t="array" ref="S267">IF(LEN(B267)&gt;SUMPRODUCT(LEN(B267)-LEN(SUBSTITUTE(B267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7" s="2" t="s">
        <v>132</v>
      </c>
    </row>
    <row r="268" spans="1:21" ht="15.6">
      <c r="A268" s="3">
        <v>1</v>
      </c>
      <c r="B268" s="7" t="s">
        <v>604</v>
      </c>
      <c r="C268" t="s">
        <v>29</v>
      </c>
      <c r="D268">
        <f t="shared" si="13"/>
        <v>15</v>
      </c>
      <c r="E268">
        <f t="shared" si="14"/>
        <v>98.318832775164609</v>
      </c>
      <c r="F268" s="10">
        <v>3.6402239999999999</v>
      </c>
      <c r="G268" s="10">
        <f t="shared" si="12"/>
        <v>54.603359999999995</v>
      </c>
      <c r="H268" s="10">
        <v>4</v>
      </c>
      <c r="I268" s="20">
        <v>1000000000000000</v>
      </c>
      <c r="J268" s="10">
        <v>15</v>
      </c>
      <c r="K268" s="10"/>
      <c r="L268" s="10"/>
      <c r="P268" cm="1">
        <f t="array" ref="P268">IF(SUM(N(ISNUMBER(FIND({"a","b","c","d","e","f","g","h","i","j","k","l","m","n","o","p","q","r","s","t","u","v","w","x","y","z"}, B268))))&gt;0, 26, 0)</f>
        <v>26</v>
      </c>
      <c r="Q268" cm="1">
        <f t="array" ref="Q268">IF(SUM(N(ISNUMBER(FIND({"A","B","C","D","E","F","G","H","I","J","K","L","M","N","O","P","Q","R","S","T","U","V","W","X","Y","Z"}, B268))))&gt;0, 26, 0)</f>
        <v>26</v>
      </c>
      <c r="R268" cm="1">
        <f t="array" ref="R268">IF(SUM(N(ISNUMBER(FIND({0,1,2,3,4,5,6,7,8,9}, B268))))&gt;0, 10, 0)</f>
        <v>10</v>
      </c>
      <c r="S268" cm="1">
        <f t="array" ref="S268">IF(LEN(B268)&gt;SUMPRODUCT(LEN(B268)-LEN(SUBSTITUTE(B268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8" s="2" t="s">
        <v>148</v>
      </c>
    </row>
    <row r="269" spans="1:21" ht="15.6">
      <c r="A269" s="3">
        <v>1</v>
      </c>
      <c r="B269" s="8" t="s">
        <v>605</v>
      </c>
      <c r="C269" t="s">
        <v>29</v>
      </c>
      <c r="D269">
        <f t="shared" si="13"/>
        <v>10</v>
      </c>
      <c r="E269">
        <f t="shared" si="14"/>
        <v>65.545888516776401</v>
      </c>
      <c r="F269" s="10">
        <v>2.9219279999999999</v>
      </c>
      <c r="G269" s="10">
        <f t="shared" si="12"/>
        <v>29.219279999999998</v>
      </c>
      <c r="H269" s="10">
        <v>3</v>
      </c>
      <c r="I269" s="20">
        <v>10000000000</v>
      </c>
      <c r="J269" s="10">
        <v>10</v>
      </c>
      <c r="K269" s="10"/>
      <c r="L269" s="10"/>
      <c r="P269" cm="1">
        <f t="array" ref="P269">IF(SUM(N(ISNUMBER(FIND({"a","b","c","d","e","f","g","h","i","j","k","l","m","n","o","p","q","r","s","t","u","v","w","x","y","z"}, B269))))&gt;0, 26, 0)</f>
        <v>26</v>
      </c>
      <c r="Q269" cm="1">
        <f t="array" ref="Q269">IF(SUM(N(ISNUMBER(FIND({"A","B","C","D","E","F","G","H","I","J","K","L","M","N","O","P","Q","R","S","T","U","V","W","X","Y","Z"}, B269))))&gt;0, 26, 0)</f>
        <v>0</v>
      </c>
      <c r="R269" cm="1">
        <f t="array" ref="R269">IF(SUM(N(ISNUMBER(FIND({0,1,2,3,4,5,6,7,8,9}, B269))))&gt;0, 10, 0)</f>
        <v>0</v>
      </c>
      <c r="S269" cm="1">
        <f t="array" ref="S269">IF(LEN(B269)&gt;SUMPRODUCT(LEN(B269)-LEN(SUBSTITUTE(B269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69" s="8" t="s">
        <v>164</v>
      </c>
    </row>
    <row r="270" spans="1:21" ht="15.6">
      <c r="A270" s="3">
        <v>1</v>
      </c>
      <c r="B270" s="7" t="s">
        <v>606</v>
      </c>
      <c r="C270" t="s">
        <v>29</v>
      </c>
      <c r="D270">
        <f t="shared" si="13"/>
        <v>13</v>
      </c>
      <c r="E270">
        <f t="shared" si="14"/>
        <v>85.209655071809323</v>
      </c>
      <c r="F270" s="10">
        <v>3.392747</v>
      </c>
      <c r="G270" s="10">
        <f t="shared" si="12"/>
        <v>44.105710999999999</v>
      </c>
      <c r="H270" s="10">
        <v>4</v>
      </c>
      <c r="I270" s="20">
        <v>4680000000000</v>
      </c>
      <c r="J270" s="10">
        <v>12.670260000000001</v>
      </c>
      <c r="K270" s="10"/>
      <c r="L270" s="10"/>
      <c r="P270" cm="1">
        <f t="array" ref="P270">IF(SUM(N(ISNUMBER(FIND({"a","b","c","d","e","f","g","h","i","j","k","l","m","n","o","p","q","r","s","t","u","v","w","x","y","z"}, B270))))&gt;0, 26, 0)</f>
        <v>26</v>
      </c>
      <c r="Q270" cm="1">
        <f t="array" ref="Q270">IF(SUM(N(ISNUMBER(FIND({"A","B","C","D","E","F","G","H","I","J","K","L","M","N","O","P","Q","R","S","T","U","V","W","X","Y","Z"}, B270))))&gt;0, 26, 0)</f>
        <v>0</v>
      </c>
      <c r="R270" cm="1">
        <f t="array" ref="R270">IF(SUM(N(ISNUMBER(FIND({0,1,2,3,4,5,6,7,8,9}, B270))))&gt;0, 10, 0)</f>
        <v>0</v>
      </c>
      <c r="S270" cm="1">
        <f t="array" ref="S270">IF(LEN(B270)&gt;SUMPRODUCT(LEN(B270)-LEN(SUBSTITUTE(B270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0" s="2" t="s">
        <v>180</v>
      </c>
    </row>
    <row r="271" spans="1:21" ht="15.6">
      <c r="A271" s="3">
        <v>1</v>
      </c>
      <c r="B271" s="7" t="s">
        <v>607</v>
      </c>
      <c r="C271" t="s">
        <v>29</v>
      </c>
      <c r="D271">
        <f t="shared" si="13"/>
        <v>12</v>
      </c>
      <c r="E271">
        <f t="shared" si="14"/>
        <v>78.655066220131687</v>
      </c>
      <c r="F271" s="10">
        <v>3.4182959999999998</v>
      </c>
      <c r="G271" s="10">
        <f t="shared" si="12"/>
        <v>41.019551999999997</v>
      </c>
      <c r="H271" s="10">
        <v>4</v>
      </c>
      <c r="I271" s="20">
        <v>1000000000000</v>
      </c>
      <c r="J271" s="10">
        <v>12</v>
      </c>
      <c r="K271" s="10"/>
      <c r="L271" s="10"/>
      <c r="P271" cm="1">
        <f t="array" ref="P271">IF(SUM(N(ISNUMBER(FIND({"a","b","c","d","e","f","g","h","i","j","k","l","m","n","o","p","q","r","s","t","u","v","w","x","y","z"}, B271))))&gt;0, 26, 0)</f>
        <v>26</v>
      </c>
      <c r="Q271" cm="1">
        <f t="array" ref="Q271">IF(SUM(N(ISNUMBER(FIND({"A","B","C","D","E","F","G","H","I","J","K","L","M","N","O","P","Q","R","S","T","U","V","W","X","Y","Z"}, B271))))&gt;0, 26, 0)</f>
        <v>26</v>
      </c>
      <c r="R271" cm="1">
        <f t="array" ref="R271">IF(SUM(N(ISNUMBER(FIND({0,1,2,3,4,5,6,7,8,9}, B271))))&gt;0, 10, 0)</f>
        <v>10</v>
      </c>
      <c r="S271" cm="1">
        <f t="array" ref="S271">IF(LEN(B271)&gt;SUMPRODUCT(LEN(B271)-LEN(SUBSTITUTE(B271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1" s="2" t="s">
        <v>197</v>
      </c>
    </row>
    <row r="272" spans="1:21" ht="15.6">
      <c r="A272" s="3">
        <v>1</v>
      </c>
      <c r="B272" s="7" t="s">
        <v>608</v>
      </c>
      <c r="C272" t="s">
        <v>29</v>
      </c>
      <c r="D272">
        <f t="shared" si="13"/>
        <v>10</v>
      </c>
      <c r="E272">
        <f t="shared" si="14"/>
        <v>65.545888516776401</v>
      </c>
      <c r="F272" s="10">
        <v>3.121928</v>
      </c>
      <c r="G272" s="10">
        <f t="shared" si="12"/>
        <v>31.219280000000001</v>
      </c>
      <c r="H272" s="10">
        <v>3</v>
      </c>
      <c r="I272" s="20">
        <v>10000000000</v>
      </c>
      <c r="J272" s="10">
        <v>10</v>
      </c>
      <c r="K272" s="10"/>
      <c r="L272" s="10"/>
      <c r="P272" cm="1">
        <f t="array" ref="P272">IF(SUM(N(ISNUMBER(FIND({"a","b","c","d","e","f","g","h","i","j","k","l","m","n","o","p","q","r","s","t","u","v","w","x","y","z"}, B272))))&gt;0, 26, 0)</f>
        <v>26</v>
      </c>
      <c r="Q272" cm="1">
        <f t="array" ref="Q272">IF(SUM(N(ISNUMBER(FIND({"A","B","C","D","E","F","G","H","I","J","K","L","M","N","O","P","Q","R","S","T","U","V","W","X","Y","Z"}, B272))))&gt;0, 26, 0)</f>
        <v>26</v>
      </c>
      <c r="R272" cm="1">
        <f t="array" ref="R272">IF(SUM(N(ISNUMBER(FIND({0,1,2,3,4,5,6,7,8,9}, B272))))&gt;0, 10, 0)</f>
        <v>10</v>
      </c>
      <c r="S272" cm="1">
        <f t="array" ref="S272">IF(LEN(B272)&gt;SUMPRODUCT(LEN(B272)-LEN(SUBSTITUTE(B272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2" s="2" t="s">
        <v>213</v>
      </c>
    </row>
    <row r="273" spans="1:21" ht="15.6">
      <c r="A273" s="3">
        <v>1</v>
      </c>
      <c r="B273" s="7" t="s">
        <v>609</v>
      </c>
      <c r="C273" t="s">
        <v>29</v>
      </c>
      <c r="D273">
        <f t="shared" si="13"/>
        <v>13</v>
      </c>
      <c r="E273">
        <f t="shared" si="14"/>
        <v>85.209655071809323</v>
      </c>
      <c r="F273" s="10">
        <v>3.0850550000000001</v>
      </c>
      <c r="G273" s="10">
        <f t="shared" si="12"/>
        <v>40.105715000000004</v>
      </c>
      <c r="H273" s="10">
        <v>4</v>
      </c>
      <c r="I273" s="20">
        <v>10000000000000</v>
      </c>
      <c r="J273" s="10">
        <v>13</v>
      </c>
      <c r="K273" s="10"/>
      <c r="L273" s="10"/>
      <c r="P273" cm="1">
        <f t="array" ref="P273">IF(SUM(N(ISNUMBER(FIND({"a","b","c","d","e","f","g","h","i","j","k","l","m","n","o","p","q","r","s","t","u","v","w","x","y","z"}, B273))))&gt;0, 26, 0)</f>
        <v>26</v>
      </c>
      <c r="Q273" cm="1">
        <f t="array" ref="Q273">IF(SUM(N(ISNUMBER(FIND({"A","B","C","D","E","F","G","H","I","J","K","L","M","N","O","P","Q","R","S","T","U","V","W","X","Y","Z"}, B273))))&gt;0, 26, 0)</f>
        <v>0</v>
      </c>
      <c r="R273" cm="1">
        <f t="array" ref="R273">IF(SUM(N(ISNUMBER(FIND({0,1,2,3,4,5,6,7,8,9}, B273))))&gt;0, 10, 0)</f>
        <v>0</v>
      </c>
      <c r="S273" cm="1">
        <f t="array" ref="S273">IF(LEN(B273)&gt;SUMPRODUCT(LEN(B273)-LEN(SUBSTITUTE(B273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73" s="2" t="s">
        <v>229</v>
      </c>
    </row>
    <row r="274" spans="1:21" ht="15.6">
      <c r="A274" s="3">
        <v>1</v>
      </c>
      <c r="B274" s="7" t="s">
        <v>610</v>
      </c>
      <c r="C274" t="s">
        <v>29</v>
      </c>
      <c r="D274">
        <f t="shared" si="13"/>
        <v>15</v>
      </c>
      <c r="E274">
        <f t="shared" si="14"/>
        <v>98.318832775164609</v>
      </c>
      <c r="F274" s="10">
        <v>3.4565649999999999</v>
      </c>
      <c r="G274" s="10">
        <f t="shared" si="12"/>
        <v>51.848475000000001</v>
      </c>
      <c r="H274" s="10">
        <v>4</v>
      </c>
      <c r="I274" s="20">
        <v>1000000000000000</v>
      </c>
      <c r="J274" s="10">
        <v>15</v>
      </c>
      <c r="K274" s="10"/>
      <c r="L274" s="10"/>
      <c r="P274" cm="1">
        <f t="array" ref="P274">IF(SUM(N(ISNUMBER(FIND({"a","b","c","d","e","f","g","h","i","j","k","l","m","n","o","p","q","r","s","t","u","v","w","x","y","z"}, B274))))&gt;0, 26, 0)</f>
        <v>26</v>
      </c>
      <c r="Q274" cm="1">
        <f t="array" ref="Q274">IF(SUM(N(ISNUMBER(FIND({"A","B","C","D","E","F","G","H","I","J","K","L","M","N","O","P","Q","R","S","T","U","V","W","X","Y","Z"}, B274))))&gt;0, 26, 0)</f>
        <v>0</v>
      </c>
      <c r="R274" cm="1">
        <f t="array" ref="R274">IF(SUM(N(ISNUMBER(FIND({0,1,2,3,4,5,6,7,8,9}, B274))))&gt;0, 10, 0)</f>
        <v>10</v>
      </c>
      <c r="S274" cm="1">
        <f t="array" ref="S274">IF(LEN(B274)&gt;SUMPRODUCT(LEN(B274)-LEN(SUBSTITUTE(B274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4" s="2" t="s">
        <v>245</v>
      </c>
    </row>
    <row r="275" spans="1:21" ht="15.6">
      <c r="A275" s="3">
        <v>1</v>
      </c>
      <c r="B275" s="7" t="s">
        <v>611</v>
      </c>
      <c r="C275" t="s">
        <v>29</v>
      </c>
      <c r="D275">
        <f t="shared" si="13"/>
        <v>13</v>
      </c>
      <c r="E275">
        <f t="shared" si="14"/>
        <v>85.209655071809323</v>
      </c>
      <c r="F275" s="10">
        <v>3.392747</v>
      </c>
      <c r="G275" s="10">
        <f t="shared" si="12"/>
        <v>44.105710999999999</v>
      </c>
      <c r="H275" s="10">
        <v>4</v>
      </c>
      <c r="I275" s="20">
        <v>10000000000000</v>
      </c>
      <c r="J275" s="10">
        <v>13</v>
      </c>
      <c r="K275" s="10"/>
      <c r="L275" s="10"/>
      <c r="P275" cm="1">
        <f t="array" ref="P275">IF(SUM(N(ISNUMBER(FIND({"a","b","c","d","e","f","g","h","i","j","k","l","m","n","o","p","q","r","s","t","u","v","w","x","y","z"}, B275))))&gt;0, 26, 0)</f>
        <v>26</v>
      </c>
      <c r="Q275" cm="1">
        <f t="array" ref="Q275">IF(SUM(N(ISNUMBER(FIND({"A","B","C","D","E","F","G","H","I","J","K","L","M","N","O","P","Q","R","S","T","U","V","W","X","Y","Z"}, B275))))&gt;0, 26, 0)</f>
        <v>26</v>
      </c>
      <c r="R275" cm="1">
        <f t="array" ref="R275">IF(SUM(N(ISNUMBER(FIND({0,1,2,3,4,5,6,7,8,9}, B275))))&gt;0, 10, 0)</f>
        <v>0</v>
      </c>
      <c r="S275" cm="1">
        <f t="array" ref="S275">IF(LEN(B275)&gt;SUMPRODUCT(LEN(B275)-LEN(SUBSTITUTE(B275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5" s="2" t="s">
        <v>261</v>
      </c>
    </row>
    <row r="276" spans="1:21" ht="15.6">
      <c r="A276" s="3">
        <v>1</v>
      </c>
      <c r="B276" s="7" t="s">
        <v>612</v>
      </c>
      <c r="C276" t="s">
        <v>29</v>
      </c>
      <c r="D276">
        <f t="shared" si="13"/>
        <v>11</v>
      </c>
      <c r="E276">
        <f t="shared" si="14"/>
        <v>72.100477368454037</v>
      </c>
      <c r="F276" s="10">
        <v>3.0957949999999999</v>
      </c>
      <c r="G276" s="10">
        <f t="shared" si="12"/>
        <v>34.053744999999999</v>
      </c>
      <c r="H276" s="10">
        <v>4</v>
      </c>
      <c r="I276" s="20">
        <v>100000000000</v>
      </c>
      <c r="J276" s="10">
        <v>11</v>
      </c>
      <c r="K276" s="10"/>
      <c r="L276" s="10"/>
      <c r="P276" cm="1">
        <f t="array" ref="P276">IF(SUM(N(ISNUMBER(FIND({"a","b","c","d","e","f","g","h","i","j","k","l","m","n","o","p","q","r","s","t","u","v","w","x","y","z"}, B276))))&gt;0, 26, 0)</f>
        <v>26</v>
      </c>
      <c r="Q276" cm="1">
        <f t="array" ref="Q276">IF(SUM(N(ISNUMBER(FIND({"A","B","C","D","E","F","G","H","I","J","K","L","M","N","O","P","Q","R","S","T","U","V","W","X","Y","Z"}, B276))))&gt;0, 26, 0)</f>
        <v>0</v>
      </c>
      <c r="R276" cm="1">
        <f t="array" ref="R276">IF(SUM(N(ISNUMBER(FIND({0,1,2,3,4,5,6,7,8,9}, B276))))&gt;0, 10, 0)</f>
        <v>0</v>
      </c>
      <c r="S276" cm="1">
        <f t="array" ref="S276">IF(LEN(B276)&gt;SUMPRODUCT(LEN(B276)-LEN(SUBSTITUTE(B276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6" s="2" t="s">
        <v>277</v>
      </c>
    </row>
    <row r="277" spans="1:21" ht="15.6">
      <c r="A277" s="3">
        <v>1</v>
      </c>
      <c r="B277" s="7" t="s">
        <v>613</v>
      </c>
      <c r="C277" t="s">
        <v>29</v>
      </c>
      <c r="D277">
        <f t="shared" si="13"/>
        <v>13</v>
      </c>
      <c r="E277">
        <f t="shared" si="14"/>
        <v>85.209655071809323</v>
      </c>
      <c r="F277" s="10">
        <v>2.8731409999999999</v>
      </c>
      <c r="G277" s="10">
        <f t="shared" si="12"/>
        <v>37.350833000000002</v>
      </c>
      <c r="H277" s="10">
        <v>4</v>
      </c>
      <c r="I277" s="20">
        <v>10000000000000</v>
      </c>
      <c r="J277" s="10">
        <v>13</v>
      </c>
      <c r="K277" s="10"/>
      <c r="L277" s="10"/>
      <c r="P277" cm="1">
        <f t="array" ref="P277">IF(SUM(N(ISNUMBER(FIND({"a","b","c","d","e","f","g","h","i","j","k","l","m","n","o","p","q","r","s","t","u","v","w","x","y","z"}, B277))))&gt;0, 26, 0)</f>
        <v>26</v>
      </c>
      <c r="Q277" cm="1">
        <f t="array" ref="Q277">IF(SUM(N(ISNUMBER(FIND({"A","B","C","D","E","F","G","H","I","J","K","L","M","N","O","P","Q","R","S","T","U","V","W","X","Y","Z"}, B277))))&gt;0, 26, 0)</f>
        <v>0</v>
      </c>
      <c r="R277" cm="1">
        <f t="array" ref="R277">IF(SUM(N(ISNUMBER(FIND({0,1,2,3,4,5,6,7,8,9}, B277))))&gt;0, 10, 0)</f>
        <v>10</v>
      </c>
      <c r="S277" cm="1">
        <f t="array" ref="S277">IF(LEN(B277)&gt;SUMPRODUCT(LEN(B277)-LEN(SUBSTITUTE(B277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7" s="2" t="s">
        <v>293</v>
      </c>
    </row>
    <row r="278" spans="1:21" ht="15.6">
      <c r="A278" s="3">
        <v>1</v>
      </c>
      <c r="B278" s="7" t="s">
        <v>614</v>
      </c>
      <c r="C278" t="s">
        <v>29</v>
      </c>
      <c r="D278">
        <f t="shared" si="13"/>
        <v>16</v>
      </c>
      <c r="E278">
        <f t="shared" si="14"/>
        <v>104.87342162684224</v>
      </c>
      <c r="F278" s="10">
        <v>3.75</v>
      </c>
      <c r="G278" s="10">
        <f t="shared" si="12"/>
        <v>60</v>
      </c>
      <c r="H278" s="10">
        <v>4</v>
      </c>
      <c r="I278" s="20">
        <v>1E+16</v>
      </c>
      <c r="J278" s="10">
        <v>16</v>
      </c>
      <c r="K278" s="10"/>
      <c r="L278" s="10"/>
      <c r="P278" cm="1">
        <f t="array" ref="P278">IF(SUM(N(ISNUMBER(FIND({"a","b","c","d","e","f","g","h","i","j","k","l","m","n","o","p","q","r","s","t","u","v","w","x","y","z"}, B278))))&gt;0, 26, 0)</f>
        <v>26</v>
      </c>
      <c r="Q278" cm="1">
        <f t="array" ref="Q278">IF(SUM(N(ISNUMBER(FIND({"A","B","C","D","E","F","G","H","I","J","K","L","M","N","O","P","Q","R","S","T","U","V","W","X","Y","Z"}, B278))))&gt;0, 26, 0)</f>
        <v>26</v>
      </c>
      <c r="R278" cm="1">
        <f t="array" ref="R278">IF(SUM(N(ISNUMBER(FIND({0,1,2,3,4,5,6,7,8,9}, B278))))&gt;0, 10, 0)</f>
        <v>10</v>
      </c>
      <c r="S278" cm="1">
        <f t="array" ref="S278">IF(LEN(B278)&gt;SUMPRODUCT(LEN(B278)-LEN(SUBSTITUTE(B278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8" s="2" t="s">
        <v>310</v>
      </c>
    </row>
    <row r="279" spans="1:21" ht="15.6">
      <c r="A279" s="3">
        <v>1</v>
      </c>
      <c r="B279" s="7" t="s">
        <v>615</v>
      </c>
      <c r="C279" t="s">
        <v>29</v>
      </c>
      <c r="D279">
        <f t="shared" si="13"/>
        <v>17</v>
      </c>
      <c r="E279">
        <f t="shared" si="14"/>
        <v>111.42801047851988</v>
      </c>
      <c r="F279" s="10">
        <v>3.8077640000000001</v>
      </c>
      <c r="G279" s="10">
        <f t="shared" si="12"/>
        <v>64.731988000000001</v>
      </c>
      <c r="H279" s="10">
        <v>4</v>
      </c>
      <c r="I279" s="20">
        <v>1E+17</v>
      </c>
      <c r="J279" s="10">
        <v>17</v>
      </c>
      <c r="K279" s="10"/>
      <c r="L279" s="10"/>
      <c r="P279" cm="1">
        <f t="array" ref="P279">IF(SUM(N(ISNUMBER(FIND({"a","b","c","d","e","f","g","h","i","j","k","l","m","n","o","p","q","r","s","t","u","v","w","x","y","z"}, B279))))&gt;0, 26, 0)</f>
        <v>26</v>
      </c>
      <c r="Q279" cm="1">
        <f t="array" ref="Q279">IF(SUM(N(ISNUMBER(FIND({"A","B","C","D","E","F","G","H","I","J","K","L","M","N","O","P","Q","R","S","T","U","V","W","X","Y","Z"}, B279))))&gt;0, 26, 0)</f>
        <v>26</v>
      </c>
      <c r="R279" cm="1">
        <f t="array" ref="R279">IF(SUM(N(ISNUMBER(FIND({0,1,2,3,4,5,6,7,8,9}, B279))))&gt;0, 10, 0)</f>
        <v>10</v>
      </c>
      <c r="S279" cm="1">
        <f t="array" ref="S279">IF(LEN(B279)&gt;SUMPRODUCT(LEN(B279)-LEN(SUBSTITUTE(B279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79" s="2" t="s">
        <v>326</v>
      </c>
    </row>
    <row r="280" spans="1:21" ht="15.6">
      <c r="A280" s="3">
        <v>1</v>
      </c>
      <c r="B280" s="7" t="s">
        <v>616</v>
      </c>
      <c r="C280" t="s">
        <v>29</v>
      </c>
      <c r="D280">
        <f t="shared" si="13"/>
        <v>9</v>
      </c>
      <c r="E280">
        <f t="shared" si="14"/>
        <v>58.991299665098765</v>
      </c>
      <c r="F280" s="10">
        <v>3.1699250000000001</v>
      </c>
      <c r="G280" s="10">
        <f t="shared" si="12"/>
        <v>28.529325</v>
      </c>
      <c r="H280" s="10">
        <v>3</v>
      </c>
      <c r="I280" s="20">
        <v>1000000000</v>
      </c>
      <c r="J280" s="10">
        <v>9</v>
      </c>
      <c r="K280" s="10"/>
      <c r="L280" s="10"/>
      <c r="P280" cm="1">
        <f t="array" ref="P280">IF(SUM(N(ISNUMBER(FIND({"a","b","c","d","e","f","g","h","i","j","k","l","m","n","o","p","q","r","s","t","u","v","w","x","y","z"}, B280))))&gt;0, 26, 0)</f>
        <v>26</v>
      </c>
      <c r="Q280" cm="1">
        <f t="array" ref="Q280">IF(SUM(N(ISNUMBER(FIND({"A","B","C","D","E","F","G","H","I","J","K","L","M","N","O","P","Q","R","S","T","U","V","W","X","Y","Z"}, B280))))&gt;0, 26, 0)</f>
        <v>26</v>
      </c>
      <c r="R280" cm="1">
        <f t="array" ref="R280">IF(SUM(N(ISNUMBER(FIND({0,1,2,3,4,5,6,7,8,9}, B280))))&gt;0, 10, 0)</f>
        <v>0</v>
      </c>
      <c r="S280" cm="1">
        <f t="array" ref="S280">IF(LEN(B280)&gt;SUMPRODUCT(LEN(B280)-LEN(SUBSTITUTE(B280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0" s="2" t="s">
        <v>341</v>
      </c>
    </row>
    <row r="281" spans="1:21" ht="15.6">
      <c r="A281" s="3">
        <v>1</v>
      </c>
      <c r="B281" s="7" t="s">
        <v>617</v>
      </c>
      <c r="C281" t="s">
        <v>29</v>
      </c>
      <c r="D281">
        <f t="shared" si="13"/>
        <v>9</v>
      </c>
      <c r="E281">
        <f t="shared" si="14"/>
        <v>58.991299665098765</v>
      </c>
      <c r="F281" s="10">
        <v>3.1699250000000001</v>
      </c>
      <c r="G281" s="10">
        <f t="shared" si="12"/>
        <v>28.529325</v>
      </c>
      <c r="H281" s="10">
        <v>3</v>
      </c>
      <c r="I281" s="20">
        <v>1000000000</v>
      </c>
      <c r="J281" s="10">
        <v>9</v>
      </c>
      <c r="K281" s="10"/>
      <c r="L281" s="10"/>
      <c r="P281" cm="1">
        <f t="array" ref="P281">IF(SUM(N(ISNUMBER(FIND({"a","b","c","d","e","f","g","h","i","j","k","l","m","n","o","p","q","r","s","t","u","v","w","x","y","z"}, B281))))&gt;0, 26, 0)</f>
        <v>26</v>
      </c>
      <c r="Q281" cm="1">
        <f t="array" ref="Q281">IF(SUM(N(ISNUMBER(FIND({"A","B","C","D","E","F","G","H","I","J","K","L","M","N","O","P","Q","R","S","T","U","V","W","X","Y","Z"}, B281))))&gt;0, 26, 0)</f>
        <v>26</v>
      </c>
      <c r="R281" cm="1">
        <f t="array" ref="R281">IF(SUM(N(ISNUMBER(FIND({0,1,2,3,4,5,6,7,8,9}, B281))))&gt;0, 10, 0)</f>
        <v>10</v>
      </c>
      <c r="S281" cm="1">
        <f t="array" ref="S281">IF(LEN(B281)&gt;SUMPRODUCT(LEN(B281)-LEN(SUBSTITUTE(B281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1" s="2" t="s">
        <v>357</v>
      </c>
    </row>
    <row r="282" spans="1:21" ht="15.6">
      <c r="A282" s="3">
        <v>1</v>
      </c>
      <c r="B282" s="7" t="s">
        <v>618</v>
      </c>
      <c r="C282" t="s">
        <v>29</v>
      </c>
      <c r="D282">
        <f t="shared" si="13"/>
        <v>16</v>
      </c>
      <c r="E282">
        <f t="shared" si="14"/>
        <v>104.87342162684224</v>
      </c>
      <c r="F282" s="10">
        <v>3.32782</v>
      </c>
      <c r="G282" s="10">
        <f t="shared" si="12"/>
        <v>53.24512</v>
      </c>
      <c r="H282" s="10">
        <v>4</v>
      </c>
      <c r="I282" s="20">
        <v>1E+16</v>
      </c>
      <c r="J282" s="10">
        <v>16</v>
      </c>
      <c r="K282" s="10"/>
      <c r="L282" s="10"/>
      <c r="P282" cm="1">
        <f t="array" ref="P282">IF(SUM(N(ISNUMBER(FIND({"a","b","c","d","e","f","g","h","i","j","k","l","m","n","o","p","q","r","s","t","u","v","w","x","y","z"}, B282))))&gt;0, 26, 0)</f>
        <v>26</v>
      </c>
      <c r="Q282" cm="1">
        <f t="array" ref="Q282">IF(SUM(N(ISNUMBER(FIND({"A","B","C","D","E","F","G","H","I","J","K","L","M","N","O","P","Q","R","S","T","U","V","W","X","Y","Z"}, B282))))&gt;0, 26, 0)</f>
        <v>26</v>
      </c>
      <c r="R282" cm="1">
        <f t="array" ref="R282">IF(SUM(N(ISNUMBER(FIND({0,1,2,3,4,5,6,7,8,9}, B282))))&gt;0, 10, 0)</f>
        <v>10</v>
      </c>
      <c r="S282" cm="1">
        <f t="array" ref="S282">IF(LEN(B282)&gt;SUMPRODUCT(LEN(B282)-LEN(SUBSTITUTE(B282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2" s="2" t="s">
        <v>51</v>
      </c>
    </row>
    <row r="283" spans="1:21" ht="15.6">
      <c r="A283" s="3">
        <v>1</v>
      </c>
      <c r="B283" s="7" t="s">
        <v>619</v>
      </c>
      <c r="C283" t="s">
        <v>29</v>
      </c>
      <c r="D283">
        <f t="shared" si="13"/>
        <v>9</v>
      </c>
      <c r="E283">
        <f t="shared" si="14"/>
        <v>58.991299665098765</v>
      </c>
      <c r="F283" s="10">
        <v>2.7254809999999998</v>
      </c>
      <c r="G283" s="10">
        <f t="shared" si="12"/>
        <v>24.529328999999997</v>
      </c>
      <c r="H283" s="10">
        <v>3</v>
      </c>
      <c r="I283" s="20">
        <v>1000000000</v>
      </c>
      <c r="J283" s="10">
        <v>9</v>
      </c>
      <c r="K283" s="10"/>
      <c r="L283" s="10"/>
      <c r="P283" cm="1">
        <f t="array" ref="P283">IF(SUM(N(ISNUMBER(FIND({"a","b","c","d","e","f","g","h","i","j","k","l","m","n","o","p","q","r","s","t","u","v","w","x","y","z"}, B283))))&gt;0, 26, 0)</f>
        <v>26</v>
      </c>
      <c r="Q283" cm="1">
        <f t="array" ref="Q283">IF(SUM(N(ISNUMBER(FIND({"A","B","C","D","E","F","G","H","I","J","K","L","M","N","O","P","Q","R","S","T","U","V","W","X","Y","Z"}, B283))))&gt;0, 26, 0)</f>
        <v>26</v>
      </c>
      <c r="R283" cm="1">
        <f t="array" ref="R283">IF(SUM(N(ISNUMBER(FIND({0,1,2,3,4,5,6,7,8,9}, B283))))&gt;0, 10, 0)</f>
        <v>10</v>
      </c>
      <c r="S283" cm="1">
        <f t="array" ref="S283">IF(LEN(B283)&gt;SUMPRODUCT(LEN(B283)-LEN(SUBSTITUTE(B283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3" s="2" t="s">
        <v>68</v>
      </c>
    </row>
    <row r="284" spans="1:21" ht="15.6">
      <c r="A284" s="3">
        <v>1</v>
      </c>
      <c r="B284" s="7" t="s">
        <v>620</v>
      </c>
      <c r="C284" t="s">
        <v>29</v>
      </c>
      <c r="D284">
        <f t="shared" si="13"/>
        <v>16</v>
      </c>
      <c r="E284">
        <f t="shared" si="14"/>
        <v>104.87342162684224</v>
      </c>
      <c r="F284" s="10">
        <v>3.625</v>
      </c>
      <c r="G284" s="10">
        <f t="shared" si="12"/>
        <v>58</v>
      </c>
      <c r="H284" s="10">
        <v>4</v>
      </c>
      <c r="I284" s="20">
        <v>1E+16</v>
      </c>
      <c r="J284" s="10">
        <v>16</v>
      </c>
      <c r="K284" s="10"/>
      <c r="L284" s="10"/>
      <c r="P284" cm="1">
        <f t="array" ref="P284">IF(SUM(N(ISNUMBER(FIND({"a","b","c","d","e","f","g","h","i","j","k","l","m","n","o","p","q","r","s","t","u","v","w","x","y","z"}, B284))))&gt;0, 26, 0)</f>
        <v>26</v>
      </c>
      <c r="Q284" cm="1">
        <f t="array" ref="Q284">IF(SUM(N(ISNUMBER(FIND({"A","B","C","D","E","F","G","H","I","J","K","L","M","N","O","P","Q","R","S","T","U","V","W","X","Y","Z"}, B284))))&gt;0, 26, 0)</f>
        <v>26</v>
      </c>
      <c r="R284" cm="1">
        <f t="array" ref="R284">IF(SUM(N(ISNUMBER(FIND({0,1,2,3,4,5,6,7,8,9}, B284))))&gt;0, 10, 0)</f>
        <v>10</v>
      </c>
      <c r="S284" cm="1">
        <f t="array" ref="S284">IF(LEN(B284)&gt;SUMPRODUCT(LEN(B284)-LEN(SUBSTITUTE(B284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4" s="2" t="s">
        <v>84</v>
      </c>
    </row>
    <row r="285" spans="1:21" ht="15.6">
      <c r="A285" s="3">
        <v>1</v>
      </c>
      <c r="B285" s="7" t="s">
        <v>621</v>
      </c>
      <c r="C285" t="s">
        <v>29</v>
      </c>
      <c r="D285">
        <f t="shared" si="13"/>
        <v>18</v>
      </c>
      <c r="E285">
        <f t="shared" si="14"/>
        <v>117.98259933019753</v>
      </c>
      <c r="F285" s="10">
        <v>3.5724309999999999</v>
      </c>
      <c r="G285" s="10">
        <f t="shared" si="12"/>
        <v>64.303758000000002</v>
      </c>
      <c r="H285" s="10">
        <v>4</v>
      </c>
      <c r="I285" s="20">
        <v>1E+18</v>
      </c>
      <c r="J285" s="10">
        <v>18</v>
      </c>
      <c r="K285" s="10"/>
      <c r="L285" s="10"/>
      <c r="P285" cm="1">
        <f t="array" ref="P285">IF(SUM(N(ISNUMBER(FIND({"a","b","c","d","e","f","g","h","i","j","k","l","m","n","o","p","q","r","s","t","u","v","w","x","y","z"}, B285))))&gt;0, 26, 0)</f>
        <v>26</v>
      </c>
      <c r="Q285" cm="1">
        <f t="array" ref="Q285">IF(SUM(N(ISNUMBER(FIND({"A","B","C","D","E","F","G","H","I","J","K","L","M","N","O","P","Q","R","S","T","U","V","W","X","Y","Z"}, B285))))&gt;0, 26, 0)</f>
        <v>26</v>
      </c>
      <c r="R285" cm="1">
        <f t="array" ref="R285">IF(SUM(N(ISNUMBER(FIND({0,1,2,3,4,5,6,7,8,9}, B285))))&gt;0, 10, 0)</f>
        <v>10</v>
      </c>
      <c r="S285" cm="1">
        <f t="array" ref="S285">IF(LEN(B285)&gt;SUMPRODUCT(LEN(B285)-LEN(SUBSTITUTE(B285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5" s="2" t="s">
        <v>100</v>
      </c>
    </row>
    <row r="286" spans="1:21" ht="15.6">
      <c r="A286" s="3">
        <v>1</v>
      </c>
      <c r="B286" s="7" t="s">
        <v>622</v>
      </c>
      <c r="C286" t="s">
        <v>29</v>
      </c>
      <c r="D286">
        <f t="shared" si="13"/>
        <v>17</v>
      </c>
      <c r="E286">
        <f t="shared" si="14"/>
        <v>111.42801047851988</v>
      </c>
      <c r="F286" s="10">
        <v>3.852169</v>
      </c>
      <c r="G286" s="10">
        <f t="shared" si="12"/>
        <v>65.486873000000003</v>
      </c>
      <c r="H286" s="10">
        <v>4</v>
      </c>
      <c r="I286" s="20">
        <v>1E+17</v>
      </c>
      <c r="J286" s="10">
        <v>17</v>
      </c>
      <c r="K286" s="10"/>
      <c r="L286" s="10"/>
      <c r="P286" cm="1">
        <f t="array" ref="P286">IF(SUM(N(ISNUMBER(FIND({"a","b","c","d","e","f","g","h","i","j","k","l","m","n","o","p","q","r","s","t","u","v","w","x","y","z"}, B286))))&gt;0, 26, 0)</f>
        <v>26</v>
      </c>
      <c r="Q286" cm="1">
        <f t="array" ref="Q286">IF(SUM(N(ISNUMBER(FIND({"A","B","C","D","E","F","G","H","I","J","K","L","M","N","O","P","Q","R","S","T","U","V","W","X","Y","Z"}, B286))))&gt;0, 26, 0)</f>
        <v>26</v>
      </c>
      <c r="R286" cm="1">
        <f t="array" ref="R286">IF(SUM(N(ISNUMBER(FIND({0,1,2,3,4,5,6,7,8,9}, B286))))&gt;0, 10, 0)</f>
        <v>0</v>
      </c>
      <c r="S286" cm="1">
        <f t="array" ref="S286">IF(LEN(B286)&gt;SUMPRODUCT(LEN(B286)-LEN(SUBSTITUTE(B286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286" s="2" t="s">
        <v>116</v>
      </c>
    </row>
    <row r="287" spans="1:21" ht="15.6">
      <c r="A287" s="3">
        <v>1</v>
      </c>
      <c r="B287" s="7" t="s">
        <v>623</v>
      </c>
      <c r="C287" t="s">
        <v>29</v>
      </c>
      <c r="D287">
        <f t="shared" si="13"/>
        <v>14</v>
      </c>
      <c r="E287">
        <f t="shared" si="14"/>
        <v>91.764243923486958</v>
      </c>
      <c r="F287" s="10">
        <v>3.3248630000000001</v>
      </c>
      <c r="G287" s="10">
        <f t="shared" si="12"/>
        <v>46.548082000000001</v>
      </c>
      <c r="H287" s="10">
        <v>4</v>
      </c>
      <c r="I287" s="20">
        <v>100000000000000</v>
      </c>
      <c r="J287" s="10">
        <v>14</v>
      </c>
      <c r="K287" s="10"/>
      <c r="L287" s="10"/>
      <c r="P287" cm="1">
        <f t="array" ref="P287">IF(SUM(N(ISNUMBER(FIND({"a","b","c","d","e","f","g","h","i","j","k","l","m","n","o","p","q","r","s","t","u","v","w","x","y","z"}, B287))))&gt;0, 26, 0)</f>
        <v>26</v>
      </c>
      <c r="Q287" cm="1">
        <f t="array" ref="Q287">IF(SUM(N(ISNUMBER(FIND({"A","B","C","D","E","F","G","H","I","J","K","L","M","N","O","P","Q","R","S","T","U","V","W","X","Y","Z"}, B287))))&gt;0, 26, 0)</f>
        <v>26</v>
      </c>
      <c r="R287" cm="1">
        <f t="array" ref="R287">IF(SUM(N(ISNUMBER(FIND({0,1,2,3,4,5,6,7,8,9}, B287))))&gt;0, 10, 0)</f>
        <v>10</v>
      </c>
      <c r="S287" cm="1">
        <f t="array" ref="S287">IF(LEN(B287)&gt;SUMPRODUCT(LEN(B287)-LEN(SUBSTITUTE(B287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7" s="2" t="s">
        <v>133</v>
      </c>
    </row>
    <row r="288" spans="1:21" ht="15.6">
      <c r="A288" s="3">
        <v>1</v>
      </c>
      <c r="B288" s="7" t="s">
        <v>624</v>
      </c>
      <c r="C288" t="s">
        <v>29</v>
      </c>
      <c r="D288">
        <f t="shared" si="13"/>
        <v>14</v>
      </c>
      <c r="E288">
        <f t="shared" si="14"/>
        <v>91.764243923486958</v>
      </c>
      <c r="F288" s="10">
        <v>3.664498</v>
      </c>
      <c r="G288" s="10">
        <f t="shared" si="12"/>
        <v>51.302971999999997</v>
      </c>
      <c r="H288" s="10">
        <v>4</v>
      </c>
      <c r="I288" s="20">
        <v>100000000000000</v>
      </c>
      <c r="J288" s="10">
        <v>14</v>
      </c>
      <c r="K288" s="10"/>
      <c r="L288" s="10"/>
      <c r="P288" cm="1">
        <f t="array" ref="P288">IF(SUM(N(ISNUMBER(FIND({"a","b","c","d","e","f","g","h","i","j","k","l","m","n","o","p","q","r","s","t","u","v","w","x","y","z"}, B288))))&gt;0, 26, 0)</f>
        <v>26</v>
      </c>
      <c r="Q288" cm="1">
        <f t="array" ref="Q288">IF(SUM(N(ISNUMBER(FIND({"A","B","C","D","E","F","G","H","I","J","K","L","M","N","O","P","Q","R","S","T","U","V","W","X","Y","Z"}, B288))))&gt;0, 26, 0)</f>
        <v>0</v>
      </c>
      <c r="R288" cm="1">
        <f t="array" ref="R288">IF(SUM(N(ISNUMBER(FIND({0,1,2,3,4,5,6,7,8,9}, B288))))&gt;0, 10, 0)</f>
        <v>10</v>
      </c>
      <c r="S288" cm="1">
        <f t="array" ref="S288">IF(LEN(B288)&gt;SUMPRODUCT(LEN(B288)-LEN(SUBSTITUTE(B288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8" s="2" t="s">
        <v>149</v>
      </c>
    </row>
    <row r="289" spans="1:21" ht="15.6">
      <c r="A289" s="3">
        <v>1</v>
      </c>
      <c r="B289" s="7" t="s">
        <v>625</v>
      </c>
      <c r="C289" t="s">
        <v>29</v>
      </c>
      <c r="D289">
        <f t="shared" si="13"/>
        <v>16</v>
      </c>
      <c r="E289">
        <f t="shared" si="14"/>
        <v>104.87342162684224</v>
      </c>
      <c r="F289" s="10">
        <v>3.75</v>
      </c>
      <c r="G289" s="10">
        <f t="shared" si="12"/>
        <v>60</v>
      </c>
      <c r="H289" s="10">
        <v>4</v>
      </c>
      <c r="I289" s="20">
        <v>1E+16</v>
      </c>
      <c r="J289" s="10">
        <v>16</v>
      </c>
      <c r="K289" s="10"/>
      <c r="L289" s="10"/>
      <c r="P289" cm="1">
        <f t="array" ref="P289">IF(SUM(N(ISNUMBER(FIND({"a","b","c","d","e","f","g","h","i","j","k","l","m","n","o","p","q","r","s","t","u","v","w","x","y","z"}, B289))))&gt;0, 26, 0)</f>
        <v>26</v>
      </c>
      <c r="Q289" cm="1">
        <f t="array" ref="Q289">IF(SUM(N(ISNUMBER(FIND({"A","B","C","D","E","F","G","H","I","J","K","L","M","N","O","P","Q","R","S","T","U","V","W","X","Y","Z"}, B289))))&gt;0, 26, 0)</f>
        <v>26</v>
      </c>
      <c r="R289" cm="1">
        <f t="array" ref="R289">IF(SUM(N(ISNUMBER(FIND({0,1,2,3,4,5,6,7,8,9}, B289))))&gt;0, 10, 0)</f>
        <v>10</v>
      </c>
      <c r="S289" cm="1">
        <f t="array" ref="S289">IF(LEN(B289)&gt;SUMPRODUCT(LEN(B289)-LEN(SUBSTITUTE(B289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89" s="2" t="s">
        <v>165</v>
      </c>
    </row>
    <row r="290" spans="1:21" ht="15.6">
      <c r="A290" s="3">
        <v>1</v>
      </c>
      <c r="B290" s="7" t="s">
        <v>626</v>
      </c>
      <c r="C290" t="s">
        <v>29</v>
      </c>
      <c r="D290">
        <f t="shared" si="13"/>
        <v>14</v>
      </c>
      <c r="E290">
        <f t="shared" si="14"/>
        <v>91.764243923486958</v>
      </c>
      <c r="F290" s="10">
        <v>3.3787829999999999</v>
      </c>
      <c r="G290" s="10">
        <f t="shared" si="12"/>
        <v>47.302962000000001</v>
      </c>
      <c r="H290" s="10">
        <v>4</v>
      </c>
      <c r="I290" s="20">
        <v>100000000000000</v>
      </c>
      <c r="J290" s="10">
        <v>14</v>
      </c>
      <c r="K290" s="10"/>
      <c r="L290" s="10"/>
      <c r="P290" cm="1">
        <f t="array" ref="P290">IF(SUM(N(ISNUMBER(FIND({"a","b","c","d","e","f","g","h","i","j","k","l","m","n","o","p","q","r","s","t","u","v","w","x","y","z"}, B290))))&gt;0, 26, 0)</f>
        <v>26</v>
      </c>
      <c r="Q290" cm="1">
        <f t="array" ref="Q290">IF(SUM(N(ISNUMBER(FIND({"A","B","C","D","E","F","G","H","I","J","K","L","M","N","O","P","Q","R","S","T","U","V","W","X","Y","Z"}, B290))))&gt;0, 26, 0)</f>
        <v>0</v>
      </c>
      <c r="R290" cm="1">
        <f t="array" ref="R290">IF(SUM(N(ISNUMBER(FIND({0,1,2,3,4,5,6,7,8,9}, B290))))&gt;0, 10, 0)</f>
        <v>10</v>
      </c>
      <c r="S290" cm="1">
        <f t="array" ref="S290">IF(LEN(B290)&gt;SUMPRODUCT(LEN(B290)-LEN(SUBSTITUTE(B290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0" s="2" t="s">
        <v>181</v>
      </c>
    </row>
    <row r="291" spans="1:21" ht="15.6">
      <c r="A291" s="3">
        <v>1</v>
      </c>
      <c r="B291" s="7" t="s">
        <v>627</v>
      </c>
      <c r="C291" t="s">
        <v>29</v>
      </c>
      <c r="D291">
        <f t="shared" si="13"/>
        <v>15</v>
      </c>
      <c r="E291">
        <f t="shared" si="14"/>
        <v>98.318832775164609</v>
      </c>
      <c r="F291" s="10">
        <v>3.4565649999999999</v>
      </c>
      <c r="G291" s="10">
        <f t="shared" si="12"/>
        <v>51.848475000000001</v>
      </c>
      <c r="H291" s="10">
        <v>4</v>
      </c>
      <c r="I291" s="20">
        <v>1000000000000000</v>
      </c>
      <c r="J291" s="10">
        <v>15</v>
      </c>
      <c r="K291" s="10"/>
      <c r="L291" s="10"/>
      <c r="P291" cm="1">
        <f t="array" ref="P291">IF(SUM(N(ISNUMBER(FIND({"a","b","c","d","e","f","g","h","i","j","k","l","m","n","o","p","q","r","s","t","u","v","w","x","y","z"}, B291))))&gt;0, 26, 0)</f>
        <v>26</v>
      </c>
      <c r="Q291" cm="1">
        <f t="array" ref="Q291">IF(SUM(N(ISNUMBER(FIND({"A","B","C","D","E","F","G","H","I","J","K","L","M","N","O","P","Q","R","S","T","U","V","W","X","Y","Z"}, B291))))&gt;0, 26, 0)</f>
        <v>0</v>
      </c>
      <c r="R291" cm="1">
        <f t="array" ref="R291">IF(SUM(N(ISNUMBER(FIND({0,1,2,3,4,5,6,7,8,9}, B291))))&gt;0, 10, 0)</f>
        <v>10</v>
      </c>
      <c r="S291" cm="1">
        <f t="array" ref="S291">IF(LEN(B291)&gt;SUMPRODUCT(LEN(B291)-LEN(SUBSTITUTE(B291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1" s="2" t="s">
        <v>198</v>
      </c>
    </row>
    <row r="292" spans="1:21" ht="15.6">
      <c r="A292" s="3">
        <v>1</v>
      </c>
      <c r="B292" s="7" t="s">
        <v>628</v>
      </c>
      <c r="C292" t="s">
        <v>29</v>
      </c>
      <c r="D292">
        <f t="shared" si="13"/>
        <v>13</v>
      </c>
      <c r="E292">
        <f t="shared" si="14"/>
        <v>85.209655071809323</v>
      </c>
      <c r="F292" s="10">
        <v>3.0850550000000001</v>
      </c>
      <c r="G292" s="10">
        <f t="shared" si="12"/>
        <v>40.105715000000004</v>
      </c>
      <c r="H292" s="10">
        <v>4</v>
      </c>
      <c r="I292" s="20">
        <v>10000000000000</v>
      </c>
      <c r="J292" s="10">
        <v>13</v>
      </c>
      <c r="K292" s="10"/>
      <c r="L292" s="10"/>
      <c r="P292" cm="1">
        <f t="array" ref="P292">IF(SUM(N(ISNUMBER(FIND({"a","b","c","d","e","f","g","h","i","j","k","l","m","n","o","p","q","r","s","t","u","v","w","x","y","z"}, B292))))&gt;0, 26, 0)</f>
        <v>26</v>
      </c>
      <c r="Q292" cm="1">
        <f t="array" ref="Q292">IF(SUM(N(ISNUMBER(FIND({"A","B","C","D","E","F","G","H","I","J","K","L","M","N","O","P","Q","R","S","T","U","V","W","X","Y","Z"}, B292))))&gt;0, 26, 0)</f>
        <v>26</v>
      </c>
      <c r="R292" cm="1">
        <f t="array" ref="R292">IF(SUM(N(ISNUMBER(FIND({0,1,2,3,4,5,6,7,8,9}, B292))))&gt;0, 10, 0)</f>
        <v>10</v>
      </c>
      <c r="S292" cm="1">
        <f t="array" ref="S292">IF(LEN(B292)&gt;SUMPRODUCT(LEN(B292)-LEN(SUBSTITUTE(B292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2" s="2" t="s">
        <v>214</v>
      </c>
    </row>
    <row r="293" spans="1:21" ht="15.6">
      <c r="A293" s="3">
        <v>1</v>
      </c>
      <c r="B293" s="7" t="s">
        <v>629</v>
      </c>
      <c r="C293" t="s">
        <v>29</v>
      </c>
      <c r="D293">
        <f t="shared" si="13"/>
        <v>15</v>
      </c>
      <c r="E293">
        <f t="shared" si="14"/>
        <v>98.318832775164609</v>
      </c>
      <c r="F293" s="10">
        <v>3.4565649999999999</v>
      </c>
      <c r="G293" s="10">
        <f t="shared" si="12"/>
        <v>51.848475000000001</v>
      </c>
      <c r="H293" s="10">
        <v>4</v>
      </c>
      <c r="I293" s="20">
        <v>1000000000000000</v>
      </c>
      <c r="J293" s="10">
        <v>15</v>
      </c>
      <c r="K293" s="10"/>
      <c r="L293" s="10"/>
      <c r="P293" cm="1">
        <f t="array" ref="P293">IF(SUM(N(ISNUMBER(FIND({"a","b","c","d","e","f","g","h","i","j","k","l","m","n","o","p","q","r","s","t","u","v","w","x","y","z"}, B293))))&gt;0, 26, 0)</f>
        <v>26</v>
      </c>
      <c r="Q293" cm="1">
        <f t="array" ref="Q293">IF(SUM(N(ISNUMBER(FIND({"A","B","C","D","E","F","G","H","I","J","K","L","M","N","O","P","Q","R","S","T","U","V","W","X","Y","Z"}, B293))))&gt;0, 26, 0)</f>
        <v>26</v>
      </c>
      <c r="R293" cm="1">
        <f t="array" ref="R293">IF(SUM(N(ISNUMBER(FIND({0,1,2,3,4,5,6,7,8,9}, B293))))&gt;0, 10, 0)</f>
        <v>10</v>
      </c>
      <c r="S293" cm="1">
        <f t="array" ref="S293">IF(LEN(B293)&gt;SUMPRODUCT(LEN(B293)-LEN(SUBSTITUTE(B293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3" s="2" t="s">
        <v>230</v>
      </c>
    </row>
    <row r="294" spans="1:21" ht="15.6">
      <c r="A294" s="3">
        <v>1</v>
      </c>
      <c r="B294" s="7" t="s">
        <v>630</v>
      </c>
      <c r="C294" t="s">
        <v>29</v>
      </c>
      <c r="D294">
        <f t="shared" si="13"/>
        <v>12</v>
      </c>
      <c r="E294">
        <f t="shared" si="14"/>
        <v>78.655066220131687</v>
      </c>
      <c r="F294" s="10">
        <v>3.2516289999999999</v>
      </c>
      <c r="G294" s="10">
        <f t="shared" si="12"/>
        <v>39.019548</v>
      </c>
      <c r="H294" s="10">
        <v>4</v>
      </c>
      <c r="I294" s="20">
        <v>1000000000000</v>
      </c>
      <c r="J294" s="10">
        <v>12</v>
      </c>
      <c r="K294" s="10"/>
      <c r="L294" s="10"/>
      <c r="P294" cm="1">
        <f t="array" ref="P294">IF(SUM(N(ISNUMBER(FIND({"a","b","c","d","e","f","g","h","i","j","k","l","m","n","o","p","q","r","s","t","u","v","w","x","y","z"}, B294))))&gt;0, 26, 0)</f>
        <v>26</v>
      </c>
      <c r="Q294" cm="1">
        <f t="array" ref="Q294">IF(SUM(N(ISNUMBER(FIND({"A","B","C","D","E","F","G","H","I","J","K","L","M","N","O","P","Q","R","S","T","U","V","W","X","Y","Z"}, B294))))&gt;0, 26, 0)</f>
        <v>26</v>
      </c>
      <c r="R294" cm="1">
        <f t="array" ref="R294">IF(SUM(N(ISNUMBER(FIND({0,1,2,3,4,5,6,7,8,9}, B294))))&gt;0, 10, 0)</f>
        <v>0</v>
      </c>
      <c r="S294" cm="1">
        <f t="array" ref="S294">IF(LEN(B294)&gt;SUMPRODUCT(LEN(B294)-LEN(SUBSTITUTE(B294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4" s="2" t="s">
        <v>246</v>
      </c>
    </row>
    <row r="295" spans="1:21" ht="15.6">
      <c r="A295" s="3">
        <v>1</v>
      </c>
      <c r="B295" s="7" t="s">
        <v>631</v>
      </c>
      <c r="C295" t="s">
        <v>29</v>
      </c>
      <c r="D295">
        <f t="shared" si="13"/>
        <v>12</v>
      </c>
      <c r="E295">
        <f t="shared" si="14"/>
        <v>78.655066220131687</v>
      </c>
      <c r="F295" s="10">
        <v>3.0220549999999999</v>
      </c>
      <c r="G295" s="10">
        <f t="shared" si="12"/>
        <v>36.264659999999999</v>
      </c>
      <c r="H295" s="10">
        <v>4</v>
      </c>
      <c r="I295" s="20">
        <v>1000000000000</v>
      </c>
      <c r="J295" s="10">
        <v>12</v>
      </c>
      <c r="K295" s="10"/>
      <c r="L295" s="10"/>
      <c r="P295" cm="1">
        <f t="array" ref="P295">IF(SUM(N(ISNUMBER(FIND({"a","b","c","d","e","f","g","h","i","j","k","l","m","n","o","p","q","r","s","t","u","v","w","x","y","z"}, B295))))&gt;0, 26, 0)</f>
        <v>26</v>
      </c>
      <c r="Q295" cm="1">
        <f t="array" ref="Q295">IF(SUM(N(ISNUMBER(FIND({"A","B","C","D","E","F","G","H","I","J","K","L","M","N","O","P","Q","R","S","T","U","V","W","X","Y","Z"}, B295))))&gt;0, 26, 0)</f>
        <v>26</v>
      </c>
      <c r="R295" cm="1">
        <f t="array" ref="R295">IF(SUM(N(ISNUMBER(FIND({0,1,2,3,4,5,6,7,8,9}, B295))))&gt;0, 10, 0)</f>
        <v>10</v>
      </c>
      <c r="S295" cm="1">
        <f t="array" ref="S295">IF(LEN(B295)&gt;SUMPRODUCT(LEN(B295)-LEN(SUBSTITUTE(B295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5" s="2" t="s">
        <v>262</v>
      </c>
    </row>
    <row r="296" spans="1:21" ht="15.6">
      <c r="A296" s="3">
        <v>1</v>
      </c>
      <c r="B296" s="7" t="s">
        <v>632</v>
      </c>
      <c r="C296" t="s">
        <v>29</v>
      </c>
      <c r="D296">
        <f t="shared" si="13"/>
        <v>12</v>
      </c>
      <c r="E296">
        <f t="shared" si="14"/>
        <v>78.655066220131687</v>
      </c>
      <c r="F296" s="10">
        <v>2.8553890000000002</v>
      </c>
      <c r="G296" s="10">
        <f t="shared" si="12"/>
        <v>34.264668</v>
      </c>
      <c r="H296" s="10">
        <v>4</v>
      </c>
      <c r="I296" s="20">
        <v>1000000000000</v>
      </c>
      <c r="J296" s="10">
        <v>12</v>
      </c>
      <c r="K296" s="10"/>
      <c r="L296" s="10"/>
      <c r="P296" cm="1">
        <f t="array" ref="P296">IF(SUM(N(ISNUMBER(FIND({"a","b","c","d","e","f","g","h","i","j","k","l","m","n","o","p","q","r","s","t","u","v","w","x","y","z"}, B296))))&gt;0, 26, 0)</f>
        <v>26</v>
      </c>
      <c r="Q296" cm="1">
        <f t="array" ref="Q296">IF(SUM(N(ISNUMBER(FIND({"A","B","C","D","E","F","G","H","I","J","K","L","M","N","O","P","Q","R","S","T","U","V","W","X","Y","Z"}, B296))))&gt;0, 26, 0)</f>
        <v>0</v>
      </c>
      <c r="R296" cm="1">
        <f t="array" ref="R296">IF(SUM(N(ISNUMBER(FIND({0,1,2,3,4,5,6,7,8,9}, B296))))&gt;0, 10, 0)</f>
        <v>0</v>
      </c>
      <c r="S296" cm="1">
        <f t="array" ref="S296">IF(LEN(B296)&gt;SUMPRODUCT(LEN(B296)-LEN(SUBSTITUTE(B296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6" s="2" t="s">
        <v>278</v>
      </c>
    </row>
    <row r="297" spans="1:21" ht="15.6">
      <c r="A297" s="3">
        <v>1</v>
      </c>
      <c r="B297" s="7" t="s">
        <v>633</v>
      </c>
      <c r="C297" t="s">
        <v>29</v>
      </c>
      <c r="D297">
        <f t="shared" si="13"/>
        <v>14</v>
      </c>
      <c r="E297">
        <f t="shared" si="14"/>
        <v>91.764243923486958</v>
      </c>
      <c r="F297" s="10">
        <v>3.2359260000000001</v>
      </c>
      <c r="G297" s="10">
        <f t="shared" si="12"/>
        <v>45.302964000000003</v>
      </c>
      <c r="H297" s="10">
        <v>4</v>
      </c>
      <c r="I297" s="20">
        <v>12100000000000</v>
      </c>
      <c r="J297" s="10">
        <v>13.08351</v>
      </c>
      <c r="K297" s="10"/>
      <c r="L297" s="10"/>
      <c r="P297" cm="1">
        <f t="array" ref="P297">IF(SUM(N(ISNUMBER(FIND({"a","b","c","d","e","f","g","h","i","j","k","l","m","n","o","p","q","r","s","t","u","v","w","x","y","z"}, B297))))&gt;0, 26, 0)</f>
        <v>26</v>
      </c>
      <c r="Q297" cm="1">
        <f t="array" ref="Q297">IF(SUM(N(ISNUMBER(FIND({"A","B","C","D","E","F","G","H","I","J","K","L","M","N","O","P","Q","R","S","T","U","V","W","X","Y","Z"}, B297))))&gt;0, 26, 0)</f>
        <v>0</v>
      </c>
      <c r="R297" cm="1">
        <f t="array" ref="R297">IF(SUM(N(ISNUMBER(FIND({0,1,2,3,4,5,6,7,8,9}, B297))))&gt;0, 10, 0)</f>
        <v>10</v>
      </c>
      <c r="S297" cm="1">
        <f t="array" ref="S297">IF(LEN(B297)&gt;SUMPRODUCT(LEN(B297)-LEN(SUBSTITUTE(B297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7" s="2" t="s">
        <v>294</v>
      </c>
    </row>
    <row r="298" spans="1:21" ht="15.6">
      <c r="A298" s="3">
        <v>1</v>
      </c>
      <c r="B298" s="7" t="s">
        <v>634</v>
      </c>
      <c r="C298" t="s">
        <v>29</v>
      </c>
      <c r="D298">
        <f t="shared" si="13"/>
        <v>15</v>
      </c>
      <c r="E298">
        <f t="shared" si="14"/>
        <v>98.318832775164609</v>
      </c>
      <c r="F298" s="10">
        <v>3.3735569999999999</v>
      </c>
      <c r="G298" s="10">
        <f t="shared" si="12"/>
        <v>50.603355000000001</v>
      </c>
      <c r="H298" s="10">
        <v>4</v>
      </c>
      <c r="I298" s="20">
        <v>1000000000000000</v>
      </c>
      <c r="J298" s="10">
        <v>15</v>
      </c>
      <c r="K298" s="10"/>
      <c r="L298" s="10"/>
      <c r="P298" cm="1">
        <f t="array" ref="P298">IF(SUM(N(ISNUMBER(FIND({"a","b","c","d","e","f","g","h","i","j","k","l","m","n","o","p","q","r","s","t","u","v","w","x","y","z"}, B298))))&gt;0, 26, 0)</f>
        <v>26</v>
      </c>
      <c r="Q298" cm="1">
        <f t="array" ref="Q298">IF(SUM(N(ISNUMBER(FIND({"A","B","C","D","E","F","G","H","I","J","K","L","M","N","O","P","Q","R","S","T","U","V","W","X","Y","Z"}, B298))))&gt;0, 26, 0)</f>
        <v>26</v>
      </c>
      <c r="R298" cm="1">
        <f t="array" ref="R298">IF(SUM(N(ISNUMBER(FIND({0,1,2,3,4,5,6,7,8,9}, B298))))&gt;0, 10, 0)</f>
        <v>10</v>
      </c>
      <c r="S298" cm="1">
        <f t="array" ref="S298">IF(LEN(B298)&gt;SUMPRODUCT(LEN(B298)-LEN(SUBSTITUTE(B298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8" s="2" t="s">
        <v>311</v>
      </c>
    </row>
    <row r="299" spans="1:21" ht="15.6">
      <c r="A299" s="3">
        <v>1</v>
      </c>
      <c r="B299" s="7" t="s">
        <v>635</v>
      </c>
      <c r="C299" t="s">
        <v>29</v>
      </c>
      <c r="D299">
        <f t="shared" si="13"/>
        <v>14</v>
      </c>
      <c r="E299">
        <f t="shared" si="14"/>
        <v>91.764243923486958</v>
      </c>
      <c r="F299" s="10">
        <v>3.1820059999999999</v>
      </c>
      <c r="G299" s="10">
        <f t="shared" si="12"/>
        <v>44.548083999999996</v>
      </c>
      <c r="H299" s="10">
        <v>4</v>
      </c>
      <c r="I299" s="20">
        <v>100000000000000</v>
      </c>
      <c r="J299" s="10">
        <v>14</v>
      </c>
      <c r="K299" s="10"/>
      <c r="L299" s="10"/>
      <c r="P299" cm="1">
        <f t="array" ref="P299">IF(SUM(N(ISNUMBER(FIND({"a","b","c","d","e","f","g","h","i","j","k","l","m","n","o","p","q","r","s","t","u","v","w","x","y","z"}, B299))))&gt;0, 26, 0)</f>
        <v>26</v>
      </c>
      <c r="Q299" cm="1">
        <f t="array" ref="Q299">IF(SUM(N(ISNUMBER(FIND({"A","B","C","D","E","F","G","H","I","J","K","L","M","N","O","P","Q","R","S","T","U","V","W","X","Y","Z"}, B299))))&gt;0, 26, 0)</f>
        <v>0</v>
      </c>
      <c r="R299" cm="1">
        <f t="array" ref="R299">IF(SUM(N(ISNUMBER(FIND({0,1,2,3,4,5,6,7,8,9}, B299))))&gt;0, 10, 0)</f>
        <v>10</v>
      </c>
      <c r="S299" cm="1">
        <f t="array" ref="S299">IF(LEN(B299)&gt;SUMPRODUCT(LEN(B299)-LEN(SUBSTITUTE(B299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299" s="2" t="s">
        <v>327</v>
      </c>
    </row>
    <row r="300" spans="1:21" ht="15.6">
      <c r="A300" s="3">
        <v>1</v>
      </c>
      <c r="B300" s="7" t="s">
        <v>636</v>
      </c>
      <c r="C300" t="s">
        <v>29</v>
      </c>
      <c r="D300">
        <f t="shared" si="13"/>
        <v>18</v>
      </c>
      <c r="E300">
        <f t="shared" si="14"/>
        <v>117.98259933019753</v>
      </c>
      <c r="F300" s="10">
        <v>3.6835420000000001</v>
      </c>
      <c r="G300" s="10">
        <f t="shared" si="12"/>
        <v>66.303756000000007</v>
      </c>
      <c r="H300" s="10">
        <v>4</v>
      </c>
      <c r="I300" s="20">
        <v>1E+18</v>
      </c>
      <c r="J300" s="10">
        <v>18</v>
      </c>
      <c r="K300" s="10"/>
      <c r="L300" s="10"/>
      <c r="P300" cm="1">
        <f t="array" ref="P300">IF(SUM(N(ISNUMBER(FIND({"a","b","c","d","e","f","g","h","i","j","k","l","m","n","o","p","q","r","s","t","u","v","w","x","y","z"}, B300))))&gt;0, 26, 0)</f>
        <v>26</v>
      </c>
      <c r="Q300" cm="1">
        <f t="array" ref="Q300">IF(SUM(N(ISNUMBER(FIND({"A","B","C","D","E","F","G","H","I","J","K","L","M","N","O","P","Q","R","S","T","U","V","W","X","Y","Z"}, B300))))&gt;0, 26, 0)</f>
        <v>26</v>
      </c>
      <c r="R300" cm="1">
        <f t="array" ref="R300">IF(SUM(N(ISNUMBER(FIND({0,1,2,3,4,5,6,7,8,9}, B300))))&gt;0, 10, 0)</f>
        <v>10</v>
      </c>
      <c r="S300" cm="1">
        <f t="array" ref="S300">IF(LEN(B300)&gt;SUMPRODUCT(LEN(B300)-LEN(SUBSTITUTE(B300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00" s="2" t="s">
        <v>342</v>
      </c>
    </row>
    <row r="301" spans="1:21" ht="15.6">
      <c r="A301" s="3">
        <v>1</v>
      </c>
      <c r="B301" s="7" t="s">
        <v>637</v>
      </c>
      <c r="C301" t="s">
        <v>29</v>
      </c>
      <c r="D301">
        <f t="shared" si="13"/>
        <v>15</v>
      </c>
      <c r="E301">
        <f t="shared" si="14"/>
        <v>98.318832775164609</v>
      </c>
      <c r="F301" s="10">
        <v>3.506891</v>
      </c>
      <c r="G301" s="10">
        <f t="shared" si="12"/>
        <v>52.603364999999997</v>
      </c>
      <c r="H301" s="10">
        <v>4</v>
      </c>
      <c r="I301" s="20">
        <v>1000000000000000</v>
      </c>
      <c r="J301" s="10">
        <v>15</v>
      </c>
      <c r="K301" s="10"/>
      <c r="L301" s="10"/>
      <c r="P301" cm="1">
        <f t="array" ref="P301">IF(SUM(N(ISNUMBER(FIND({"a","b","c","d","e","f","g","h","i","j","k","l","m","n","o","p","q","r","s","t","u","v","w","x","y","z"}, B301))))&gt;0, 26, 0)</f>
        <v>26</v>
      </c>
      <c r="Q301" cm="1">
        <f t="array" ref="Q301">IF(SUM(N(ISNUMBER(FIND({"A","B","C","D","E","F","G","H","I","J","K","L","M","N","O","P","Q","R","S","T","U","V","W","X","Y","Z"}, B301))))&gt;0, 26, 0)</f>
        <v>26</v>
      </c>
      <c r="R301" cm="1">
        <f t="array" ref="R301">IF(SUM(N(ISNUMBER(FIND({0,1,2,3,4,5,6,7,8,9}, B301))))&gt;0, 10, 0)</f>
        <v>10</v>
      </c>
      <c r="S301" cm="1">
        <f t="array" ref="S301">IF(LEN(B301)&gt;SUMPRODUCT(LEN(B301)-LEN(SUBSTITUTE(B301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01" s="2" t="s">
        <v>358</v>
      </c>
    </row>
    <row r="302" spans="1:21" ht="15.6">
      <c r="A302" s="3">
        <v>1</v>
      </c>
      <c r="B302" s="7" t="s">
        <v>638</v>
      </c>
      <c r="C302" t="s">
        <v>29</v>
      </c>
      <c r="D302">
        <f t="shared" si="13"/>
        <v>16</v>
      </c>
      <c r="E302">
        <f t="shared" si="14"/>
        <v>104.87342162684224</v>
      </c>
      <c r="F302" s="10">
        <v>3.5</v>
      </c>
      <c r="G302" s="10">
        <f t="shared" si="12"/>
        <v>56</v>
      </c>
      <c r="H302" s="10">
        <v>4</v>
      </c>
      <c r="I302" s="20">
        <v>1E+16</v>
      </c>
      <c r="J302" s="10">
        <v>16</v>
      </c>
      <c r="K302" s="10"/>
      <c r="L302" s="10"/>
      <c r="P302" cm="1">
        <f t="array" ref="P302">IF(SUM(N(ISNUMBER(FIND({"a","b","c","d","e","f","g","h","i","j","k","l","m","n","o","p","q","r","s","t","u","v","w","x","y","z"}, B302))))&gt;0, 26, 0)</f>
        <v>26</v>
      </c>
      <c r="Q302" cm="1">
        <f t="array" ref="Q302">IF(SUM(N(ISNUMBER(FIND({"A","B","C","D","E","F","G","H","I","J","K","L","M","N","O","P","Q","R","S","T","U","V","W","X","Y","Z"}, B302))))&gt;0, 26, 0)</f>
        <v>26</v>
      </c>
      <c r="R302" cm="1">
        <f t="array" ref="R302">IF(SUM(N(ISNUMBER(FIND({0,1,2,3,4,5,6,7,8,9}, B302))))&gt;0, 10, 0)</f>
        <v>0</v>
      </c>
      <c r="S302" cm="1">
        <f t="array" ref="S302">IF(LEN(B302)&gt;SUMPRODUCT(LEN(B302)-LEN(SUBSTITUTE(B302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02" s="2"/>
    </row>
    <row r="303" spans="1:21" ht="15.6">
      <c r="A303" s="3">
        <v>1</v>
      </c>
      <c r="B303" s="7" t="s">
        <v>639</v>
      </c>
      <c r="C303" t="s">
        <v>29</v>
      </c>
      <c r="D303">
        <f t="shared" si="13"/>
        <v>15</v>
      </c>
      <c r="E303">
        <f t="shared" si="14"/>
        <v>98.318832775164609</v>
      </c>
      <c r="F303" s="10">
        <v>3.506891</v>
      </c>
      <c r="G303" s="10">
        <f t="shared" si="12"/>
        <v>52.603364999999997</v>
      </c>
      <c r="H303" s="10">
        <v>4</v>
      </c>
      <c r="I303" s="20">
        <v>1000000000000000</v>
      </c>
      <c r="J303" s="10">
        <v>15</v>
      </c>
      <c r="K303" s="10"/>
      <c r="L303" s="10"/>
      <c r="P303" cm="1">
        <f t="array" ref="P303">IF(SUM(N(ISNUMBER(FIND({"a","b","c","d","e","f","g","h","i","j","k","l","m","n","o","p","q","r","s","t","u","v","w","x","y","z"}, B303))))&gt;0, 26, 0)</f>
        <v>26</v>
      </c>
      <c r="Q303" cm="1">
        <f t="array" ref="Q303">IF(SUM(N(ISNUMBER(FIND({"A","B","C","D","E","F","G","H","I","J","K","L","M","N","O","P","Q","R","S","T","U","V","W","X","Y","Z"}, B303))))&gt;0, 26, 0)</f>
        <v>26</v>
      </c>
      <c r="R303" cm="1">
        <f t="array" ref="R303">IF(SUM(N(ISNUMBER(FIND({0,1,2,3,4,5,6,7,8,9}, B303))))&gt;0, 10, 0)</f>
        <v>10</v>
      </c>
      <c r="S303" cm="1">
        <f t="array" ref="S303">IF(LEN(B303)&gt;SUMPRODUCT(LEN(B303)-LEN(SUBSTITUTE(B303,{"a","b","c","d","e","f","g","h","i","j","k","l","m","n","o","p","q","r","s","t","u","v","w","x","y","z","A","B","C","D","E","F","G","H","I","J","K","L","M","N","O","P","Q","R","S","T","U","V","W","X","Y","Z",0,1,2,3,4,5,6,7,8,9}, ""))), 32, 0)</f>
        <v>32</v>
      </c>
      <c r="U303" s="2"/>
    </row>
    <row r="304" spans="1:21" ht="15.6">
      <c r="A304" s="3">
        <v>2</v>
      </c>
      <c r="B304" s="7">
        <v>123456</v>
      </c>
      <c r="C304" t="s">
        <v>640</v>
      </c>
      <c r="D304">
        <f t="shared" si="13"/>
        <v>6</v>
      </c>
      <c r="E304">
        <f t="shared" si="14"/>
        <v>39.327533110065843</v>
      </c>
      <c r="F304" s="10">
        <v>2.5849630000000001</v>
      </c>
      <c r="G304" s="10">
        <f t="shared" si="12"/>
        <v>15.509778000000001</v>
      </c>
      <c r="H304" s="10">
        <v>0</v>
      </c>
      <c r="I304" s="10">
        <v>2</v>
      </c>
      <c r="J304" s="10">
        <v>0.30103000000000002</v>
      </c>
      <c r="K304" s="10"/>
      <c r="L304" s="10"/>
      <c r="P304" cm="1">
        <f t="array" ref="P304">IF(SUM(N(ISNUMBER(FIND({"a","b","c","d","e","f","g","h","i","j","k","l","m","n","o","p","q","r","s","t","u","v","w","x","y","z"}, B304))))&gt;0, 26, 0)</f>
        <v>0</v>
      </c>
      <c r="Q304" cm="1">
        <f t="array" ref="Q304">IF(SUM(N(ISNUMBER(FIND({"A","B","C","D","E","F","G","H","I","J","K","L","M","N","O","P","Q","R","S","T","U","V","W","X","Y","Z"}, B304))))&gt;0, 26, 0)</f>
        <v>0</v>
      </c>
      <c r="R304" cm="1">
        <f t="array" ref="R304">IF(SUM(N(ISNUMBER(FIND({0,1,2,3,4,5,6,7,8,9}, B304))))&gt;0, 10, 0)</f>
        <v>10</v>
      </c>
      <c r="S304" cm="1">
        <f t="array" ref="S304">IF(LEN(B304)&gt;SUMPRODUCT(LEN(B304)-LEN(SUBSTITUTE(B304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04" s="2"/>
    </row>
    <row r="305" spans="1:21" ht="15.6">
      <c r="A305" s="3">
        <v>2</v>
      </c>
      <c r="B305" s="7">
        <v>12345</v>
      </c>
      <c r="C305" t="s">
        <v>640</v>
      </c>
      <c r="D305">
        <f t="shared" si="13"/>
        <v>5</v>
      </c>
      <c r="E305">
        <f t="shared" si="14"/>
        <v>32.7729442583882</v>
      </c>
      <c r="F305" s="10">
        <v>2.3219280000000002</v>
      </c>
      <c r="G305" s="10">
        <f t="shared" si="12"/>
        <v>11.609640000000001</v>
      </c>
      <c r="H305" s="10">
        <v>0</v>
      </c>
      <c r="I305" s="10">
        <v>7</v>
      </c>
      <c r="J305" s="10">
        <v>0.84509800000000002</v>
      </c>
      <c r="K305" s="10"/>
      <c r="L305" s="10"/>
      <c r="P305" cm="1">
        <f t="array" ref="P305">IF(SUM(N(ISNUMBER(FIND({"a","b","c","d","e","f","g","h","i","j","k","l","m","n","o","p","q","r","s","t","u","v","w","x","y","z"}, B305))))&gt;0, 26, 0)</f>
        <v>0</v>
      </c>
      <c r="Q305" cm="1">
        <f t="array" ref="Q305">IF(SUM(N(ISNUMBER(FIND({"A","B","C","D","E","F","G","H","I","J","K","L","M","N","O","P","Q","R","S","T","U","V","W","X","Y","Z"}, B305))))&gt;0, 26, 0)</f>
        <v>0</v>
      </c>
      <c r="R305" cm="1">
        <f t="array" ref="R305">IF(SUM(N(ISNUMBER(FIND({0,1,2,3,4,5,6,7,8,9}, B305))))&gt;0, 10, 0)</f>
        <v>10</v>
      </c>
      <c r="S305" cm="1">
        <f t="array" ref="S305">IF(LEN(B305)&gt;SUMPRODUCT(LEN(B305)-LEN(SUBSTITUTE(B305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05" s="2"/>
    </row>
    <row r="306" spans="1:21" ht="15.6">
      <c r="A306" s="3">
        <v>2</v>
      </c>
      <c r="B306" s="7">
        <v>123456789</v>
      </c>
      <c r="C306" t="s">
        <v>640</v>
      </c>
      <c r="D306">
        <f t="shared" si="13"/>
        <v>9</v>
      </c>
      <c r="E306">
        <f t="shared" si="14"/>
        <v>58.991299665098765</v>
      </c>
      <c r="F306" s="10">
        <v>3.1699250000000001</v>
      </c>
      <c r="G306" s="10">
        <f t="shared" si="12"/>
        <v>28.529325</v>
      </c>
      <c r="H306" s="10">
        <v>0</v>
      </c>
      <c r="I306" s="10">
        <v>6</v>
      </c>
      <c r="J306" s="10">
        <v>0.77815100000000004</v>
      </c>
      <c r="K306" s="10"/>
      <c r="L306" s="10"/>
      <c r="P306" cm="1">
        <f t="array" ref="P306">IF(SUM(N(ISNUMBER(FIND({"a","b","c","d","e","f","g","h","i","j","k","l","m","n","o","p","q","r","s","t","u","v","w","x","y","z"}, B306))))&gt;0, 26, 0)</f>
        <v>0</v>
      </c>
      <c r="Q306" cm="1">
        <f t="array" ref="Q306">IF(SUM(N(ISNUMBER(FIND({"A","B","C","D","E","F","G","H","I","J","K","L","M","N","O","P","Q","R","S","T","U","V","W","X","Y","Z"}, B306))))&gt;0, 26, 0)</f>
        <v>0</v>
      </c>
      <c r="R306" cm="1">
        <f t="array" ref="R306">IF(SUM(N(ISNUMBER(FIND({0,1,2,3,4,5,6,7,8,9}, B306))))&gt;0, 10, 0)</f>
        <v>10</v>
      </c>
      <c r="S306" cm="1">
        <f t="array" ref="S306">IF(LEN(B306)&gt;SUMPRODUCT(LEN(B306)-LEN(SUBSTITUTE(B306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06" s="2"/>
    </row>
    <row r="307" spans="1:21" ht="15.6">
      <c r="A307" s="3">
        <v>2</v>
      </c>
      <c r="B307" s="7" t="s">
        <v>1</v>
      </c>
      <c r="C307" t="s">
        <v>640</v>
      </c>
      <c r="D307">
        <f t="shared" si="13"/>
        <v>8</v>
      </c>
      <c r="E307">
        <f t="shared" si="14"/>
        <v>52.436710813421122</v>
      </c>
      <c r="F307" s="10">
        <v>2.75</v>
      </c>
      <c r="G307" s="10">
        <f t="shared" si="12"/>
        <v>22</v>
      </c>
      <c r="H307" s="10">
        <v>0</v>
      </c>
      <c r="I307" s="10">
        <v>3</v>
      </c>
      <c r="J307" s="10">
        <v>0.47712100000000002</v>
      </c>
      <c r="K307" s="10"/>
      <c r="L307" s="10"/>
      <c r="P307" cm="1">
        <f t="array" ref="P307">IF(SUM(N(ISNUMBER(FIND({"a","b","c","d","e","f","g","h","i","j","k","l","m","n","o","p","q","r","s","t","u","v","w","x","y","z"}, B307))))&gt;0, 26, 0)</f>
        <v>26</v>
      </c>
      <c r="Q307" cm="1">
        <f t="array" ref="Q307">IF(SUM(N(ISNUMBER(FIND({"A","B","C","D","E","F","G","H","I","J","K","L","M","N","O","P","Q","R","S","T","U","V","W","X","Y","Z"}, B307))))&gt;0, 26, 0)</f>
        <v>0</v>
      </c>
      <c r="R307" cm="1">
        <f t="array" ref="R307">IF(SUM(N(ISNUMBER(FIND({0,1,2,3,4,5,6,7,8,9}, B307))))&gt;0, 10, 0)</f>
        <v>0</v>
      </c>
      <c r="S307" cm="1">
        <f t="array" ref="S307">IF(LEN(B307)&gt;SUMPRODUCT(LEN(B307)-LEN(SUBSTITUTE(B307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07" s="2"/>
    </row>
    <row r="308" spans="1:21" ht="15.6">
      <c r="A308" s="3">
        <v>2</v>
      </c>
      <c r="B308" s="7" t="s">
        <v>641</v>
      </c>
      <c r="C308" t="s">
        <v>640</v>
      </c>
      <c r="D308">
        <f t="shared" si="13"/>
        <v>8</v>
      </c>
      <c r="E308">
        <f t="shared" si="14"/>
        <v>52.436710813421122</v>
      </c>
      <c r="F308" s="10">
        <v>2.75</v>
      </c>
      <c r="G308" s="10">
        <f t="shared" si="12"/>
        <v>22</v>
      </c>
      <c r="H308" s="10">
        <v>0</v>
      </c>
      <c r="I308" s="10">
        <v>48</v>
      </c>
      <c r="J308" s="10">
        <v>1.681241</v>
      </c>
      <c r="K308" s="10"/>
      <c r="L308" s="10"/>
      <c r="P308" cm="1">
        <f t="array" ref="P308">IF(SUM(N(ISNUMBER(FIND({"a","b","c","d","e","f","g","h","i","j","k","l","m","n","o","p","q","r","s","t","u","v","w","x","y","z"}, B308))))&gt;0, 26, 0)</f>
        <v>26</v>
      </c>
      <c r="Q308" cm="1">
        <f t="array" ref="Q308">IF(SUM(N(ISNUMBER(FIND({"A","B","C","D","E","F","G","H","I","J","K","L","M","N","O","P","Q","R","S","T","U","V","W","X","Y","Z"}, B308))))&gt;0, 26, 0)</f>
        <v>0</v>
      </c>
      <c r="R308" cm="1">
        <f t="array" ref="R308">IF(SUM(N(ISNUMBER(FIND({0,1,2,3,4,5,6,7,8,9}, B308))))&gt;0, 10, 0)</f>
        <v>0</v>
      </c>
      <c r="S308" cm="1">
        <f t="array" ref="S308">IF(LEN(B308)&gt;SUMPRODUCT(LEN(B308)-LEN(SUBSTITUTE(B308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08" s="2"/>
    </row>
    <row r="309" spans="1:21" ht="15.6">
      <c r="A309" s="3">
        <v>2</v>
      </c>
      <c r="B309" s="7" t="s">
        <v>642</v>
      </c>
      <c r="C309" t="s">
        <v>640</v>
      </c>
      <c r="D309">
        <f t="shared" si="13"/>
        <v>8</v>
      </c>
      <c r="E309">
        <f t="shared" si="14"/>
        <v>52.436710813421122</v>
      </c>
      <c r="F309" s="10">
        <v>2.75</v>
      </c>
      <c r="G309" s="10">
        <f t="shared" si="12"/>
        <v>22</v>
      </c>
      <c r="H309" s="10">
        <v>0</v>
      </c>
      <c r="I309" s="10">
        <v>60</v>
      </c>
      <c r="J309" s="10">
        <v>1.778151</v>
      </c>
      <c r="K309" s="10"/>
      <c r="L309" s="10"/>
      <c r="P309" cm="1">
        <f t="array" ref="P309">IF(SUM(N(ISNUMBER(FIND({"a","b","c","d","e","f","g","h","i","j","k","l","m","n","o","p","q","r","s","t","u","v","w","x","y","z"}, B309))))&gt;0, 26, 0)</f>
        <v>26</v>
      </c>
      <c r="Q309" cm="1">
        <f t="array" ref="Q309">IF(SUM(N(ISNUMBER(FIND({"A","B","C","D","E","F","G","H","I","J","K","L","M","N","O","P","Q","R","S","T","U","V","W","X","Y","Z"}, B309))))&gt;0, 26, 0)</f>
        <v>0</v>
      </c>
      <c r="R309" cm="1">
        <f t="array" ref="R309">IF(SUM(N(ISNUMBER(FIND({0,1,2,3,4,5,6,7,8,9}, B309))))&gt;0, 10, 0)</f>
        <v>0</v>
      </c>
      <c r="S309" cm="1">
        <f t="array" ref="S309">IF(LEN(B309)&gt;SUMPRODUCT(LEN(B309)-LEN(SUBSTITUTE(B309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09" s="2"/>
    </row>
    <row r="310" spans="1:21" ht="15.6">
      <c r="A310" s="3">
        <v>2</v>
      </c>
      <c r="B310" s="7">
        <v>1234567</v>
      </c>
      <c r="C310" t="s">
        <v>640</v>
      </c>
      <c r="D310">
        <f t="shared" si="13"/>
        <v>7</v>
      </c>
      <c r="E310">
        <f t="shared" si="14"/>
        <v>45.882121961743479</v>
      </c>
      <c r="F310" s="10">
        <v>2.8073549999999998</v>
      </c>
      <c r="G310" s="10">
        <f t="shared" si="12"/>
        <v>19.651484999999997</v>
      </c>
      <c r="H310" s="10">
        <v>0</v>
      </c>
      <c r="I310" s="10">
        <v>10</v>
      </c>
      <c r="J310" s="10">
        <v>1</v>
      </c>
      <c r="K310" s="10"/>
      <c r="L310" s="10"/>
      <c r="P310" cm="1">
        <f t="array" ref="P310">IF(SUM(N(ISNUMBER(FIND({"a","b","c","d","e","f","g","h","i","j","k","l","m","n","o","p","q","r","s","t","u","v","w","x","y","z"}, B310))))&gt;0, 26, 0)</f>
        <v>0</v>
      </c>
      <c r="Q310" cm="1">
        <f t="array" ref="Q310">IF(SUM(N(ISNUMBER(FIND({"A","B","C","D","E","F","G","H","I","J","K","L","M","N","O","P","Q","R","S","T","U","V","W","X","Y","Z"}, B310))))&gt;0, 26, 0)</f>
        <v>0</v>
      </c>
      <c r="R310" cm="1">
        <f t="array" ref="R310">IF(SUM(N(ISNUMBER(FIND({0,1,2,3,4,5,6,7,8,9}, B310))))&gt;0, 10, 0)</f>
        <v>10</v>
      </c>
      <c r="S310" cm="1">
        <f t="array" ref="S310">IF(LEN(B310)&gt;SUMPRODUCT(LEN(B310)-LEN(SUBSTITUTE(B310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0" s="2"/>
    </row>
    <row r="311" spans="1:21" ht="15.6">
      <c r="A311" s="3">
        <v>2</v>
      </c>
      <c r="B311" s="7" t="s">
        <v>643</v>
      </c>
      <c r="C311" t="s">
        <v>640</v>
      </c>
      <c r="D311">
        <f t="shared" si="13"/>
        <v>7</v>
      </c>
      <c r="E311">
        <f t="shared" si="14"/>
        <v>45.882121961743479</v>
      </c>
      <c r="F311" s="10">
        <v>2.5216409999999998</v>
      </c>
      <c r="G311" s="10">
        <f t="shared" si="12"/>
        <v>17.651486999999999</v>
      </c>
      <c r="H311" s="10">
        <v>1</v>
      </c>
      <c r="I311" s="10">
        <v>45900</v>
      </c>
      <c r="J311" s="10">
        <v>4.6618130000000004</v>
      </c>
      <c r="K311" s="10"/>
      <c r="L311" s="10"/>
      <c r="P311" cm="1">
        <f t="array" ref="P311">IF(SUM(N(ISNUMBER(FIND({"a","b","c","d","e","f","g","h","i","j","k","l","m","n","o","p","q","r","s","t","u","v","w","x","y","z"}, B311))))&gt;0, 26, 0)</f>
        <v>26</v>
      </c>
      <c r="Q311" cm="1">
        <f t="array" ref="Q311">IF(SUM(N(ISNUMBER(FIND({"A","B","C","D","E","F","G","H","I","J","K","L","M","N","O","P","Q","R","S","T","U","V","W","X","Y","Z"}, B311))))&gt;0, 26, 0)</f>
        <v>0</v>
      </c>
      <c r="R311" cm="1">
        <f t="array" ref="R311">IF(SUM(N(ISNUMBER(FIND({0,1,2,3,4,5,6,7,8,9}, B311))))&gt;0, 10, 0)</f>
        <v>0</v>
      </c>
      <c r="S311" cm="1">
        <f t="array" ref="S311">IF(LEN(B311)&gt;SUMPRODUCT(LEN(B311)-LEN(SUBSTITUTE(B311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1" s="2"/>
    </row>
    <row r="312" spans="1:21" ht="15.6">
      <c r="A312" s="3">
        <v>2</v>
      </c>
      <c r="B312" s="7">
        <v>12345678</v>
      </c>
      <c r="C312" t="s">
        <v>640</v>
      </c>
      <c r="D312">
        <f t="shared" si="13"/>
        <v>8</v>
      </c>
      <c r="E312">
        <f t="shared" si="14"/>
        <v>52.436710813421122</v>
      </c>
      <c r="F312" s="10">
        <v>3</v>
      </c>
      <c r="G312" s="10">
        <f t="shared" si="12"/>
        <v>24</v>
      </c>
      <c r="H312" s="10">
        <v>0</v>
      </c>
      <c r="I312" s="10">
        <v>4</v>
      </c>
      <c r="J312" s="10">
        <v>0.60206000000000004</v>
      </c>
      <c r="K312" s="10"/>
      <c r="L312" s="10"/>
      <c r="P312" cm="1">
        <f t="array" ref="P312">IF(SUM(N(ISNUMBER(FIND({"a","b","c","d","e","f","g","h","i","j","k","l","m","n","o","p","q","r","s","t","u","v","w","x","y","z"}, B312))))&gt;0, 26, 0)</f>
        <v>0</v>
      </c>
      <c r="Q312" cm="1">
        <f t="array" ref="Q312">IF(SUM(N(ISNUMBER(FIND({"A","B","C","D","E","F","G","H","I","J","K","L","M","N","O","P","Q","R","S","T","U","V","W","X","Y","Z"}, B312))))&gt;0, 26, 0)</f>
        <v>0</v>
      </c>
      <c r="R312" cm="1">
        <f t="array" ref="R312">IF(SUM(N(ISNUMBER(FIND({0,1,2,3,4,5,6,7,8,9}, B312))))&gt;0, 10, 0)</f>
        <v>10</v>
      </c>
      <c r="S312" cm="1">
        <f t="array" ref="S312">IF(LEN(B312)&gt;SUMPRODUCT(LEN(B312)-LEN(SUBSTITUTE(B312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2" s="2"/>
    </row>
    <row r="313" spans="1:21" ht="15.6">
      <c r="A313" s="3">
        <v>2</v>
      </c>
      <c r="B313" s="7" t="s">
        <v>644</v>
      </c>
      <c r="C313" t="s">
        <v>640</v>
      </c>
      <c r="D313">
        <f t="shared" si="13"/>
        <v>6</v>
      </c>
      <c r="E313">
        <f t="shared" si="14"/>
        <v>39.327533110065843</v>
      </c>
      <c r="F313" s="10">
        <v>2.5849630000000001</v>
      </c>
      <c r="G313" s="10">
        <f t="shared" si="12"/>
        <v>15.509778000000001</v>
      </c>
      <c r="H313" s="10">
        <v>0</v>
      </c>
      <c r="I313" s="10">
        <v>14</v>
      </c>
      <c r="J313" s="10">
        <v>1.146128</v>
      </c>
      <c r="K313" s="10"/>
      <c r="L313" s="10"/>
      <c r="P313" cm="1">
        <f t="array" ref="P313">IF(SUM(N(ISNUMBER(FIND({"a","b","c","d","e","f","g","h","i","j","k","l","m","n","o","p","q","r","s","t","u","v","w","x","y","z"}, B313))))&gt;0, 26, 0)</f>
        <v>26</v>
      </c>
      <c r="Q313" cm="1">
        <f t="array" ref="Q313">IF(SUM(N(ISNUMBER(FIND({"A","B","C","D","E","F","G","H","I","J","K","L","M","N","O","P","Q","R","S","T","U","V","W","X","Y","Z"}, B313))))&gt;0, 26, 0)</f>
        <v>0</v>
      </c>
      <c r="R313" cm="1">
        <f t="array" ref="R313">IF(SUM(N(ISNUMBER(FIND({0,1,2,3,4,5,6,7,8,9}, B313))))&gt;0, 10, 0)</f>
        <v>10</v>
      </c>
      <c r="S313" cm="1">
        <f t="array" ref="S313">IF(LEN(B313)&gt;SUMPRODUCT(LEN(B313)-LEN(SUBSTITUTE(B313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3" s="2"/>
    </row>
    <row r="314" spans="1:21" ht="15.6">
      <c r="A314" s="3">
        <v>2</v>
      </c>
      <c r="B314" s="7" t="s">
        <v>645</v>
      </c>
      <c r="C314" t="s">
        <v>640</v>
      </c>
      <c r="D314">
        <f t="shared" si="13"/>
        <v>6</v>
      </c>
      <c r="E314">
        <f t="shared" si="14"/>
        <v>39.327533110065843</v>
      </c>
      <c r="F314" s="10">
        <v>2.5849630000000001</v>
      </c>
      <c r="G314" s="10">
        <f t="shared" si="12"/>
        <v>15.509778000000001</v>
      </c>
      <c r="H314" s="10">
        <v>0</v>
      </c>
      <c r="I314" s="10">
        <v>69</v>
      </c>
      <c r="J314" s="10">
        <v>1.838849</v>
      </c>
      <c r="K314" s="10"/>
      <c r="L314" s="10"/>
      <c r="P314" cm="1">
        <f t="array" ref="P314">IF(SUM(N(ISNUMBER(FIND({"a","b","c","d","e","f","g","h","i","j","k","l","m","n","o","p","q","r","s","t","u","v","w","x","y","z"}, B314))))&gt;0, 26, 0)</f>
        <v>26</v>
      </c>
      <c r="Q314" cm="1">
        <f t="array" ref="Q314">IF(SUM(N(ISNUMBER(FIND({"A","B","C","D","E","F","G","H","I","J","K","L","M","N","O","P","Q","R","S","T","U","V","W","X","Y","Z"}, B314))))&gt;0, 26, 0)</f>
        <v>0</v>
      </c>
      <c r="R314" cm="1">
        <f t="array" ref="R314">IF(SUM(N(ISNUMBER(FIND({0,1,2,3,4,5,6,7,8,9}, B314))))&gt;0, 10, 0)</f>
        <v>0</v>
      </c>
      <c r="S314" cm="1">
        <f t="array" ref="S314">IF(LEN(B314)&gt;SUMPRODUCT(LEN(B314)-LEN(SUBSTITUTE(B314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4" s="2"/>
    </row>
    <row r="315" spans="1:21" ht="15.6">
      <c r="A315" s="3">
        <v>2</v>
      </c>
      <c r="B315" s="7" t="s">
        <v>646</v>
      </c>
      <c r="C315" t="s">
        <v>640</v>
      </c>
      <c r="D315">
        <f t="shared" si="13"/>
        <v>6</v>
      </c>
      <c r="E315">
        <f t="shared" si="14"/>
        <v>39.327533110065843</v>
      </c>
      <c r="F315" s="10">
        <v>2.5849630000000001</v>
      </c>
      <c r="G315" s="10">
        <f t="shared" si="12"/>
        <v>15.509778000000001</v>
      </c>
      <c r="H315" s="10">
        <v>0</v>
      </c>
      <c r="I315" s="10">
        <v>13</v>
      </c>
      <c r="J315" s="10">
        <v>1.1139429999999999</v>
      </c>
      <c r="K315" s="10"/>
      <c r="L315" s="10"/>
      <c r="P315" cm="1">
        <f t="array" ref="P315">IF(SUM(N(ISNUMBER(FIND({"a","b","c","d","e","f","g","h","i","j","k","l","m","n","o","p","q","r","s","t","u","v","w","x","y","z"}, B315))))&gt;0, 26, 0)</f>
        <v>26</v>
      </c>
      <c r="Q315" cm="1">
        <f t="array" ref="Q315">IF(SUM(N(ISNUMBER(FIND({"A","B","C","D","E","F","G","H","I","J","K","L","M","N","O","P","Q","R","S","T","U","V","W","X","Y","Z"}, B315))))&gt;0, 26, 0)</f>
        <v>0</v>
      </c>
      <c r="R315" cm="1">
        <f t="array" ref="R315">IF(SUM(N(ISNUMBER(FIND({0,1,2,3,4,5,6,7,8,9}, B315))))&gt;0, 10, 0)</f>
        <v>0</v>
      </c>
      <c r="S315" cm="1">
        <f t="array" ref="S315">IF(LEN(B315)&gt;SUMPRODUCT(LEN(B315)-LEN(SUBSTITUTE(B315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5" s="2"/>
    </row>
    <row r="316" spans="1:21" ht="15.6">
      <c r="A316" s="3">
        <v>2</v>
      </c>
      <c r="B316" s="7" t="s">
        <v>647</v>
      </c>
      <c r="C316" t="s">
        <v>640</v>
      </c>
      <c r="D316">
        <f t="shared" si="13"/>
        <v>8</v>
      </c>
      <c r="E316">
        <f t="shared" si="14"/>
        <v>52.436710813421122</v>
      </c>
      <c r="F316" s="10">
        <v>2.75</v>
      </c>
      <c r="G316" s="10">
        <f t="shared" si="12"/>
        <v>22</v>
      </c>
      <c r="H316" s="10">
        <v>0</v>
      </c>
      <c r="I316" s="10">
        <v>393</v>
      </c>
      <c r="J316" s="10">
        <v>2.5943930000000002</v>
      </c>
      <c r="K316" s="10"/>
      <c r="L316" s="10"/>
      <c r="P316" cm="1">
        <f t="array" ref="P316">IF(SUM(N(ISNUMBER(FIND({"a","b","c","d","e","f","g","h","i","j","k","l","m","n","o","p","q","r","s","t","u","v","w","x","y","z"}, B316))))&gt;0, 26, 0)</f>
        <v>26</v>
      </c>
      <c r="Q316" cm="1">
        <f t="array" ref="Q316">IF(SUM(N(ISNUMBER(FIND({"A","B","C","D","E","F","G","H","I","J","K","L","M","N","O","P","Q","R","S","T","U","V","W","X","Y","Z"}, B316))))&gt;0, 26, 0)</f>
        <v>0</v>
      </c>
      <c r="R316" cm="1">
        <f t="array" ref="R316">IF(SUM(N(ISNUMBER(FIND({0,1,2,3,4,5,6,7,8,9}, B316))))&gt;0, 10, 0)</f>
        <v>0</v>
      </c>
      <c r="S316" cm="1">
        <f t="array" ref="S316">IF(LEN(B316)&gt;SUMPRODUCT(LEN(B316)-LEN(SUBSTITUTE(B316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6" s="2"/>
    </row>
    <row r="317" spans="1:21" ht="15.6">
      <c r="A317" s="3">
        <v>2</v>
      </c>
      <c r="B317" s="7" t="s">
        <v>648</v>
      </c>
      <c r="C317" t="s">
        <v>640</v>
      </c>
      <c r="D317">
        <f t="shared" si="13"/>
        <v>6</v>
      </c>
      <c r="E317">
        <f t="shared" si="14"/>
        <v>39.327533110065843</v>
      </c>
      <c r="F317" s="10">
        <v>2.5849630000000001</v>
      </c>
      <c r="G317" s="10">
        <f t="shared" si="12"/>
        <v>15.509778000000001</v>
      </c>
      <c r="H317" s="10">
        <v>0</v>
      </c>
      <c r="I317" s="10">
        <v>16</v>
      </c>
      <c r="J317" s="10">
        <v>1.2041200000000001</v>
      </c>
      <c r="K317" s="10"/>
      <c r="L317" s="10"/>
      <c r="P317" cm="1">
        <f t="array" ref="P317">IF(SUM(N(ISNUMBER(FIND({"a","b","c","d","e","f","g","h","i","j","k","l","m","n","o","p","q","r","s","t","u","v","w","x","y","z"}, B317))))&gt;0, 26, 0)</f>
        <v>26</v>
      </c>
      <c r="Q317" cm="1">
        <f t="array" ref="Q317">IF(SUM(N(ISNUMBER(FIND({"A","B","C","D","E","F","G","H","I","J","K","L","M","N","O","P","Q","R","S","T","U","V","W","X","Y","Z"}, B317))))&gt;0, 26, 0)</f>
        <v>0</v>
      </c>
      <c r="R317" cm="1">
        <f t="array" ref="R317">IF(SUM(N(ISNUMBER(FIND({0,1,2,3,4,5,6,7,8,9}, B317))))&gt;0, 10, 0)</f>
        <v>0</v>
      </c>
      <c r="S317" cm="1">
        <f t="array" ref="S317">IF(LEN(B317)&gt;SUMPRODUCT(LEN(B317)-LEN(SUBSTITUTE(B317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7" s="2"/>
    </row>
    <row r="318" spans="1:21" ht="15.6">
      <c r="A318" s="3">
        <v>2</v>
      </c>
      <c r="B318" s="7" t="s">
        <v>649</v>
      </c>
      <c r="C318" t="s">
        <v>640</v>
      </c>
      <c r="D318">
        <f t="shared" si="13"/>
        <v>6</v>
      </c>
      <c r="E318">
        <f t="shared" si="14"/>
        <v>39.327533110065843</v>
      </c>
      <c r="F318" s="10">
        <v>2.2516289999999999</v>
      </c>
      <c r="G318" s="10">
        <f t="shared" si="12"/>
        <v>13.509774</v>
      </c>
      <c r="H318" s="10">
        <v>0</v>
      </c>
      <c r="I318" s="10">
        <v>414</v>
      </c>
      <c r="J318" s="10">
        <v>2.617</v>
      </c>
      <c r="K318" s="10"/>
      <c r="L318" s="10"/>
      <c r="P318" cm="1">
        <f t="array" ref="P318">IF(SUM(N(ISNUMBER(FIND({"a","b","c","d","e","f","g","h","i","j","k","l","m","n","o","p","q","r","s","t","u","v","w","x","y","z"}, B318))))&gt;0, 26, 0)</f>
        <v>26</v>
      </c>
      <c r="Q318" cm="1">
        <f t="array" ref="Q318">IF(SUM(N(ISNUMBER(FIND({"A","B","C","D","E","F","G","H","I","J","K","L","M","N","O","P","Q","R","S","T","U","V","W","X","Y","Z"}, B318))))&gt;0, 26, 0)</f>
        <v>0</v>
      </c>
      <c r="R318" cm="1">
        <f t="array" ref="R318">IF(SUM(N(ISNUMBER(FIND({0,1,2,3,4,5,6,7,8,9}, B318))))&gt;0, 10, 0)</f>
        <v>0</v>
      </c>
      <c r="S318" cm="1">
        <f t="array" ref="S318">IF(LEN(B318)&gt;SUMPRODUCT(LEN(B318)-LEN(SUBSTITUTE(B318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8" s="2"/>
    </row>
    <row r="319" spans="1:21" ht="15.6">
      <c r="A319" s="3">
        <v>2</v>
      </c>
      <c r="B319" s="7" t="s">
        <v>650</v>
      </c>
      <c r="C319" t="s">
        <v>640</v>
      </c>
      <c r="D319">
        <f t="shared" si="13"/>
        <v>7</v>
      </c>
      <c r="E319">
        <f t="shared" si="14"/>
        <v>45.882121961743479</v>
      </c>
      <c r="F319" s="10">
        <v>2.5216409999999998</v>
      </c>
      <c r="G319" s="10">
        <f t="shared" si="12"/>
        <v>17.651486999999999</v>
      </c>
      <c r="H319" s="10">
        <v>0</v>
      </c>
      <c r="I319" s="10">
        <v>27</v>
      </c>
      <c r="J319" s="10">
        <v>1.4313640000000001</v>
      </c>
      <c r="K319" s="10"/>
      <c r="L319" s="10"/>
      <c r="P319" cm="1">
        <f t="array" ref="P319">IF(SUM(N(ISNUMBER(FIND({"a","b","c","d","e","f","g","h","i","j","k","l","m","n","o","p","q","r","s","t","u","v","w","x","y","z"}, B319))))&gt;0, 26, 0)</f>
        <v>26</v>
      </c>
      <c r="Q319" cm="1">
        <f t="array" ref="Q319">IF(SUM(N(ISNUMBER(FIND({"A","B","C","D","E","F","G","H","I","J","K","L","M","N","O","P","Q","R","S","T","U","V","W","X","Y","Z"}, B319))))&gt;0, 26, 0)</f>
        <v>0</v>
      </c>
      <c r="R319" cm="1">
        <f t="array" ref="R319">IF(SUM(N(ISNUMBER(FIND({0,1,2,3,4,5,6,7,8,9}, B319))))&gt;0, 10, 0)</f>
        <v>0</v>
      </c>
      <c r="S319" cm="1">
        <f t="array" ref="S319">IF(LEN(B319)&gt;SUMPRODUCT(LEN(B319)-LEN(SUBSTITUTE(B319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19" s="2"/>
    </row>
    <row r="320" spans="1:21" ht="15.6">
      <c r="A320" s="3">
        <v>2</v>
      </c>
      <c r="B320" s="7">
        <v>654321</v>
      </c>
      <c r="C320" t="s">
        <v>640</v>
      </c>
      <c r="D320">
        <f t="shared" si="13"/>
        <v>6</v>
      </c>
      <c r="E320">
        <f t="shared" si="14"/>
        <v>39.327533110065843</v>
      </c>
      <c r="F320" s="10">
        <v>2.5849630000000001</v>
      </c>
      <c r="G320" s="10">
        <f t="shared" si="12"/>
        <v>15.509778000000001</v>
      </c>
      <c r="H320" s="10">
        <v>0</v>
      </c>
      <c r="I320" s="10">
        <v>3</v>
      </c>
      <c r="J320" s="10">
        <v>0.47712100000000002</v>
      </c>
      <c r="K320" s="10"/>
      <c r="L320" s="10"/>
      <c r="P320" cm="1">
        <f t="array" ref="P320">IF(SUM(N(ISNUMBER(FIND({"a","b","c","d","e","f","g","h","i","j","k","l","m","n","o","p","q","r","s","t","u","v","w","x","y","z"}, B320))))&gt;0, 26, 0)</f>
        <v>0</v>
      </c>
      <c r="Q320" cm="1">
        <f t="array" ref="Q320">IF(SUM(N(ISNUMBER(FIND({"A","B","C","D","E","F","G","H","I","J","K","L","M","N","O","P","Q","R","S","T","U","V","W","X","Y","Z"}, B320))))&gt;0, 26, 0)</f>
        <v>0</v>
      </c>
      <c r="R320" cm="1">
        <f t="array" ref="R320">IF(SUM(N(ISNUMBER(FIND({0,1,2,3,4,5,6,7,8,9}, B320))))&gt;0, 10, 0)</f>
        <v>10</v>
      </c>
      <c r="S320" cm="1">
        <f t="array" ref="S320">IF(LEN(B320)&gt;SUMPRODUCT(LEN(B320)-LEN(SUBSTITUTE(B320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0" s="2"/>
    </row>
    <row r="321" spans="1:21" ht="15.6">
      <c r="A321" s="3">
        <v>2</v>
      </c>
      <c r="B321" s="7" t="s">
        <v>651</v>
      </c>
      <c r="C321" t="s">
        <v>640</v>
      </c>
      <c r="D321">
        <f t="shared" si="13"/>
        <v>7</v>
      </c>
      <c r="E321">
        <f t="shared" si="14"/>
        <v>45.882121961743479</v>
      </c>
      <c r="F321" s="10">
        <v>2.8073549999999998</v>
      </c>
      <c r="G321" s="10">
        <f t="shared" si="12"/>
        <v>19.651484999999997</v>
      </c>
      <c r="H321" s="10">
        <v>0</v>
      </c>
      <c r="I321" s="10">
        <v>5</v>
      </c>
      <c r="J321" s="10">
        <v>0.69896999999999998</v>
      </c>
      <c r="K321" s="10"/>
      <c r="L321" s="10"/>
      <c r="P321" cm="1">
        <f t="array" ref="P321">IF(SUM(N(ISNUMBER(FIND({"a","b","c","d","e","f","g","h","i","j","k","l","m","n","o","p","q","r","s","t","u","v","w","x","y","z"}, B321))))&gt;0, 26, 0)</f>
        <v>26</v>
      </c>
      <c r="Q321" cm="1">
        <f t="array" ref="Q321">IF(SUM(N(ISNUMBER(FIND({"A","B","C","D","E","F","G","H","I","J","K","L","M","N","O","P","Q","R","S","T","U","V","W","X","Y","Z"}, B321))))&gt;0, 26, 0)</f>
        <v>0</v>
      </c>
      <c r="R321" cm="1">
        <f t="array" ref="R321">IF(SUM(N(ISNUMBER(FIND({0,1,2,3,4,5,6,7,8,9}, B321))))&gt;0, 10, 0)</f>
        <v>0</v>
      </c>
      <c r="S321" cm="1">
        <f t="array" ref="S321">IF(LEN(B321)&gt;SUMPRODUCT(LEN(B321)-LEN(SUBSTITUTE(B321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1" s="2"/>
    </row>
    <row r="322" spans="1:21" ht="15.6">
      <c r="A322" s="3">
        <v>2</v>
      </c>
      <c r="B322" s="7" t="s">
        <v>652</v>
      </c>
      <c r="C322" t="s">
        <v>640</v>
      </c>
      <c r="D322">
        <f t="shared" si="13"/>
        <v>6</v>
      </c>
      <c r="E322">
        <f t="shared" si="14"/>
        <v>39.327533110065843</v>
      </c>
      <c r="F322" s="10">
        <v>2.5849630000000001</v>
      </c>
      <c r="G322" s="10">
        <f t="shared" ref="G322:G385" si="15">F322 * D322</f>
        <v>15.509778000000001</v>
      </c>
      <c r="H322" s="10">
        <v>0</v>
      </c>
      <c r="I322" s="10">
        <v>64</v>
      </c>
      <c r="J322" s="10">
        <v>1.8061799999999999</v>
      </c>
      <c r="K322" s="10"/>
      <c r="L322" s="10"/>
      <c r="P322" cm="1">
        <f t="array" ref="P322">IF(SUM(N(ISNUMBER(FIND({"a","b","c","d","e","f","g","h","i","j","k","l","m","n","o","p","q","r","s","t","u","v","w","x","y","z"}, B322))))&gt;0, 26, 0)</f>
        <v>26</v>
      </c>
      <c r="Q322" cm="1">
        <f t="array" ref="Q322">IF(SUM(N(ISNUMBER(FIND({"A","B","C","D","E","F","G","H","I","J","K","L","M","N","O","P","Q","R","S","T","U","V","W","X","Y","Z"}, B322))))&gt;0, 26, 0)</f>
        <v>0</v>
      </c>
      <c r="R322" cm="1">
        <f t="array" ref="R322">IF(SUM(N(ISNUMBER(FIND({0,1,2,3,4,5,6,7,8,9}, B322))))&gt;0, 10, 0)</f>
        <v>0</v>
      </c>
      <c r="S322" cm="1">
        <f t="array" ref="S322">IF(LEN(B322)&gt;SUMPRODUCT(LEN(B322)-LEN(SUBSTITUTE(B322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2" s="2"/>
    </row>
    <row r="323" spans="1:21" ht="15.6">
      <c r="A323" s="3">
        <v>2</v>
      </c>
      <c r="B323" s="7" t="s">
        <v>653</v>
      </c>
      <c r="C323" t="s">
        <v>640</v>
      </c>
      <c r="D323">
        <f t="shared" ref="D323:D386" si="16">LEN(B323)</f>
        <v>6</v>
      </c>
      <c r="E323">
        <f t="shared" ref="E323:E386" si="17">IMLOG2(94) * D323</f>
        <v>39.327533110065843</v>
      </c>
      <c r="F323" s="10">
        <v>2.5849630000000001</v>
      </c>
      <c r="G323" s="10">
        <f t="shared" si="15"/>
        <v>15.509778000000001</v>
      </c>
      <c r="H323" s="10">
        <v>0</v>
      </c>
      <c r="I323" s="10">
        <v>5</v>
      </c>
      <c r="J323" s="10">
        <v>0.69896999999999998</v>
      </c>
      <c r="K323" s="10"/>
      <c r="L323" s="10"/>
      <c r="P323" cm="1">
        <f t="array" ref="P323">IF(SUM(N(ISNUMBER(FIND({"a","b","c","d","e","f","g","h","i","j","k","l","m","n","o","p","q","r","s","t","u","v","w","x","y","z"}, B323))))&gt;0, 26, 0)</f>
        <v>26</v>
      </c>
      <c r="Q323" cm="1">
        <f t="array" ref="Q323">IF(SUM(N(ISNUMBER(FIND({"A","B","C","D","E","F","G","H","I","J","K","L","M","N","O","P","Q","R","S","T","U","V","W","X","Y","Z"}, B323))))&gt;0, 26, 0)</f>
        <v>0</v>
      </c>
      <c r="R323" cm="1">
        <f t="array" ref="R323">IF(SUM(N(ISNUMBER(FIND({0,1,2,3,4,5,6,7,8,9}, B323))))&gt;0, 10, 0)</f>
        <v>0</v>
      </c>
      <c r="S323" cm="1">
        <f t="array" ref="S323">IF(LEN(B323)&gt;SUMPRODUCT(LEN(B323)-LEN(SUBSTITUTE(B323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3" s="2"/>
    </row>
    <row r="324" spans="1:21" ht="15.6">
      <c r="A324" s="3">
        <v>2</v>
      </c>
      <c r="B324" s="7">
        <v>111111</v>
      </c>
      <c r="C324" t="s">
        <v>640</v>
      </c>
      <c r="D324">
        <f t="shared" si="16"/>
        <v>6</v>
      </c>
      <c r="E324">
        <f t="shared" si="17"/>
        <v>39.327533110065843</v>
      </c>
      <c r="F324" s="10">
        <v>0</v>
      </c>
      <c r="G324" s="10">
        <f t="shared" si="15"/>
        <v>0</v>
      </c>
      <c r="H324" s="10">
        <v>0</v>
      </c>
      <c r="I324" s="10">
        <v>9</v>
      </c>
      <c r="J324" s="10">
        <v>0.95424299999999995</v>
      </c>
      <c r="K324" s="10"/>
      <c r="L324" s="10"/>
      <c r="P324" cm="1">
        <f t="array" ref="P324">IF(SUM(N(ISNUMBER(FIND({"a","b","c","d","e","f","g","h","i","j","k","l","m","n","o","p","q","r","s","t","u","v","w","x","y","z"}, B324))))&gt;0, 26, 0)</f>
        <v>0</v>
      </c>
      <c r="Q324" cm="1">
        <f t="array" ref="Q324">IF(SUM(N(ISNUMBER(FIND({"A","B","C","D","E","F","G","H","I","J","K","L","M","N","O","P","Q","R","S","T","U","V","W","X","Y","Z"}, B324))))&gt;0, 26, 0)</f>
        <v>0</v>
      </c>
      <c r="R324" cm="1">
        <f t="array" ref="R324">IF(SUM(N(ISNUMBER(FIND({0,1,2,3,4,5,6,7,8,9}, B324))))&gt;0, 10, 0)</f>
        <v>10</v>
      </c>
      <c r="S324" cm="1">
        <f t="array" ref="S324">IF(LEN(B324)&gt;SUMPRODUCT(LEN(B324)-LEN(SUBSTITUTE(B324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4" s="2"/>
    </row>
    <row r="325" spans="1:21" ht="15.6">
      <c r="A325" s="3">
        <v>2</v>
      </c>
      <c r="B325" s="7" t="s">
        <v>654</v>
      </c>
      <c r="C325" t="s">
        <v>640</v>
      </c>
      <c r="D325">
        <f t="shared" si="16"/>
        <v>6</v>
      </c>
      <c r="E325">
        <f t="shared" si="17"/>
        <v>39.327533110065843</v>
      </c>
      <c r="F325" s="10">
        <v>2.5849630000000001</v>
      </c>
      <c r="G325" s="10">
        <f t="shared" si="15"/>
        <v>15.509778000000001</v>
      </c>
      <c r="H325" s="10">
        <v>0</v>
      </c>
      <c r="I325" s="10">
        <v>857</v>
      </c>
      <c r="J325" s="10">
        <v>2.9329809999999998</v>
      </c>
      <c r="K325" s="10"/>
      <c r="L325" s="10"/>
      <c r="P325" cm="1">
        <f t="array" ref="P325">IF(SUM(N(ISNUMBER(FIND({"a","b","c","d","e","f","g","h","i","j","k","l","m","n","o","p","q","r","s","t","u","v","w","x","y","z"}, B325))))&gt;0, 26, 0)</f>
        <v>26</v>
      </c>
      <c r="Q325" cm="1">
        <f t="array" ref="Q325">IF(SUM(N(ISNUMBER(FIND({"A","B","C","D","E","F","G","H","I","J","K","L","M","N","O","P","Q","R","S","T","U","V","W","X","Y","Z"}, B325))))&gt;0, 26, 0)</f>
        <v>0</v>
      </c>
      <c r="R325" cm="1">
        <f t="array" ref="R325">IF(SUM(N(ISNUMBER(FIND({0,1,2,3,4,5,6,7,8,9}, B325))))&gt;0, 10, 0)</f>
        <v>0</v>
      </c>
      <c r="S325" cm="1">
        <f t="array" ref="S325">IF(LEN(B325)&gt;SUMPRODUCT(LEN(B325)-LEN(SUBSTITUTE(B325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5" s="2"/>
    </row>
    <row r="326" spans="1:21" s="18" customFormat="1" ht="15.6">
      <c r="A326" s="17">
        <v>2</v>
      </c>
      <c r="B326" s="46" t="s">
        <v>655</v>
      </c>
      <c r="C326" s="18" t="s">
        <v>640</v>
      </c>
      <c r="D326" s="18">
        <f t="shared" si="16"/>
        <v>10</v>
      </c>
      <c r="E326" s="18">
        <f t="shared" si="17"/>
        <v>65.545888516776401</v>
      </c>
      <c r="F326" s="19">
        <v>3.121928</v>
      </c>
      <c r="G326" s="19">
        <f t="shared" si="15"/>
        <v>31.219280000000001</v>
      </c>
      <c r="H326" s="10">
        <v>1</v>
      </c>
      <c r="I326" s="19">
        <v>12860</v>
      </c>
      <c r="J326" s="19">
        <v>4.1092409999999999</v>
      </c>
      <c r="K326" s="19"/>
      <c r="L326" s="19"/>
      <c r="P326" s="18" cm="1">
        <f t="array" ref="P326">IF(SUM(N(ISNUMBER(FIND({"a","b","c","d","e","f","g","h","i","j","k","l","m","n","o","p","q","r","s","t","u","v","w","x","y","z"}, B326))))&gt;0, 26, 0)</f>
        <v>26</v>
      </c>
      <c r="Q326" s="18" cm="1">
        <f t="array" ref="Q326">IF(SUM(N(ISNUMBER(FIND({"A","B","C","D","E","F","G","H","I","J","K","L","M","N","O","P","Q","R","S","T","U","V","W","X","Y","Z"}, B326))))&gt;0, 26, 0)</f>
        <v>0</v>
      </c>
      <c r="R326" s="18" cm="1">
        <f t="array" ref="R326">IF(SUM(N(ISNUMBER(FIND({0,1,2,3,4,5,6,7,8,9}, B326))))&gt;0, 10, 0)</f>
        <v>10</v>
      </c>
      <c r="S326" s="18" cm="1">
        <f t="array" ref="S326">IF(LEN(B326)&gt;SUMPRODUCT(LEN(B326)-LEN(SUBSTITUTE(B326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6" s="16"/>
    </row>
    <row r="327" spans="1:21" ht="15.6">
      <c r="A327" s="3">
        <v>2</v>
      </c>
      <c r="B327" s="7" t="s">
        <v>656</v>
      </c>
      <c r="C327" t="s">
        <v>640</v>
      </c>
      <c r="D327">
        <f t="shared" si="16"/>
        <v>8</v>
      </c>
      <c r="E327">
        <f t="shared" si="17"/>
        <v>52.436710813421122</v>
      </c>
      <c r="F327" s="10">
        <v>2.5</v>
      </c>
      <c r="G327" s="10">
        <f t="shared" si="15"/>
        <v>20</v>
      </c>
      <c r="H327" s="10">
        <v>0</v>
      </c>
      <c r="I327" s="10">
        <v>22</v>
      </c>
      <c r="J327" s="10">
        <v>1.3424229999999999</v>
      </c>
      <c r="K327" s="10"/>
      <c r="L327" s="10"/>
      <c r="P327" cm="1">
        <f t="array" ref="P327">IF(SUM(N(ISNUMBER(FIND({"a","b","c","d","e","f","g","h","i","j","k","l","m","n","o","p","q","r","s","t","u","v","w","x","y","z"}, B327))))&gt;0, 26, 0)</f>
        <v>26</v>
      </c>
      <c r="Q327" cm="1">
        <f t="array" ref="Q327">IF(SUM(N(ISNUMBER(FIND({"A","B","C","D","E","F","G","H","I","J","K","L","M","N","O","P","Q","R","S","T","U","V","W","X","Y","Z"}, B327))))&gt;0, 26, 0)</f>
        <v>0</v>
      </c>
      <c r="R327" cm="1">
        <f t="array" ref="R327">IF(SUM(N(ISNUMBER(FIND({0,1,2,3,4,5,6,7,8,9}, B327))))&gt;0, 10, 0)</f>
        <v>0</v>
      </c>
      <c r="S327" cm="1">
        <f t="array" ref="S327">IF(LEN(B327)&gt;SUMPRODUCT(LEN(B327)-LEN(SUBSTITUTE(B327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7" s="2"/>
    </row>
    <row r="328" spans="1:21" ht="15.6">
      <c r="A328" s="3">
        <v>2</v>
      </c>
      <c r="B328" s="7" t="s">
        <v>657</v>
      </c>
      <c r="C328" t="s">
        <v>640</v>
      </c>
      <c r="D328">
        <f t="shared" si="16"/>
        <v>6</v>
      </c>
      <c r="E328">
        <f t="shared" si="17"/>
        <v>39.327533110065843</v>
      </c>
      <c r="F328" s="10">
        <v>2.2516289999999999</v>
      </c>
      <c r="G328" s="10">
        <f t="shared" si="15"/>
        <v>13.509774</v>
      </c>
      <c r="H328" s="10">
        <v>0</v>
      </c>
      <c r="I328" s="10">
        <v>45</v>
      </c>
      <c r="J328" s="10">
        <v>1.653213</v>
      </c>
      <c r="K328" s="10"/>
      <c r="L328" s="10"/>
      <c r="P328" cm="1">
        <f t="array" ref="P328">IF(SUM(N(ISNUMBER(FIND({"a","b","c","d","e","f","g","h","i","j","k","l","m","n","o","p","q","r","s","t","u","v","w","x","y","z"}, B328))))&gt;0, 26, 0)</f>
        <v>26</v>
      </c>
      <c r="Q328" cm="1">
        <f t="array" ref="Q328">IF(SUM(N(ISNUMBER(FIND({"A","B","C","D","E","F","G","H","I","J","K","L","M","N","O","P","Q","R","S","T","U","V","W","X","Y","Z"}, B328))))&gt;0, 26, 0)</f>
        <v>0</v>
      </c>
      <c r="R328" cm="1">
        <f t="array" ref="R328">IF(SUM(N(ISNUMBER(FIND({0,1,2,3,4,5,6,7,8,9}, B328))))&gt;0, 10, 0)</f>
        <v>0</v>
      </c>
      <c r="S328" cm="1">
        <f t="array" ref="S328">IF(LEN(B328)&gt;SUMPRODUCT(LEN(B328)-LEN(SUBSTITUTE(B328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8" s="2"/>
    </row>
    <row r="329" spans="1:21" ht="15.6">
      <c r="A329" s="3">
        <v>2</v>
      </c>
      <c r="B329" s="7" t="s">
        <v>658</v>
      </c>
      <c r="C329" t="s">
        <v>640</v>
      </c>
      <c r="D329">
        <f t="shared" si="16"/>
        <v>8</v>
      </c>
      <c r="E329">
        <f t="shared" si="17"/>
        <v>52.436710813421122</v>
      </c>
      <c r="F329" s="10">
        <v>2.5</v>
      </c>
      <c r="G329" s="10">
        <f t="shared" si="15"/>
        <v>20</v>
      </c>
      <c r="H329" s="10">
        <v>0</v>
      </c>
      <c r="I329" s="10">
        <v>47</v>
      </c>
      <c r="J329" s="10">
        <v>1.6720980000000001</v>
      </c>
      <c r="K329" s="10"/>
      <c r="L329" s="10"/>
      <c r="P329" cm="1">
        <f t="array" ref="P329">IF(SUM(N(ISNUMBER(FIND({"a","b","c","d","e","f","g","h","i","j","k","l","m","n","o","p","q","r","s","t","u","v","w","x","y","z"}, B329))))&gt;0, 26, 0)</f>
        <v>26</v>
      </c>
      <c r="Q329" cm="1">
        <f t="array" ref="Q329">IF(SUM(N(ISNUMBER(FIND({"A","B","C","D","E","F","G","H","I","J","K","L","M","N","O","P","Q","R","S","T","U","V","W","X","Y","Z"}, B329))))&gt;0, 26, 0)</f>
        <v>0</v>
      </c>
      <c r="R329" cm="1">
        <f t="array" ref="R329">IF(SUM(N(ISNUMBER(FIND({0,1,2,3,4,5,6,7,8,9}, B329))))&gt;0, 10, 0)</f>
        <v>0</v>
      </c>
      <c r="S329" cm="1">
        <f t="array" ref="S329">IF(LEN(B329)&gt;SUMPRODUCT(LEN(B329)-LEN(SUBSTITUTE(B329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29" s="2"/>
    </row>
    <row r="330" spans="1:21" ht="15.6">
      <c r="A330" s="3">
        <v>2</v>
      </c>
      <c r="B330" s="7" t="s">
        <v>659</v>
      </c>
      <c r="C330" t="s">
        <v>640</v>
      </c>
      <c r="D330">
        <f t="shared" si="16"/>
        <v>9</v>
      </c>
      <c r="E330">
        <f t="shared" si="17"/>
        <v>58.991299665098765</v>
      </c>
      <c r="F330" s="10">
        <v>2.7254809999999998</v>
      </c>
      <c r="G330" s="10">
        <f t="shared" si="15"/>
        <v>24.529328999999997</v>
      </c>
      <c r="H330" s="10">
        <v>1</v>
      </c>
      <c r="I330" s="10">
        <v>1169</v>
      </c>
      <c r="J330" s="10">
        <v>3.067815</v>
      </c>
      <c r="K330" s="10"/>
      <c r="L330" s="10"/>
      <c r="P330" cm="1">
        <f t="array" ref="P330">IF(SUM(N(ISNUMBER(FIND({"a","b","c","d","e","f","g","h","i","j","k","l","m","n","o","p","q","r","s","t","u","v","w","x","y","z"}, B330))))&gt;0, 26, 0)</f>
        <v>26</v>
      </c>
      <c r="Q330" cm="1">
        <f t="array" ref="Q330">IF(SUM(N(ISNUMBER(FIND({"A","B","C","D","E","F","G","H","I","J","K","L","M","N","O","P","Q","R","S","T","U","V","W","X","Y","Z"}, B330))))&gt;0, 26, 0)</f>
        <v>0</v>
      </c>
      <c r="R330" cm="1">
        <f t="array" ref="R330">IF(SUM(N(ISNUMBER(FIND({0,1,2,3,4,5,6,7,8,9}, B330))))&gt;0, 10, 0)</f>
        <v>0</v>
      </c>
      <c r="S330" cm="1">
        <f t="array" ref="S330">IF(LEN(B330)&gt;SUMPRODUCT(LEN(B330)-LEN(SUBSTITUTE(B330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0" s="2"/>
    </row>
    <row r="331" spans="1:21" ht="15.6">
      <c r="A331" s="3">
        <v>2</v>
      </c>
      <c r="B331" s="7" t="s">
        <v>660</v>
      </c>
      <c r="C331" t="s">
        <v>640</v>
      </c>
      <c r="D331">
        <f t="shared" si="16"/>
        <v>9</v>
      </c>
      <c r="E331">
        <f t="shared" si="17"/>
        <v>58.991299665098765</v>
      </c>
      <c r="F331" s="10">
        <v>2.9477030000000002</v>
      </c>
      <c r="G331" s="10">
        <f t="shared" si="15"/>
        <v>26.529327000000002</v>
      </c>
      <c r="H331" s="10">
        <v>0</v>
      </c>
      <c r="I331" s="10">
        <v>190</v>
      </c>
      <c r="J331" s="10">
        <v>2.2787540000000002</v>
      </c>
      <c r="K331" s="10"/>
      <c r="L331" s="10"/>
      <c r="P331" cm="1">
        <f t="array" ref="P331">IF(SUM(N(ISNUMBER(FIND({"a","b","c","d","e","f","g","h","i","j","k","l","m","n","o","p","q","r","s","t","u","v","w","x","y","z"}, B331))))&gt;0, 26, 0)</f>
        <v>26</v>
      </c>
      <c r="Q331" cm="1">
        <f t="array" ref="Q331">IF(SUM(N(ISNUMBER(FIND({"A","B","C","D","E","F","G","H","I","J","K","L","M","N","O","P","Q","R","S","T","U","V","W","X","Y","Z"}, B331))))&gt;0, 26, 0)</f>
        <v>0</v>
      </c>
      <c r="R331" cm="1">
        <f t="array" ref="R331">IF(SUM(N(ISNUMBER(FIND({0,1,2,3,4,5,6,7,8,9}, B331))))&gt;0, 10, 0)</f>
        <v>10</v>
      </c>
      <c r="S331" cm="1">
        <f t="array" ref="S331">IF(LEN(B331)&gt;SUMPRODUCT(LEN(B331)-LEN(SUBSTITUTE(B331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1" s="2"/>
    </row>
    <row r="332" spans="1:21" ht="15.6">
      <c r="A332" s="3">
        <v>2</v>
      </c>
      <c r="B332" s="7" t="s">
        <v>661</v>
      </c>
      <c r="C332" t="s">
        <v>640</v>
      </c>
      <c r="D332">
        <f t="shared" si="16"/>
        <v>6</v>
      </c>
      <c r="E332">
        <f t="shared" si="17"/>
        <v>39.327533110065843</v>
      </c>
      <c r="F332" s="10">
        <v>2.2516289999999999</v>
      </c>
      <c r="G332" s="10">
        <f t="shared" si="15"/>
        <v>13.509774</v>
      </c>
      <c r="H332" s="10">
        <v>0</v>
      </c>
      <c r="I332" s="10">
        <v>44</v>
      </c>
      <c r="J332" s="10">
        <v>1.6434530000000001</v>
      </c>
      <c r="K332" s="10"/>
      <c r="L332" s="10"/>
      <c r="P332" cm="1">
        <f t="array" ref="P332">IF(SUM(N(ISNUMBER(FIND({"a","b","c","d","e","f","g","h","i","j","k","l","m","n","o","p","q","r","s","t","u","v","w","x","y","z"}, B332))))&gt;0, 26, 0)</f>
        <v>26</v>
      </c>
      <c r="Q332" cm="1">
        <f t="array" ref="Q332">IF(SUM(N(ISNUMBER(FIND({"A","B","C","D","E","F","G","H","I","J","K","L","M","N","O","P","Q","R","S","T","U","V","W","X","Y","Z"}, B332))))&gt;0, 26, 0)</f>
        <v>0</v>
      </c>
      <c r="R332" cm="1">
        <f t="array" ref="R332">IF(SUM(N(ISNUMBER(FIND({0,1,2,3,4,5,6,7,8,9}, B332))))&gt;0, 10, 0)</f>
        <v>0</v>
      </c>
      <c r="S332" cm="1">
        <f t="array" ref="S332">IF(LEN(B332)&gt;SUMPRODUCT(LEN(B332)-LEN(SUBSTITUTE(B332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2" s="2"/>
    </row>
    <row r="333" spans="1:21" ht="15.6">
      <c r="A333" s="3">
        <v>2</v>
      </c>
      <c r="B333" s="7" t="s">
        <v>662</v>
      </c>
      <c r="C333" t="s">
        <v>640</v>
      </c>
      <c r="D333">
        <f t="shared" si="16"/>
        <v>7</v>
      </c>
      <c r="E333">
        <f t="shared" si="17"/>
        <v>45.882121961743479</v>
      </c>
      <c r="F333" s="10">
        <v>2.5216409999999998</v>
      </c>
      <c r="G333" s="10">
        <f t="shared" si="15"/>
        <v>17.651486999999999</v>
      </c>
      <c r="H333" s="10">
        <v>0</v>
      </c>
      <c r="I333" s="10">
        <v>23</v>
      </c>
      <c r="J333" s="10">
        <v>1.361728</v>
      </c>
      <c r="K333" s="10"/>
      <c r="L333" s="10"/>
      <c r="P333" cm="1">
        <f t="array" ref="P333">IF(SUM(N(ISNUMBER(FIND({"a","b","c","d","e","f","g","h","i","j","k","l","m","n","o","p","q","r","s","t","u","v","w","x","y","z"}, B333))))&gt;0, 26, 0)</f>
        <v>26</v>
      </c>
      <c r="Q333" cm="1">
        <f t="array" ref="Q333">IF(SUM(N(ISNUMBER(FIND({"A","B","C","D","E","F","G","H","I","J","K","L","M","N","O","P","Q","R","S","T","U","V","W","X","Y","Z"}, B333))))&gt;0, 26, 0)</f>
        <v>0</v>
      </c>
      <c r="R333" cm="1">
        <f t="array" ref="R333">IF(SUM(N(ISNUMBER(FIND({0,1,2,3,4,5,6,7,8,9}, B333))))&gt;0, 10, 0)</f>
        <v>0</v>
      </c>
      <c r="S333" cm="1">
        <f t="array" ref="S333">IF(LEN(B333)&gt;SUMPRODUCT(LEN(B333)-LEN(SUBSTITUTE(B333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3" s="2"/>
    </row>
    <row r="334" spans="1:21" ht="15.6">
      <c r="A334" s="3">
        <v>2</v>
      </c>
      <c r="B334" s="7" t="s">
        <v>663</v>
      </c>
      <c r="C334" t="s">
        <v>640</v>
      </c>
      <c r="D334">
        <f t="shared" si="16"/>
        <v>7</v>
      </c>
      <c r="E334">
        <f t="shared" si="17"/>
        <v>45.882121961743479</v>
      </c>
      <c r="F334" s="10">
        <v>2.8073549999999998</v>
      </c>
      <c r="G334" s="10">
        <f t="shared" si="15"/>
        <v>19.651484999999997</v>
      </c>
      <c r="H334" s="10">
        <v>0</v>
      </c>
      <c r="I334" s="10">
        <v>247</v>
      </c>
      <c r="J334" s="10">
        <v>2.3926970000000001</v>
      </c>
      <c r="K334" s="10"/>
      <c r="L334" s="10"/>
      <c r="P334" cm="1">
        <f t="array" ref="P334">IF(SUM(N(ISNUMBER(FIND({"a","b","c","d","e","f","g","h","i","j","k","l","m","n","o","p","q","r","s","t","u","v","w","x","y","z"}, B334))))&gt;0, 26, 0)</f>
        <v>26</v>
      </c>
      <c r="Q334" cm="1">
        <f t="array" ref="Q334">IF(SUM(N(ISNUMBER(FIND({"A","B","C","D","E","F","G","H","I","J","K","L","M","N","O","P","Q","R","S","T","U","V","W","X","Y","Z"}, B334))))&gt;0, 26, 0)</f>
        <v>0</v>
      </c>
      <c r="R334" cm="1">
        <f t="array" ref="R334">IF(SUM(N(ISNUMBER(FIND({0,1,2,3,4,5,6,7,8,9}, B334))))&gt;0, 10, 0)</f>
        <v>0</v>
      </c>
      <c r="S334" cm="1">
        <f t="array" ref="S334">IF(LEN(B334)&gt;SUMPRODUCT(LEN(B334)-LEN(SUBSTITUTE(B334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4" s="2"/>
    </row>
    <row r="335" spans="1:21" ht="15.6">
      <c r="A335" s="3">
        <v>2</v>
      </c>
      <c r="B335" s="7" t="s">
        <v>664</v>
      </c>
      <c r="C335" t="s">
        <v>640</v>
      </c>
      <c r="D335">
        <f t="shared" si="16"/>
        <v>9</v>
      </c>
      <c r="E335">
        <f t="shared" si="17"/>
        <v>58.991299665098765</v>
      </c>
      <c r="F335" s="10">
        <v>2.9477030000000002</v>
      </c>
      <c r="G335" s="10">
        <f t="shared" si="15"/>
        <v>26.529327000000002</v>
      </c>
      <c r="H335" s="10">
        <v>0</v>
      </c>
      <c r="I335" s="10">
        <v>883</v>
      </c>
      <c r="J335" s="10">
        <v>2.9459610000000001</v>
      </c>
      <c r="K335" s="10"/>
      <c r="L335" s="10"/>
      <c r="P335" cm="1">
        <f t="array" ref="P335">IF(SUM(N(ISNUMBER(FIND({"a","b","c","d","e","f","g","h","i","j","k","l","m","n","o","p","q","r","s","t","u","v","w","x","y","z"}, B335))))&gt;0, 26, 0)</f>
        <v>26</v>
      </c>
      <c r="Q335" cm="1">
        <f t="array" ref="Q335">IF(SUM(N(ISNUMBER(FIND({"A","B","C","D","E","F","G","H","I","J","K","L","M","N","O","P","Q","R","S","T","U","V","W","X","Y","Z"}, B335))))&gt;0, 26, 0)</f>
        <v>0</v>
      </c>
      <c r="R335" cm="1">
        <f t="array" ref="R335">IF(SUM(N(ISNUMBER(FIND({0,1,2,3,4,5,6,7,8,9}, B335))))&gt;0, 10, 0)</f>
        <v>0</v>
      </c>
      <c r="S335" cm="1">
        <f t="array" ref="S335">IF(LEN(B335)&gt;SUMPRODUCT(LEN(B335)-LEN(SUBSTITUTE(B335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5" s="2"/>
    </row>
    <row r="336" spans="1:21" ht="15.6">
      <c r="A336" s="3">
        <v>2</v>
      </c>
      <c r="B336" s="7" t="s">
        <v>665</v>
      </c>
      <c r="C336" t="s">
        <v>640</v>
      </c>
      <c r="D336">
        <f t="shared" si="16"/>
        <v>6</v>
      </c>
      <c r="E336">
        <f t="shared" si="17"/>
        <v>39.327533110065843</v>
      </c>
      <c r="F336" s="10">
        <v>2.2516289999999999</v>
      </c>
      <c r="G336" s="10">
        <f t="shared" si="15"/>
        <v>13.509774</v>
      </c>
      <c r="H336" s="10">
        <v>0</v>
      </c>
      <c r="I336" s="10">
        <v>136</v>
      </c>
      <c r="J336" s="10">
        <v>2.1335389999999999</v>
      </c>
      <c r="K336" s="10"/>
      <c r="L336" s="10"/>
      <c r="P336" cm="1">
        <f t="array" ref="P336">IF(SUM(N(ISNUMBER(FIND({"a","b","c","d","e","f","g","h","i","j","k","l","m","n","o","p","q","r","s","t","u","v","w","x","y","z"}, B336))))&gt;0, 26, 0)</f>
        <v>26</v>
      </c>
      <c r="Q336" cm="1">
        <f t="array" ref="Q336">IF(SUM(N(ISNUMBER(FIND({"A","B","C","D","E","F","G","H","I","J","K","L","M","N","O","P","Q","R","S","T","U","V","W","X","Y","Z"}, B336))))&gt;0, 26, 0)</f>
        <v>0</v>
      </c>
      <c r="R336" cm="1">
        <f t="array" ref="R336">IF(SUM(N(ISNUMBER(FIND({0,1,2,3,4,5,6,7,8,9}, B336))))&gt;0, 10, 0)</f>
        <v>0</v>
      </c>
      <c r="S336" cm="1">
        <f t="array" ref="S336">IF(LEN(B336)&gt;SUMPRODUCT(LEN(B336)-LEN(SUBSTITUTE(B336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6" s="2"/>
    </row>
    <row r="337" spans="1:21" ht="15.6">
      <c r="A337" s="3">
        <v>2</v>
      </c>
      <c r="B337" s="7" t="s">
        <v>666</v>
      </c>
      <c r="C337" t="s">
        <v>640</v>
      </c>
      <c r="D337">
        <f t="shared" si="16"/>
        <v>5</v>
      </c>
      <c r="E337">
        <f t="shared" si="17"/>
        <v>32.7729442583882</v>
      </c>
      <c r="F337" s="10">
        <v>2.3219280000000002</v>
      </c>
      <c r="G337" s="10">
        <f t="shared" si="15"/>
        <v>11.609640000000001</v>
      </c>
      <c r="H337" s="10">
        <v>0</v>
      </c>
      <c r="I337" s="10">
        <v>167</v>
      </c>
      <c r="J337" s="10">
        <v>2.2227160000000001</v>
      </c>
      <c r="K337" s="10"/>
      <c r="L337" s="10"/>
      <c r="P337" cm="1">
        <f t="array" ref="P337">IF(SUM(N(ISNUMBER(FIND({"a","b","c","d","e","f","g","h","i","j","k","l","m","n","o","p","q","r","s","t","u","v","w","x","y","z"}, B337))))&gt;0, 26, 0)</f>
        <v>26</v>
      </c>
      <c r="Q337" cm="1">
        <f t="array" ref="Q337">IF(SUM(N(ISNUMBER(FIND({"A","B","C","D","E","F","G","H","I","J","K","L","M","N","O","P","Q","R","S","T","U","V","W","X","Y","Z"}, B337))))&gt;0, 26, 0)</f>
        <v>0</v>
      </c>
      <c r="R337" cm="1">
        <f t="array" ref="R337">IF(SUM(N(ISNUMBER(FIND({0,1,2,3,4,5,6,7,8,9}, B337))))&gt;0, 10, 0)</f>
        <v>0</v>
      </c>
      <c r="S337" cm="1">
        <f t="array" ref="S337">IF(LEN(B337)&gt;SUMPRODUCT(LEN(B337)-LEN(SUBSTITUTE(B337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7" s="2"/>
    </row>
    <row r="338" spans="1:21" ht="15.6">
      <c r="A338" s="3">
        <v>2</v>
      </c>
      <c r="B338" s="7" t="s">
        <v>667</v>
      </c>
      <c r="C338" t="s">
        <v>640</v>
      </c>
      <c r="D338">
        <f t="shared" si="16"/>
        <v>6</v>
      </c>
      <c r="E338">
        <f t="shared" si="17"/>
        <v>39.327533110065843</v>
      </c>
      <c r="F338" s="10">
        <v>2.5849630000000001</v>
      </c>
      <c r="G338" s="10">
        <f t="shared" si="15"/>
        <v>15.509778000000001</v>
      </c>
      <c r="H338" s="10">
        <v>0</v>
      </c>
      <c r="I338" s="10">
        <v>33</v>
      </c>
      <c r="J338" s="10">
        <v>1.5185139999999999</v>
      </c>
      <c r="K338" s="10"/>
      <c r="L338" s="10"/>
      <c r="P338" cm="1">
        <f t="array" ref="P338">IF(SUM(N(ISNUMBER(FIND({"a","b","c","d","e","f","g","h","i","j","k","l","m","n","o","p","q","r","s","t","u","v","w","x","y","z"}, B338))))&gt;0, 26, 0)</f>
        <v>26</v>
      </c>
      <c r="Q338" cm="1">
        <f t="array" ref="Q338">IF(SUM(N(ISNUMBER(FIND({"A","B","C","D","E","F","G","H","I","J","K","L","M","N","O","P","Q","R","S","T","U","V","W","X","Y","Z"}, B338))))&gt;0, 26, 0)</f>
        <v>0</v>
      </c>
      <c r="R338" cm="1">
        <f t="array" ref="R338">IF(SUM(N(ISNUMBER(FIND({0,1,2,3,4,5,6,7,8,9}, B338))))&gt;0, 10, 0)</f>
        <v>0</v>
      </c>
      <c r="S338" cm="1">
        <f t="array" ref="S338">IF(LEN(B338)&gt;SUMPRODUCT(LEN(B338)-LEN(SUBSTITUTE(B338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8" s="2"/>
    </row>
    <row r="339" spans="1:21" ht="15.6">
      <c r="A339" s="3">
        <v>2</v>
      </c>
      <c r="B339" s="7" t="s">
        <v>668</v>
      </c>
      <c r="C339" t="s">
        <v>640</v>
      </c>
      <c r="D339">
        <f t="shared" si="16"/>
        <v>9</v>
      </c>
      <c r="E339">
        <f t="shared" si="17"/>
        <v>58.991299665098765</v>
      </c>
      <c r="F339" s="10">
        <v>2.7254809999999998</v>
      </c>
      <c r="G339" s="10">
        <f t="shared" si="15"/>
        <v>24.529328999999997</v>
      </c>
      <c r="H339" s="10">
        <v>0</v>
      </c>
      <c r="I339" s="10">
        <v>241</v>
      </c>
      <c r="J339" s="10">
        <v>2.3820169999999998</v>
      </c>
      <c r="K339" s="10"/>
      <c r="L339" s="10"/>
      <c r="P339" cm="1">
        <f t="array" ref="P339">IF(SUM(N(ISNUMBER(FIND({"a","b","c","d","e","f","g","h","i","j","k","l","m","n","o","p","q","r","s","t","u","v","w","x","y","z"}, B339))))&gt;0, 26, 0)</f>
        <v>26</v>
      </c>
      <c r="Q339" cm="1">
        <f t="array" ref="Q339">IF(SUM(N(ISNUMBER(FIND({"A","B","C","D","E","F","G","H","I","J","K","L","M","N","O","P","Q","R","S","T","U","V","W","X","Y","Z"}, B339))))&gt;0, 26, 0)</f>
        <v>0</v>
      </c>
      <c r="R339" cm="1">
        <f t="array" ref="R339">IF(SUM(N(ISNUMBER(FIND({0,1,2,3,4,5,6,7,8,9}, B339))))&gt;0, 10, 0)</f>
        <v>0</v>
      </c>
      <c r="S339" cm="1">
        <f t="array" ref="S339">IF(LEN(B339)&gt;SUMPRODUCT(LEN(B339)-LEN(SUBSTITUTE(B339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39" s="2"/>
    </row>
    <row r="340" spans="1:21" ht="15.6">
      <c r="A340" s="3">
        <v>2</v>
      </c>
      <c r="B340" s="7" t="s">
        <v>669</v>
      </c>
      <c r="C340" t="s">
        <v>640</v>
      </c>
      <c r="D340">
        <f t="shared" si="16"/>
        <v>6</v>
      </c>
      <c r="E340">
        <f t="shared" si="17"/>
        <v>39.327533110065843</v>
      </c>
      <c r="F340" s="10">
        <v>2.5849630000000001</v>
      </c>
      <c r="G340" s="10">
        <f t="shared" si="15"/>
        <v>15.509778000000001</v>
      </c>
      <c r="H340" s="10">
        <v>0</v>
      </c>
      <c r="I340" s="10">
        <v>57</v>
      </c>
      <c r="J340" s="10">
        <v>1.7558750000000001</v>
      </c>
      <c r="K340" s="10"/>
      <c r="L340" s="10"/>
      <c r="P340" cm="1">
        <f t="array" ref="P340">IF(SUM(N(ISNUMBER(FIND({"a","b","c","d","e","f","g","h","i","j","k","l","m","n","o","p","q","r","s","t","u","v","w","x","y","z"}, B340))))&gt;0, 26, 0)</f>
        <v>26</v>
      </c>
      <c r="Q340" cm="1">
        <f t="array" ref="Q340">IF(SUM(N(ISNUMBER(FIND({"A","B","C","D","E","F","G","H","I","J","K","L","M","N","O","P","Q","R","S","T","U","V","W","X","Y","Z"}, B340))))&gt;0, 26, 0)</f>
        <v>0</v>
      </c>
      <c r="R340" cm="1">
        <f t="array" ref="R340">IF(SUM(N(ISNUMBER(FIND({0,1,2,3,4,5,6,7,8,9}, B340))))&gt;0, 10, 0)</f>
        <v>0</v>
      </c>
      <c r="S340" cm="1">
        <f t="array" ref="S340">IF(LEN(B340)&gt;SUMPRODUCT(LEN(B340)-LEN(SUBSTITUTE(B340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0" s="2"/>
    </row>
    <row r="341" spans="1:21" ht="15.6">
      <c r="A341" s="3">
        <v>2</v>
      </c>
      <c r="B341" s="7" t="s">
        <v>670</v>
      </c>
      <c r="C341" t="s">
        <v>640</v>
      </c>
      <c r="D341">
        <f t="shared" si="16"/>
        <v>6</v>
      </c>
      <c r="E341">
        <f t="shared" si="17"/>
        <v>39.327533110065843</v>
      </c>
      <c r="F341" s="10">
        <v>2.2516289999999999</v>
      </c>
      <c r="G341" s="10">
        <f t="shared" si="15"/>
        <v>13.509774</v>
      </c>
      <c r="H341" s="10">
        <v>0</v>
      </c>
      <c r="I341" s="10">
        <v>360</v>
      </c>
      <c r="J341" s="10">
        <v>2.5563030000000002</v>
      </c>
      <c r="K341" s="10"/>
      <c r="L341" s="10"/>
      <c r="P341" cm="1">
        <f t="array" ref="P341">IF(SUM(N(ISNUMBER(FIND({"a","b","c","d","e","f","g","h","i","j","k","l","m","n","o","p","q","r","s","t","u","v","w","x","y","z"}, B341))))&gt;0, 26, 0)</f>
        <v>26</v>
      </c>
      <c r="Q341" cm="1">
        <f t="array" ref="Q341">IF(SUM(N(ISNUMBER(FIND({"A","B","C","D","E","F","G","H","I","J","K","L","M","N","O","P","Q","R","S","T","U","V","W","X","Y","Z"}, B341))))&gt;0, 26, 0)</f>
        <v>0</v>
      </c>
      <c r="R341" cm="1">
        <f t="array" ref="R341">IF(SUM(N(ISNUMBER(FIND({0,1,2,3,4,5,6,7,8,9}, B341))))&gt;0, 10, 0)</f>
        <v>0</v>
      </c>
      <c r="S341" cm="1">
        <f t="array" ref="S341">IF(LEN(B341)&gt;SUMPRODUCT(LEN(B341)-LEN(SUBSTITUTE(B341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1" s="2"/>
    </row>
    <row r="342" spans="1:21" ht="15.6">
      <c r="A342" s="3">
        <v>2</v>
      </c>
      <c r="B342" s="7" t="s">
        <v>671</v>
      </c>
      <c r="C342" t="s">
        <v>640</v>
      </c>
      <c r="D342">
        <f t="shared" si="16"/>
        <v>7</v>
      </c>
      <c r="E342">
        <f t="shared" si="17"/>
        <v>45.882121961743479</v>
      </c>
      <c r="F342" s="10">
        <v>2.5216409999999998</v>
      </c>
      <c r="G342" s="10">
        <f t="shared" si="15"/>
        <v>17.651486999999999</v>
      </c>
      <c r="H342" s="10">
        <v>0</v>
      </c>
      <c r="I342" s="10">
        <v>31</v>
      </c>
      <c r="J342" s="10">
        <v>1.4913620000000001</v>
      </c>
      <c r="K342" s="10"/>
      <c r="L342" s="10"/>
      <c r="P342" cm="1">
        <f t="array" ref="P342">IF(SUM(N(ISNUMBER(FIND({"a","b","c","d","e","f","g","h","i","j","k","l","m","n","o","p","q","r","s","t","u","v","w","x","y","z"}, B342))))&gt;0, 26, 0)</f>
        <v>26</v>
      </c>
      <c r="Q342" cm="1">
        <f t="array" ref="Q342">IF(SUM(N(ISNUMBER(FIND({"A","B","C","D","E","F","G","H","I","J","K","L","M","N","O","P","Q","R","S","T","U","V","W","X","Y","Z"}, B342))))&gt;0, 26, 0)</f>
        <v>0</v>
      </c>
      <c r="R342" cm="1">
        <f t="array" ref="R342">IF(SUM(N(ISNUMBER(FIND({0,1,2,3,4,5,6,7,8,9}, B342))))&gt;0, 10, 0)</f>
        <v>0</v>
      </c>
      <c r="S342" cm="1">
        <f t="array" ref="S342">IF(LEN(B342)&gt;SUMPRODUCT(LEN(B342)-LEN(SUBSTITUTE(B342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2" s="2"/>
    </row>
    <row r="343" spans="1:21" ht="15.6">
      <c r="A343" s="3">
        <v>2</v>
      </c>
      <c r="B343" s="7">
        <v>123123</v>
      </c>
      <c r="C343" t="s">
        <v>640</v>
      </c>
      <c r="D343">
        <f t="shared" si="16"/>
        <v>6</v>
      </c>
      <c r="E343">
        <f t="shared" si="17"/>
        <v>39.327533110065843</v>
      </c>
      <c r="F343" s="10">
        <v>1.5849629999999999</v>
      </c>
      <c r="G343" s="10">
        <f t="shared" si="15"/>
        <v>9.509777999999999</v>
      </c>
      <c r="H343" s="10">
        <v>0</v>
      </c>
      <c r="I343" s="10">
        <v>12</v>
      </c>
      <c r="J343" s="10">
        <v>1.0791809999999999</v>
      </c>
      <c r="K343" s="10"/>
      <c r="L343" s="10"/>
      <c r="P343" cm="1">
        <f t="array" ref="P343">IF(SUM(N(ISNUMBER(FIND({"a","b","c","d","e","f","g","h","i","j","k","l","m","n","o","p","q","r","s","t","u","v","w","x","y","z"}, B343))))&gt;0, 26, 0)</f>
        <v>0</v>
      </c>
      <c r="Q343" cm="1">
        <f t="array" ref="Q343">IF(SUM(N(ISNUMBER(FIND({"A","B","C","D","E","F","G","H","I","J","K","L","M","N","O","P","Q","R","S","T","U","V","W","X","Y","Z"}, B343))))&gt;0, 26, 0)</f>
        <v>0</v>
      </c>
      <c r="R343" cm="1">
        <f t="array" ref="R343">IF(SUM(N(ISNUMBER(FIND({0,1,2,3,4,5,6,7,8,9}, B343))))&gt;0, 10, 0)</f>
        <v>10</v>
      </c>
      <c r="S343" cm="1">
        <f t="array" ref="S343">IF(LEN(B343)&gt;SUMPRODUCT(LEN(B343)-LEN(SUBSTITUTE(B343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3" s="2"/>
    </row>
    <row r="344" spans="1:21" ht="15.6">
      <c r="A344" s="3">
        <v>2</v>
      </c>
      <c r="B344" s="7" t="s">
        <v>672</v>
      </c>
      <c r="C344" t="s">
        <v>640</v>
      </c>
      <c r="D344">
        <f t="shared" si="16"/>
        <v>8</v>
      </c>
      <c r="E344">
        <f t="shared" si="17"/>
        <v>52.436710813421122</v>
      </c>
      <c r="F344" s="10">
        <v>2.5</v>
      </c>
      <c r="G344" s="10">
        <f t="shared" si="15"/>
        <v>20</v>
      </c>
      <c r="H344" s="10">
        <v>0</v>
      </c>
      <c r="I344" s="10">
        <v>15</v>
      </c>
      <c r="J344" s="10">
        <v>1.176091</v>
      </c>
      <c r="K344" s="10"/>
      <c r="L344" s="10"/>
      <c r="P344" cm="1">
        <f t="array" ref="P344">IF(SUM(N(ISNUMBER(FIND({"a","b","c","d","e","f","g","h","i","j","k","l","m","n","o","p","q","r","s","t","u","v","w","x","y","z"}, B344))))&gt;0, 26, 0)</f>
        <v>26</v>
      </c>
      <c r="Q344" cm="1">
        <f t="array" ref="Q344">IF(SUM(N(ISNUMBER(FIND({"A","B","C","D","E","F","G","H","I","J","K","L","M","N","O","P","Q","R","S","T","U","V","W","X","Y","Z"}, B344))))&gt;0, 26, 0)</f>
        <v>0</v>
      </c>
      <c r="R344" cm="1">
        <f t="array" ref="R344">IF(SUM(N(ISNUMBER(FIND({0,1,2,3,4,5,6,7,8,9}, B344))))&gt;0, 10, 0)</f>
        <v>0</v>
      </c>
      <c r="S344" cm="1">
        <f t="array" ref="S344">IF(LEN(B344)&gt;SUMPRODUCT(LEN(B344)-LEN(SUBSTITUTE(B344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4" s="2"/>
    </row>
    <row r="345" spans="1:21" ht="15.6">
      <c r="A345" s="3">
        <v>2</v>
      </c>
      <c r="B345" s="7" t="s">
        <v>673</v>
      </c>
      <c r="C345" t="s">
        <v>640</v>
      </c>
      <c r="D345">
        <f t="shared" si="16"/>
        <v>6</v>
      </c>
      <c r="E345">
        <f t="shared" si="17"/>
        <v>39.327533110065843</v>
      </c>
      <c r="F345" s="10">
        <v>2.2516289999999999</v>
      </c>
      <c r="G345" s="10">
        <f t="shared" si="15"/>
        <v>13.509774</v>
      </c>
      <c r="H345" s="10">
        <v>0</v>
      </c>
      <c r="I345" s="10">
        <v>82</v>
      </c>
      <c r="J345" s="10">
        <v>1.9138139999999999</v>
      </c>
      <c r="K345" s="10"/>
      <c r="L345" s="10"/>
      <c r="P345" cm="1">
        <f t="array" ref="P345">IF(SUM(N(ISNUMBER(FIND({"a","b","c","d","e","f","g","h","i","j","k","l","m","n","o","p","q","r","s","t","u","v","w","x","y","z"}, B345))))&gt;0, 26, 0)</f>
        <v>26</v>
      </c>
      <c r="Q345" cm="1">
        <f t="array" ref="Q345">IF(SUM(N(ISNUMBER(FIND({"A","B","C","D","E","F","G","H","I","J","K","L","M","N","O","P","Q","R","S","T","U","V","W","X","Y","Z"}, B345))))&gt;0, 26, 0)</f>
        <v>0</v>
      </c>
      <c r="R345" cm="1">
        <f t="array" ref="R345">IF(SUM(N(ISNUMBER(FIND({0,1,2,3,4,5,6,7,8,9}, B345))))&gt;0, 10, 0)</f>
        <v>0</v>
      </c>
      <c r="S345" cm="1">
        <f t="array" ref="S345">IF(LEN(B345)&gt;SUMPRODUCT(LEN(B345)-LEN(SUBSTITUTE(B345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5" s="2"/>
    </row>
    <row r="346" spans="1:21" ht="15.6">
      <c r="A346" s="3">
        <v>2</v>
      </c>
      <c r="B346" s="7" t="s">
        <v>674</v>
      </c>
      <c r="C346" t="s">
        <v>640</v>
      </c>
      <c r="D346">
        <f t="shared" si="16"/>
        <v>6</v>
      </c>
      <c r="E346">
        <f t="shared" si="17"/>
        <v>39.327533110065843</v>
      </c>
      <c r="F346" s="10">
        <v>2.2516289999999999</v>
      </c>
      <c r="G346" s="10">
        <f t="shared" si="15"/>
        <v>13.509774</v>
      </c>
      <c r="H346" s="10">
        <v>0</v>
      </c>
      <c r="I346" s="10">
        <v>82</v>
      </c>
      <c r="J346" s="10">
        <v>1.9138139999999999</v>
      </c>
      <c r="K346" s="10"/>
      <c r="L346" s="10"/>
      <c r="P346" cm="1">
        <f t="array" ref="P346">IF(SUM(N(ISNUMBER(FIND({"a","b","c","d","e","f","g","h","i","j","k","l","m","n","o","p","q","r","s","t","u","v","w","x","y","z"}, B346))))&gt;0, 26, 0)</f>
        <v>26</v>
      </c>
      <c r="Q346" cm="1">
        <f t="array" ref="Q346">IF(SUM(N(ISNUMBER(FIND({"A","B","C","D","E","F","G","H","I","J","K","L","M","N","O","P","Q","R","S","T","U","V","W","X","Y","Z"}, B346))))&gt;0, 26, 0)</f>
        <v>0</v>
      </c>
      <c r="R346" cm="1">
        <f t="array" ref="R346">IF(SUM(N(ISNUMBER(FIND({0,1,2,3,4,5,6,7,8,9}, B346))))&gt;0, 10, 0)</f>
        <v>0</v>
      </c>
      <c r="S346" cm="1">
        <f t="array" ref="S346">IF(LEN(B346)&gt;SUMPRODUCT(LEN(B346)-LEN(SUBSTITUTE(B346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6" s="2"/>
    </row>
    <row r="347" spans="1:21" ht="15.6">
      <c r="A347" s="3">
        <v>2</v>
      </c>
      <c r="B347" s="7" t="s">
        <v>675</v>
      </c>
      <c r="C347" t="s">
        <v>640</v>
      </c>
      <c r="D347">
        <f t="shared" si="16"/>
        <v>6</v>
      </c>
      <c r="E347">
        <f t="shared" si="17"/>
        <v>39.327533110065843</v>
      </c>
      <c r="F347" s="10">
        <v>2.5849630000000001</v>
      </c>
      <c r="G347" s="10">
        <f t="shared" si="15"/>
        <v>15.509778000000001</v>
      </c>
      <c r="H347" s="10">
        <v>0</v>
      </c>
      <c r="I347" s="10">
        <v>81</v>
      </c>
      <c r="J347" s="10">
        <v>1.908485</v>
      </c>
      <c r="K347" s="10"/>
      <c r="L347" s="10"/>
      <c r="P347" cm="1">
        <f t="array" ref="P347">IF(SUM(N(ISNUMBER(FIND({"a","b","c","d","e","f","g","h","i","j","k","l","m","n","o","p","q","r","s","t","u","v","w","x","y","z"}, B347))))&gt;0, 26, 0)</f>
        <v>26</v>
      </c>
      <c r="Q347" cm="1">
        <f t="array" ref="Q347">IF(SUM(N(ISNUMBER(FIND({"A","B","C","D","E","F","G","H","I","J","K","L","M","N","O","P","Q","R","S","T","U","V","W","X","Y","Z"}, B347))))&gt;0, 26, 0)</f>
        <v>0</v>
      </c>
      <c r="R347" cm="1">
        <f t="array" ref="R347">IF(SUM(N(ISNUMBER(FIND({0,1,2,3,4,5,6,7,8,9}, B347))))&gt;0, 10, 0)</f>
        <v>0</v>
      </c>
      <c r="S347" cm="1">
        <f t="array" ref="S347">IF(LEN(B347)&gt;SUMPRODUCT(LEN(B347)-LEN(SUBSTITUTE(B347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7" s="2"/>
    </row>
    <row r="348" spans="1:21" ht="15.6">
      <c r="A348" s="3">
        <v>2</v>
      </c>
      <c r="B348" s="7" t="s">
        <v>676</v>
      </c>
      <c r="C348" t="s">
        <v>640</v>
      </c>
      <c r="D348">
        <f t="shared" si="16"/>
        <v>8</v>
      </c>
      <c r="E348">
        <f t="shared" si="17"/>
        <v>52.436710813421122</v>
      </c>
      <c r="F348" s="10">
        <v>2.5</v>
      </c>
      <c r="G348" s="10">
        <f t="shared" si="15"/>
        <v>20</v>
      </c>
      <c r="H348" s="10">
        <v>0</v>
      </c>
      <c r="I348" s="10">
        <v>7</v>
      </c>
      <c r="J348" s="10">
        <v>0.84509800000000002</v>
      </c>
      <c r="K348" s="10"/>
      <c r="L348" s="10"/>
      <c r="P348" cm="1">
        <f t="array" ref="P348">IF(SUM(N(ISNUMBER(FIND({"a","b","c","d","e","f","g","h","i","j","k","l","m","n","o","p","q","r","s","t","u","v","w","x","y","z"}, B348))))&gt;0, 26, 0)</f>
        <v>26</v>
      </c>
      <c r="Q348" cm="1">
        <f t="array" ref="Q348">IF(SUM(N(ISNUMBER(FIND({"A","B","C","D","E","F","G","H","I","J","K","L","M","N","O","P","Q","R","S","T","U","V","W","X","Y","Z"}, B348))))&gt;0, 26, 0)</f>
        <v>0</v>
      </c>
      <c r="R348" cm="1">
        <f t="array" ref="R348">IF(SUM(N(ISNUMBER(FIND({0,1,2,3,4,5,6,7,8,9}, B348))))&gt;0, 10, 0)</f>
        <v>0</v>
      </c>
      <c r="S348" cm="1">
        <f t="array" ref="S348">IF(LEN(B348)&gt;SUMPRODUCT(LEN(B348)-LEN(SUBSTITUTE(B348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8" s="2"/>
    </row>
    <row r="349" spans="1:21" ht="15.6">
      <c r="A349" s="3">
        <v>2</v>
      </c>
      <c r="B349" s="7" t="s">
        <v>677</v>
      </c>
      <c r="C349" t="s">
        <v>640</v>
      </c>
      <c r="D349">
        <f t="shared" si="16"/>
        <v>6</v>
      </c>
      <c r="E349">
        <f t="shared" si="17"/>
        <v>39.327533110065843</v>
      </c>
      <c r="F349" s="10">
        <v>2.5849630000000001</v>
      </c>
      <c r="G349" s="10">
        <f t="shared" si="15"/>
        <v>15.509778000000001</v>
      </c>
      <c r="H349" s="10">
        <v>0</v>
      </c>
      <c r="I349" s="10">
        <v>39</v>
      </c>
      <c r="J349" s="10">
        <v>1.591065</v>
      </c>
      <c r="K349" s="10"/>
      <c r="L349" s="10"/>
      <c r="P349" cm="1">
        <f t="array" ref="P349">IF(SUM(N(ISNUMBER(FIND({"a","b","c","d","e","f","g","h","i","j","k","l","m","n","o","p","q","r","s","t","u","v","w","x","y","z"}, B349))))&gt;0, 26, 0)</f>
        <v>26</v>
      </c>
      <c r="Q349" cm="1">
        <f t="array" ref="Q349">IF(SUM(N(ISNUMBER(FIND({"A","B","C","D","E","F","G","H","I","J","K","L","M","N","O","P","Q","R","S","T","U","V","W","X","Y","Z"}, B349))))&gt;0, 26, 0)</f>
        <v>0</v>
      </c>
      <c r="R349" cm="1">
        <f t="array" ref="R349">IF(SUM(N(ISNUMBER(FIND({0,1,2,3,4,5,6,7,8,9}, B349))))&gt;0, 10, 0)</f>
        <v>0</v>
      </c>
      <c r="S349" cm="1">
        <f t="array" ref="S349">IF(LEN(B349)&gt;SUMPRODUCT(LEN(B349)-LEN(SUBSTITUTE(B349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49" s="2"/>
    </row>
    <row r="350" spans="1:21" ht="15.6">
      <c r="A350" s="3">
        <v>2</v>
      </c>
      <c r="B350" s="7" t="s">
        <v>678</v>
      </c>
      <c r="C350" t="s">
        <v>640</v>
      </c>
      <c r="D350">
        <f t="shared" si="16"/>
        <v>7</v>
      </c>
      <c r="E350">
        <f t="shared" si="17"/>
        <v>45.882121961743479</v>
      </c>
      <c r="F350" s="10">
        <v>2.128085</v>
      </c>
      <c r="G350" s="10">
        <f t="shared" si="15"/>
        <v>14.896595</v>
      </c>
      <c r="H350" s="10">
        <v>0</v>
      </c>
      <c r="I350" s="10">
        <v>361</v>
      </c>
      <c r="J350" s="10">
        <v>2.5575070000000002</v>
      </c>
      <c r="K350" s="10"/>
      <c r="L350" s="10"/>
      <c r="P350" cm="1">
        <f t="array" ref="P350">IF(SUM(N(ISNUMBER(FIND({"a","b","c","d","e","f","g","h","i","j","k","l","m","n","o","p","q","r","s","t","u","v","w","x","y","z"}, B350))))&gt;0, 26, 0)</f>
        <v>26</v>
      </c>
      <c r="Q350" cm="1">
        <f t="array" ref="Q350">IF(SUM(N(ISNUMBER(FIND({"A","B","C","D","E","F","G","H","I","J","K","L","M","N","O","P","Q","R","S","T","U","V","W","X","Y","Z"}, B350))))&gt;0, 26, 0)</f>
        <v>0</v>
      </c>
      <c r="R350" cm="1">
        <f t="array" ref="R350">IF(SUM(N(ISNUMBER(FIND({0,1,2,3,4,5,6,7,8,9}, B350))))&gt;0, 10, 0)</f>
        <v>0</v>
      </c>
      <c r="S350" cm="1">
        <f t="array" ref="S350">IF(LEN(B350)&gt;SUMPRODUCT(LEN(B350)-LEN(SUBSTITUTE(B350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0" s="2"/>
    </row>
    <row r="351" spans="1:21" ht="15.6">
      <c r="A351" s="3">
        <v>2</v>
      </c>
      <c r="B351" s="7">
        <v>1234567890</v>
      </c>
      <c r="C351" t="s">
        <v>640</v>
      </c>
      <c r="D351">
        <f t="shared" si="16"/>
        <v>10</v>
      </c>
      <c r="E351">
        <f t="shared" si="17"/>
        <v>65.545888516776401</v>
      </c>
      <c r="F351" s="10">
        <v>3.3219280000000002</v>
      </c>
      <c r="G351" s="10">
        <f t="shared" si="15"/>
        <v>33.219280000000005</v>
      </c>
      <c r="H351" s="10">
        <v>0</v>
      </c>
      <c r="I351" s="10">
        <v>25</v>
      </c>
      <c r="J351" s="10">
        <v>1.39794</v>
      </c>
      <c r="K351" s="10"/>
      <c r="L351" s="10"/>
      <c r="P351" cm="1">
        <f t="array" ref="P351">IF(SUM(N(ISNUMBER(FIND({"a","b","c","d","e","f","g","h","i","j","k","l","m","n","o","p","q","r","s","t","u","v","w","x","y","z"}, B351))))&gt;0, 26, 0)</f>
        <v>0</v>
      </c>
      <c r="Q351" cm="1">
        <f t="array" ref="Q351">IF(SUM(N(ISNUMBER(FIND({"A","B","C","D","E","F","G","H","I","J","K","L","M","N","O","P","Q","R","S","T","U","V","W","X","Y","Z"}, B351))))&gt;0, 26, 0)</f>
        <v>0</v>
      </c>
      <c r="R351" cm="1">
        <f t="array" ref="R351">IF(SUM(N(ISNUMBER(FIND({0,1,2,3,4,5,6,7,8,9}, B351))))&gt;0, 10, 0)</f>
        <v>10</v>
      </c>
      <c r="S351" cm="1">
        <f t="array" ref="S351">IF(LEN(B351)&gt;SUMPRODUCT(LEN(B351)-LEN(SUBSTITUTE(B351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1" s="2"/>
    </row>
    <row r="352" spans="1:21" ht="15.6">
      <c r="A352" s="3">
        <v>2</v>
      </c>
      <c r="B352" s="7" t="s">
        <v>679</v>
      </c>
      <c r="C352" t="s">
        <v>640</v>
      </c>
      <c r="D352">
        <f t="shared" si="16"/>
        <v>8</v>
      </c>
      <c r="E352">
        <f t="shared" si="17"/>
        <v>52.436710813421122</v>
      </c>
      <c r="F352" s="10">
        <v>3</v>
      </c>
      <c r="G352" s="10">
        <f t="shared" si="15"/>
        <v>24</v>
      </c>
      <c r="H352" s="10">
        <v>0</v>
      </c>
      <c r="I352" s="10">
        <v>27</v>
      </c>
      <c r="J352" s="10">
        <v>1.4313640000000001</v>
      </c>
      <c r="K352" s="10"/>
      <c r="L352" s="10"/>
      <c r="P352" cm="1">
        <f t="array" ref="P352">IF(SUM(N(ISNUMBER(FIND({"a","b","c","d","e","f","g","h","i","j","k","l","m","n","o","p","q","r","s","t","u","v","w","x","y","z"}, B352))))&gt;0, 26, 0)</f>
        <v>26</v>
      </c>
      <c r="Q352" cm="1">
        <f t="array" ref="Q352">IF(SUM(N(ISNUMBER(FIND({"A","B","C","D","E","F","G","H","I","J","K","L","M","N","O","P","Q","R","S","T","U","V","W","X","Y","Z"}, B352))))&gt;0, 26, 0)</f>
        <v>0</v>
      </c>
      <c r="R352" cm="1">
        <f t="array" ref="R352">IF(SUM(N(ISNUMBER(FIND({0,1,2,3,4,5,6,7,8,9}, B352))))&gt;0, 10, 0)</f>
        <v>0</v>
      </c>
      <c r="S352" cm="1">
        <f t="array" ref="S352">IF(LEN(B352)&gt;SUMPRODUCT(LEN(B352)-LEN(SUBSTITUTE(B352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2" s="2"/>
    </row>
    <row r="353" spans="1:21" ht="15.6">
      <c r="A353" s="3">
        <v>2</v>
      </c>
      <c r="B353" s="7" t="s">
        <v>680</v>
      </c>
      <c r="C353" t="s">
        <v>640</v>
      </c>
      <c r="D353">
        <f t="shared" si="16"/>
        <v>6</v>
      </c>
      <c r="E353">
        <f t="shared" si="17"/>
        <v>39.327533110065843</v>
      </c>
      <c r="F353" s="10">
        <v>1.5849629999999999</v>
      </c>
      <c r="G353" s="10">
        <f t="shared" si="15"/>
        <v>9.509777999999999</v>
      </c>
      <c r="H353" s="10">
        <v>0</v>
      </c>
      <c r="I353" s="10">
        <v>132</v>
      </c>
      <c r="J353" s="10">
        <v>2.120574</v>
      </c>
      <c r="K353" s="10"/>
      <c r="L353" s="10"/>
      <c r="P353" cm="1">
        <f t="array" ref="P353">IF(SUM(N(ISNUMBER(FIND({"a","b","c","d","e","f","g","h","i","j","k","l","m","n","o","p","q","r","s","t","u","v","w","x","y","z"}, B353))))&gt;0, 26, 0)</f>
        <v>26</v>
      </c>
      <c r="Q353" cm="1">
        <f t="array" ref="Q353">IF(SUM(N(ISNUMBER(FIND({"A","B","C","D","E","F","G","H","I","J","K","L","M","N","O","P","Q","R","S","T","U","V","W","X","Y","Z"}, B353))))&gt;0, 26, 0)</f>
        <v>0</v>
      </c>
      <c r="R353" cm="1">
        <f t="array" ref="R353">IF(SUM(N(ISNUMBER(FIND({0,1,2,3,4,5,6,7,8,9}, B353))))&gt;0, 10, 0)</f>
        <v>0</v>
      </c>
      <c r="S353" cm="1">
        <f t="array" ref="S353">IF(LEN(B353)&gt;SUMPRODUCT(LEN(B353)-LEN(SUBSTITUTE(B353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3" s="2"/>
    </row>
    <row r="354" spans="1:21" ht="15.6">
      <c r="A354" s="3">
        <v>2</v>
      </c>
      <c r="B354" s="7" t="s">
        <v>681</v>
      </c>
      <c r="C354" t="s">
        <v>640</v>
      </c>
      <c r="D354">
        <f t="shared" si="16"/>
        <v>6</v>
      </c>
      <c r="E354">
        <f t="shared" si="17"/>
        <v>39.327533110065843</v>
      </c>
      <c r="F354" s="10">
        <v>1.792481</v>
      </c>
      <c r="G354" s="10">
        <f t="shared" si="15"/>
        <v>10.754885999999999</v>
      </c>
      <c r="H354" s="10">
        <v>0</v>
      </c>
      <c r="I354" s="10">
        <v>41</v>
      </c>
      <c r="J354" s="10">
        <v>1.612784</v>
      </c>
      <c r="K354" s="10"/>
      <c r="L354" s="10"/>
      <c r="P354" cm="1">
        <f t="array" ref="P354">IF(SUM(N(ISNUMBER(FIND({"a","b","c","d","e","f","g","h","i","j","k","l","m","n","o","p","q","r","s","t","u","v","w","x","y","z"}, B354))))&gt;0, 26, 0)</f>
        <v>26</v>
      </c>
      <c r="Q354" cm="1">
        <f t="array" ref="Q354">IF(SUM(N(ISNUMBER(FIND({"A","B","C","D","E","F","G","H","I","J","K","L","M","N","O","P","Q","R","S","T","U","V","W","X","Y","Z"}, B354))))&gt;0, 26, 0)</f>
        <v>0</v>
      </c>
      <c r="R354" cm="1">
        <f t="array" ref="R354">IF(SUM(N(ISNUMBER(FIND({0,1,2,3,4,5,6,7,8,9}, B354))))&gt;0, 10, 0)</f>
        <v>0</v>
      </c>
      <c r="S354" cm="1">
        <f t="array" ref="S354">IF(LEN(B354)&gt;SUMPRODUCT(LEN(B354)-LEN(SUBSTITUTE(B354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4" s="2"/>
    </row>
    <row r="355" spans="1:21" ht="15.6">
      <c r="A355" s="3">
        <v>2</v>
      </c>
      <c r="B355" s="7" t="s">
        <v>682</v>
      </c>
      <c r="C355" t="s">
        <v>640</v>
      </c>
      <c r="D355">
        <f t="shared" si="16"/>
        <v>7</v>
      </c>
      <c r="E355">
        <f t="shared" si="17"/>
        <v>45.882121961743479</v>
      </c>
      <c r="F355" s="10">
        <v>2.5216409999999998</v>
      </c>
      <c r="G355" s="10">
        <f t="shared" si="15"/>
        <v>17.651486999999999</v>
      </c>
      <c r="H355" s="10">
        <v>0</v>
      </c>
      <c r="I355" s="10">
        <v>519</v>
      </c>
      <c r="J355" s="10">
        <v>2.7151670000000001</v>
      </c>
      <c r="K355" s="10"/>
      <c r="L355" s="10"/>
      <c r="P355" cm="1">
        <f t="array" ref="P355">IF(SUM(N(ISNUMBER(FIND({"a","b","c","d","e","f","g","h","i","j","k","l","m","n","o","p","q","r","s","t","u","v","w","x","y","z"}, B355))))&gt;0, 26, 0)</f>
        <v>26</v>
      </c>
      <c r="Q355" cm="1">
        <f t="array" ref="Q355">IF(SUM(N(ISNUMBER(FIND({"A","B","C","D","E","F","G","H","I","J","K","L","M","N","O","P","Q","R","S","T","U","V","W","X","Y","Z"}, B355))))&gt;0, 26, 0)</f>
        <v>0</v>
      </c>
      <c r="R355" cm="1">
        <f t="array" ref="R355">IF(SUM(N(ISNUMBER(FIND({0,1,2,3,4,5,6,7,8,9}, B355))))&gt;0, 10, 0)</f>
        <v>0</v>
      </c>
      <c r="S355" cm="1">
        <f t="array" ref="S355">IF(LEN(B355)&gt;SUMPRODUCT(LEN(B355)-LEN(SUBSTITUTE(B355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5" s="2"/>
    </row>
    <row r="356" spans="1:21" ht="15.6">
      <c r="A356" s="3">
        <v>2</v>
      </c>
      <c r="B356" s="7" t="s">
        <v>683</v>
      </c>
      <c r="C356" t="s">
        <v>640</v>
      </c>
      <c r="D356">
        <f t="shared" si="16"/>
        <v>6</v>
      </c>
      <c r="E356">
        <f t="shared" si="17"/>
        <v>39.327533110065843</v>
      </c>
      <c r="F356" s="10">
        <v>2.2516289999999999</v>
      </c>
      <c r="G356" s="10">
        <f t="shared" si="15"/>
        <v>13.509774</v>
      </c>
      <c r="H356" s="10">
        <v>0</v>
      </c>
      <c r="I356" s="10">
        <v>200</v>
      </c>
      <c r="J356" s="10">
        <v>2.3010299999999999</v>
      </c>
      <c r="K356" s="10"/>
      <c r="L356" s="10"/>
      <c r="P356" cm="1">
        <f t="array" ref="P356">IF(SUM(N(ISNUMBER(FIND({"a","b","c","d","e","f","g","h","i","j","k","l","m","n","o","p","q","r","s","t","u","v","w","x","y","z"}, B356))))&gt;0, 26, 0)</f>
        <v>26</v>
      </c>
      <c r="Q356" cm="1">
        <f t="array" ref="Q356">IF(SUM(N(ISNUMBER(FIND({"A","B","C","D","E","F","G","H","I","J","K","L","M","N","O","P","Q","R","S","T","U","V","W","X","Y","Z"}, B356))))&gt;0, 26, 0)</f>
        <v>0</v>
      </c>
      <c r="R356" cm="1">
        <f t="array" ref="R356">IF(SUM(N(ISNUMBER(FIND({0,1,2,3,4,5,6,7,8,9}, B356))))&gt;0, 10, 0)</f>
        <v>0</v>
      </c>
      <c r="S356" cm="1">
        <f t="array" ref="S356">IF(LEN(B356)&gt;SUMPRODUCT(LEN(B356)-LEN(SUBSTITUTE(B356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6" s="2"/>
    </row>
    <row r="357" spans="1:21" ht="15.6">
      <c r="A357" s="3">
        <v>2</v>
      </c>
      <c r="B357" s="7" t="s">
        <v>684</v>
      </c>
      <c r="C357" t="s">
        <v>640</v>
      </c>
      <c r="D357">
        <f t="shared" si="16"/>
        <v>10</v>
      </c>
      <c r="E357">
        <f t="shared" si="17"/>
        <v>65.545888516776401</v>
      </c>
      <c r="F357" s="10">
        <v>2.7219280000000001</v>
      </c>
      <c r="G357" s="10">
        <f t="shared" si="15"/>
        <v>27.219280000000001</v>
      </c>
      <c r="H357" s="10">
        <v>0</v>
      </c>
      <c r="I357" s="10">
        <v>713</v>
      </c>
      <c r="J357" s="10">
        <v>2.8530899999999999</v>
      </c>
      <c r="K357" s="10"/>
      <c r="L357" s="10"/>
      <c r="P357" cm="1">
        <f t="array" ref="P357">IF(SUM(N(ISNUMBER(FIND({"a","b","c","d","e","f","g","h","i","j","k","l","m","n","o","p","q","r","s","t","u","v","w","x","y","z"}, B357))))&gt;0, 26, 0)</f>
        <v>26</v>
      </c>
      <c r="Q357" cm="1">
        <f t="array" ref="Q357">IF(SUM(N(ISNUMBER(FIND({"A","B","C","D","E","F","G","H","I","J","K","L","M","N","O","P","Q","R","S","T","U","V","W","X","Y","Z"}, B357))))&gt;0, 26, 0)</f>
        <v>0</v>
      </c>
      <c r="R357" cm="1">
        <f t="array" ref="R357">IF(SUM(N(ISNUMBER(FIND({0,1,2,3,4,5,6,7,8,9}, B357))))&gt;0, 10, 0)</f>
        <v>0</v>
      </c>
      <c r="S357" cm="1">
        <f t="array" ref="S357">IF(LEN(B357)&gt;SUMPRODUCT(LEN(B357)-LEN(SUBSTITUTE(B357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7" s="2"/>
    </row>
    <row r="358" spans="1:21" ht="15.6">
      <c r="A358" s="3">
        <v>2</v>
      </c>
      <c r="B358" s="7" t="s">
        <v>685</v>
      </c>
      <c r="C358" t="s">
        <v>640</v>
      </c>
      <c r="D358">
        <f t="shared" si="16"/>
        <v>6</v>
      </c>
      <c r="E358">
        <f t="shared" si="17"/>
        <v>39.327533110065843</v>
      </c>
      <c r="F358" s="10">
        <v>2.5849630000000001</v>
      </c>
      <c r="G358" s="10">
        <f t="shared" si="15"/>
        <v>15.509778000000001</v>
      </c>
      <c r="H358" s="10">
        <v>0</v>
      </c>
      <c r="I358" s="10">
        <v>36</v>
      </c>
      <c r="J358" s="10">
        <v>1.556303</v>
      </c>
      <c r="K358" s="10"/>
      <c r="L358" s="10"/>
      <c r="P358" cm="1">
        <f t="array" ref="P358">IF(SUM(N(ISNUMBER(FIND({"a","b","c","d","e","f","g","h","i","j","k","l","m","n","o","p","q","r","s","t","u","v","w","x","y","z"}, B358))))&gt;0, 26, 0)</f>
        <v>26</v>
      </c>
      <c r="Q358" cm="1">
        <f t="array" ref="Q358">IF(SUM(N(ISNUMBER(FIND({"A","B","C","D","E","F","G","H","I","J","K","L","M","N","O","P","Q","R","S","T","U","V","W","X","Y","Z"}, B358))))&gt;0, 26, 0)</f>
        <v>0</v>
      </c>
      <c r="R358" cm="1">
        <f t="array" ref="R358">IF(SUM(N(ISNUMBER(FIND({0,1,2,3,4,5,6,7,8,9}, B358))))&gt;0, 10, 0)</f>
        <v>0</v>
      </c>
      <c r="S358" cm="1">
        <f t="array" ref="S358">IF(LEN(B358)&gt;SUMPRODUCT(LEN(B358)-LEN(SUBSTITUTE(B358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8" s="2"/>
    </row>
    <row r="359" spans="1:21" ht="15.6">
      <c r="A359" s="3">
        <v>2</v>
      </c>
      <c r="B359" s="7" t="s">
        <v>686</v>
      </c>
      <c r="C359" t="s">
        <v>640</v>
      </c>
      <c r="D359">
        <f t="shared" si="16"/>
        <v>6</v>
      </c>
      <c r="E359">
        <f t="shared" si="17"/>
        <v>39.327533110065843</v>
      </c>
      <c r="F359" s="10">
        <v>2.5849630000000001</v>
      </c>
      <c r="G359" s="10">
        <f t="shared" si="15"/>
        <v>15.509778000000001</v>
      </c>
      <c r="H359" s="10">
        <v>0</v>
      </c>
      <c r="I359" s="10">
        <v>199</v>
      </c>
      <c r="J359" s="10">
        <v>2.2988529999999998</v>
      </c>
      <c r="K359" s="10"/>
      <c r="L359" s="10"/>
      <c r="P359" cm="1">
        <f t="array" ref="P359">IF(SUM(N(ISNUMBER(FIND({"a","b","c","d","e","f","g","h","i","j","k","l","m","n","o","p","q","r","s","t","u","v","w","x","y","z"}, B359))))&gt;0, 26, 0)</f>
        <v>26</v>
      </c>
      <c r="Q359" cm="1">
        <f t="array" ref="Q359">IF(SUM(N(ISNUMBER(FIND({"A","B","C","D","E","F","G","H","I","J","K","L","M","N","O","P","Q","R","S","T","U","V","W","X","Y","Z"}, B359))))&gt;0, 26, 0)</f>
        <v>0</v>
      </c>
      <c r="R359" cm="1">
        <f t="array" ref="R359">IF(SUM(N(ISNUMBER(FIND({0,1,2,3,4,5,6,7,8,9}, B359))))&gt;0, 10, 0)</f>
        <v>0</v>
      </c>
      <c r="S359" cm="1">
        <f t="array" ref="S359">IF(LEN(B359)&gt;SUMPRODUCT(LEN(B359)-LEN(SUBSTITUTE(B359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59" s="2"/>
    </row>
    <row r="360" spans="1:21" ht="15.6">
      <c r="A360" s="3">
        <v>2</v>
      </c>
      <c r="B360" s="7" t="s">
        <v>687</v>
      </c>
      <c r="C360" t="s">
        <v>640</v>
      </c>
      <c r="D360">
        <f t="shared" si="16"/>
        <v>6</v>
      </c>
      <c r="E360">
        <f t="shared" si="17"/>
        <v>39.327533110065843</v>
      </c>
      <c r="F360" s="10">
        <v>1.918296</v>
      </c>
      <c r="G360" s="10">
        <f t="shared" si="15"/>
        <v>11.509776</v>
      </c>
      <c r="H360" s="10">
        <v>0</v>
      </c>
      <c r="I360" s="10">
        <v>655</v>
      </c>
      <c r="J360" s="10">
        <v>2.8162410000000002</v>
      </c>
      <c r="K360" s="10"/>
      <c r="L360" s="10"/>
      <c r="P360" cm="1">
        <f t="array" ref="P360">IF(SUM(N(ISNUMBER(FIND({"a","b","c","d","e","f","g","h","i","j","k","l","m","n","o","p","q","r","s","t","u","v","w","x","y","z"}, B360))))&gt;0, 26, 0)</f>
        <v>26</v>
      </c>
      <c r="Q360" cm="1">
        <f t="array" ref="Q360">IF(SUM(N(ISNUMBER(FIND({"A","B","C","D","E","F","G","H","I","J","K","L","M","N","O","P","Q","R","S","T","U","V","W","X","Y","Z"}, B360))))&gt;0, 26, 0)</f>
        <v>0</v>
      </c>
      <c r="R360" cm="1">
        <f t="array" ref="R360">IF(SUM(N(ISNUMBER(FIND({0,1,2,3,4,5,6,7,8,9}, B360))))&gt;0, 10, 0)</f>
        <v>0</v>
      </c>
      <c r="S360" cm="1">
        <f t="array" ref="S360">IF(LEN(B360)&gt;SUMPRODUCT(LEN(B360)-LEN(SUBSTITUTE(B360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0" s="2"/>
    </row>
    <row r="361" spans="1:21" ht="15.6">
      <c r="A361" s="3">
        <v>2</v>
      </c>
      <c r="B361" s="7" t="s">
        <v>688</v>
      </c>
      <c r="C361" t="s">
        <v>640</v>
      </c>
      <c r="D361">
        <f t="shared" si="16"/>
        <v>6</v>
      </c>
      <c r="E361">
        <f t="shared" si="17"/>
        <v>39.327533110065843</v>
      </c>
      <c r="F361" s="10">
        <v>2.5849630000000001</v>
      </c>
      <c r="G361" s="10">
        <f t="shared" si="15"/>
        <v>15.509778000000001</v>
      </c>
      <c r="H361" s="10">
        <v>0</v>
      </c>
      <c r="I361" s="10">
        <v>182</v>
      </c>
      <c r="J361" s="10">
        <v>2.2600709999999999</v>
      </c>
      <c r="K361" s="10"/>
      <c r="L361" s="10"/>
      <c r="P361" cm="1">
        <f t="array" ref="P361">IF(SUM(N(ISNUMBER(FIND({"a","b","c","d","e","f","g","h","i","j","k","l","m","n","o","p","q","r","s","t","u","v","w","x","y","z"}, B361))))&gt;0, 26, 0)</f>
        <v>26</v>
      </c>
      <c r="Q361" cm="1">
        <f t="array" ref="Q361">IF(SUM(N(ISNUMBER(FIND({"A","B","C","D","E","F","G","H","I","J","K","L","M","N","O","P","Q","R","S","T","U","V","W","X","Y","Z"}, B361))))&gt;0, 26, 0)</f>
        <v>0</v>
      </c>
      <c r="R361" cm="1">
        <f t="array" ref="R361">IF(SUM(N(ISNUMBER(FIND({0,1,2,3,4,5,6,7,8,9}, B361))))&gt;0, 10, 0)</f>
        <v>0</v>
      </c>
      <c r="S361" cm="1">
        <f t="array" ref="S361">IF(LEN(B361)&gt;SUMPRODUCT(LEN(B361)-LEN(SUBSTITUTE(B361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1" s="2"/>
    </row>
    <row r="362" spans="1:21" ht="15.6">
      <c r="A362" s="3">
        <v>2</v>
      </c>
      <c r="B362" s="7" t="s">
        <v>689</v>
      </c>
      <c r="C362" t="s">
        <v>640</v>
      </c>
      <c r="D362">
        <f t="shared" si="16"/>
        <v>7</v>
      </c>
      <c r="E362">
        <f t="shared" si="17"/>
        <v>45.882121961743479</v>
      </c>
      <c r="F362" s="10">
        <v>2.5216409999999998</v>
      </c>
      <c r="G362" s="10">
        <f t="shared" si="15"/>
        <v>17.651486999999999</v>
      </c>
      <c r="H362" s="10">
        <v>0</v>
      </c>
      <c r="I362" s="10">
        <v>359</v>
      </c>
      <c r="J362" s="10">
        <v>2.555094</v>
      </c>
      <c r="K362" s="10"/>
      <c r="L362" s="10"/>
      <c r="P362" cm="1">
        <f t="array" ref="P362">IF(SUM(N(ISNUMBER(FIND({"a","b","c","d","e","f","g","h","i","j","k","l","m","n","o","p","q","r","s","t","u","v","w","x","y","z"}, B362))))&gt;0, 26, 0)</f>
        <v>26</v>
      </c>
      <c r="Q362" cm="1">
        <f t="array" ref="Q362">IF(SUM(N(ISNUMBER(FIND({"A","B","C","D","E","F","G","H","I","J","K","L","M","N","O","P","Q","R","S","T","U","V","W","X","Y","Z"}, B362))))&gt;0, 26, 0)</f>
        <v>0</v>
      </c>
      <c r="R362" cm="1">
        <f t="array" ref="R362">IF(SUM(N(ISNUMBER(FIND({0,1,2,3,4,5,6,7,8,9}, B362))))&gt;0, 10, 0)</f>
        <v>0</v>
      </c>
      <c r="S362" cm="1">
        <f t="array" ref="S362">IF(LEN(B362)&gt;SUMPRODUCT(LEN(B362)-LEN(SUBSTITUTE(B362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2" s="2"/>
    </row>
    <row r="363" spans="1:21" ht="15.6">
      <c r="A363" s="3">
        <v>2</v>
      </c>
      <c r="B363" s="7" t="s">
        <v>690</v>
      </c>
      <c r="C363" t="s">
        <v>640</v>
      </c>
      <c r="D363">
        <f t="shared" si="16"/>
        <v>5</v>
      </c>
      <c r="E363">
        <f t="shared" si="17"/>
        <v>32.7729442583882</v>
      </c>
      <c r="F363" s="10">
        <v>1.9219280000000001</v>
      </c>
      <c r="G363" s="10">
        <f t="shared" si="15"/>
        <v>9.6096400000000006</v>
      </c>
      <c r="H363" s="10">
        <v>0</v>
      </c>
      <c r="I363" s="10">
        <v>84</v>
      </c>
      <c r="J363" s="10">
        <v>1.9242790000000001</v>
      </c>
      <c r="K363" s="10"/>
      <c r="L363" s="10"/>
      <c r="P363" cm="1">
        <f t="array" ref="P363">IF(SUM(N(ISNUMBER(FIND({"a","b","c","d","e","f","g","h","i","j","k","l","m","n","o","p","q","r","s","t","u","v","w","x","y","z"}, B363))))&gt;0, 26, 0)</f>
        <v>26</v>
      </c>
      <c r="Q363" cm="1">
        <f t="array" ref="Q363">IF(SUM(N(ISNUMBER(FIND({"A","B","C","D","E","F","G","H","I","J","K","L","M","N","O","P","Q","R","S","T","U","V","W","X","Y","Z"}, B363))))&gt;0, 26, 0)</f>
        <v>0</v>
      </c>
      <c r="R363" cm="1">
        <f t="array" ref="R363">IF(SUM(N(ISNUMBER(FIND({0,1,2,3,4,5,6,7,8,9}, B363))))&gt;0, 10, 0)</f>
        <v>0</v>
      </c>
      <c r="S363" cm="1">
        <f t="array" ref="S363">IF(LEN(B363)&gt;SUMPRODUCT(LEN(B363)-LEN(SUBSTITUTE(B363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3" s="2"/>
    </row>
    <row r="364" spans="1:21" ht="15.6">
      <c r="A364" s="3">
        <v>2</v>
      </c>
      <c r="B364" s="7" t="s">
        <v>691</v>
      </c>
      <c r="C364" t="s">
        <v>640</v>
      </c>
      <c r="D364">
        <f t="shared" si="16"/>
        <v>9</v>
      </c>
      <c r="E364">
        <f t="shared" si="17"/>
        <v>58.991299665098765</v>
      </c>
      <c r="F364" s="10">
        <v>2.9477030000000002</v>
      </c>
      <c r="G364" s="10">
        <f t="shared" si="15"/>
        <v>26.529327000000002</v>
      </c>
      <c r="H364" s="10">
        <v>0</v>
      </c>
      <c r="I364" s="10">
        <v>6</v>
      </c>
      <c r="J364" s="10">
        <v>0.77815100000000004</v>
      </c>
      <c r="K364" s="10"/>
      <c r="L364" s="10"/>
      <c r="P364" cm="1">
        <f t="array" ref="P364">IF(SUM(N(ISNUMBER(FIND({"a","b","c","d","e","f","g","h","i","j","k","l","m","n","o","p","q","r","s","t","u","v","w","x","y","z"}, B364))))&gt;0, 26, 0)</f>
        <v>26</v>
      </c>
      <c r="Q364" cm="1">
        <f t="array" ref="Q364">IF(SUM(N(ISNUMBER(FIND({"A","B","C","D","E","F","G","H","I","J","K","L","M","N","O","P","Q","R","S","T","U","V","W","X","Y","Z"}, B364))))&gt;0, 26, 0)</f>
        <v>0</v>
      </c>
      <c r="R364" cm="1">
        <f t="array" ref="R364">IF(SUM(N(ISNUMBER(FIND({0,1,2,3,4,5,6,7,8,9}, B364))))&gt;0, 10, 0)</f>
        <v>0</v>
      </c>
      <c r="S364" cm="1">
        <f t="array" ref="S364">IF(LEN(B364)&gt;SUMPRODUCT(LEN(B364)-LEN(SUBSTITUTE(B364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4" s="2"/>
    </row>
    <row r="365" spans="1:21" ht="15.6">
      <c r="A365" s="3">
        <v>2</v>
      </c>
      <c r="B365" s="7" t="s">
        <v>692</v>
      </c>
      <c r="C365" t="s">
        <v>640</v>
      </c>
      <c r="D365">
        <f t="shared" si="16"/>
        <v>6</v>
      </c>
      <c r="E365">
        <f t="shared" si="17"/>
        <v>39.327533110065843</v>
      </c>
      <c r="F365" s="10">
        <v>2.2516289999999999</v>
      </c>
      <c r="G365" s="10">
        <f t="shared" si="15"/>
        <v>13.509774</v>
      </c>
      <c r="H365" s="10">
        <v>0</v>
      </c>
      <c r="I365" s="10">
        <v>881</v>
      </c>
      <c r="J365" s="10">
        <v>2.944976</v>
      </c>
      <c r="K365" s="10"/>
      <c r="L365" s="10"/>
      <c r="P365" cm="1">
        <f t="array" ref="P365">IF(SUM(N(ISNUMBER(FIND({"a","b","c","d","e","f","g","h","i","j","k","l","m","n","o","p","q","r","s","t","u","v","w","x","y","z"}, B365))))&gt;0, 26, 0)</f>
        <v>26</v>
      </c>
      <c r="Q365" cm="1">
        <f t="array" ref="Q365">IF(SUM(N(ISNUMBER(FIND({"A","B","C","D","E","F","G","H","I","J","K","L","M","N","O","P","Q","R","S","T","U","V","W","X","Y","Z"}, B365))))&gt;0, 26, 0)</f>
        <v>0</v>
      </c>
      <c r="R365" cm="1">
        <f t="array" ref="R365">IF(SUM(N(ISNUMBER(FIND({0,1,2,3,4,5,6,7,8,9}, B365))))&gt;0, 10, 0)</f>
        <v>0</v>
      </c>
      <c r="S365" cm="1">
        <f t="array" ref="S365">IF(LEN(B365)&gt;SUMPRODUCT(LEN(B365)-LEN(SUBSTITUTE(B365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5" s="2"/>
    </row>
    <row r="366" spans="1:21" ht="15.6">
      <c r="A366" s="3">
        <v>2</v>
      </c>
      <c r="B366" s="7" t="s">
        <v>693</v>
      </c>
      <c r="C366" t="s">
        <v>640</v>
      </c>
      <c r="D366">
        <f t="shared" si="16"/>
        <v>10</v>
      </c>
      <c r="E366">
        <f t="shared" si="17"/>
        <v>65.545888516776401</v>
      </c>
      <c r="F366" s="10">
        <v>2.9219279999999999</v>
      </c>
      <c r="G366" s="10">
        <f t="shared" si="15"/>
        <v>29.219279999999998</v>
      </c>
      <c r="H366" s="10">
        <v>1</v>
      </c>
      <c r="I366" s="10">
        <v>2916</v>
      </c>
      <c r="J366" s="10">
        <v>3.464788</v>
      </c>
      <c r="K366" s="10"/>
      <c r="L366" s="10"/>
      <c r="P366" cm="1">
        <f t="array" ref="P366">IF(SUM(N(ISNUMBER(FIND({"a","b","c","d","e","f","g","h","i","j","k","l","m","n","o","p","q","r","s","t","u","v","w","x","y","z"}, B366))))&gt;0, 26, 0)</f>
        <v>26</v>
      </c>
      <c r="Q366" cm="1">
        <f t="array" ref="Q366">IF(SUM(N(ISNUMBER(FIND({"A","B","C","D","E","F","G","H","I","J","K","L","M","N","O","P","Q","R","S","T","U","V","W","X","Y","Z"}, B366))))&gt;0, 26, 0)</f>
        <v>0</v>
      </c>
      <c r="R366" cm="1">
        <f t="array" ref="R366">IF(SUM(N(ISNUMBER(FIND({0,1,2,3,4,5,6,7,8,9}, B366))))&gt;0, 10, 0)</f>
        <v>0</v>
      </c>
      <c r="S366" cm="1">
        <f t="array" ref="S366">IF(LEN(B366)&gt;SUMPRODUCT(LEN(B366)-LEN(SUBSTITUTE(B366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6" s="2"/>
    </row>
    <row r="367" spans="1:21" ht="15.6">
      <c r="A367" s="3">
        <v>2</v>
      </c>
      <c r="B367" s="7" t="s">
        <v>694</v>
      </c>
      <c r="C367" t="s">
        <v>640</v>
      </c>
      <c r="D367">
        <f t="shared" si="16"/>
        <v>7</v>
      </c>
      <c r="E367">
        <f t="shared" si="17"/>
        <v>45.882121961743479</v>
      </c>
      <c r="F367" s="10">
        <v>2.8073549999999998</v>
      </c>
      <c r="G367" s="10">
        <f t="shared" si="15"/>
        <v>19.651484999999997</v>
      </c>
      <c r="H367" s="10">
        <v>0</v>
      </c>
      <c r="I367" s="10">
        <v>46</v>
      </c>
      <c r="J367" s="10">
        <v>1.662758</v>
      </c>
      <c r="K367" s="10"/>
      <c r="L367" s="10"/>
      <c r="P367" cm="1">
        <f t="array" ref="P367">IF(SUM(N(ISNUMBER(FIND({"a","b","c","d","e","f","g","h","i","j","k","l","m","n","o","p","q","r","s","t","u","v","w","x","y","z"}, B367))))&gt;0, 26, 0)</f>
        <v>26</v>
      </c>
      <c r="Q367" cm="1">
        <f t="array" ref="Q367">IF(SUM(N(ISNUMBER(FIND({"A","B","C","D","E","F","G","H","I","J","K","L","M","N","O","P","Q","R","S","T","U","V","W","X","Y","Z"}, B367))))&gt;0, 26, 0)</f>
        <v>0</v>
      </c>
      <c r="R367" cm="1">
        <f t="array" ref="R367">IF(SUM(N(ISNUMBER(FIND({0,1,2,3,4,5,6,7,8,9}, B367))))&gt;0, 10, 0)</f>
        <v>0</v>
      </c>
      <c r="S367" cm="1">
        <f t="array" ref="S367">IF(LEN(B367)&gt;SUMPRODUCT(LEN(B367)-LEN(SUBSTITUTE(B367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7" s="2"/>
    </row>
    <row r="368" spans="1:21" ht="15.6">
      <c r="A368" s="3">
        <v>2</v>
      </c>
      <c r="B368" s="7" t="s">
        <v>695</v>
      </c>
      <c r="C368" t="s">
        <v>640</v>
      </c>
      <c r="D368">
        <f t="shared" si="16"/>
        <v>8</v>
      </c>
      <c r="E368">
        <f t="shared" si="17"/>
        <v>52.436710813421122</v>
      </c>
      <c r="F368" s="10">
        <v>2.4056389999999999</v>
      </c>
      <c r="G368" s="10">
        <f t="shared" si="15"/>
        <v>19.245111999999999</v>
      </c>
      <c r="H368" s="10">
        <v>0</v>
      </c>
      <c r="I368" s="10">
        <v>91</v>
      </c>
      <c r="J368" s="10">
        <v>1.959041</v>
      </c>
      <c r="K368" s="10"/>
      <c r="L368" s="10"/>
      <c r="P368" cm="1">
        <f t="array" ref="P368">IF(SUM(N(ISNUMBER(FIND({"a","b","c","d","e","f","g","h","i","j","k","l","m","n","o","p","q","r","s","t","u","v","w","x","y","z"}, B368))))&gt;0, 26, 0)</f>
        <v>26</v>
      </c>
      <c r="Q368" cm="1">
        <f t="array" ref="Q368">IF(SUM(N(ISNUMBER(FIND({"A","B","C","D","E","F","G","H","I","J","K","L","M","N","O","P","Q","R","S","T","U","V","W","X","Y","Z"}, B368))))&gt;0, 26, 0)</f>
        <v>0</v>
      </c>
      <c r="R368" cm="1">
        <f t="array" ref="R368">IF(SUM(N(ISNUMBER(FIND({0,1,2,3,4,5,6,7,8,9}, B368))))&gt;0, 10, 0)</f>
        <v>0</v>
      </c>
      <c r="S368" cm="1">
        <f t="array" ref="S368">IF(LEN(B368)&gt;SUMPRODUCT(LEN(B368)-LEN(SUBSTITUTE(B368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8" s="2"/>
    </row>
    <row r="369" spans="1:21" ht="15.6">
      <c r="A369" s="3">
        <v>2</v>
      </c>
      <c r="B369" s="7" t="s">
        <v>696</v>
      </c>
      <c r="C369" t="s">
        <v>640</v>
      </c>
      <c r="D369">
        <f t="shared" si="16"/>
        <v>6</v>
      </c>
      <c r="E369">
        <f t="shared" si="17"/>
        <v>39.327533110065843</v>
      </c>
      <c r="F369" s="10">
        <v>2.2516289999999999</v>
      </c>
      <c r="G369" s="10">
        <f t="shared" si="15"/>
        <v>13.509774</v>
      </c>
      <c r="H369" s="10">
        <v>0</v>
      </c>
      <c r="I369" s="10">
        <v>817</v>
      </c>
      <c r="J369" s="10">
        <v>2.9122219999999999</v>
      </c>
      <c r="K369" s="10"/>
      <c r="L369" s="10"/>
      <c r="P369" cm="1">
        <f t="array" ref="P369">IF(SUM(N(ISNUMBER(FIND({"a","b","c","d","e","f","g","h","i","j","k","l","m","n","o","p","q","r","s","t","u","v","w","x","y","z"}, B369))))&gt;0, 26, 0)</f>
        <v>26</v>
      </c>
      <c r="Q369" cm="1">
        <f t="array" ref="Q369">IF(SUM(N(ISNUMBER(FIND({"A","B","C","D","E","F","G","H","I","J","K","L","M","N","O","P","Q","R","S","T","U","V","W","X","Y","Z"}, B369))))&gt;0, 26, 0)</f>
        <v>0</v>
      </c>
      <c r="R369" cm="1">
        <f t="array" ref="R369">IF(SUM(N(ISNUMBER(FIND({0,1,2,3,4,5,6,7,8,9}, B369))))&gt;0, 10, 0)</f>
        <v>0</v>
      </c>
      <c r="S369" cm="1">
        <f t="array" ref="S369">IF(LEN(B369)&gt;SUMPRODUCT(LEN(B369)-LEN(SUBSTITUTE(B369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69" s="2"/>
    </row>
    <row r="370" spans="1:21" ht="15.6">
      <c r="A370" s="3">
        <v>2</v>
      </c>
      <c r="B370" s="7" t="s">
        <v>697</v>
      </c>
      <c r="C370" t="s">
        <v>640</v>
      </c>
      <c r="D370">
        <f t="shared" si="16"/>
        <v>7</v>
      </c>
      <c r="E370">
        <f t="shared" si="17"/>
        <v>45.882121961743479</v>
      </c>
      <c r="F370" s="10">
        <v>2.5216409999999998</v>
      </c>
      <c r="G370" s="10">
        <f t="shared" si="15"/>
        <v>17.651486999999999</v>
      </c>
      <c r="H370" s="10">
        <v>0</v>
      </c>
      <c r="I370" s="10">
        <v>71</v>
      </c>
      <c r="J370" s="10">
        <v>1.8512580000000001</v>
      </c>
      <c r="K370" s="10"/>
      <c r="L370" s="10"/>
      <c r="P370" cm="1">
        <f t="array" ref="P370">IF(SUM(N(ISNUMBER(FIND({"a","b","c","d","e","f","g","h","i","j","k","l","m","n","o","p","q","r","s","t","u","v","w","x","y","z"}, B370))))&gt;0, 26, 0)</f>
        <v>26</v>
      </c>
      <c r="Q370" cm="1">
        <f t="array" ref="Q370">IF(SUM(N(ISNUMBER(FIND({"A","B","C","D","E","F","G","H","I","J","K","L","M","N","O","P","Q","R","S","T","U","V","W","X","Y","Z"}, B370))))&gt;0, 26, 0)</f>
        <v>0</v>
      </c>
      <c r="R370" cm="1">
        <f t="array" ref="R370">IF(SUM(N(ISNUMBER(FIND({0,1,2,3,4,5,6,7,8,9}, B370))))&gt;0, 10, 0)</f>
        <v>0</v>
      </c>
      <c r="S370" cm="1">
        <f t="array" ref="S370">IF(LEN(B370)&gt;SUMPRODUCT(LEN(B370)-LEN(SUBSTITUTE(B370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0" s="2"/>
    </row>
    <row r="371" spans="1:21" ht="15.6">
      <c r="A371" s="3">
        <v>2</v>
      </c>
      <c r="B371" s="7" t="s">
        <v>698</v>
      </c>
      <c r="C371" t="s">
        <v>640</v>
      </c>
      <c r="D371">
        <f t="shared" si="16"/>
        <v>6</v>
      </c>
      <c r="E371">
        <f t="shared" si="17"/>
        <v>39.327533110065843</v>
      </c>
      <c r="F371" s="10">
        <v>2.5849630000000001</v>
      </c>
      <c r="G371" s="10">
        <f t="shared" si="15"/>
        <v>15.509778000000001</v>
      </c>
      <c r="H371" s="10">
        <v>0</v>
      </c>
      <c r="I371" s="10">
        <v>266</v>
      </c>
      <c r="J371" s="10">
        <v>2.4248820000000002</v>
      </c>
      <c r="K371" s="10"/>
      <c r="L371" s="10"/>
      <c r="P371" cm="1">
        <f t="array" ref="P371">IF(SUM(N(ISNUMBER(FIND({"a","b","c","d","e","f","g","h","i","j","k","l","m","n","o","p","q","r","s","t","u","v","w","x","y","z"}, B371))))&gt;0, 26, 0)</f>
        <v>26</v>
      </c>
      <c r="Q371" cm="1">
        <f t="array" ref="Q371">IF(SUM(N(ISNUMBER(FIND({"A","B","C","D","E","F","G","H","I","J","K","L","M","N","O","P","Q","R","S","T","U","V","W","X","Y","Z"}, B371))))&gt;0, 26, 0)</f>
        <v>0</v>
      </c>
      <c r="R371" cm="1">
        <f t="array" ref="R371">IF(SUM(N(ISNUMBER(FIND({0,1,2,3,4,5,6,7,8,9}, B371))))&gt;0, 10, 0)</f>
        <v>0</v>
      </c>
      <c r="S371" cm="1">
        <f t="array" ref="S371">IF(LEN(B371)&gt;SUMPRODUCT(LEN(B371)-LEN(SUBSTITUTE(B371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1" s="2"/>
    </row>
    <row r="372" spans="1:21" ht="15.6">
      <c r="A372" s="3">
        <v>2</v>
      </c>
      <c r="B372" s="7" t="s">
        <v>699</v>
      </c>
      <c r="C372" t="s">
        <v>640</v>
      </c>
      <c r="D372">
        <f t="shared" si="16"/>
        <v>5</v>
      </c>
      <c r="E372">
        <f t="shared" si="17"/>
        <v>32.7729442583882</v>
      </c>
      <c r="F372" s="10">
        <v>2.3219280000000002</v>
      </c>
      <c r="G372" s="10">
        <f t="shared" si="15"/>
        <v>11.609640000000001</v>
      </c>
      <c r="H372" s="10">
        <v>1</v>
      </c>
      <c r="I372" s="10">
        <v>11628</v>
      </c>
      <c r="J372" s="10">
        <v>4.0655049999999999</v>
      </c>
      <c r="K372" s="10"/>
      <c r="L372" s="10"/>
      <c r="P372" cm="1">
        <f t="array" ref="P372">IF(SUM(N(ISNUMBER(FIND({"a","b","c","d","e","f","g","h","i","j","k","l","m","n","o","p","q","r","s","t","u","v","w","x","y","z"}, B372))))&gt;0, 26, 0)</f>
        <v>26</v>
      </c>
      <c r="Q372" cm="1">
        <f t="array" ref="Q372">IF(SUM(N(ISNUMBER(FIND({"A","B","C","D","E","F","G","H","I","J","K","L","M","N","O","P","Q","R","S","T","U","V","W","X","Y","Z"}, B372))))&gt;0, 26, 0)</f>
        <v>0</v>
      </c>
      <c r="R372" cm="1">
        <f t="array" ref="R372">IF(SUM(N(ISNUMBER(FIND({0,1,2,3,4,5,6,7,8,9}, B372))))&gt;0, 10, 0)</f>
        <v>0</v>
      </c>
      <c r="S372" cm="1">
        <f t="array" ref="S372">IF(LEN(B372)&gt;SUMPRODUCT(LEN(B372)-LEN(SUBSTITUTE(B372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2" s="2"/>
    </row>
    <row r="373" spans="1:21" ht="15.6">
      <c r="A373" s="3">
        <v>2</v>
      </c>
      <c r="B373" s="7" t="s">
        <v>700</v>
      </c>
      <c r="C373" t="s">
        <v>640</v>
      </c>
      <c r="D373">
        <f t="shared" si="16"/>
        <v>7</v>
      </c>
      <c r="E373">
        <f t="shared" si="17"/>
        <v>45.882121961743479</v>
      </c>
      <c r="F373" s="10">
        <v>2.8073549999999998</v>
      </c>
      <c r="G373" s="10">
        <f t="shared" si="15"/>
        <v>19.651484999999997</v>
      </c>
      <c r="H373" s="10">
        <v>0</v>
      </c>
      <c r="I373" s="10">
        <v>183</v>
      </c>
      <c r="J373" s="10">
        <v>2.262451</v>
      </c>
      <c r="K373" s="10"/>
      <c r="L373" s="10"/>
      <c r="P373" cm="1">
        <f t="array" ref="P373">IF(SUM(N(ISNUMBER(FIND({"a","b","c","d","e","f","g","h","i","j","k","l","m","n","o","p","q","r","s","t","u","v","w","x","y","z"}, B373))))&gt;0, 26, 0)</f>
        <v>26</v>
      </c>
      <c r="Q373" cm="1">
        <f t="array" ref="Q373">IF(SUM(N(ISNUMBER(FIND({"A","B","C","D","E","F","G","H","I","J","K","L","M","N","O","P","Q","R","S","T","U","V","W","X","Y","Z"}, B373))))&gt;0, 26, 0)</f>
        <v>0</v>
      </c>
      <c r="R373" cm="1">
        <f t="array" ref="R373">IF(SUM(N(ISNUMBER(FIND({0,1,2,3,4,5,6,7,8,9}, B373))))&gt;0, 10, 0)</f>
        <v>0</v>
      </c>
      <c r="S373" cm="1">
        <f t="array" ref="S373">IF(LEN(B373)&gt;SUMPRODUCT(LEN(B373)-LEN(SUBSTITUTE(B373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3" s="2"/>
    </row>
    <row r="374" spans="1:21" ht="15.6">
      <c r="A374" s="3">
        <v>2</v>
      </c>
      <c r="B374" s="7" t="s">
        <v>701</v>
      </c>
      <c r="C374" t="s">
        <v>640</v>
      </c>
      <c r="D374">
        <f t="shared" si="16"/>
        <v>7</v>
      </c>
      <c r="E374">
        <f t="shared" si="17"/>
        <v>45.882121961743479</v>
      </c>
      <c r="F374" s="10">
        <v>2.5216409999999998</v>
      </c>
      <c r="G374" s="10">
        <f t="shared" si="15"/>
        <v>17.651486999999999</v>
      </c>
      <c r="H374" s="10">
        <v>0</v>
      </c>
      <c r="I374" s="10">
        <v>69</v>
      </c>
      <c r="J374" s="10">
        <v>1.838849</v>
      </c>
      <c r="K374" s="10"/>
      <c r="L374" s="10"/>
      <c r="P374" cm="1">
        <f t="array" ref="P374">IF(SUM(N(ISNUMBER(FIND({"a","b","c","d","e","f","g","h","i","j","k","l","m","n","o","p","q","r","s","t","u","v","w","x","y","z"}, B374))))&gt;0, 26, 0)</f>
        <v>26</v>
      </c>
      <c r="Q374" cm="1">
        <f t="array" ref="Q374">IF(SUM(N(ISNUMBER(FIND({"A","B","C","D","E","F","G","H","I","J","K","L","M","N","O","P","Q","R","S","T","U","V","W","X","Y","Z"}, B374))))&gt;0, 26, 0)</f>
        <v>0</v>
      </c>
      <c r="R374" cm="1">
        <f t="array" ref="R374">IF(SUM(N(ISNUMBER(FIND({0,1,2,3,4,5,6,7,8,9}, B374))))&gt;0, 10, 0)</f>
        <v>0</v>
      </c>
      <c r="S374" cm="1">
        <f t="array" ref="S374">IF(LEN(B374)&gt;SUMPRODUCT(LEN(B374)-LEN(SUBSTITUTE(B374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4" s="2"/>
    </row>
    <row r="375" spans="1:21" ht="15.6">
      <c r="A375" s="3">
        <v>2</v>
      </c>
      <c r="B375" s="7">
        <v>666666</v>
      </c>
      <c r="C375" t="s">
        <v>640</v>
      </c>
      <c r="D375">
        <f t="shared" si="16"/>
        <v>6</v>
      </c>
      <c r="E375">
        <f t="shared" si="17"/>
        <v>39.327533110065843</v>
      </c>
      <c r="F375" s="10">
        <v>0</v>
      </c>
      <c r="G375" s="10">
        <f t="shared" si="15"/>
        <v>0</v>
      </c>
      <c r="H375" s="10">
        <v>0</v>
      </c>
      <c r="I375" s="10">
        <v>22</v>
      </c>
      <c r="J375" s="10">
        <v>1.3424229999999999</v>
      </c>
      <c r="K375" s="10"/>
      <c r="L375" s="10"/>
      <c r="P375" cm="1">
        <f t="array" ref="P375">IF(SUM(N(ISNUMBER(FIND({"a","b","c","d","e","f","g","h","i","j","k","l","m","n","o","p","q","r","s","t","u","v","w","x","y","z"}, B375))))&gt;0, 26, 0)</f>
        <v>0</v>
      </c>
      <c r="Q375" cm="1">
        <f t="array" ref="Q375">IF(SUM(N(ISNUMBER(FIND({"A","B","C","D","E","F","G","H","I","J","K","L","M","N","O","P","Q","R","S","T","U","V","W","X","Y","Z"}, B375))))&gt;0, 26, 0)</f>
        <v>0</v>
      </c>
      <c r="R375" cm="1">
        <f t="array" ref="R375">IF(SUM(N(ISNUMBER(FIND({0,1,2,3,4,5,6,7,8,9}, B375))))&gt;0, 10, 0)</f>
        <v>10</v>
      </c>
      <c r="S375" cm="1">
        <f t="array" ref="S375">IF(LEN(B375)&gt;SUMPRODUCT(LEN(B375)-LEN(SUBSTITUTE(B375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5" s="2"/>
    </row>
    <row r="376" spans="1:21" ht="15.6">
      <c r="A376" s="3">
        <v>2</v>
      </c>
      <c r="B376" s="7" t="s">
        <v>702</v>
      </c>
      <c r="C376" t="s">
        <v>640</v>
      </c>
      <c r="D376">
        <f t="shared" si="16"/>
        <v>6</v>
      </c>
      <c r="E376">
        <f t="shared" si="17"/>
        <v>39.327533110065843</v>
      </c>
      <c r="F376" s="10">
        <v>2.5849630000000001</v>
      </c>
      <c r="G376" s="10">
        <f t="shared" si="15"/>
        <v>15.509778000000001</v>
      </c>
      <c r="H376" s="10">
        <v>0</v>
      </c>
      <c r="I376" s="10">
        <v>18</v>
      </c>
      <c r="J376" s="10">
        <v>1.2552730000000001</v>
      </c>
      <c r="K376" s="10"/>
      <c r="L376" s="10"/>
      <c r="P376" cm="1">
        <f t="array" ref="P376">IF(SUM(N(ISNUMBER(FIND({"a","b","c","d","e","f","g","h","i","j","k","l","m","n","o","p","q","r","s","t","u","v","w","x","y","z"}, B376))))&gt;0, 26, 0)</f>
        <v>26</v>
      </c>
      <c r="Q376" cm="1">
        <f t="array" ref="Q376">IF(SUM(N(ISNUMBER(FIND({"A","B","C","D","E","F","G","H","I","J","K","L","M","N","O","P","Q","R","S","T","U","V","W","X","Y","Z"}, B376))))&gt;0, 26, 0)</f>
        <v>0</v>
      </c>
      <c r="R376" cm="1">
        <f t="array" ref="R376">IF(SUM(N(ISNUMBER(FIND({0,1,2,3,4,5,6,7,8,9}, B376))))&gt;0, 10, 0)</f>
        <v>0</v>
      </c>
      <c r="S376" cm="1">
        <f t="array" ref="S376">IF(LEN(B376)&gt;SUMPRODUCT(LEN(B376)-LEN(SUBSTITUTE(B376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6" s="2"/>
    </row>
    <row r="377" spans="1:21" ht="15.6">
      <c r="A377" s="3">
        <v>2</v>
      </c>
      <c r="B377" s="7" t="s">
        <v>703</v>
      </c>
      <c r="C377" t="s">
        <v>640</v>
      </c>
      <c r="D377">
        <f t="shared" si="16"/>
        <v>7</v>
      </c>
      <c r="E377">
        <f t="shared" si="17"/>
        <v>45.882121961743479</v>
      </c>
      <c r="F377" s="10">
        <v>2.5216409999999998</v>
      </c>
      <c r="G377" s="10">
        <f t="shared" si="15"/>
        <v>17.651486999999999</v>
      </c>
      <c r="H377" s="10">
        <v>0</v>
      </c>
      <c r="I377" s="10">
        <v>31</v>
      </c>
      <c r="J377" s="10">
        <v>1.4913620000000001</v>
      </c>
      <c r="K377" s="10"/>
      <c r="L377" s="10"/>
      <c r="P377" cm="1">
        <f t="array" ref="P377">IF(SUM(N(ISNUMBER(FIND({"a","b","c","d","e","f","g","h","i","j","k","l","m","n","o","p","q","r","s","t","u","v","w","x","y","z"}, B377))))&gt;0, 26, 0)</f>
        <v>26</v>
      </c>
      <c r="Q377" cm="1">
        <f t="array" ref="Q377">IF(SUM(N(ISNUMBER(FIND({"A","B","C","D","E","F","G","H","I","J","K","L","M","N","O","P","Q","R","S","T","U","V","W","X","Y","Z"}, B377))))&gt;0, 26, 0)</f>
        <v>0</v>
      </c>
      <c r="R377" cm="1">
        <f t="array" ref="R377">IF(SUM(N(ISNUMBER(FIND({0,1,2,3,4,5,6,7,8,9}, B377))))&gt;0, 10, 0)</f>
        <v>0</v>
      </c>
      <c r="S377" cm="1">
        <f t="array" ref="S377">IF(LEN(B377)&gt;SUMPRODUCT(LEN(B377)-LEN(SUBSTITUTE(B377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7" s="2"/>
    </row>
    <row r="378" spans="1:21" ht="15.6">
      <c r="A378" s="3">
        <v>2</v>
      </c>
      <c r="B378" s="7" t="s">
        <v>704</v>
      </c>
      <c r="C378" t="s">
        <v>640</v>
      </c>
      <c r="D378">
        <f t="shared" si="16"/>
        <v>6</v>
      </c>
      <c r="E378">
        <f t="shared" si="17"/>
        <v>39.327533110065843</v>
      </c>
      <c r="F378" s="10">
        <v>1.918296</v>
      </c>
      <c r="G378" s="10">
        <f t="shared" si="15"/>
        <v>11.509776</v>
      </c>
      <c r="H378" s="10">
        <v>0</v>
      </c>
      <c r="I378" s="10">
        <v>314</v>
      </c>
      <c r="J378" s="10">
        <v>2.4969299999999999</v>
      </c>
      <c r="K378" s="10"/>
      <c r="L378" s="10"/>
      <c r="P378" cm="1">
        <f t="array" ref="P378">IF(SUM(N(ISNUMBER(FIND({"a","b","c","d","e","f","g","h","i","j","k","l","m","n","o","p","q","r","s","t","u","v","w","x","y","z"}, B378))))&gt;0, 26, 0)</f>
        <v>26</v>
      </c>
      <c r="Q378" cm="1">
        <f t="array" ref="Q378">IF(SUM(N(ISNUMBER(FIND({"A","B","C","D","E","F","G","H","I","J","K","L","M","N","O","P","Q","R","S","T","U","V","W","X","Y","Z"}, B378))))&gt;0, 26, 0)</f>
        <v>0</v>
      </c>
      <c r="R378" cm="1">
        <f t="array" ref="R378">IF(SUM(N(ISNUMBER(FIND({0,1,2,3,4,5,6,7,8,9}, B378))))&gt;0, 10, 0)</f>
        <v>0</v>
      </c>
      <c r="S378" cm="1">
        <f t="array" ref="S378">IF(LEN(B378)&gt;SUMPRODUCT(LEN(B378)-LEN(SUBSTITUTE(B378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8" s="2"/>
    </row>
    <row r="379" spans="1:21" ht="15.6">
      <c r="A379" s="3">
        <v>2</v>
      </c>
      <c r="B379" s="7" t="s">
        <v>705</v>
      </c>
      <c r="C379" t="s">
        <v>640</v>
      </c>
      <c r="D379">
        <f t="shared" si="16"/>
        <v>7</v>
      </c>
      <c r="E379">
        <f t="shared" si="17"/>
        <v>45.882121961743479</v>
      </c>
      <c r="F379" s="10">
        <v>2.5216409999999998</v>
      </c>
      <c r="G379" s="10">
        <f t="shared" si="15"/>
        <v>17.651486999999999</v>
      </c>
      <c r="H379" s="10">
        <v>0</v>
      </c>
      <c r="I379" s="10">
        <v>26</v>
      </c>
      <c r="J379" s="10">
        <v>1.414973</v>
      </c>
      <c r="K379" s="10"/>
      <c r="L379" s="10"/>
      <c r="P379" cm="1">
        <f t="array" ref="P379">IF(SUM(N(ISNUMBER(FIND({"a","b","c","d","e","f","g","h","i","j","k","l","m","n","o","p","q","r","s","t","u","v","w","x","y","z"}, B379))))&gt;0, 26, 0)</f>
        <v>26</v>
      </c>
      <c r="Q379" cm="1">
        <f t="array" ref="Q379">IF(SUM(N(ISNUMBER(FIND({"A","B","C","D","E","F","G","H","I","J","K","L","M","N","O","P","Q","R","S","T","U","V","W","X","Y","Z"}, B379))))&gt;0, 26, 0)</f>
        <v>0</v>
      </c>
      <c r="R379" cm="1">
        <f t="array" ref="R379">IF(SUM(N(ISNUMBER(FIND({0,1,2,3,4,5,6,7,8,9}, B379))))&gt;0, 10, 0)</f>
        <v>0</v>
      </c>
      <c r="S379" cm="1">
        <f t="array" ref="S379">IF(LEN(B379)&gt;SUMPRODUCT(LEN(B379)-LEN(SUBSTITUTE(B379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79" s="2"/>
    </row>
    <row r="380" spans="1:21" ht="15.6">
      <c r="A380" s="3">
        <v>2</v>
      </c>
      <c r="B380" s="7" t="s">
        <v>706</v>
      </c>
      <c r="C380" t="s">
        <v>640</v>
      </c>
      <c r="D380">
        <f t="shared" si="16"/>
        <v>6</v>
      </c>
      <c r="E380">
        <f t="shared" si="17"/>
        <v>39.327533110065843</v>
      </c>
      <c r="F380" s="10">
        <v>2.2516289999999999</v>
      </c>
      <c r="G380" s="10">
        <f t="shared" si="15"/>
        <v>13.509774</v>
      </c>
      <c r="H380" s="10">
        <v>0</v>
      </c>
      <c r="I380" s="10">
        <v>4</v>
      </c>
      <c r="J380" s="10">
        <v>0.60206000000000004</v>
      </c>
      <c r="K380" s="10"/>
      <c r="L380" s="10"/>
      <c r="P380" cm="1">
        <f t="array" ref="P380">IF(SUM(N(ISNUMBER(FIND({"a","b","c","d","e","f","g","h","i","j","k","l","m","n","o","p","q","r","s","t","u","v","w","x","y","z"}, B380))))&gt;0, 26, 0)</f>
        <v>26</v>
      </c>
      <c r="Q380" cm="1">
        <f t="array" ref="Q380">IF(SUM(N(ISNUMBER(FIND({"A","B","C","D","E","F","G","H","I","J","K","L","M","N","O","P","Q","R","S","T","U","V","W","X","Y","Z"}, B380))))&gt;0, 26, 0)</f>
        <v>0</v>
      </c>
      <c r="R380" cm="1">
        <f t="array" ref="R380">IF(SUM(N(ISNUMBER(FIND({0,1,2,3,4,5,6,7,8,9}, B380))))&gt;0, 10, 0)</f>
        <v>0</v>
      </c>
      <c r="S380" cm="1">
        <f t="array" ref="S380">IF(LEN(B380)&gt;SUMPRODUCT(LEN(B380)-LEN(SUBSTITUTE(B380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0" s="2"/>
    </row>
    <row r="381" spans="1:21" ht="15.6">
      <c r="A381" s="3">
        <v>2</v>
      </c>
      <c r="B381" s="7" t="s">
        <v>707</v>
      </c>
      <c r="C381" t="s">
        <v>640</v>
      </c>
      <c r="D381">
        <f t="shared" si="16"/>
        <v>8</v>
      </c>
      <c r="E381">
        <f t="shared" si="17"/>
        <v>52.436710813421122</v>
      </c>
      <c r="F381" s="10">
        <v>2.5</v>
      </c>
      <c r="G381" s="10">
        <f t="shared" si="15"/>
        <v>20</v>
      </c>
      <c r="H381" s="10">
        <v>0</v>
      </c>
      <c r="I381" s="10">
        <v>151</v>
      </c>
      <c r="J381" s="10">
        <v>2.1789770000000002</v>
      </c>
      <c r="K381" s="10"/>
      <c r="L381" s="10"/>
      <c r="P381" cm="1">
        <f t="array" ref="P381">IF(SUM(N(ISNUMBER(FIND({"a","b","c","d","e","f","g","h","i","j","k","l","m","n","o","p","q","r","s","t","u","v","w","x","y","z"}, B381))))&gt;0, 26, 0)</f>
        <v>26</v>
      </c>
      <c r="Q381" cm="1">
        <f t="array" ref="Q381">IF(SUM(N(ISNUMBER(FIND({"A","B","C","D","E","F","G","H","I","J","K","L","M","N","O","P","Q","R","S","T","U","V","W","X","Y","Z"}, B381))))&gt;0, 26, 0)</f>
        <v>0</v>
      </c>
      <c r="R381" cm="1">
        <f t="array" ref="R381">IF(SUM(N(ISNUMBER(FIND({0,1,2,3,4,5,6,7,8,9}, B381))))&gt;0, 10, 0)</f>
        <v>0</v>
      </c>
      <c r="S381" cm="1">
        <f t="array" ref="S381">IF(LEN(B381)&gt;SUMPRODUCT(LEN(B381)-LEN(SUBSTITUTE(B381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1" s="2"/>
    </row>
    <row r="382" spans="1:21" ht="15.6">
      <c r="A382" s="3">
        <v>2</v>
      </c>
      <c r="B382" s="7" t="s">
        <v>708</v>
      </c>
      <c r="C382" t="s">
        <v>640</v>
      </c>
      <c r="D382">
        <f t="shared" si="16"/>
        <v>7</v>
      </c>
      <c r="E382">
        <f t="shared" si="17"/>
        <v>45.882121961743479</v>
      </c>
      <c r="F382" s="10">
        <v>2.2359260000000001</v>
      </c>
      <c r="G382" s="10">
        <f t="shared" si="15"/>
        <v>15.651482000000001</v>
      </c>
      <c r="H382" s="10">
        <v>0</v>
      </c>
      <c r="I382" s="10">
        <v>161</v>
      </c>
      <c r="J382" s="10">
        <v>2.206826</v>
      </c>
      <c r="K382" s="10"/>
      <c r="L382" s="10"/>
      <c r="P382" cm="1">
        <f t="array" ref="P382">IF(SUM(N(ISNUMBER(FIND({"a","b","c","d","e","f","g","h","i","j","k","l","m","n","o","p","q","r","s","t","u","v","w","x","y","z"}, B382))))&gt;0, 26, 0)</f>
        <v>26</v>
      </c>
      <c r="Q382" cm="1">
        <f t="array" ref="Q382">IF(SUM(N(ISNUMBER(FIND({"A","B","C","D","E","F","G","H","I","J","K","L","M","N","O","P","Q","R","S","T","U","V","W","X","Y","Z"}, B382))))&gt;0, 26, 0)</f>
        <v>0</v>
      </c>
      <c r="R382" cm="1">
        <f t="array" ref="R382">IF(SUM(N(ISNUMBER(FIND({0,1,2,3,4,5,6,7,8,9}, B382))))&gt;0, 10, 0)</f>
        <v>0</v>
      </c>
      <c r="S382" cm="1">
        <f t="array" ref="S382">IF(LEN(B382)&gt;SUMPRODUCT(LEN(B382)-LEN(SUBSTITUTE(B382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2" s="2"/>
    </row>
    <row r="383" spans="1:21" ht="15.6">
      <c r="A383" s="3">
        <v>2</v>
      </c>
      <c r="B383" s="7" t="s">
        <v>709</v>
      </c>
      <c r="C383" t="s">
        <v>640</v>
      </c>
      <c r="D383">
        <f t="shared" si="16"/>
        <v>6</v>
      </c>
      <c r="E383">
        <f t="shared" si="17"/>
        <v>39.327533110065843</v>
      </c>
      <c r="F383" s="10">
        <v>2.5849630000000001</v>
      </c>
      <c r="G383" s="10">
        <f t="shared" si="15"/>
        <v>15.509778000000001</v>
      </c>
      <c r="H383" s="10">
        <v>0</v>
      </c>
      <c r="I383" s="10">
        <v>95</v>
      </c>
      <c r="J383" s="10">
        <v>1.977724</v>
      </c>
      <c r="K383" s="10"/>
      <c r="L383" s="10"/>
      <c r="P383" cm="1">
        <f t="array" ref="P383">IF(SUM(N(ISNUMBER(FIND({"a","b","c","d","e","f","g","h","i","j","k","l","m","n","o","p","q","r","s","t","u","v","w","x","y","z"}, B383))))&gt;0, 26, 0)</f>
        <v>26</v>
      </c>
      <c r="Q383" cm="1">
        <f t="array" ref="Q383">IF(SUM(N(ISNUMBER(FIND({"A","B","C","D","E","F","G","H","I","J","K","L","M","N","O","P","Q","R","S","T","U","V","W","X","Y","Z"}, B383))))&gt;0, 26, 0)</f>
        <v>0</v>
      </c>
      <c r="R383" cm="1">
        <f t="array" ref="R383">IF(SUM(N(ISNUMBER(FIND({0,1,2,3,4,5,6,7,8,9}, B383))))&gt;0, 10, 0)</f>
        <v>0</v>
      </c>
      <c r="S383" cm="1">
        <f t="array" ref="S383">IF(LEN(B383)&gt;SUMPRODUCT(LEN(B383)-LEN(SUBSTITUTE(B383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3" s="2"/>
    </row>
    <row r="384" spans="1:21" ht="15.6">
      <c r="A384" s="3">
        <v>2</v>
      </c>
      <c r="B384" s="7" t="s">
        <v>710</v>
      </c>
      <c r="C384" t="s">
        <v>640</v>
      </c>
      <c r="D384">
        <f t="shared" si="16"/>
        <v>8</v>
      </c>
      <c r="E384">
        <f t="shared" si="17"/>
        <v>52.436710813421122</v>
      </c>
      <c r="F384" s="10">
        <v>2.5</v>
      </c>
      <c r="G384" s="10">
        <f t="shared" si="15"/>
        <v>20</v>
      </c>
      <c r="H384" s="10">
        <v>0</v>
      </c>
      <c r="I384" s="10">
        <v>56</v>
      </c>
      <c r="J384" s="10">
        <v>1.7481880000000001</v>
      </c>
      <c r="K384" s="10"/>
      <c r="L384" s="10"/>
      <c r="P384" cm="1">
        <f t="array" ref="P384">IF(SUM(N(ISNUMBER(FIND({"a","b","c","d","e","f","g","h","i","j","k","l","m","n","o","p","q","r","s","t","u","v","w","x","y","z"}, B384))))&gt;0, 26, 0)</f>
        <v>26</v>
      </c>
      <c r="Q384" cm="1">
        <f t="array" ref="Q384">IF(SUM(N(ISNUMBER(FIND({"A","B","C","D","E","F","G","H","I","J","K","L","M","N","O","P","Q","R","S","T","U","V","W","X","Y","Z"}, B384))))&gt;0, 26, 0)</f>
        <v>0</v>
      </c>
      <c r="R384" cm="1">
        <f t="array" ref="R384">IF(SUM(N(ISNUMBER(FIND({0,1,2,3,4,5,6,7,8,9}, B384))))&gt;0, 10, 0)</f>
        <v>0</v>
      </c>
      <c r="S384" cm="1">
        <f t="array" ref="S384">IF(LEN(B384)&gt;SUMPRODUCT(LEN(B384)-LEN(SUBSTITUTE(B384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4" s="2"/>
    </row>
    <row r="385" spans="1:21" ht="15.6">
      <c r="A385" s="3">
        <v>2</v>
      </c>
      <c r="B385" s="7">
        <v>987654321</v>
      </c>
      <c r="C385" t="s">
        <v>640</v>
      </c>
      <c r="D385">
        <f t="shared" si="16"/>
        <v>9</v>
      </c>
      <c r="E385">
        <f t="shared" si="17"/>
        <v>58.991299665098765</v>
      </c>
      <c r="F385" s="10">
        <v>3.1699250000000001</v>
      </c>
      <c r="G385" s="10">
        <f t="shared" si="15"/>
        <v>28.529325</v>
      </c>
      <c r="H385" s="10">
        <v>0</v>
      </c>
      <c r="I385" s="10">
        <v>11</v>
      </c>
      <c r="J385" s="10">
        <v>1.041393</v>
      </c>
      <c r="K385" s="10"/>
      <c r="L385" s="10"/>
      <c r="P385" cm="1">
        <f t="array" ref="P385">IF(SUM(N(ISNUMBER(FIND({"a","b","c","d","e","f","g","h","i","j","k","l","m","n","o","p","q","r","s","t","u","v","w","x","y","z"}, B385))))&gt;0, 26, 0)</f>
        <v>0</v>
      </c>
      <c r="Q385" cm="1">
        <f t="array" ref="Q385">IF(SUM(N(ISNUMBER(FIND({"A","B","C","D","E","F","G","H","I","J","K","L","M","N","O","P","Q","R","S","T","U","V","W","X","Y","Z"}, B385))))&gt;0, 26, 0)</f>
        <v>0</v>
      </c>
      <c r="R385" cm="1">
        <f t="array" ref="R385">IF(SUM(N(ISNUMBER(FIND({0,1,2,3,4,5,6,7,8,9}, B385))))&gt;0, 10, 0)</f>
        <v>10</v>
      </c>
      <c r="S385" cm="1">
        <f t="array" ref="S385">IF(LEN(B385)&gt;SUMPRODUCT(LEN(B385)-LEN(SUBSTITUTE(B385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5" s="2"/>
    </row>
    <row r="386" spans="1:21" ht="15.6">
      <c r="A386" s="3">
        <v>2</v>
      </c>
      <c r="B386" s="7" t="s">
        <v>711</v>
      </c>
      <c r="C386" t="s">
        <v>640</v>
      </c>
      <c r="D386">
        <f t="shared" si="16"/>
        <v>8</v>
      </c>
      <c r="E386">
        <f t="shared" si="17"/>
        <v>52.436710813421122</v>
      </c>
      <c r="F386" s="10">
        <v>3</v>
      </c>
      <c r="G386" s="10">
        <f t="shared" ref="G386:G449" si="18">F386 * D386</f>
        <v>24</v>
      </c>
      <c r="H386" s="10">
        <v>0</v>
      </c>
      <c r="I386" s="10">
        <v>52</v>
      </c>
      <c r="J386" s="10">
        <v>1.7160029999999999</v>
      </c>
      <c r="K386" s="10"/>
      <c r="L386" s="10"/>
      <c r="P386" cm="1">
        <f t="array" ref="P386">IF(SUM(N(ISNUMBER(FIND({"a","b","c","d","e","f","g","h","i","j","k","l","m","n","o","p","q","r","s","t","u","v","w","x","y","z"}, B386))))&gt;0, 26, 0)</f>
        <v>26</v>
      </c>
      <c r="Q386" cm="1">
        <f t="array" ref="Q386">IF(SUM(N(ISNUMBER(FIND({"A","B","C","D","E","F","G","H","I","J","K","L","M","N","O","P","Q","R","S","T","U","V","W","X","Y","Z"}, B386))))&gt;0, 26, 0)</f>
        <v>0</v>
      </c>
      <c r="R386" cm="1">
        <f t="array" ref="R386">IF(SUM(N(ISNUMBER(FIND({0,1,2,3,4,5,6,7,8,9}, B386))))&gt;0, 10, 0)</f>
        <v>0</v>
      </c>
      <c r="S386" cm="1">
        <f t="array" ref="S386">IF(LEN(B386)&gt;SUMPRODUCT(LEN(B386)-LEN(SUBSTITUTE(B386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6" s="2"/>
    </row>
    <row r="387" spans="1:21" ht="15.6">
      <c r="A387" s="3">
        <v>2</v>
      </c>
      <c r="B387" s="7" t="s">
        <v>712</v>
      </c>
      <c r="C387" t="s">
        <v>640</v>
      </c>
      <c r="D387">
        <f t="shared" ref="D387:D450" si="19">LEN(B387)</f>
        <v>8</v>
      </c>
      <c r="E387">
        <f t="shared" ref="E387:E450" si="20">IMLOG2(94) * D387</f>
        <v>52.436710813421122</v>
      </c>
      <c r="F387" s="10">
        <v>2.75</v>
      </c>
      <c r="G387" s="10">
        <f t="shared" si="18"/>
        <v>22</v>
      </c>
      <c r="H387" s="10">
        <v>0</v>
      </c>
      <c r="I387" s="10">
        <v>105</v>
      </c>
      <c r="J387" s="10">
        <v>2.0211890000000001</v>
      </c>
      <c r="K387" s="10"/>
      <c r="L387" s="10"/>
      <c r="P387" cm="1">
        <f t="array" ref="P387">IF(SUM(N(ISNUMBER(FIND({"a","b","c","d","e","f","g","h","i","j","k","l","m","n","o","p","q","r","s","t","u","v","w","x","y","z"}, B387))))&gt;0, 26, 0)</f>
        <v>26</v>
      </c>
      <c r="Q387" cm="1">
        <f t="array" ref="Q387">IF(SUM(N(ISNUMBER(FIND({"A","B","C","D","E","F","G","H","I","J","K","L","M","N","O","P","Q","R","S","T","U","V","W","X","Y","Z"}, B387))))&gt;0, 26, 0)</f>
        <v>0</v>
      </c>
      <c r="R387" cm="1">
        <f t="array" ref="R387">IF(SUM(N(ISNUMBER(FIND({0,1,2,3,4,5,6,7,8,9}, B387))))&gt;0, 10, 0)</f>
        <v>0</v>
      </c>
      <c r="S387" cm="1">
        <f t="array" ref="S387">IF(LEN(B387)&gt;SUMPRODUCT(LEN(B387)-LEN(SUBSTITUTE(B387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7" s="2"/>
    </row>
    <row r="388" spans="1:21" ht="15.6">
      <c r="A388" s="3">
        <v>2</v>
      </c>
      <c r="B388" s="7" t="s">
        <v>713</v>
      </c>
      <c r="C388" t="s">
        <v>640</v>
      </c>
      <c r="D388">
        <f t="shared" si="19"/>
        <v>6</v>
      </c>
      <c r="E388">
        <f t="shared" si="20"/>
        <v>39.327533110065843</v>
      </c>
      <c r="F388" s="10">
        <v>2.5849630000000001</v>
      </c>
      <c r="G388" s="10">
        <f t="shared" si="18"/>
        <v>15.509778000000001</v>
      </c>
      <c r="H388" s="10">
        <v>0</v>
      </c>
      <c r="I388" s="10">
        <v>11</v>
      </c>
      <c r="J388" s="10">
        <v>1.041393</v>
      </c>
      <c r="K388" s="10"/>
      <c r="L388" s="10"/>
      <c r="P388" cm="1">
        <f t="array" ref="P388">IF(SUM(N(ISNUMBER(FIND({"a","b","c","d","e","f","g","h","i","j","k","l","m","n","o","p","q","r","s","t","u","v","w","x","y","z"}, B388))))&gt;0, 26, 0)</f>
        <v>26</v>
      </c>
      <c r="Q388" cm="1">
        <f t="array" ref="Q388">IF(SUM(N(ISNUMBER(FIND({"A","B","C","D","E","F","G","H","I","J","K","L","M","N","O","P","Q","R","S","T","U","V","W","X","Y","Z"}, B388))))&gt;0, 26, 0)</f>
        <v>0</v>
      </c>
      <c r="R388" cm="1">
        <f t="array" ref="R388">IF(SUM(N(ISNUMBER(FIND({0,1,2,3,4,5,6,7,8,9}, B388))))&gt;0, 10, 0)</f>
        <v>0</v>
      </c>
      <c r="S388" cm="1">
        <f t="array" ref="S388">IF(LEN(B388)&gt;SUMPRODUCT(LEN(B388)-LEN(SUBSTITUTE(B388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8" s="2"/>
    </row>
    <row r="389" spans="1:21" ht="15.6">
      <c r="A389" s="3">
        <v>2</v>
      </c>
      <c r="B389" s="7" t="s">
        <v>714</v>
      </c>
      <c r="C389" t="s">
        <v>640</v>
      </c>
      <c r="D389">
        <f t="shared" si="19"/>
        <v>7</v>
      </c>
      <c r="E389">
        <f t="shared" si="20"/>
        <v>45.882121961743479</v>
      </c>
      <c r="F389" s="10">
        <v>2.2359260000000001</v>
      </c>
      <c r="G389" s="10">
        <f t="shared" si="18"/>
        <v>15.651482000000001</v>
      </c>
      <c r="H389" s="10">
        <v>0</v>
      </c>
      <c r="I389" s="10">
        <v>194</v>
      </c>
      <c r="J389" s="10">
        <v>2.2878020000000001</v>
      </c>
      <c r="K389" s="10"/>
      <c r="L389" s="10"/>
      <c r="P389" cm="1">
        <f t="array" ref="P389">IF(SUM(N(ISNUMBER(FIND({"a","b","c","d","e","f","g","h","i","j","k","l","m","n","o","p","q","r","s","t","u","v","w","x","y","z"}, B389))))&gt;0, 26, 0)</f>
        <v>26</v>
      </c>
      <c r="Q389" cm="1">
        <f t="array" ref="Q389">IF(SUM(N(ISNUMBER(FIND({"A","B","C","D","E","F","G","H","I","J","K","L","M","N","O","P","Q","R","S","T","U","V","W","X","Y","Z"}, B389))))&gt;0, 26, 0)</f>
        <v>0</v>
      </c>
      <c r="R389" cm="1">
        <f t="array" ref="R389">IF(SUM(N(ISNUMBER(FIND({0,1,2,3,4,5,6,7,8,9}, B389))))&gt;0, 10, 0)</f>
        <v>0</v>
      </c>
      <c r="S389" cm="1">
        <f t="array" ref="S389">IF(LEN(B389)&gt;SUMPRODUCT(LEN(B389)-LEN(SUBSTITUTE(B389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89" s="2"/>
    </row>
    <row r="390" spans="1:21" ht="15.6">
      <c r="A390" s="3">
        <v>2</v>
      </c>
      <c r="B390" s="7" t="s">
        <v>715</v>
      </c>
      <c r="C390" t="s">
        <v>640</v>
      </c>
      <c r="D390">
        <f t="shared" si="19"/>
        <v>6</v>
      </c>
      <c r="E390">
        <f t="shared" si="20"/>
        <v>39.327533110065843</v>
      </c>
      <c r="F390" s="10">
        <v>2.2516289999999999</v>
      </c>
      <c r="G390" s="10">
        <f t="shared" si="18"/>
        <v>13.509774</v>
      </c>
      <c r="H390" s="10">
        <v>0</v>
      </c>
      <c r="I390" s="10">
        <v>96</v>
      </c>
      <c r="J390" s="10">
        <v>1.9822709999999999</v>
      </c>
      <c r="K390" s="10"/>
      <c r="L390" s="10"/>
      <c r="P390" cm="1">
        <f t="array" ref="P390">IF(SUM(N(ISNUMBER(FIND({"a","b","c","d","e","f","g","h","i","j","k","l","m","n","o","p","q","r","s","t","u","v","w","x","y","z"}, B390))))&gt;0, 26, 0)</f>
        <v>26</v>
      </c>
      <c r="Q390" cm="1">
        <f t="array" ref="Q390">IF(SUM(N(ISNUMBER(FIND({"A","B","C","D","E","F","G","H","I","J","K","L","M","N","O","P","Q","R","S","T","U","V","W","X","Y","Z"}, B390))))&gt;0, 26, 0)</f>
        <v>0</v>
      </c>
      <c r="R390" cm="1">
        <f t="array" ref="R390">IF(SUM(N(ISNUMBER(FIND({0,1,2,3,4,5,6,7,8,9}, B390))))&gt;0, 10, 0)</f>
        <v>0</v>
      </c>
      <c r="S390" cm="1">
        <f t="array" ref="S390">IF(LEN(B390)&gt;SUMPRODUCT(LEN(B390)-LEN(SUBSTITUTE(B390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0" s="2"/>
    </row>
    <row r="391" spans="1:21" ht="15.6">
      <c r="A391" s="3">
        <v>2</v>
      </c>
      <c r="B391" s="7" t="s">
        <v>716</v>
      </c>
      <c r="C391" t="s">
        <v>640</v>
      </c>
      <c r="D391">
        <f t="shared" si="19"/>
        <v>6</v>
      </c>
      <c r="E391">
        <f t="shared" si="20"/>
        <v>39.327533110065843</v>
      </c>
      <c r="F391" s="10">
        <v>2.5849630000000001</v>
      </c>
      <c r="G391" s="10">
        <f t="shared" si="18"/>
        <v>15.509778000000001</v>
      </c>
      <c r="H391" s="10">
        <v>0</v>
      </c>
      <c r="I391" s="10">
        <v>502</v>
      </c>
      <c r="J391" s="10">
        <v>2.700704</v>
      </c>
      <c r="K391" s="10"/>
      <c r="L391" s="10"/>
      <c r="P391" cm="1">
        <f t="array" ref="P391">IF(SUM(N(ISNUMBER(FIND({"a","b","c","d","e","f","g","h","i","j","k","l","m","n","o","p","q","r","s","t","u","v","w","x","y","z"}, B391))))&gt;0, 26, 0)</f>
        <v>26</v>
      </c>
      <c r="Q391" cm="1">
        <f t="array" ref="Q391">IF(SUM(N(ISNUMBER(FIND({"A","B","C","D","E","F","G","H","I","J","K","L","M","N","O","P","Q","R","S","T","U","V","W","X","Y","Z"}, B391))))&gt;0, 26, 0)</f>
        <v>0</v>
      </c>
      <c r="R391" cm="1">
        <f t="array" ref="R391">IF(SUM(N(ISNUMBER(FIND({0,1,2,3,4,5,6,7,8,9}, B391))))&gt;0, 10, 0)</f>
        <v>0</v>
      </c>
      <c r="S391" cm="1">
        <f t="array" ref="S391">IF(LEN(B391)&gt;SUMPRODUCT(LEN(B391)-LEN(SUBSTITUTE(B391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1" s="2"/>
    </row>
    <row r="392" spans="1:21" ht="15.6">
      <c r="A392" s="3">
        <v>2</v>
      </c>
      <c r="B392" s="7" t="s">
        <v>717</v>
      </c>
      <c r="C392" t="s">
        <v>640</v>
      </c>
      <c r="D392">
        <f t="shared" si="19"/>
        <v>6</v>
      </c>
      <c r="E392">
        <f t="shared" si="20"/>
        <v>39.327533110065843</v>
      </c>
      <c r="F392" s="10">
        <v>2.2516289999999999</v>
      </c>
      <c r="G392" s="10">
        <f t="shared" si="18"/>
        <v>13.509774</v>
      </c>
      <c r="H392" s="10">
        <v>0</v>
      </c>
      <c r="I392" s="10">
        <v>70</v>
      </c>
      <c r="J392" s="10">
        <v>1.8450979999999999</v>
      </c>
      <c r="K392" s="10"/>
      <c r="L392" s="10"/>
      <c r="P392" cm="1">
        <f t="array" ref="P392">IF(SUM(N(ISNUMBER(FIND({"a","b","c","d","e","f","g","h","i","j","k","l","m","n","o","p","q","r","s","t","u","v","w","x","y","z"}, B392))))&gt;0, 26, 0)</f>
        <v>26</v>
      </c>
      <c r="Q392" cm="1">
        <f t="array" ref="Q392">IF(SUM(N(ISNUMBER(FIND({"A","B","C","D","E","F","G","H","I","J","K","L","M","N","O","P","Q","R","S","T","U","V","W","X","Y","Z"}, B392))))&gt;0, 26, 0)</f>
        <v>0</v>
      </c>
      <c r="R392" cm="1">
        <f t="array" ref="R392">IF(SUM(N(ISNUMBER(FIND({0,1,2,3,4,5,6,7,8,9}, B392))))&gt;0, 10, 0)</f>
        <v>0</v>
      </c>
      <c r="S392" cm="1">
        <f t="array" ref="S392">IF(LEN(B392)&gt;SUMPRODUCT(LEN(B392)-LEN(SUBSTITUTE(B392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2" s="2"/>
    </row>
    <row r="393" spans="1:21" ht="15.6">
      <c r="A393" s="3">
        <v>2</v>
      </c>
      <c r="B393" s="7" t="s">
        <v>718</v>
      </c>
      <c r="C393" t="s">
        <v>640</v>
      </c>
      <c r="D393">
        <f t="shared" si="19"/>
        <v>6</v>
      </c>
      <c r="E393">
        <f t="shared" si="20"/>
        <v>39.327533110065843</v>
      </c>
      <c r="F393" s="10">
        <v>2.2516289999999999</v>
      </c>
      <c r="G393" s="10">
        <f t="shared" si="18"/>
        <v>13.509774</v>
      </c>
      <c r="H393" s="10">
        <v>0</v>
      </c>
      <c r="I393" s="10">
        <v>886</v>
      </c>
      <c r="J393" s="10">
        <v>2.9474339999999999</v>
      </c>
      <c r="K393" s="10"/>
      <c r="L393" s="10"/>
      <c r="P393" cm="1">
        <f t="array" ref="P393">IF(SUM(N(ISNUMBER(FIND({"a","b","c","d","e","f","g","h","i","j","k","l","m","n","o","p","q","r","s","t","u","v","w","x","y","z"}, B393))))&gt;0, 26, 0)</f>
        <v>26</v>
      </c>
      <c r="Q393" cm="1">
        <f t="array" ref="Q393">IF(SUM(N(ISNUMBER(FIND({"A","B","C","D","E","F","G","H","I","J","K","L","M","N","O","P","Q","R","S","T","U","V","W","X","Y","Z"}, B393))))&gt;0, 26, 0)</f>
        <v>0</v>
      </c>
      <c r="R393" cm="1">
        <f t="array" ref="R393">IF(SUM(N(ISNUMBER(FIND({0,1,2,3,4,5,6,7,8,9}, B393))))&gt;0, 10, 0)</f>
        <v>0</v>
      </c>
      <c r="S393" cm="1">
        <f t="array" ref="S393">IF(LEN(B393)&gt;SUMPRODUCT(LEN(B393)-LEN(SUBSTITUTE(B393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3" s="2"/>
    </row>
    <row r="394" spans="1:21" ht="15.6">
      <c r="A394" s="3">
        <v>2</v>
      </c>
      <c r="B394" s="7" t="s">
        <v>719</v>
      </c>
      <c r="C394" t="s">
        <v>640</v>
      </c>
      <c r="D394">
        <f t="shared" si="19"/>
        <v>9</v>
      </c>
      <c r="E394">
        <f t="shared" si="20"/>
        <v>58.991299665098765</v>
      </c>
      <c r="F394" s="10">
        <v>2.7254809999999998</v>
      </c>
      <c r="G394" s="10">
        <f t="shared" si="18"/>
        <v>24.529328999999997</v>
      </c>
      <c r="H394" s="10">
        <v>1</v>
      </c>
      <c r="I394" s="10">
        <v>2731</v>
      </c>
      <c r="J394" s="10">
        <v>3.4363220000000001</v>
      </c>
      <c r="K394" s="10"/>
      <c r="L394" s="10"/>
      <c r="P394" cm="1">
        <f t="array" ref="P394">IF(SUM(N(ISNUMBER(FIND({"a","b","c","d","e","f","g","h","i","j","k","l","m","n","o","p","q","r","s","t","u","v","w","x","y","z"}, B394))))&gt;0, 26, 0)</f>
        <v>26</v>
      </c>
      <c r="Q394" cm="1">
        <f t="array" ref="Q394">IF(SUM(N(ISNUMBER(FIND({"A","B","C","D","E","F","G","H","I","J","K","L","M","N","O","P","Q","R","S","T","U","V","W","X","Y","Z"}, B394))))&gt;0, 26, 0)</f>
        <v>0</v>
      </c>
      <c r="R394" cm="1">
        <f t="array" ref="R394">IF(SUM(N(ISNUMBER(FIND({0,1,2,3,4,5,6,7,8,9}, B394))))&gt;0, 10, 0)</f>
        <v>0</v>
      </c>
      <c r="S394" cm="1">
        <f t="array" ref="S394">IF(LEN(B394)&gt;SUMPRODUCT(LEN(B394)-LEN(SUBSTITUTE(B394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4" s="2"/>
    </row>
    <row r="395" spans="1:21" ht="15.6">
      <c r="A395" s="3">
        <v>2</v>
      </c>
      <c r="B395" s="7" t="s">
        <v>720</v>
      </c>
      <c r="C395" t="s">
        <v>640</v>
      </c>
      <c r="D395">
        <f t="shared" si="19"/>
        <v>6</v>
      </c>
      <c r="E395">
        <f t="shared" si="20"/>
        <v>39.327533110065843</v>
      </c>
      <c r="F395" s="10">
        <v>2.5849630000000001</v>
      </c>
      <c r="G395" s="10">
        <f t="shared" si="18"/>
        <v>15.509778000000001</v>
      </c>
      <c r="H395" s="10">
        <v>0</v>
      </c>
      <c r="I395" s="10">
        <v>10</v>
      </c>
      <c r="J395" s="10">
        <v>1</v>
      </c>
      <c r="K395" s="10"/>
      <c r="L395" s="10"/>
      <c r="P395" cm="1">
        <f t="array" ref="P395">IF(SUM(N(ISNUMBER(FIND({"a","b","c","d","e","f","g","h","i","j","k","l","m","n","o","p","q","r","s","t","u","v","w","x","y","z"}, B395))))&gt;0, 26, 0)</f>
        <v>26</v>
      </c>
      <c r="Q395" cm="1">
        <f t="array" ref="Q395">IF(SUM(N(ISNUMBER(FIND({"A","B","C","D","E","F","G","H","I","J","K","L","M","N","O","P","Q","R","S","T","U","V","W","X","Y","Z"}, B395))))&gt;0, 26, 0)</f>
        <v>0</v>
      </c>
      <c r="R395" cm="1">
        <f t="array" ref="R395">IF(SUM(N(ISNUMBER(FIND({0,1,2,3,4,5,6,7,8,9}, B395))))&gt;0, 10, 0)</f>
        <v>0</v>
      </c>
      <c r="S395" cm="1">
        <f t="array" ref="S395">IF(LEN(B395)&gt;SUMPRODUCT(LEN(B395)-LEN(SUBSTITUTE(B395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5" s="2"/>
    </row>
    <row r="396" spans="1:21" ht="15.6">
      <c r="A396" s="3">
        <v>2</v>
      </c>
      <c r="B396" s="7" t="s">
        <v>721</v>
      </c>
      <c r="C396" t="s">
        <v>640</v>
      </c>
      <c r="D396">
        <f t="shared" si="19"/>
        <v>6</v>
      </c>
      <c r="E396">
        <f t="shared" si="20"/>
        <v>39.327533110065843</v>
      </c>
      <c r="F396" s="10">
        <v>2.5849630000000001</v>
      </c>
      <c r="G396" s="10">
        <f t="shared" si="18"/>
        <v>15.509778000000001</v>
      </c>
      <c r="H396" s="10">
        <v>0</v>
      </c>
      <c r="I396" s="10">
        <v>134</v>
      </c>
      <c r="J396" s="10">
        <v>2.1271049999999998</v>
      </c>
      <c r="K396" s="10"/>
      <c r="L396" s="10"/>
      <c r="P396" cm="1">
        <f t="array" ref="P396">IF(SUM(N(ISNUMBER(FIND({"a","b","c","d","e","f","g","h","i","j","k","l","m","n","o","p","q","r","s","t","u","v","w","x","y","z"}, B396))))&gt;0, 26, 0)</f>
        <v>26</v>
      </c>
      <c r="Q396" cm="1">
        <f t="array" ref="Q396">IF(SUM(N(ISNUMBER(FIND({"A","B","C","D","E","F","G","H","I","J","K","L","M","N","O","P","Q","R","S","T","U","V","W","X","Y","Z"}, B396))))&gt;0, 26, 0)</f>
        <v>0</v>
      </c>
      <c r="R396" cm="1">
        <f t="array" ref="R396">IF(SUM(N(ISNUMBER(FIND({0,1,2,3,4,5,6,7,8,9}, B396))))&gt;0, 10, 0)</f>
        <v>0</v>
      </c>
      <c r="S396" cm="1">
        <f t="array" ref="S396">IF(LEN(B396)&gt;SUMPRODUCT(LEN(B396)-LEN(SUBSTITUTE(B396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6" s="2"/>
    </row>
    <row r="397" spans="1:21" ht="15.6">
      <c r="A397" s="3">
        <v>2</v>
      </c>
      <c r="B397" s="7" t="s">
        <v>722</v>
      </c>
      <c r="C397" t="s">
        <v>640</v>
      </c>
      <c r="D397">
        <f t="shared" si="19"/>
        <v>8</v>
      </c>
      <c r="E397">
        <f t="shared" si="20"/>
        <v>52.436710813421122</v>
      </c>
      <c r="F397" s="10">
        <v>2.75</v>
      </c>
      <c r="G397" s="10">
        <f t="shared" si="18"/>
        <v>22</v>
      </c>
      <c r="H397" s="10">
        <v>0</v>
      </c>
      <c r="I397" s="10">
        <v>547</v>
      </c>
      <c r="J397" s="10">
        <v>2.7379869999999999</v>
      </c>
      <c r="K397" s="10"/>
      <c r="L397" s="10"/>
      <c r="P397" cm="1">
        <f t="array" ref="P397">IF(SUM(N(ISNUMBER(FIND({"a","b","c","d","e","f","g","h","i","j","k","l","m","n","o","p","q","r","s","t","u","v","w","x","y","z"}, B397))))&gt;0, 26, 0)</f>
        <v>26</v>
      </c>
      <c r="Q397" cm="1">
        <f t="array" ref="Q397">IF(SUM(N(ISNUMBER(FIND({"A","B","C","D","E","F","G","H","I","J","K","L","M","N","O","P","Q","R","S","T","U","V","W","X","Y","Z"}, B397))))&gt;0, 26, 0)</f>
        <v>0</v>
      </c>
      <c r="R397" cm="1">
        <f t="array" ref="R397">IF(SUM(N(ISNUMBER(FIND({0,1,2,3,4,5,6,7,8,9}, B397))))&gt;0, 10, 0)</f>
        <v>0</v>
      </c>
      <c r="S397" cm="1">
        <f t="array" ref="S397">IF(LEN(B397)&gt;SUMPRODUCT(LEN(B397)-LEN(SUBSTITUTE(B397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7" s="2"/>
    </row>
    <row r="398" spans="1:21" ht="15.6">
      <c r="A398" s="3">
        <v>2</v>
      </c>
      <c r="B398" s="7" t="s">
        <v>723</v>
      </c>
      <c r="C398" t="s">
        <v>640</v>
      </c>
      <c r="D398">
        <f t="shared" si="19"/>
        <v>6</v>
      </c>
      <c r="E398">
        <f t="shared" si="20"/>
        <v>39.327533110065843</v>
      </c>
      <c r="F398" s="10">
        <v>2.5849630000000001</v>
      </c>
      <c r="G398" s="10">
        <f t="shared" si="18"/>
        <v>15.509778000000001</v>
      </c>
      <c r="H398" s="10">
        <v>0</v>
      </c>
      <c r="I398" s="10">
        <v>11</v>
      </c>
      <c r="J398" s="10">
        <v>1.041393</v>
      </c>
      <c r="K398" s="10"/>
      <c r="L398" s="10"/>
      <c r="P398" cm="1">
        <f t="array" ref="P398">IF(SUM(N(ISNUMBER(FIND({"a","b","c","d","e","f","g","h","i","j","k","l","m","n","o","p","q","r","s","t","u","v","w","x","y","z"}, B398))))&gt;0, 26, 0)</f>
        <v>26</v>
      </c>
      <c r="Q398" cm="1">
        <f t="array" ref="Q398">IF(SUM(N(ISNUMBER(FIND({"A","B","C","D","E","F","G","H","I","J","K","L","M","N","O","P","Q","R","S","T","U","V","W","X","Y","Z"}, B398))))&gt;0, 26, 0)</f>
        <v>0</v>
      </c>
      <c r="R398" cm="1">
        <f t="array" ref="R398">IF(SUM(N(ISNUMBER(FIND({0,1,2,3,4,5,6,7,8,9}, B398))))&gt;0, 10, 0)</f>
        <v>0</v>
      </c>
      <c r="S398" cm="1">
        <f t="array" ref="S398">IF(LEN(B398)&gt;SUMPRODUCT(LEN(B398)-LEN(SUBSTITUTE(B398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8" s="2"/>
    </row>
    <row r="399" spans="1:21" ht="15.6">
      <c r="A399" s="3">
        <v>2</v>
      </c>
      <c r="B399" s="7" t="s">
        <v>724</v>
      </c>
      <c r="C399" t="s">
        <v>640</v>
      </c>
      <c r="D399">
        <f t="shared" si="19"/>
        <v>6</v>
      </c>
      <c r="E399">
        <f t="shared" si="20"/>
        <v>39.327533110065843</v>
      </c>
      <c r="F399" s="10">
        <v>2.2516289999999999</v>
      </c>
      <c r="G399" s="10">
        <f t="shared" si="18"/>
        <v>13.509774</v>
      </c>
      <c r="H399" s="10">
        <v>0</v>
      </c>
      <c r="I399" s="10">
        <v>127</v>
      </c>
      <c r="J399" s="10">
        <v>2.1038039999999998</v>
      </c>
      <c r="K399" s="10"/>
      <c r="L399" s="10"/>
      <c r="P399" cm="1">
        <f t="array" ref="P399">IF(SUM(N(ISNUMBER(FIND({"a","b","c","d","e","f","g","h","i","j","k","l","m","n","o","p","q","r","s","t","u","v","w","x","y","z"}, B399))))&gt;0, 26, 0)</f>
        <v>26</v>
      </c>
      <c r="Q399" cm="1">
        <f t="array" ref="Q399">IF(SUM(N(ISNUMBER(FIND({"A","B","C","D","E","F","G","H","I","J","K","L","M","N","O","P","Q","R","S","T","U","V","W","X","Y","Z"}, B399))))&gt;0, 26, 0)</f>
        <v>0</v>
      </c>
      <c r="R399" cm="1">
        <f t="array" ref="R399">IF(SUM(N(ISNUMBER(FIND({0,1,2,3,4,5,6,7,8,9}, B399))))&gt;0, 10, 0)</f>
        <v>0</v>
      </c>
      <c r="S399" cm="1">
        <f t="array" ref="S399">IF(LEN(B399)&gt;SUMPRODUCT(LEN(B399)-LEN(SUBSTITUTE(B399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399" s="2"/>
    </row>
    <row r="400" spans="1:21" ht="15.6">
      <c r="A400" s="3">
        <v>2</v>
      </c>
      <c r="B400" s="7" t="s">
        <v>725</v>
      </c>
      <c r="C400" t="s">
        <v>640</v>
      </c>
      <c r="D400">
        <f t="shared" si="19"/>
        <v>7</v>
      </c>
      <c r="E400">
        <f t="shared" si="20"/>
        <v>45.882121961743479</v>
      </c>
      <c r="F400" s="10">
        <v>2.5216409999999998</v>
      </c>
      <c r="G400" s="10">
        <f t="shared" si="18"/>
        <v>17.651486999999999</v>
      </c>
      <c r="H400" s="10">
        <v>1</v>
      </c>
      <c r="I400" s="10">
        <v>1065</v>
      </c>
      <c r="J400" s="10">
        <v>3.0273500000000002</v>
      </c>
      <c r="K400" s="10"/>
      <c r="L400" s="10"/>
      <c r="P400" cm="1">
        <f t="array" ref="P400">IF(SUM(N(ISNUMBER(FIND({"a","b","c","d","e","f","g","h","i","j","k","l","m","n","o","p","q","r","s","t","u","v","w","x","y","z"}, B400))))&gt;0, 26, 0)</f>
        <v>26</v>
      </c>
      <c r="Q400" cm="1">
        <f t="array" ref="Q400">IF(SUM(N(ISNUMBER(FIND({"A","B","C","D","E","F","G","H","I","J","K","L","M","N","O","P","Q","R","S","T","U","V","W","X","Y","Z"}, B400))))&gt;0, 26, 0)</f>
        <v>0</v>
      </c>
      <c r="R400" cm="1">
        <f t="array" ref="R400">IF(SUM(N(ISNUMBER(FIND({0,1,2,3,4,5,6,7,8,9}, B400))))&gt;0, 10, 0)</f>
        <v>0</v>
      </c>
      <c r="S400" cm="1">
        <f t="array" ref="S400">IF(LEN(B400)&gt;SUMPRODUCT(LEN(B400)-LEN(SUBSTITUTE(B400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0" s="2"/>
    </row>
    <row r="401" spans="1:21" ht="15.6">
      <c r="A401" s="3">
        <v>2</v>
      </c>
      <c r="B401" s="7" t="s">
        <v>726</v>
      </c>
      <c r="C401" t="s">
        <v>640</v>
      </c>
      <c r="D401">
        <f t="shared" si="19"/>
        <v>6</v>
      </c>
      <c r="E401">
        <f t="shared" si="20"/>
        <v>39.327533110065843</v>
      </c>
      <c r="F401" s="10">
        <v>2.5849630000000001</v>
      </c>
      <c r="G401" s="10">
        <f t="shared" si="18"/>
        <v>15.509778000000001</v>
      </c>
      <c r="H401" s="10">
        <v>0</v>
      </c>
      <c r="I401" s="10">
        <v>163</v>
      </c>
      <c r="J401" s="10">
        <v>2.2121879999999998</v>
      </c>
      <c r="K401" s="10"/>
      <c r="L401" s="10"/>
      <c r="P401" cm="1">
        <f t="array" ref="P401">IF(SUM(N(ISNUMBER(FIND({"a","b","c","d","e","f","g","h","i","j","k","l","m","n","o","p","q","r","s","t","u","v","w","x","y","z"}, B401))))&gt;0, 26, 0)</f>
        <v>26</v>
      </c>
      <c r="Q401" cm="1">
        <f t="array" ref="Q401">IF(SUM(N(ISNUMBER(FIND({"A","B","C","D","E","F","G","H","I","J","K","L","M","N","O","P","Q","R","S","T","U","V","W","X","Y","Z"}, B401))))&gt;0, 26, 0)</f>
        <v>0</v>
      </c>
      <c r="R401" cm="1">
        <f t="array" ref="R401">IF(SUM(N(ISNUMBER(FIND({0,1,2,3,4,5,6,7,8,9}, B401))))&gt;0, 10, 0)</f>
        <v>0</v>
      </c>
      <c r="S401" cm="1">
        <f t="array" ref="S401">IF(LEN(B401)&gt;SUMPRODUCT(LEN(B401)-LEN(SUBSTITUTE(B401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1" s="2"/>
    </row>
    <row r="402" spans="1:21" ht="15.6">
      <c r="A402" s="3">
        <v>2</v>
      </c>
      <c r="B402" s="7" t="s">
        <v>727</v>
      </c>
      <c r="C402" t="s">
        <v>640</v>
      </c>
      <c r="D402">
        <f t="shared" si="19"/>
        <v>6</v>
      </c>
      <c r="E402">
        <f t="shared" si="20"/>
        <v>39.327533110065843</v>
      </c>
      <c r="F402" s="10">
        <v>2.5849630000000001</v>
      </c>
      <c r="G402" s="10">
        <f t="shared" si="18"/>
        <v>15.509778000000001</v>
      </c>
      <c r="H402" s="10">
        <v>0</v>
      </c>
      <c r="I402" s="10">
        <v>101</v>
      </c>
      <c r="J402" s="10">
        <v>2.004321</v>
      </c>
      <c r="K402" s="10"/>
      <c r="L402" s="10"/>
      <c r="P402" cm="1">
        <f t="array" ref="P402">IF(SUM(N(ISNUMBER(FIND({"a","b","c","d","e","f","g","h","i","j","k","l","m","n","o","p","q","r","s","t","u","v","w","x","y","z"}, B402))))&gt;0, 26, 0)</f>
        <v>26</v>
      </c>
      <c r="Q402" cm="1">
        <f t="array" ref="Q402">IF(SUM(N(ISNUMBER(FIND({"A","B","C","D","E","F","G","H","I","J","K","L","M","N","O","P","Q","R","S","T","U","V","W","X","Y","Z"}, B402))))&gt;0, 26, 0)</f>
        <v>0</v>
      </c>
      <c r="R402" cm="1">
        <f t="array" ref="R402">IF(SUM(N(ISNUMBER(FIND({0,1,2,3,4,5,6,7,8,9}, B402))))&gt;0, 10, 0)</f>
        <v>0</v>
      </c>
      <c r="S402" cm="1">
        <f t="array" ref="S402">IF(LEN(B402)&gt;SUMPRODUCT(LEN(B402)-LEN(SUBSTITUTE(B402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2" s="2"/>
    </row>
    <row r="403" spans="1:21" ht="15.6">
      <c r="A403" s="3">
        <v>2</v>
      </c>
      <c r="B403" s="7" t="s">
        <v>728</v>
      </c>
      <c r="C403" t="s">
        <v>640</v>
      </c>
      <c r="D403">
        <f t="shared" si="19"/>
        <v>8</v>
      </c>
      <c r="E403">
        <f t="shared" si="20"/>
        <v>52.436710813421122</v>
      </c>
      <c r="F403" s="10">
        <v>3</v>
      </c>
      <c r="G403" s="10">
        <f t="shared" si="18"/>
        <v>24</v>
      </c>
      <c r="H403" s="10">
        <v>1</v>
      </c>
      <c r="I403" s="10">
        <v>5995</v>
      </c>
      <c r="J403" s="10">
        <v>3.7777889999999998</v>
      </c>
      <c r="K403" s="10"/>
      <c r="L403" s="10"/>
      <c r="P403" cm="1">
        <f t="array" ref="P403">IF(SUM(N(ISNUMBER(FIND({"a","b","c","d","e","f","g","h","i","j","k","l","m","n","o","p","q","r","s","t","u","v","w","x","y","z"}, B403))))&gt;0, 26, 0)</f>
        <v>26</v>
      </c>
      <c r="Q403" cm="1">
        <f t="array" ref="Q403">IF(SUM(N(ISNUMBER(FIND({"A","B","C","D","E","F","G","H","I","J","K","L","M","N","O","P","Q","R","S","T","U","V","W","X","Y","Z"}, B403))))&gt;0, 26, 0)</f>
        <v>0</v>
      </c>
      <c r="R403" cm="1">
        <f t="array" ref="R403">IF(SUM(N(ISNUMBER(FIND({0,1,2,3,4,5,6,7,8,9}, B403))))&gt;0, 10, 0)</f>
        <v>0</v>
      </c>
      <c r="S403" cm="1">
        <f t="array" ref="S403">IF(LEN(B403)&gt;SUMPRODUCT(LEN(B403)-LEN(SUBSTITUTE(B403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3" s="2"/>
    </row>
    <row r="404" spans="1:21" ht="15.6">
      <c r="A404" s="3">
        <v>2</v>
      </c>
      <c r="B404" s="7" t="s">
        <v>729</v>
      </c>
      <c r="C404" t="s">
        <v>640</v>
      </c>
      <c r="D404">
        <f t="shared" si="19"/>
        <v>9</v>
      </c>
      <c r="E404">
        <f t="shared" si="20"/>
        <v>58.991299665098765</v>
      </c>
      <c r="F404" s="10">
        <v>2.6416040000000001</v>
      </c>
      <c r="G404" s="10">
        <f t="shared" si="18"/>
        <v>23.774436000000001</v>
      </c>
      <c r="H404" s="10">
        <v>0</v>
      </c>
      <c r="I404" s="10">
        <v>385</v>
      </c>
      <c r="J404" s="10">
        <v>2.585461</v>
      </c>
      <c r="K404" s="10"/>
      <c r="L404" s="10"/>
      <c r="P404" cm="1">
        <f t="array" ref="P404">IF(SUM(N(ISNUMBER(FIND({"a","b","c","d","e","f","g","h","i","j","k","l","m","n","o","p","q","r","s","t","u","v","w","x","y","z"}, B404))))&gt;0, 26, 0)</f>
        <v>26</v>
      </c>
      <c r="Q404" cm="1">
        <f t="array" ref="Q404">IF(SUM(N(ISNUMBER(FIND({"A","B","C","D","E","F","G","H","I","J","K","L","M","N","O","P","Q","R","S","T","U","V","W","X","Y","Z"}, B404))))&gt;0, 26, 0)</f>
        <v>0</v>
      </c>
      <c r="R404" cm="1">
        <f t="array" ref="R404">IF(SUM(N(ISNUMBER(FIND({0,1,2,3,4,5,6,7,8,9}, B404))))&gt;0, 10, 0)</f>
        <v>0</v>
      </c>
      <c r="S404" cm="1">
        <f t="array" ref="S404">IF(LEN(B404)&gt;SUMPRODUCT(LEN(B404)-LEN(SUBSTITUTE(B404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4" s="2"/>
    </row>
    <row r="405" spans="1:21" ht="15.6">
      <c r="A405" s="3">
        <v>2</v>
      </c>
      <c r="B405" s="7" t="s">
        <v>730</v>
      </c>
      <c r="C405" t="s">
        <v>640</v>
      </c>
      <c r="D405">
        <f t="shared" si="19"/>
        <v>6</v>
      </c>
      <c r="E405">
        <f t="shared" si="20"/>
        <v>39.327533110065843</v>
      </c>
      <c r="F405" s="10">
        <v>2.5849630000000001</v>
      </c>
      <c r="G405" s="10">
        <f t="shared" si="18"/>
        <v>15.509778000000001</v>
      </c>
      <c r="H405" s="10">
        <v>0</v>
      </c>
      <c r="I405" s="10">
        <v>281</v>
      </c>
      <c r="J405" s="10">
        <v>2.448706</v>
      </c>
      <c r="K405" s="10"/>
      <c r="L405" s="10"/>
      <c r="P405" cm="1">
        <f t="array" ref="P405">IF(SUM(N(ISNUMBER(FIND({"a","b","c","d","e","f","g","h","i","j","k","l","m","n","o","p","q","r","s","t","u","v","w","x","y","z"}, B405))))&gt;0, 26, 0)</f>
        <v>26</v>
      </c>
      <c r="Q405" cm="1">
        <f t="array" ref="Q405">IF(SUM(N(ISNUMBER(FIND({"A","B","C","D","E","F","G","H","I","J","K","L","M","N","O","P","Q","R","S","T","U","V","W","X","Y","Z"}, B405))))&gt;0, 26, 0)</f>
        <v>0</v>
      </c>
      <c r="R405" cm="1">
        <f t="array" ref="R405">IF(SUM(N(ISNUMBER(FIND({0,1,2,3,4,5,6,7,8,9}, B405))))&gt;0, 10, 0)</f>
        <v>0</v>
      </c>
      <c r="S405" cm="1">
        <f t="array" ref="S405">IF(LEN(B405)&gt;SUMPRODUCT(LEN(B405)-LEN(SUBSTITUTE(B405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5" s="2"/>
    </row>
    <row r="406" spans="1:21" ht="15.6">
      <c r="A406" s="3">
        <v>2</v>
      </c>
      <c r="B406" s="7" t="s">
        <v>731</v>
      </c>
      <c r="C406" t="s">
        <v>640</v>
      </c>
      <c r="D406">
        <f t="shared" si="19"/>
        <v>5</v>
      </c>
      <c r="E406">
        <f t="shared" si="20"/>
        <v>32.7729442583882</v>
      </c>
      <c r="F406" s="10">
        <v>1.9219280000000001</v>
      </c>
      <c r="G406" s="10">
        <f t="shared" si="18"/>
        <v>9.6096400000000006</v>
      </c>
      <c r="H406" s="10">
        <v>0</v>
      </c>
      <c r="I406" s="10">
        <v>126</v>
      </c>
      <c r="J406" s="10">
        <v>2.100371</v>
      </c>
      <c r="K406" s="10"/>
      <c r="L406" s="10"/>
      <c r="P406" cm="1">
        <f t="array" ref="P406">IF(SUM(N(ISNUMBER(FIND({"a","b","c","d","e","f","g","h","i","j","k","l","m","n","o","p","q","r","s","t","u","v","w","x","y","z"}, B406))))&gt;0, 26, 0)</f>
        <v>26</v>
      </c>
      <c r="Q406" cm="1">
        <f t="array" ref="Q406">IF(SUM(N(ISNUMBER(FIND({"A","B","C","D","E","F","G","H","I","J","K","L","M","N","O","P","Q","R","S","T","U","V","W","X","Y","Z"}, B406))))&gt;0, 26, 0)</f>
        <v>0</v>
      </c>
      <c r="R406" cm="1">
        <f t="array" ref="R406">IF(SUM(N(ISNUMBER(FIND({0,1,2,3,4,5,6,7,8,9}, B406))))&gt;0, 10, 0)</f>
        <v>0</v>
      </c>
      <c r="S406" cm="1">
        <f t="array" ref="S406">IF(LEN(B406)&gt;SUMPRODUCT(LEN(B406)-LEN(SUBSTITUTE(B406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6" s="2"/>
    </row>
    <row r="407" spans="1:21" ht="15.6">
      <c r="A407" s="3">
        <v>2</v>
      </c>
      <c r="B407" s="7" t="s">
        <v>732</v>
      </c>
      <c r="C407" t="s">
        <v>640</v>
      </c>
      <c r="D407">
        <f t="shared" si="19"/>
        <v>8</v>
      </c>
      <c r="E407">
        <f t="shared" si="20"/>
        <v>52.436710813421122</v>
      </c>
      <c r="F407" s="10">
        <v>2.5</v>
      </c>
      <c r="G407" s="10">
        <f t="shared" si="18"/>
        <v>20</v>
      </c>
      <c r="H407" s="10">
        <v>1</v>
      </c>
      <c r="I407" s="10">
        <v>1563</v>
      </c>
      <c r="J407" s="10">
        <v>3.193959</v>
      </c>
      <c r="K407" s="10"/>
      <c r="L407" s="10"/>
      <c r="P407" cm="1">
        <f t="array" ref="P407">IF(SUM(N(ISNUMBER(FIND({"a","b","c","d","e","f","g","h","i","j","k","l","m","n","o","p","q","r","s","t","u","v","w","x","y","z"}, B407))))&gt;0, 26, 0)</f>
        <v>26</v>
      </c>
      <c r="Q407" cm="1">
        <f t="array" ref="Q407">IF(SUM(N(ISNUMBER(FIND({"A","B","C","D","E","F","G","H","I","J","K","L","M","N","O","P","Q","R","S","T","U","V","W","X","Y","Z"}, B407))))&gt;0, 26, 0)</f>
        <v>0</v>
      </c>
      <c r="R407" cm="1">
        <f t="array" ref="R407">IF(SUM(N(ISNUMBER(FIND({0,1,2,3,4,5,6,7,8,9}, B407))))&gt;0, 10, 0)</f>
        <v>0</v>
      </c>
      <c r="S407" cm="1">
        <f t="array" ref="S407">IF(LEN(B407)&gt;SUMPRODUCT(LEN(B407)-LEN(SUBSTITUTE(B407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7" s="2"/>
    </row>
    <row r="408" spans="1:21" ht="15.6">
      <c r="A408" s="3">
        <v>2</v>
      </c>
      <c r="B408" s="7" t="s">
        <v>733</v>
      </c>
      <c r="C408" t="s">
        <v>640</v>
      </c>
      <c r="D408">
        <f t="shared" si="19"/>
        <v>6</v>
      </c>
      <c r="E408">
        <f t="shared" si="20"/>
        <v>39.327533110065843</v>
      </c>
      <c r="F408" s="10">
        <v>2.5849630000000001</v>
      </c>
      <c r="G408" s="10">
        <f t="shared" si="18"/>
        <v>15.509778000000001</v>
      </c>
      <c r="H408" s="10">
        <v>0</v>
      </c>
      <c r="I408" s="10">
        <v>146</v>
      </c>
      <c r="J408" s="10">
        <v>2.1643530000000002</v>
      </c>
      <c r="K408" s="10"/>
      <c r="L408" s="10"/>
      <c r="P408" cm="1">
        <f t="array" ref="P408">IF(SUM(N(ISNUMBER(FIND({"a","b","c","d","e","f","g","h","i","j","k","l","m","n","o","p","q","r","s","t","u","v","w","x","y","z"}, B408))))&gt;0, 26, 0)</f>
        <v>26</v>
      </c>
      <c r="Q408" cm="1">
        <f t="array" ref="Q408">IF(SUM(N(ISNUMBER(FIND({"A","B","C","D","E","F","G","H","I","J","K","L","M","N","O","P","Q","R","S","T","U","V","W","X","Y","Z"}, B408))))&gt;0, 26, 0)</f>
        <v>0</v>
      </c>
      <c r="R408" cm="1">
        <f t="array" ref="R408">IF(SUM(N(ISNUMBER(FIND({0,1,2,3,4,5,6,7,8,9}, B408))))&gt;0, 10, 0)</f>
        <v>0</v>
      </c>
      <c r="S408" cm="1">
        <f t="array" ref="S408">IF(LEN(B408)&gt;SUMPRODUCT(LEN(B408)-LEN(SUBSTITUTE(B408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8" s="2"/>
    </row>
    <row r="409" spans="1:21" ht="15.6">
      <c r="A409" s="3">
        <v>2</v>
      </c>
      <c r="B409" s="7" t="s">
        <v>734</v>
      </c>
      <c r="C409" t="s">
        <v>640</v>
      </c>
      <c r="D409">
        <f t="shared" si="19"/>
        <v>7</v>
      </c>
      <c r="E409">
        <f t="shared" si="20"/>
        <v>45.882121961743479</v>
      </c>
      <c r="F409" s="10">
        <v>2.2359260000000001</v>
      </c>
      <c r="G409" s="10">
        <f t="shared" si="18"/>
        <v>15.651482000000001</v>
      </c>
      <c r="H409" s="10">
        <v>0</v>
      </c>
      <c r="I409" s="10">
        <v>6</v>
      </c>
      <c r="J409" s="10">
        <v>0.77815100000000004</v>
      </c>
      <c r="K409" s="10"/>
      <c r="L409" s="10"/>
      <c r="P409" cm="1">
        <f t="array" ref="P409">IF(SUM(N(ISNUMBER(FIND({"a","b","c","d","e","f","g","h","i","j","k","l","m","n","o","p","q","r","s","t","u","v","w","x","y","z"}, B409))))&gt;0, 26, 0)</f>
        <v>26</v>
      </c>
      <c r="Q409" cm="1">
        <f t="array" ref="Q409">IF(SUM(N(ISNUMBER(FIND({"A","B","C","D","E","F","G","H","I","J","K","L","M","N","O","P","Q","R","S","T","U","V","W","X","Y","Z"}, B409))))&gt;0, 26, 0)</f>
        <v>0</v>
      </c>
      <c r="R409" cm="1">
        <f t="array" ref="R409">IF(SUM(N(ISNUMBER(FIND({0,1,2,3,4,5,6,7,8,9}, B409))))&gt;0, 10, 0)</f>
        <v>0</v>
      </c>
      <c r="S409" cm="1">
        <f t="array" ref="S409">IF(LEN(B409)&gt;SUMPRODUCT(LEN(B409)-LEN(SUBSTITUTE(B409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09" s="2"/>
    </row>
    <row r="410" spans="1:21" ht="15.6">
      <c r="A410" s="3">
        <v>2</v>
      </c>
      <c r="B410" s="7" t="s">
        <v>735</v>
      </c>
      <c r="C410" t="s">
        <v>640</v>
      </c>
      <c r="D410">
        <f t="shared" si="19"/>
        <v>6</v>
      </c>
      <c r="E410">
        <f t="shared" si="20"/>
        <v>39.327533110065843</v>
      </c>
      <c r="F410" s="10">
        <v>2.5849630000000001</v>
      </c>
      <c r="G410" s="10">
        <f t="shared" si="18"/>
        <v>15.509778000000001</v>
      </c>
      <c r="H410" s="10">
        <v>0</v>
      </c>
      <c r="I410" s="10">
        <v>11</v>
      </c>
      <c r="J410" s="10">
        <v>1.041393</v>
      </c>
      <c r="K410" s="10"/>
      <c r="L410" s="10"/>
      <c r="P410" cm="1">
        <f t="array" ref="P410">IF(SUM(N(ISNUMBER(FIND({"a","b","c","d","e","f","g","h","i","j","k","l","m","n","o","p","q","r","s","t","u","v","w","x","y","z"}, B410))))&gt;0, 26, 0)</f>
        <v>26</v>
      </c>
      <c r="Q410" cm="1">
        <f t="array" ref="Q410">IF(SUM(N(ISNUMBER(FIND({"A","B","C","D","E","F","G","H","I","J","K","L","M","N","O","P","Q","R","S","T","U","V","W","X","Y","Z"}, B410))))&gt;0, 26, 0)</f>
        <v>0</v>
      </c>
      <c r="R410" cm="1">
        <f t="array" ref="R410">IF(SUM(N(ISNUMBER(FIND({0,1,2,3,4,5,6,7,8,9}, B410))))&gt;0, 10, 0)</f>
        <v>0</v>
      </c>
      <c r="S410" cm="1">
        <f t="array" ref="S410">IF(LEN(B410)&gt;SUMPRODUCT(LEN(B410)-LEN(SUBSTITUTE(B410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0" s="2"/>
    </row>
    <row r="411" spans="1:21" ht="15.6">
      <c r="A411" s="3">
        <v>2</v>
      </c>
      <c r="B411" s="7" t="s">
        <v>736</v>
      </c>
      <c r="C411" t="s">
        <v>640</v>
      </c>
      <c r="D411">
        <f t="shared" si="19"/>
        <v>9</v>
      </c>
      <c r="E411">
        <f t="shared" si="20"/>
        <v>58.991299665098765</v>
      </c>
      <c r="F411" s="10">
        <v>2.9477030000000002</v>
      </c>
      <c r="G411" s="10">
        <f t="shared" si="18"/>
        <v>26.529327000000002</v>
      </c>
      <c r="H411" s="10">
        <v>0</v>
      </c>
      <c r="I411" s="10">
        <v>299</v>
      </c>
      <c r="J411" s="10">
        <v>2.4756710000000002</v>
      </c>
      <c r="K411" s="10"/>
      <c r="L411" s="10"/>
      <c r="P411" cm="1">
        <f t="array" ref="P411">IF(SUM(N(ISNUMBER(FIND({"a","b","c","d","e","f","g","h","i","j","k","l","m","n","o","p","q","r","s","t","u","v","w","x","y","z"}, B411))))&gt;0, 26, 0)</f>
        <v>26</v>
      </c>
      <c r="Q411" cm="1">
        <f t="array" ref="Q411">IF(SUM(N(ISNUMBER(FIND({"A","B","C","D","E","F","G","H","I","J","K","L","M","N","O","P","Q","R","S","T","U","V","W","X","Y","Z"}, B411))))&gt;0, 26, 0)</f>
        <v>0</v>
      </c>
      <c r="R411" cm="1">
        <f t="array" ref="R411">IF(SUM(N(ISNUMBER(FIND({0,1,2,3,4,5,6,7,8,9}, B411))))&gt;0, 10, 0)</f>
        <v>0</v>
      </c>
      <c r="S411" cm="1">
        <f t="array" ref="S411">IF(LEN(B411)&gt;SUMPRODUCT(LEN(B411)-LEN(SUBSTITUTE(B411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1" s="2"/>
    </row>
    <row r="412" spans="1:21" ht="15.6">
      <c r="A412" s="3">
        <v>2</v>
      </c>
      <c r="B412" s="7" t="s">
        <v>737</v>
      </c>
      <c r="C412" t="s">
        <v>640</v>
      </c>
      <c r="D412">
        <f t="shared" si="19"/>
        <v>6</v>
      </c>
      <c r="E412">
        <f t="shared" si="20"/>
        <v>39.327533110065843</v>
      </c>
      <c r="F412" s="10">
        <v>2.5849630000000001</v>
      </c>
      <c r="G412" s="10">
        <f t="shared" si="18"/>
        <v>15.509778000000001</v>
      </c>
      <c r="H412" s="10">
        <v>0</v>
      </c>
      <c r="I412" s="10">
        <v>950</v>
      </c>
      <c r="J412" s="10">
        <v>2.9777239999999998</v>
      </c>
      <c r="K412" s="10"/>
      <c r="L412" s="10"/>
      <c r="P412" cm="1">
        <f t="array" ref="P412">IF(SUM(N(ISNUMBER(FIND({"a","b","c","d","e","f","g","h","i","j","k","l","m","n","o","p","q","r","s","t","u","v","w","x","y","z"}, B412))))&gt;0, 26, 0)</f>
        <v>26</v>
      </c>
      <c r="Q412" cm="1">
        <f t="array" ref="Q412">IF(SUM(N(ISNUMBER(FIND({"A","B","C","D","E","F","G","H","I","J","K","L","M","N","O","P","Q","R","S","T","U","V","W","X","Y","Z"}, B412))))&gt;0, 26, 0)</f>
        <v>0</v>
      </c>
      <c r="R412" cm="1">
        <f t="array" ref="R412">IF(SUM(N(ISNUMBER(FIND({0,1,2,3,4,5,6,7,8,9}, B412))))&gt;0, 10, 0)</f>
        <v>0</v>
      </c>
      <c r="S412" cm="1">
        <f t="array" ref="S412">IF(LEN(B412)&gt;SUMPRODUCT(LEN(B412)-LEN(SUBSTITUTE(B412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2" s="2"/>
    </row>
    <row r="413" spans="1:21" ht="15.6">
      <c r="A413" s="3">
        <v>2</v>
      </c>
      <c r="B413" s="7" t="s">
        <v>738</v>
      </c>
      <c r="C413" t="s">
        <v>640</v>
      </c>
      <c r="D413">
        <f t="shared" si="19"/>
        <v>6</v>
      </c>
      <c r="E413">
        <f t="shared" si="20"/>
        <v>39.327533110065843</v>
      </c>
      <c r="F413" s="10">
        <v>2.2516289999999999</v>
      </c>
      <c r="G413" s="10">
        <f t="shared" si="18"/>
        <v>13.509774</v>
      </c>
      <c r="H413" s="10">
        <v>0</v>
      </c>
      <c r="I413" s="10">
        <v>30</v>
      </c>
      <c r="J413" s="10">
        <v>1.4771209999999999</v>
      </c>
      <c r="K413" s="10"/>
      <c r="L413" s="10"/>
      <c r="P413" cm="1">
        <f t="array" ref="P413">IF(SUM(N(ISNUMBER(FIND({"a","b","c","d","e","f","g","h","i","j","k","l","m","n","o","p","q","r","s","t","u","v","w","x","y","z"}, B413))))&gt;0, 26, 0)</f>
        <v>26</v>
      </c>
      <c r="Q413" cm="1">
        <f t="array" ref="Q413">IF(SUM(N(ISNUMBER(FIND({"A","B","C","D","E","F","G","H","I","J","K","L","M","N","O","P","Q","R","S","T","U","V","W","X","Y","Z"}, B413))))&gt;0, 26, 0)</f>
        <v>0</v>
      </c>
      <c r="R413" cm="1">
        <f t="array" ref="R413">IF(SUM(N(ISNUMBER(FIND({0,1,2,3,4,5,6,7,8,9}, B413))))&gt;0, 10, 0)</f>
        <v>0</v>
      </c>
      <c r="S413" cm="1">
        <f t="array" ref="S413">IF(LEN(B413)&gt;SUMPRODUCT(LEN(B413)-LEN(SUBSTITUTE(B413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3" s="2"/>
    </row>
    <row r="414" spans="1:21" ht="15.6">
      <c r="A414" s="3">
        <v>2</v>
      </c>
      <c r="B414" s="7" t="s">
        <v>739</v>
      </c>
      <c r="C414" t="s">
        <v>640</v>
      </c>
      <c r="D414">
        <f t="shared" si="19"/>
        <v>8</v>
      </c>
      <c r="E414">
        <f t="shared" si="20"/>
        <v>52.436710813421122</v>
      </c>
      <c r="F414" s="10">
        <v>2.75</v>
      </c>
      <c r="G414" s="10">
        <f t="shared" si="18"/>
        <v>22</v>
      </c>
      <c r="H414" s="10">
        <v>0</v>
      </c>
      <c r="I414" s="10">
        <v>438</v>
      </c>
      <c r="J414" s="10">
        <v>2.6414740000000001</v>
      </c>
      <c r="K414" s="10"/>
      <c r="L414" s="10"/>
      <c r="P414" cm="1">
        <f t="array" ref="P414">IF(SUM(N(ISNUMBER(FIND({"a","b","c","d","e","f","g","h","i","j","k","l","m","n","o","p","q","r","s","t","u","v","w","x","y","z"}, B414))))&gt;0, 26, 0)</f>
        <v>26</v>
      </c>
      <c r="Q414" cm="1">
        <f t="array" ref="Q414">IF(SUM(N(ISNUMBER(FIND({"A","B","C","D","E","F","G","H","I","J","K","L","M","N","O","P","Q","R","S","T","U","V","W","X","Y","Z"}, B414))))&gt;0, 26, 0)</f>
        <v>0</v>
      </c>
      <c r="R414" cm="1">
        <f t="array" ref="R414">IF(SUM(N(ISNUMBER(FIND({0,1,2,3,4,5,6,7,8,9}, B414))))&gt;0, 10, 0)</f>
        <v>0</v>
      </c>
      <c r="S414" cm="1">
        <f t="array" ref="S414">IF(LEN(B414)&gt;SUMPRODUCT(LEN(B414)-LEN(SUBSTITUTE(B414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4" s="2"/>
    </row>
    <row r="415" spans="1:21" ht="15.6">
      <c r="A415" s="3">
        <v>2</v>
      </c>
      <c r="B415" s="7" t="s">
        <v>740</v>
      </c>
      <c r="C415" t="s">
        <v>640</v>
      </c>
      <c r="D415">
        <f t="shared" si="19"/>
        <v>7</v>
      </c>
      <c r="E415">
        <f t="shared" si="20"/>
        <v>45.882121961743479</v>
      </c>
      <c r="F415" s="10">
        <v>2.8073549999999998</v>
      </c>
      <c r="G415" s="10">
        <f t="shared" si="18"/>
        <v>19.651484999999997</v>
      </c>
      <c r="H415" s="10">
        <v>0</v>
      </c>
      <c r="I415" s="10">
        <v>43</v>
      </c>
      <c r="J415" s="10">
        <v>1.6334679999999999</v>
      </c>
      <c r="K415" s="10"/>
      <c r="L415" s="10"/>
      <c r="P415" cm="1">
        <f t="array" ref="P415">IF(SUM(N(ISNUMBER(FIND({"a","b","c","d","e","f","g","h","i","j","k","l","m","n","o","p","q","r","s","t","u","v","w","x","y","z"}, B415))))&gt;0, 26, 0)</f>
        <v>26</v>
      </c>
      <c r="Q415" cm="1">
        <f t="array" ref="Q415">IF(SUM(N(ISNUMBER(FIND({"A","B","C","D","E","F","G","H","I","J","K","L","M","N","O","P","Q","R","S","T","U","V","W","X","Y","Z"}, B415))))&gt;0, 26, 0)</f>
        <v>0</v>
      </c>
      <c r="R415" cm="1">
        <f t="array" ref="R415">IF(SUM(N(ISNUMBER(FIND({0,1,2,3,4,5,6,7,8,9}, B415))))&gt;0, 10, 0)</f>
        <v>0</v>
      </c>
      <c r="S415" cm="1">
        <f t="array" ref="S415">IF(LEN(B415)&gt;SUMPRODUCT(LEN(B415)-LEN(SUBSTITUTE(B415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5" s="2"/>
    </row>
    <row r="416" spans="1:21" ht="15.6">
      <c r="A416" s="3">
        <v>2</v>
      </c>
      <c r="B416" s="7" t="s">
        <v>741</v>
      </c>
      <c r="C416" t="s">
        <v>640</v>
      </c>
      <c r="D416">
        <f t="shared" si="19"/>
        <v>7</v>
      </c>
      <c r="E416">
        <f t="shared" si="20"/>
        <v>45.882121961743479</v>
      </c>
      <c r="F416" s="10">
        <v>2.5216409999999998</v>
      </c>
      <c r="G416" s="10">
        <f t="shared" si="18"/>
        <v>17.651486999999999</v>
      </c>
      <c r="H416" s="10">
        <v>1</v>
      </c>
      <c r="I416" s="10">
        <v>3700</v>
      </c>
      <c r="J416" s="10">
        <v>3.5682019999999999</v>
      </c>
      <c r="K416" s="10"/>
      <c r="L416" s="10"/>
      <c r="P416" cm="1">
        <f t="array" ref="P416">IF(SUM(N(ISNUMBER(FIND({"a","b","c","d","e","f","g","h","i","j","k","l","m","n","o","p","q","r","s","t","u","v","w","x","y","z"}, B416))))&gt;0, 26, 0)</f>
        <v>26</v>
      </c>
      <c r="Q416" cm="1">
        <f t="array" ref="Q416">IF(SUM(N(ISNUMBER(FIND({"A","B","C","D","E","F","G","H","I","J","K","L","M","N","O","P","Q","R","S","T","U","V","W","X","Y","Z"}, B416))))&gt;0, 26, 0)</f>
        <v>0</v>
      </c>
      <c r="R416" cm="1">
        <f t="array" ref="R416">IF(SUM(N(ISNUMBER(FIND({0,1,2,3,4,5,6,7,8,9}, B416))))&gt;0, 10, 0)</f>
        <v>0</v>
      </c>
      <c r="S416" cm="1">
        <f t="array" ref="S416">IF(LEN(B416)&gt;SUMPRODUCT(LEN(B416)-LEN(SUBSTITUTE(B416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6" s="2"/>
    </row>
    <row r="417" spans="1:21" ht="15.6">
      <c r="A417" s="3">
        <v>2</v>
      </c>
      <c r="B417" s="7" t="s">
        <v>742</v>
      </c>
      <c r="C417" t="s">
        <v>640</v>
      </c>
      <c r="D417">
        <f t="shared" si="19"/>
        <v>6</v>
      </c>
      <c r="E417">
        <f t="shared" si="20"/>
        <v>39.327533110065843</v>
      </c>
      <c r="F417" s="10">
        <v>2.2516289999999999</v>
      </c>
      <c r="G417" s="10">
        <f t="shared" si="18"/>
        <v>13.509774</v>
      </c>
      <c r="H417" s="10">
        <v>1</v>
      </c>
      <c r="I417" s="10">
        <v>1070</v>
      </c>
      <c r="J417" s="10">
        <v>3.0293839999999999</v>
      </c>
      <c r="K417" s="10"/>
      <c r="L417" s="10"/>
      <c r="P417" cm="1">
        <f t="array" ref="P417">IF(SUM(N(ISNUMBER(FIND({"a","b","c","d","e","f","g","h","i","j","k","l","m","n","o","p","q","r","s","t","u","v","w","x","y","z"}, B417))))&gt;0, 26, 0)</f>
        <v>26</v>
      </c>
      <c r="Q417" cm="1">
        <f t="array" ref="Q417">IF(SUM(N(ISNUMBER(FIND({"A","B","C","D","E","F","G","H","I","J","K","L","M","N","O","P","Q","R","S","T","U","V","W","X","Y","Z"}, B417))))&gt;0, 26, 0)</f>
        <v>0</v>
      </c>
      <c r="R417" cm="1">
        <f t="array" ref="R417">IF(SUM(N(ISNUMBER(FIND({0,1,2,3,4,5,6,7,8,9}, B417))))&gt;0, 10, 0)</f>
        <v>0</v>
      </c>
      <c r="S417" cm="1">
        <f t="array" ref="S417">IF(LEN(B417)&gt;SUMPRODUCT(LEN(B417)-LEN(SUBSTITUTE(B417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7" s="2"/>
    </row>
    <row r="418" spans="1:21" ht="15.6">
      <c r="A418" s="3">
        <v>2</v>
      </c>
      <c r="B418" s="7" t="s">
        <v>743</v>
      </c>
      <c r="C418" t="s">
        <v>640</v>
      </c>
      <c r="D418">
        <f t="shared" si="19"/>
        <v>6</v>
      </c>
      <c r="E418">
        <f t="shared" si="20"/>
        <v>39.327533110065843</v>
      </c>
      <c r="F418" s="10">
        <v>2.2516289999999999</v>
      </c>
      <c r="G418" s="10">
        <f t="shared" si="18"/>
        <v>13.509774</v>
      </c>
      <c r="H418" s="10">
        <v>0</v>
      </c>
      <c r="I418" s="10">
        <v>212</v>
      </c>
      <c r="J418" s="10">
        <v>2.326336</v>
      </c>
      <c r="K418" s="10"/>
      <c r="L418" s="10"/>
      <c r="P418" cm="1">
        <f t="array" ref="P418">IF(SUM(N(ISNUMBER(FIND({"a","b","c","d","e","f","g","h","i","j","k","l","m","n","o","p","q","r","s","t","u","v","w","x","y","z"}, B418))))&gt;0, 26, 0)</f>
        <v>26</v>
      </c>
      <c r="Q418" cm="1">
        <f t="array" ref="Q418">IF(SUM(N(ISNUMBER(FIND({"A","B","C","D","E","F","G","H","I","J","K","L","M","N","O","P","Q","R","S","T","U","V","W","X","Y","Z"}, B418))))&gt;0, 26, 0)</f>
        <v>0</v>
      </c>
      <c r="R418" cm="1">
        <f t="array" ref="R418">IF(SUM(N(ISNUMBER(FIND({0,1,2,3,4,5,6,7,8,9}, B418))))&gt;0, 10, 0)</f>
        <v>0</v>
      </c>
      <c r="S418" cm="1">
        <f t="array" ref="S418">IF(LEN(B418)&gt;SUMPRODUCT(LEN(B418)-LEN(SUBSTITUTE(B418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8" s="2"/>
    </row>
    <row r="419" spans="1:21" ht="15.6">
      <c r="A419" s="3">
        <v>2</v>
      </c>
      <c r="B419" s="7" t="s">
        <v>744</v>
      </c>
      <c r="C419" t="s">
        <v>640</v>
      </c>
      <c r="D419">
        <f t="shared" si="19"/>
        <v>9</v>
      </c>
      <c r="E419">
        <f t="shared" si="20"/>
        <v>58.991299665098765</v>
      </c>
      <c r="F419" s="10">
        <v>2.7254809999999998</v>
      </c>
      <c r="G419" s="10">
        <f t="shared" si="18"/>
        <v>24.529328999999997</v>
      </c>
      <c r="H419" s="10">
        <v>0</v>
      </c>
      <c r="I419" s="10">
        <v>93</v>
      </c>
      <c r="J419" s="10">
        <v>1.968483</v>
      </c>
      <c r="K419" s="10"/>
      <c r="L419" s="10"/>
      <c r="P419" cm="1">
        <f t="array" ref="P419">IF(SUM(N(ISNUMBER(FIND({"a","b","c","d","e","f","g","h","i","j","k","l","m","n","o","p","q","r","s","t","u","v","w","x","y","z"}, B419))))&gt;0, 26, 0)</f>
        <v>26</v>
      </c>
      <c r="Q419" cm="1">
        <f t="array" ref="Q419">IF(SUM(N(ISNUMBER(FIND({"A","B","C","D","E","F","G","H","I","J","K","L","M","N","O","P","Q","R","S","T","U","V","W","X","Y","Z"}, B419))))&gt;0, 26, 0)</f>
        <v>0</v>
      </c>
      <c r="R419" cm="1">
        <f t="array" ref="R419">IF(SUM(N(ISNUMBER(FIND({0,1,2,3,4,5,6,7,8,9}, B419))))&gt;0, 10, 0)</f>
        <v>0</v>
      </c>
      <c r="S419" cm="1">
        <f t="array" ref="S419">IF(LEN(B419)&gt;SUMPRODUCT(LEN(B419)-LEN(SUBSTITUTE(B419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19" s="2"/>
    </row>
    <row r="420" spans="1:21" ht="15.6">
      <c r="A420" s="3">
        <v>2</v>
      </c>
      <c r="B420" s="7" t="s">
        <v>745</v>
      </c>
      <c r="C420" t="s">
        <v>640</v>
      </c>
      <c r="D420">
        <f t="shared" si="19"/>
        <v>7</v>
      </c>
      <c r="E420">
        <f t="shared" si="20"/>
        <v>45.882121961743479</v>
      </c>
      <c r="F420" s="10">
        <v>2.8073549999999998</v>
      </c>
      <c r="G420" s="10">
        <f t="shared" si="18"/>
        <v>19.651484999999997</v>
      </c>
      <c r="H420" s="10">
        <v>0</v>
      </c>
      <c r="I420" s="10">
        <v>369</v>
      </c>
      <c r="J420" s="10">
        <v>2.5670259999999998</v>
      </c>
      <c r="K420" s="10"/>
      <c r="L420" s="10"/>
      <c r="P420" cm="1">
        <f t="array" ref="P420">IF(SUM(N(ISNUMBER(FIND({"a","b","c","d","e","f","g","h","i","j","k","l","m","n","o","p","q","r","s","t","u","v","w","x","y","z"}, B420))))&gt;0, 26, 0)</f>
        <v>26</v>
      </c>
      <c r="Q420" cm="1">
        <f t="array" ref="Q420">IF(SUM(N(ISNUMBER(FIND({"A","B","C","D","E","F","G","H","I","J","K","L","M","N","O","P","Q","R","S","T","U","V","W","X","Y","Z"}, B420))))&gt;0, 26, 0)</f>
        <v>0</v>
      </c>
      <c r="R420" cm="1">
        <f t="array" ref="R420">IF(SUM(N(ISNUMBER(FIND({0,1,2,3,4,5,6,7,8,9}, B420))))&gt;0, 10, 0)</f>
        <v>0</v>
      </c>
      <c r="S420" cm="1">
        <f t="array" ref="S420">IF(LEN(B420)&gt;SUMPRODUCT(LEN(B420)-LEN(SUBSTITUTE(B420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0" s="2"/>
    </row>
    <row r="421" spans="1:21" ht="15.6">
      <c r="A421" s="3">
        <v>2</v>
      </c>
      <c r="B421" s="7" t="s">
        <v>746</v>
      </c>
      <c r="C421" t="s">
        <v>640</v>
      </c>
      <c r="D421">
        <f t="shared" si="19"/>
        <v>9</v>
      </c>
      <c r="E421">
        <f t="shared" si="20"/>
        <v>58.991299665098765</v>
      </c>
      <c r="F421" s="10">
        <v>2.9477030000000002</v>
      </c>
      <c r="G421" s="10">
        <f t="shared" si="18"/>
        <v>26.529327000000002</v>
      </c>
      <c r="H421" s="10">
        <v>0</v>
      </c>
      <c r="I421" s="10">
        <v>219</v>
      </c>
      <c r="J421" s="10">
        <v>2.3404440000000002</v>
      </c>
      <c r="K421" s="10"/>
      <c r="L421" s="10"/>
      <c r="P421" cm="1">
        <f t="array" ref="P421">IF(SUM(N(ISNUMBER(FIND({"a","b","c","d","e","f","g","h","i","j","k","l","m","n","o","p","q","r","s","t","u","v","w","x","y","z"}, B421))))&gt;0, 26, 0)</f>
        <v>26</v>
      </c>
      <c r="Q421" cm="1">
        <f t="array" ref="Q421">IF(SUM(N(ISNUMBER(FIND({"A","B","C","D","E","F","G","H","I","J","K","L","M","N","O","P","Q","R","S","T","U","V","W","X","Y","Z"}, B421))))&gt;0, 26, 0)</f>
        <v>0</v>
      </c>
      <c r="R421" cm="1">
        <f t="array" ref="R421">IF(SUM(N(ISNUMBER(FIND({0,1,2,3,4,5,6,7,8,9}, B421))))&gt;0, 10, 0)</f>
        <v>0</v>
      </c>
      <c r="S421" cm="1">
        <f t="array" ref="S421">IF(LEN(B421)&gt;SUMPRODUCT(LEN(B421)-LEN(SUBSTITUTE(B421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1" s="2"/>
    </row>
    <row r="422" spans="1:21" ht="15.6">
      <c r="A422" s="3">
        <v>2</v>
      </c>
      <c r="B422" s="7">
        <v>121212</v>
      </c>
      <c r="C422" t="s">
        <v>640</v>
      </c>
      <c r="D422">
        <f t="shared" si="19"/>
        <v>6</v>
      </c>
      <c r="E422">
        <f t="shared" si="20"/>
        <v>39.327533110065843</v>
      </c>
      <c r="F422" s="10">
        <v>1</v>
      </c>
      <c r="G422" s="10">
        <f t="shared" si="18"/>
        <v>6</v>
      </c>
      <c r="H422" s="10">
        <v>0</v>
      </c>
      <c r="I422" s="10">
        <v>28</v>
      </c>
      <c r="J422" s="10">
        <v>1.4471579999999999</v>
      </c>
      <c r="K422" s="10"/>
      <c r="L422" s="10"/>
      <c r="P422" cm="1">
        <f t="array" ref="P422">IF(SUM(N(ISNUMBER(FIND({"a","b","c","d","e","f","g","h","i","j","k","l","m","n","o","p","q","r","s","t","u","v","w","x","y","z"}, B422))))&gt;0, 26, 0)</f>
        <v>0</v>
      </c>
      <c r="Q422" cm="1">
        <f t="array" ref="Q422">IF(SUM(N(ISNUMBER(FIND({"A","B","C","D","E","F","G","H","I","J","K","L","M","N","O","P","Q","R","S","T","U","V","W","X","Y","Z"}, B422))))&gt;0, 26, 0)</f>
        <v>0</v>
      </c>
      <c r="R422" cm="1">
        <f t="array" ref="R422">IF(SUM(N(ISNUMBER(FIND({0,1,2,3,4,5,6,7,8,9}, B422))))&gt;0, 10, 0)</f>
        <v>10</v>
      </c>
      <c r="S422" cm="1">
        <f t="array" ref="S422">IF(LEN(B422)&gt;SUMPRODUCT(LEN(B422)-LEN(SUBSTITUTE(B422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2" s="2"/>
    </row>
    <row r="423" spans="1:21" ht="15.6">
      <c r="A423" s="3">
        <v>2</v>
      </c>
      <c r="B423" s="7" t="s">
        <v>747</v>
      </c>
      <c r="C423" t="s">
        <v>640</v>
      </c>
      <c r="D423">
        <f t="shared" si="19"/>
        <v>6</v>
      </c>
      <c r="E423">
        <f t="shared" si="20"/>
        <v>39.327533110065843</v>
      </c>
      <c r="F423" s="10">
        <v>2.2516289999999999</v>
      </c>
      <c r="G423" s="10">
        <f t="shared" si="18"/>
        <v>13.509774</v>
      </c>
      <c r="H423" s="10">
        <v>1</v>
      </c>
      <c r="I423" s="10">
        <v>2117</v>
      </c>
      <c r="J423" s="10">
        <v>3.3257210000000001</v>
      </c>
      <c r="K423" s="10"/>
      <c r="L423" s="10"/>
      <c r="P423" cm="1">
        <f t="array" ref="P423">IF(SUM(N(ISNUMBER(FIND({"a","b","c","d","e","f","g","h","i","j","k","l","m","n","o","p","q","r","s","t","u","v","w","x","y","z"}, B423))))&gt;0, 26, 0)</f>
        <v>26</v>
      </c>
      <c r="Q423" cm="1">
        <f t="array" ref="Q423">IF(SUM(N(ISNUMBER(FIND({"A","B","C","D","E","F","G","H","I","J","K","L","M","N","O","P","Q","R","S","T","U","V","W","X","Y","Z"}, B423))))&gt;0, 26, 0)</f>
        <v>0</v>
      </c>
      <c r="R423" cm="1">
        <f t="array" ref="R423">IF(SUM(N(ISNUMBER(FIND({0,1,2,3,4,5,6,7,8,9}, B423))))&gt;0, 10, 0)</f>
        <v>0</v>
      </c>
      <c r="S423" cm="1">
        <f t="array" ref="S423">IF(LEN(B423)&gt;SUMPRODUCT(LEN(B423)-LEN(SUBSTITUTE(B423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3" s="2"/>
    </row>
    <row r="424" spans="1:21" ht="15.6">
      <c r="A424" s="3">
        <v>2</v>
      </c>
      <c r="B424" s="7" t="s">
        <v>748</v>
      </c>
      <c r="C424" t="s">
        <v>640</v>
      </c>
      <c r="D424">
        <f t="shared" si="19"/>
        <v>7</v>
      </c>
      <c r="E424">
        <f t="shared" si="20"/>
        <v>45.882121961743479</v>
      </c>
      <c r="F424" s="10">
        <v>2.5216409999999998</v>
      </c>
      <c r="G424" s="10">
        <f t="shared" si="18"/>
        <v>17.651486999999999</v>
      </c>
      <c r="H424" s="10">
        <v>0</v>
      </c>
      <c r="I424" s="10">
        <v>303</v>
      </c>
      <c r="J424" s="10">
        <v>2.4814430000000001</v>
      </c>
      <c r="K424" s="10"/>
      <c r="L424" s="10"/>
      <c r="P424" cm="1">
        <f t="array" ref="P424">IF(SUM(N(ISNUMBER(FIND({"a","b","c","d","e","f","g","h","i","j","k","l","m","n","o","p","q","r","s","t","u","v","w","x","y","z"}, B424))))&gt;0, 26, 0)</f>
        <v>26</v>
      </c>
      <c r="Q424" cm="1">
        <f t="array" ref="Q424">IF(SUM(N(ISNUMBER(FIND({"A","B","C","D","E","F","G","H","I","J","K","L","M","N","O","P","Q","R","S","T","U","V","W","X","Y","Z"}, B424))))&gt;0, 26, 0)</f>
        <v>0</v>
      </c>
      <c r="R424" cm="1">
        <f t="array" ref="R424">IF(SUM(N(ISNUMBER(FIND({0,1,2,3,4,5,6,7,8,9}, B424))))&gt;0, 10, 0)</f>
        <v>0</v>
      </c>
      <c r="S424" cm="1">
        <f t="array" ref="S424">IF(LEN(B424)&gt;SUMPRODUCT(LEN(B424)-LEN(SUBSTITUTE(B424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4" s="2"/>
    </row>
    <row r="425" spans="1:21" ht="15.6">
      <c r="A425" s="3">
        <v>2</v>
      </c>
      <c r="B425" s="7" t="s">
        <v>749</v>
      </c>
      <c r="C425" t="s">
        <v>640</v>
      </c>
      <c r="D425">
        <f t="shared" si="19"/>
        <v>6</v>
      </c>
      <c r="E425">
        <f t="shared" si="20"/>
        <v>39.327533110065843</v>
      </c>
      <c r="F425" s="10">
        <v>2.5849630000000001</v>
      </c>
      <c r="G425" s="10">
        <f t="shared" si="18"/>
        <v>15.509778000000001</v>
      </c>
      <c r="H425" s="10">
        <v>0</v>
      </c>
      <c r="I425" s="10">
        <v>568</v>
      </c>
      <c r="J425" s="10">
        <v>2.7543479999999998</v>
      </c>
      <c r="K425" s="10"/>
      <c r="L425" s="10"/>
      <c r="P425" cm="1">
        <f t="array" ref="P425">IF(SUM(N(ISNUMBER(FIND({"a","b","c","d","e","f","g","h","i","j","k","l","m","n","o","p","q","r","s","t","u","v","w","x","y","z"}, B425))))&gt;0, 26, 0)</f>
        <v>26</v>
      </c>
      <c r="Q425" cm="1">
        <f t="array" ref="Q425">IF(SUM(N(ISNUMBER(FIND({"A","B","C","D","E","F","G","H","I","J","K","L","M","N","O","P","Q","R","S","T","U","V","W","X","Y","Z"}, B425))))&gt;0, 26, 0)</f>
        <v>0</v>
      </c>
      <c r="R425" cm="1">
        <f t="array" ref="R425">IF(SUM(N(ISNUMBER(FIND({0,1,2,3,4,5,6,7,8,9}, B425))))&gt;0, 10, 0)</f>
        <v>0</v>
      </c>
      <c r="S425" cm="1">
        <f t="array" ref="S425">IF(LEN(B425)&gt;SUMPRODUCT(LEN(B425)-LEN(SUBSTITUTE(B425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5" s="2"/>
    </row>
    <row r="426" spans="1:21" ht="15.6">
      <c r="A426" s="3">
        <v>2</v>
      </c>
      <c r="B426" s="7" t="s">
        <v>750</v>
      </c>
      <c r="C426" t="s">
        <v>640</v>
      </c>
      <c r="D426">
        <f t="shared" si="19"/>
        <v>6</v>
      </c>
      <c r="E426">
        <f t="shared" si="20"/>
        <v>39.327533110065843</v>
      </c>
      <c r="F426" s="10">
        <v>2.5849630000000001</v>
      </c>
      <c r="G426" s="10">
        <f t="shared" si="18"/>
        <v>15.509778000000001</v>
      </c>
      <c r="H426" s="10">
        <v>0</v>
      </c>
      <c r="I426" s="10">
        <v>132</v>
      </c>
      <c r="J426" s="10">
        <v>2.120574</v>
      </c>
      <c r="K426" s="10"/>
      <c r="L426" s="10"/>
      <c r="P426" cm="1">
        <f t="array" ref="P426">IF(SUM(N(ISNUMBER(FIND({"a","b","c","d","e","f","g","h","i","j","k","l","m","n","o","p","q","r","s","t","u","v","w","x","y","z"}, B426))))&gt;0, 26, 0)</f>
        <v>26</v>
      </c>
      <c r="Q426" cm="1">
        <f t="array" ref="Q426">IF(SUM(N(ISNUMBER(FIND({"A","B","C","D","E","F","G","H","I","J","K","L","M","N","O","P","Q","R","S","T","U","V","W","X","Y","Z"}, B426))))&gt;0, 26, 0)</f>
        <v>0</v>
      </c>
      <c r="R426" cm="1">
        <f t="array" ref="R426">IF(SUM(N(ISNUMBER(FIND({0,1,2,3,4,5,6,7,8,9}, B426))))&gt;0, 10, 0)</f>
        <v>0</v>
      </c>
      <c r="S426" cm="1">
        <f t="array" ref="S426">IF(LEN(B426)&gt;SUMPRODUCT(LEN(B426)-LEN(SUBSTITUTE(B426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6" s="2"/>
    </row>
    <row r="427" spans="1:21" ht="15.6">
      <c r="A427" s="3">
        <v>2</v>
      </c>
      <c r="B427" s="7" t="s">
        <v>751</v>
      </c>
      <c r="C427" t="s">
        <v>640</v>
      </c>
      <c r="D427">
        <f t="shared" si="19"/>
        <v>7</v>
      </c>
      <c r="E427">
        <f t="shared" si="20"/>
        <v>45.882121961743479</v>
      </c>
      <c r="F427" s="10">
        <v>2.5216409999999998</v>
      </c>
      <c r="G427" s="10">
        <f t="shared" si="18"/>
        <v>17.651486999999999</v>
      </c>
      <c r="H427" s="10">
        <v>0</v>
      </c>
      <c r="I427" s="10">
        <v>8</v>
      </c>
      <c r="J427" s="10">
        <v>0.90308999999999995</v>
      </c>
      <c r="K427" s="10"/>
      <c r="L427" s="10"/>
      <c r="P427" cm="1">
        <f t="array" ref="P427">IF(SUM(N(ISNUMBER(FIND({"a","b","c","d","e","f","g","h","i","j","k","l","m","n","o","p","q","r","s","t","u","v","w","x","y","z"}, B427))))&gt;0, 26, 0)</f>
        <v>26</v>
      </c>
      <c r="Q427" cm="1">
        <f t="array" ref="Q427">IF(SUM(N(ISNUMBER(FIND({"A","B","C","D","E","F","G","H","I","J","K","L","M","N","O","P","Q","R","S","T","U","V","W","X","Y","Z"}, B427))))&gt;0, 26, 0)</f>
        <v>0</v>
      </c>
      <c r="R427" cm="1">
        <f t="array" ref="R427">IF(SUM(N(ISNUMBER(FIND({0,1,2,3,4,5,6,7,8,9}, B427))))&gt;0, 10, 0)</f>
        <v>0</v>
      </c>
      <c r="S427" cm="1">
        <f t="array" ref="S427">IF(LEN(B427)&gt;SUMPRODUCT(LEN(B427)-LEN(SUBSTITUTE(B427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7" s="2"/>
    </row>
    <row r="428" spans="1:21" ht="15.6">
      <c r="A428" s="3">
        <v>2</v>
      </c>
      <c r="B428" s="7">
        <v>112233</v>
      </c>
      <c r="C428" t="s">
        <v>640</v>
      </c>
      <c r="D428">
        <f t="shared" si="19"/>
        <v>6</v>
      </c>
      <c r="E428">
        <f t="shared" si="20"/>
        <v>39.327533110065843</v>
      </c>
      <c r="F428" s="10">
        <v>1.5849629999999999</v>
      </c>
      <c r="G428" s="10">
        <f t="shared" si="18"/>
        <v>9.509777999999999</v>
      </c>
      <c r="H428" s="10">
        <v>0</v>
      </c>
      <c r="I428" s="10">
        <v>57</v>
      </c>
      <c r="J428" s="10">
        <v>1.7558750000000001</v>
      </c>
      <c r="K428" s="10"/>
      <c r="L428" s="10"/>
      <c r="P428" cm="1">
        <f t="array" ref="P428">IF(SUM(N(ISNUMBER(FIND({"a","b","c","d","e","f","g","h","i","j","k","l","m","n","o","p","q","r","s","t","u","v","w","x","y","z"}, B428))))&gt;0, 26, 0)</f>
        <v>0</v>
      </c>
      <c r="Q428" cm="1">
        <f t="array" ref="Q428">IF(SUM(N(ISNUMBER(FIND({"A","B","C","D","E","F","G","H","I","J","K","L","M","N","O","P","Q","R","S","T","U","V","W","X","Y","Z"}, B428))))&gt;0, 26, 0)</f>
        <v>0</v>
      </c>
      <c r="R428" cm="1">
        <f t="array" ref="R428">IF(SUM(N(ISNUMBER(FIND({0,1,2,3,4,5,6,7,8,9}, B428))))&gt;0, 10, 0)</f>
        <v>10</v>
      </c>
      <c r="S428" cm="1">
        <f t="array" ref="S428">IF(LEN(B428)&gt;SUMPRODUCT(LEN(B428)-LEN(SUBSTITUTE(B428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8" s="2"/>
    </row>
    <row r="429" spans="1:21" ht="15.6">
      <c r="A429" s="3">
        <v>2</v>
      </c>
      <c r="B429" s="7" t="s">
        <v>752</v>
      </c>
      <c r="C429" t="s">
        <v>640</v>
      </c>
      <c r="D429">
        <f t="shared" si="19"/>
        <v>9</v>
      </c>
      <c r="E429">
        <f t="shared" si="20"/>
        <v>58.991299665098765</v>
      </c>
      <c r="F429" s="10">
        <v>2.9477030000000002</v>
      </c>
      <c r="G429" s="10">
        <f t="shared" si="18"/>
        <v>26.529327000000002</v>
      </c>
      <c r="H429" s="10">
        <v>1</v>
      </c>
      <c r="I429" s="10">
        <v>6319</v>
      </c>
      <c r="J429" s="10">
        <v>3.8006479999999998</v>
      </c>
      <c r="K429" s="10"/>
      <c r="L429" s="10"/>
      <c r="P429" cm="1">
        <f t="array" ref="P429">IF(SUM(N(ISNUMBER(FIND({"a","b","c","d","e","f","g","h","i","j","k","l","m","n","o","p","q","r","s","t","u","v","w","x","y","z"}, B429))))&gt;0, 26, 0)</f>
        <v>26</v>
      </c>
      <c r="Q429" cm="1">
        <f t="array" ref="Q429">IF(SUM(N(ISNUMBER(FIND({"A","B","C","D","E","F","G","H","I","J","K","L","M","N","O","P","Q","R","S","T","U","V","W","X","Y","Z"}, B429))))&gt;0, 26, 0)</f>
        <v>0</v>
      </c>
      <c r="R429" cm="1">
        <f t="array" ref="R429">IF(SUM(N(ISNUMBER(FIND({0,1,2,3,4,5,6,7,8,9}, B429))))&gt;0, 10, 0)</f>
        <v>10</v>
      </c>
      <c r="S429" cm="1">
        <f t="array" ref="S429">IF(LEN(B429)&gt;SUMPRODUCT(LEN(B429)-LEN(SUBSTITUTE(B429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29" s="2"/>
    </row>
    <row r="430" spans="1:21" ht="15.6">
      <c r="A430" s="3">
        <v>2</v>
      </c>
      <c r="B430" s="7">
        <v>555555</v>
      </c>
      <c r="C430" t="s">
        <v>640</v>
      </c>
      <c r="D430">
        <f t="shared" si="19"/>
        <v>6</v>
      </c>
      <c r="E430">
        <f t="shared" si="20"/>
        <v>39.327533110065843</v>
      </c>
      <c r="F430" s="10">
        <v>0</v>
      </c>
      <c r="G430" s="10">
        <f t="shared" si="18"/>
        <v>0</v>
      </c>
      <c r="H430" s="10">
        <v>0</v>
      </c>
      <c r="I430" s="10">
        <v>73</v>
      </c>
      <c r="J430" s="10">
        <v>1.8633230000000001</v>
      </c>
      <c r="K430" s="10"/>
      <c r="L430" s="10"/>
      <c r="P430" cm="1">
        <f t="array" ref="P430">IF(SUM(N(ISNUMBER(FIND({"a","b","c","d","e","f","g","h","i","j","k","l","m","n","o","p","q","r","s","t","u","v","w","x","y","z"}, B430))))&gt;0, 26, 0)</f>
        <v>0</v>
      </c>
      <c r="Q430" cm="1">
        <f t="array" ref="Q430">IF(SUM(N(ISNUMBER(FIND({"A","B","C","D","E","F","G","H","I","J","K","L","M","N","O","P","Q","R","S","T","U","V","W","X","Y","Z"}, B430))))&gt;0, 26, 0)</f>
        <v>0</v>
      </c>
      <c r="R430" cm="1">
        <f t="array" ref="R430">IF(SUM(N(ISNUMBER(FIND({0,1,2,3,4,5,6,7,8,9}, B430))))&gt;0, 10, 0)</f>
        <v>10</v>
      </c>
      <c r="S430" cm="1">
        <f t="array" ref="S430">IF(LEN(B430)&gt;SUMPRODUCT(LEN(B430)-LEN(SUBSTITUTE(B430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0" s="2"/>
    </row>
    <row r="431" spans="1:21" ht="15.6">
      <c r="A431" s="3">
        <v>2</v>
      </c>
      <c r="B431" s="7" t="s">
        <v>753</v>
      </c>
      <c r="C431" t="s">
        <v>640</v>
      </c>
      <c r="D431">
        <f t="shared" si="19"/>
        <v>7</v>
      </c>
      <c r="E431">
        <f t="shared" si="20"/>
        <v>45.882121961743479</v>
      </c>
      <c r="F431" s="10">
        <v>2.5216409999999998</v>
      </c>
      <c r="G431" s="10">
        <f t="shared" si="18"/>
        <v>17.651486999999999</v>
      </c>
      <c r="H431" s="10">
        <v>0</v>
      </c>
      <c r="I431" s="10">
        <v>83</v>
      </c>
      <c r="J431" s="10">
        <v>1.9190780000000001</v>
      </c>
      <c r="K431" s="10"/>
      <c r="L431" s="10"/>
      <c r="P431" cm="1">
        <f t="array" ref="P431">IF(SUM(N(ISNUMBER(FIND({"a","b","c","d","e","f","g","h","i","j","k","l","m","n","o","p","q","r","s","t","u","v","w","x","y","z"}, B431))))&gt;0, 26, 0)</f>
        <v>26</v>
      </c>
      <c r="Q431" cm="1">
        <f t="array" ref="Q431">IF(SUM(N(ISNUMBER(FIND({"A","B","C","D","E","F","G","H","I","J","K","L","M","N","O","P","Q","R","S","T","U","V","W","X","Y","Z"}, B431))))&gt;0, 26, 0)</f>
        <v>0</v>
      </c>
      <c r="R431" cm="1">
        <f t="array" ref="R431">IF(SUM(N(ISNUMBER(FIND({0,1,2,3,4,5,6,7,8,9}, B431))))&gt;0, 10, 0)</f>
        <v>0</v>
      </c>
      <c r="S431" cm="1">
        <f t="array" ref="S431">IF(LEN(B431)&gt;SUMPRODUCT(LEN(B431)-LEN(SUBSTITUTE(B431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1" s="2"/>
    </row>
    <row r="432" spans="1:21" ht="15.6">
      <c r="A432" s="3">
        <v>2</v>
      </c>
      <c r="B432" s="7" t="s">
        <v>754</v>
      </c>
      <c r="C432" t="s">
        <v>640</v>
      </c>
      <c r="D432">
        <f t="shared" si="19"/>
        <v>8</v>
      </c>
      <c r="E432">
        <f t="shared" si="20"/>
        <v>52.436710813421122</v>
      </c>
      <c r="F432" s="10">
        <v>2.75</v>
      </c>
      <c r="G432" s="10">
        <f t="shared" si="18"/>
        <v>22</v>
      </c>
      <c r="H432" s="10">
        <v>0</v>
      </c>
      <c r="I432" s="10">
        <v>398</v>
      </c>
      <c r="J432" s="10">
        <v>2.5998830000000002</v>
      </c>
      <c r="K432" s="10"/>
      <c r="L432" s="10"/>
      <c r="P432" cm="1">
        <f t="array" ref="P432">IF(SUM(N(ISNUMBER(FIND({"a","b","c","d","e","f","g","h","i","j","k","l","m","n","o","p","q","r","s","t","u","v","w","x","y","z"}, B432))))&gt;0, 26, 0)</f>
        <v>26</v>
      </c>
      <c r="Q432" cm="1">
        <f t="array" ref="Q432">IF(SUM(N(ISNUMBER(FIND({"A","B","C","D","E","F","G","H","I","J","K","L","M","N","O","P","Q","R","S","T","U","V","W","X","Y","Z"}, B432))))&gt;0, 26, 0)</f>
        <v>0</v>
      </c>
      <c r="R432" cm="1">
        <f t="array" ref="R432">IF(SUM(N(ISNUMBER(FIND({0,1,2,3,4,5,6,7,8,9}, B432))))&gt;0, 10, 0)</f>
        <v>0</v>
      </c>
      <c r="S432" cm="1">
        <f t="array" ref="S432">IF(LEN(B432)&gt;SUMPRODUCT(LEN(B432)-LEN(SUBSTITUTE(B432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2" s="2"/>
    </row>
    <row r="433" spans="1:21" ht="15.6">
      <c r="A433" s="3">
        <v>2</v>
      </c>
      <c r="B433" s="7" t="s">
        <v>755</v>
      </c>
      <c r="C433" t="s">
        <v>640</v>
      </c>
      <c r="D433">
        <f t="shared" si="19"/>
        <v>6</v>
      </c>
      <c r="E433">
        <f t="shared" si="20"/>
        <v>39.327533110065843</v>
      </c>
      <c r="F433" s="10">
        <v>2.2516289999999999</v>
      </c>
      <c r="G433" s="10">
        <f t="shared" si="18"/>
        <v>13.509774</v>
      </c>
      <c r="H433" s="10">
        <v>0</v>
      </c>
      <c r="I433" s="10">
        <v>19</v>
      </c>
      <c r="J433" s="10">
        <v>1.2787539999999999</v>
      </c>
      <c r="K433" s="10"/>
      <c r="L433" s="10"/>
      <c r="P433" cm="1">
        <f t="array" ref="P433">IF(SUM(N(ISNUMBER(FIND({"a","b","c","d","e","f","g","h","i","j","k","l","m","n","o","p","q","r","s","t","u","v","w","x","y","z"}, B433))))&gt;0, 26, 0)</f>
        <v>26</v>
      </c>
      <c r="Q433" cm="1">
        <f t="array" ref="Q433">IF(SUM(N(ISNUMBER(FIND({"A","B","C","D","E","F","G","H","I","J","K","L","M","N","O","P","Q","R","S","T","U","V","W","X","Y","Z"}, B433))))&gt;0, 26, 0)</f>
        <v>0</v>
      </c>
      <c r="R433" cm="1">
        <f t="array" ref="R433">IF(SUM(N(ISNUMBER(FIND({0,1,2,3,4,5,6,7,8,9}, B433))))&gt;0, 10, 0)</f>
        <v>0</v>
      </c>
      <c r="S433" cm="1">
        <f t="array" ref="S433">IF(LEN(B433)&gt;SUMPRODUCT(LEN(B433)-LEN(SUBSTITUTE(B433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3" s="2"/>
    </row>
    <row r="434" spans="1:21" ht="15.6">
      <c r="A434" s="3">
        <v>2</v>
      </c>
      <c r="B434" s="7" t="s">
        <v>756</v>
      </c>
      <c r="C434" t="s">
        <v>640</v>
      </c>
      <c r="D434">
        <f t="shared" si="19"/>
        <v>7</v>
      </c>
      <c r="E434">
        <f t="shared" si="20"/>
        <v>45.882121961743479</v>
      </c>
      <c r="F434" s="10">
        <v>2.5216409999999998</v>
      </c>
      <c r="G434" s="10">
        <f t="shared" si="18"/>
        <v>17.651486999999999</v>
      </c>
      <c r="H434" s="10">
        <v>0</v>
      </c>
      <c r="I434" s="10">
        <v>162</v>
      </c>
      <c r="J434" s="10">
        <v>2.2095150000000001</v>
      </c>
      <c r="K434" s="10"/>
      <c r="L434" s="10"/>
      <c r="P434" cm="1">
        <f t="array" ref="P434">IF(SUM(N(ISNUMBER(FIND({"a","b","c","d","e","f","g","h","i","j","k","l","m","n","o","p","q","r","s","t","u","v","w","x","y","z"}, B434))))&gt;0, 26, 0)</f>
        <v>26</v>
      </c>
      <c r="Q434" cm="1">
        <f t="array" ref="Q434">IF(SUM(N(ISNUMBER(FIND({"A","B","C","D","E","F","G","H","I","J","K","L","M","N","O","P","Q","R","S","T","U","V","W","X","Y","Z"}, B434))))&gt;0, 26, 0)</f>
        <v>0</v>
      </c>
      <c r="R434" cm="1">
        <f t="array" ref="R434">IF(SUM(N(ISNUMBER(FIND({0,1,2,3,4,5,6,7,8,9}, B434))))&gt;0, 10, 0)</f>
        <v>0</v>
      </c>
      <c r="S434" cm="1">
        <f t="array" ref="S434">IF(LEN(B434)&gt;SUMPRODUCT(LEN(B434)-LEN(SUBSTITUTE(B434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4" s="2"/>
    </row>
    <row r="435" spans="1:21" ht="15.6">
      <c r="A435" s="3">
        <v>2</v>
      </c>
      <c r="B435" s="7" t="s">
        <v>757</v>
      </c>
      <c r="C435" t="s">
        <v>640</v>
      </c>
      <c r="D435">
        <f t="shared" si="19"/>
        <v>6</v>
      </c>
      <c r="E435">
        <f t="shared" si="20"/>
        <v>39.327533110065843</v>
      </c>
      <c r="F435" s="10">
        <v>2.5849630000000001</v>
      </c>
      <c r="G435" s="10">
        <f t="shared" si="18"/>
        <v>15.509778000000001</v>
      </c>
      <c r="H435" s="10">
        <v>0</v>
      </c>
      <c r="I435" s="10">
        <v>84</v>
      </c>
      <c r="J435" s="10">
        <v>1.9242790000000001</v>
      </c>
      <c r="K435" s="10"/>
      <c r="L435" s="10"/>
      <c r="P435" cm="1">
        <f t="array" ref="P435">IF(SUM(N(ISNUMBER(FIND({"a","b","c","d","e","f","g","h","i","j","k","l","m","n","o","p","q","r","s","t","u","v","w","x","y","z"}, B435))))&gt;0, 26, 0)</f>
        <v>26</v>
      </c>
      <c r="Q435" cm="1">
        <f t="array" ref="Q435">IF(SUM(N(ISNUMBER(FIND({"A","B","C","D","E","F","G","H","I","J","K","L","M","N","O","P","Q","R","S","T","U","V","W","X","Y","Z"}, B435))))&gt;0, 26, 0)</f>
        <v>0</v>
      </c>
      <c r="R435" cm="1">
        <f t="array" ref="R435">IF(SUM(N(ISNUMBER(FIND({0,1,2,3,4,5,6,7,8,9}, B435))))&gt;0, 10, 0)</f>
        <v>0</v>
      </c>
      <c r="S435" cm="1">
        <f t="array" ref="S435">IF(LEN(B435)&gt;SUMPRODUCT(LEN(B435)-LEN(SUBSTITUTE(B435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5" s="2"/>
    </row>
    <row r="436" spans="1:21" ht="15.6">
      <c r="A436" s="3">
        <v>2</v>
      </c>
      <c r="B436" s="7" t="s">
        <v>758</v>
      </c>
      <c r="C436" t="s">
        <v>640</v>
      </c>
      <c r="D436">
        <f t="shared" si="19"/>
        <v>6</v>
      </c>
      <c r="E436">
        <f t="shared" si="20"/>
        <v>39.327533110065843</v>
      </c>
      <c r="F436" s="10">
        <v>2.5849630000000001</v>
      </c>
      <c r="G436" s="10">
        <f t="shared" si="18"/>
        <v>15.509778000000001</v>
      </c>
      <c r="H436" s="10">
        <v>0</v>
      </c>
      <c r="I436" s="10">
        <v>95</v>
      </c>
      <c r="J436" s="10">
        <v>1.977724</v>
      </c>
      <c r="K436" s="10"/>
      <c r="L436" s="10"/>
      <c r="P436" cm="1">
        <f t="array" ref="P436">IF(SUM(N(ISNUMBER(FIND({"a","b","c","d","e","f","g","h","i","j","k","l","m","n","o","p","q","r","s","t","u","v","w","x","y","z"}, B436))))&gt;0, 26, 0)</f>
        <v>26</v>
      </c>
      <c r="Q436" cm="1">
        <f t="array" ref="Q436">IF(SUM(N(ISNUMBER(FIND({"A","B","C","D","E","F","G","H","I","J","K","L","M","N","O","P","Q","R","S","T","U","V","W","X","Y","Z"}, B436))))&gt;0, 26, 0)</f>
        <v>0</v>
      </c>
      <c r="R436" cm="1">
        <f t="array" ref="R436">IF(SUM(N(ISNUMBER(FIND({0,1,2,3,4,5,6,7,8,9}, B436))))&gt;0, 10, 0)</f>
        <v>0</v>
      </c>
      <c r="S436" cm="1">
        <f t="array" ref="S436">IF(LEN(B436)&gt;SUMPRODUCT(LEN(B436)-LEN(SUBSTITUTE(B436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6" s="2"/>
    </row>
    <row r="437" spans="1:21" ht="15.6">
      <c r="A437" s="3">
        <v>2</v>
      </c>
      <c r="B437" s="7">
        <v>789456</v>
      </c>
      <c r="C437" t="s">
        <v>640</v>
      </c>
      <c r="D437">
        <f t="shared" si="19"/>
        <v>6</v>
      </c>
      <c r="E437">
        <f t="shared" si="20"/>
        <v>39.327533110065843</v>
      </c>
      <c r="F437" s="10">
        <v>2.5849630000000001</v>
      </c>
      <c r="G437" s="10">
        <f t="shared" si="18"/>
        <v>15.509778000000001</v>
      </c>
      <c r="H437" s="10">
        <v>0</v>
      </c>
      <c r="I437" s="10">
        <v>257</v>
      </c>
      <c r="J437" s="10">
        <v>2.4099330000000001</v>
      </c>
      <c r="K437" s="10"/>
      <c r="L437" s="10"/>
      <c r="P437" cm="1">
        <f t="array" ref="P437">IF(SUM(N(ISNUMBER(FIND({"a","b","c","d","e","f","g","h","i","j","k","l","m","n","o","p","q","r","s","t","u","v","w","x","y","z"}, B437))))&gt;0, 26, 0)</f>
        <v>0</v>
      </c>
      <c r="Q437" cm="1">
        <f t="array" ref="Q437">IF(SUM(N(ISNUMBER(FIND({"A","B","C","D","E","F","G","H","I","J","K","L","M","N","O","P","Q","R","S","T","U","V","W","X","Y","Z"}, B437))))&gt;0, 26, 0)</f>
        <v>0</v>
      </c>
      <c r="R437" cm="1">
        <f t="array" ref="R437">IF(SUM(N(ISNUMBER(FIND({0,1,2,3,4,5,6,7,8,9}, B437))))&gt;0, 10, 0)</f>
        <v>10</v>
      </c>
      <c r="S437" cm="1">
        <f t="array" ref="S437">IF(LEN(B437)&gt;SUMPRODUCT(LEN(B437)-LEN(SUBSTITUTE(B437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7" s="2"/>
    </row>
    <row r="438" spans="1:21" ht="15.6">
      <c r="A438" s="3">
        <v>2</v>
      </c>
      <c r="B438" s="7">
        <v>999999</v>
      </c>
      <c r="C438" t="s">
        <v>640</v>
      </c>
      <c r="D438">
        <f t="shared" si="19"/>
        <v>6</v>
      </c>
      <c r="E438">
        <f t="shared" si="20"/>
        <v>39.327533110065843</v>
      </c>
      <c r="F438" s="10">
        <v>0</v>
      </c>
      <c r="G438" s="10">
        <f t="shared" si="18"/>
        <v>0</v>
      </c>
      <c r="H438" s="10">
        <v>0</v>
      </c>
      <c r="I438" s="10">
        <v>73</v>
      </c>
      <c r="J438" s="10">
        <v>1.8633230000000001</v>
      </c>
      <c r="K438" s="10"/>
      <c r="L438" s="10"/>
      <c r="P438" cm="1">
        <f t="array" ref="P438">IF(SUM(N(ISNUMBER(FIND({"a","b","c","d","e","f","g","h","i","j","k","l","m","n","o","p","q","r","s","t","u","v","w","x","y","z"}, B438))))&gt;0, 26, 0)</f>
        <v>0</v>
      </c>
      <c r="Q438" cm="1">
        <f t="array" ref="Q438">IF(SUM(N(ISNUMBER(FIND({"A","B","C","D","E","F","G","H","I","J","K","L","M","N","O","P","Q","R","S","T","U","V","W","X","Y","Z"}, B438))))&gt;0, 26, 0)</f>
        <v>0</v>
      </c>
      <c r="R438" cm="1">
        <f t="array" ref="R438">IF(SUM(N(ISNUMBER(FIND({0,1,2,3,4,5,6,7,8,9}, B438))))&gt;0, 10, 0)</f>
        <v>10</v>
      </c>
      <c r="S438" cm="1">
        <f t="array" ref="S438">IF(LEN(B438)&gt;SUMPRODUCT(LEN(B438)-LEN(SUBSTITUTE(B438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8" s="2"/>
    </row>
    <row r="439" spans="1:21" ht="15.6">
      <c r="A439" s="3">
        <v>2</v>
      </c>
      <c r="B439" s="7" t="s">
        <v>759</v>
      </c>
      <c r="C439" t="s">
        <v>640</v>
      </c>
      <c r="D439">
        <f t="shared" si="19"/>
        <v>6</v>
      </c>
      <c r="E439">
        <f t="shared" si="20"/>
        <v>39.327533110065843</v>
      </c>
      <c r="F439" s="10">
        <v>2.5849630000000001</v>
      </c>
      <c r="G439" s="10">
        <f t="shared" si="18"/>
        <v>15.509778000000001</v>
      </c>
      <c r="H439" s="10">
        <v>0</v>
      </c>
      <c r="I439" s="10">
        <v>477</v>
      </c>
      <c r="J439" s="10">
        <v>2.678518</v>
      </c>
      <c r="K439" s="10"/>
      <c r="L439" s="10"/>
      <c r="P439" cm="1">
        <f t="array" ref="P439">IF(SUM(N(ISNUMBER(FIND({"a","b","c","d","e","f","g","h","i","j","k","l","m","n","o","p","q","r","s","t","u","v","w","x","y","z"}, B439))))&gt;0, 26, 0)</f>
        <v>26</v>
      </c>
      <c r="Q439" cm="1">
        <f t="array" ref="Q439">IF(SUM(N(ISNUMBER(FIND({"A","B","C","D","E","F","G","H","I","J","K","L","M","N","O","P","Q","R","S","T","U","V","W","X","Y","Z"}, B439))))&gt;0, 26, 0)</f>
        <v>0</v>
      </c>
      <c r="R439" cm="1">
        <f t="array" ref="R439">IF(SUM(N(ISNUMBER(FIND({0,1,2,3,4,5,6,7,8,9}, B439))))&gt;0, 10, 0)</f>
        <v>0</v>
      </c>
      <c r="S439" cm="1">
        <f t="array" ref="S439">IF(LEN(B439)&gt;SUMPRODUCT(LEN(B439)-LEN(SUBSTITUTE(B439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39" s="2"/>
    </row>
    <row r="440" spans="1:21" ht="15.6">
      <c r="A440" s="3">
        <v>2</v>
      </c>
      <c r="B440" s="7">
        <v>11111</v>
      </c>
      <c r="C440" t="s">
        <v>640</v>
      </c>
      <c r="D440">
        <f t="shared" si="19"/>
        <v>5</v>
      </c>
      <c r="E440">
        <f t="shared" si="20"/>
        <v>32.7729442583882</v>
      </c>
      <c r="F440" s="10">
        <v>0</v>
      </c>
      <c r="G440" s="10">
        <f t="shared" si="18"/>
        <v>0</v>
      </c>
      <c r="H440" s="10">
        <v>0</v>
      </c>
      <c r="I440" s="10">
        <v>61</v>
      </c>
      <c r="J440" s="10">
        <v>1.7853300000000001</v>
      </c>
      <c r="K440" s="10"/>
      <c r="L440" s="10"/>
      <c r="P440" cm="1">
        <f t="array" ref="P440">IF(SUM(N(ISNUMBER(FIND({"a","b","c","d","e","f","g","h","i","j","k","l","m","n","o","p","q","r","s","t","u","v","w","x","y","z"}, B440))))&gt;0, 26, 0)</f>
        <v>0</v>
      </c>
      <c r="Q440" cm="1">
        <f t="array" ref="Q440">IF(SUM(N(ISNUMBER(FIND({"A","B","C","D","E","F","G","H","I","J","K","L","M","N","O","P","Q","R","S","T","U","V","W","X","Y","Z"}, B440))))&gt;0, 26, 0)</f>
        <v>0</v>
      </c>
      <c r="R440" cm="1">
        <f t="array" ref="R440">IF(SUM(N(ISNUMBER(FIND({0,1,2,3,4,5,6,7,8,9}, B440))))&gt;0, 10, 0)</f>
        <v>10</v>
      </c>
      <c r="S440" cm="1">
        <f t="array" ref="S440">IF(LEN(B440)&gt;SUMPRODUCT(LEN(B440)-LEN(SUBSTITUTE(B440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0" s="2"/>
    </row>
    <row r="441" spans="1:21" ht="15.6">
      <c r="A441" s="3">
        <v>2</v>
      </c>
      <c r="B441" s="7" t="s">
        <v>760</v>
      </c>
      <c r="C441" t="s">
        <v>640</v>
      </c>
      <c r="D441">
        <f t="shared" si="19"/>
        <v>6</v>
      </c>
      <c r="E441">
        <f t="shared" si="20"/>
        <v>39.327533110065843</v>
      </c>
      <c r="F441" s="10">
        <v>1.918296</v>
      </c>
      <c r="G441" s="10">
        <f t="shared" si="18"/>
        <v>11.509776</v>
      </c>
      <c r="H441" s="10">
        <v>0</v>
      </c>
      <c r="I441" s="10">
        <v>107</v>
      </c>
      <c r="J441" s="10">
        <v>2.0293839999999999</v>
      </c>
      <c r="K441" s="10"/>
      <c r="L441" s="10"/>
      <c r="P441" cm="1">
        <f t="array" ref="P441">IF(SUM(N(ISNUMBER(FIND({"a","b","c","d","e","f","g","h","i","j","k","l","m","n","o","p","q","r","s","t","u","v","w","x","y","z"}, B441))))&gt;0, 26, 0)</f>
        <v>26</v>
      </c>
      <c r="Q441" cm="1">
        <f t="array" ref="Q441">IF(SUM(N(ISNUMBER(FIND({"A","B","C","D","E","F","G","H","I","J","K","L","M","N","O","P","Q","R","S","T","U","V","W","X","Y","Z"}, B441))))&gt;0, 26, 0)</f>
        <v>0</v>
      </c>
      <c r="R441" cm="1">
        <f t="array" ref="R441">IF(SUM(N(ISNUMBER(FIND({0,1,2,3,4,5,6,7,8,9}, B441))))&gt;0, 10, 0)</f>
        <v>0</v>
      </c>
      <c r="S441" cm="1">
        <f t="array" ref="S441">IF(LEN(B441)&gt;SUMPRODUCT(LEN(B441)-LEN(SUBSTITUTE(B441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1" s="2"/>
    </row>
    <row r="442" spans="1:21" ht="15.6">
      <c r="A442" s="3">
        <v>2</v>
      </c>
      <c r="B442" s="7" t="s">
        <v>761</v>
      </c>
      <c r="C442" t="s">
        <v>640</v>
      </c>
      <c r="D442">
        <f t="shared" si="19"/>
        <v>6</v>
      </c>
      <c r="E442">
        <f t="shared" si="20"/>
        <v>39.327533110065843</v>
      </c>
      <c r="F442" s="10">
        <v>2.2516289999999999</v>
      </c>
      <c r="G442" s="10">
        <f t="shared" si="18"/>
        <v>13.509774</v>
      </c>
      <c r="H442" s="10">
        <v>0</v>
      </c>
      <c r="I442" s="10">
        <v>103</v>
      </c>
      <c r="J442" s="10">
        <v>2.0128370000000002</v>
      </c>
      <c r="K442" s="10"/>
      <c r="L442" s="10"/>
      <c r="P442" cm="1">
        <f t="array" ref="P442">IF(SUM(N(ISNUMBER(FIND({"a","b","c","d","e","f","g","h","i","j","k","l","m","n","o","p","q","r","s","t","u","v","w","x","y","z"}, B442))))&gt;0, 26, 0)</f>
        <v>26</v>
      </c>
      <c r="Q442" cm="1">
        <f t="array" ref="Q442">IF(SUM(N(ISNUMBER(FIND({"A","B","C","D","E","F","G","H","I","J","K","L","M","N","O","P","Q","R","S","T","U","V","W","X","Y","Z"}, B442))))&gt;0, 26, 0)</f>
        <v>0</v>
      </c>
      <c r="R442" cm="1">
        <f t="array" ref="R442">IF(SUM(N(ISNUMBER(FIND({0,1,2,3,4,5,6,7,8,9}, B442))))&gt;0, 10, 0)</f>
        <v>0</v>
      </c>
      <c r="S442" cm="1">
        <f t="array" ref="S442">IF(LEN(B442)&gt;SUMPRODUCT(LEN(B442)-LEN(SUBSTITUTE(B442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2" s="2"/>
    </row>
    <row r="443" spans="1:21" ht="15.6">
      <c r="A443" s="3">
        <v>2</v>
      </c>
      <c r="B443" s="7" t="s">
        <v>762</v>
      </c>
      <c r="C443" t="s">
        <v>640</v>
      </c>
      <c r="D443">
        <f t="shared" si="19"/>
        <v>7</v>
      </c>
      <c r="E443">
        <f t="shared" si="20"/>
        <v>45.882121961743479</v>
      </c>
      <c r="F443" s="10">
        <v>2.8073549999999998</v>
      </c>
      <c r="G443" s="10">
        <f t="shared" si="18"/>
        <v>19.651484999999997</v>
      </c>
      <c r="H443" s="10">
        <v>0</v>
      </c>
      <c r="I443" s="10">
        <v>208</v>
      </c>
      <c r="J443" s="10">
        <v>2.318063</v>
      </c>
      <c r="K443" s="10"/>
      <c r="L443" s="10"/>
      <c r="P443" cm="1">
        <f t="array" ref="P443">IF(SUM(N(ISNUMBER(FIND({"a","b","c","d","e","f","g","h","i","j","k","l","m","n","o","p","q","r","s","t","u","v","w","x","y","z"}, B443))))&gt;0, 26, 0)</f>
        <v>26</v>
      </c>
      <c r="Q443" cm="1">
        <f t="array" ref="Q443">IF(SUM(N(ISNUMBER(FIND({"A","B","C","D","E","F","G","H","I","J","K","L","M","N","O","P","Q","R","S","T","U","V","W","X","Y","Z"}, B443))))&gt;0, 26, 0)</f>
        <v>0</v>
      </c>
      <c r="R443" cm="1">
        <f t="array" ref="R443">IF(SUM(N(ISNUMBER(FIND({0,1,2,3,4,5,6,7,8,9}, B443))))&gt;0, 10, 0)</f>
        <v>0</v>
      </c>
      <c r="S443" cm="1">
        <f t="array" ref="S443">IF(LEN(B443)&gt;SUMPRODUCT(LEN(B443)-LEN(SUBSTITUTE(B443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3" s="2"/>
    </row>
    <row r="444" spans="1:21" ht="15.6">
      <c r="A444" s="3">
        <v>2</v>
      </c>
      <c r="B444" s="7" t="s">
        <v>763</v>
      </c>
      <c r="C444" t="s">
        <v>640</v>
      </c>
      <c r="D444">
        <f t="shared" si="19"/>
        <v>6</v>
      </c>
      <c r="E444">
        <f t="shared" si="20"/>
        <v>39.327533110065843</v>
      </c>
      <c r="F444" s="10">
        <v>2.5849630000000001</v>
      </c>
      <c r="G444" s="10">
        <f t="shared" si="18"/>
        <v>15.509778000000001</v>
      </c>
      <c r="H444" s="10">
        <v>0</v>
      </c>
      <c r="I444" s="10">
        <v>38</v>
      </c>
      <c r="J444" s="10">
        <v>1.5797840000000001</v>
      </c>
      <c r="K444" s="10"/>
      <c r="L444" s="10"/>
      <c r="P444" cm="1">
        <f t="array" ref="P444">IF(SUM(N(ISNUMBER(FIND({"a","b","c","d","e","f","g","h","i","j","k","l","m","n","o","p","q","r","s","t","u","v","w","x","y","z"}, B444))))&gt;0, 26, 0)</f>
        <v>26</v>
      </c>
      <c r="Q444" cm="1">
        <f t="array" ref="Q444">IF(SUM(N(ISNUMBER(FIND({"A","B","C","D","E","F","G","H","I","J","K","L","M","N","O","P","Q","R","S","T","U","V","W","X","Y","Z"}, B444))))&gt;0, 26, 0)</f>
        <v>0</v>
      </c>
      <c r="R444" cm="1">
        <f t="array" ref="R444">IF(SUM(N(ISNUMBER(FIND({0,1,2,3,4,5,6,7,8,9}, B444))))&gt;0, 10, 0)</f>
        <v>0</v>
      </c>
      <c r="S444" cm="1">
        <f t="array" ref="S444">IF(LEN(B444)&gt;SUMPRODUCT(LEN(B444)-LEN(SUBSTITUTE(B444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4" s="2"/>
    </row>
    <row r="445" spans="1:21" ht="15.6">
      <c r="A445" s="3">
        <v>2</v>
      </c>
      <c r="B445" s="7" t="s">
        <v>764</v>
      </c>
      <c r="C445" t="s">
        <v>640</v>
      </c>
      <c r="D445">
        <f t="shared" si="19"/>
        <v>6</v>
      </c>
      <c r="E445">
        <f t="shared" si="20"/>
        <v>39.327533110065843</v>
      </c>
      <c r="F445" s="10">
        <v>2.2516289999999999</v>
      </c>
      <c r="G445" s="10">
        <f t="shared" si="18"/>
        <v>13.509774</v>
      </c>
      <c r="H445" s="10">
        <v>0</v>
      </c>
      <c r="I445" s="10">
        <v>403</v>
      </c>
      <c r="J445" s="10">
        <v>2.605305</v>
      </c>
      <c r="K445" s="10"/>
      <c r="L445" s="10"/>
      <c r="P445" cm="1">
        <f t="array" ref="P445">IF(SUM(N(ISNUMBER(FIND({"a","b","c","d","e","f","g","h","i","j","k","l","m","n","o","p","q","r","s","t","u","v","w","x","y","z"}, B445))))&gt;0, 26, 0)</f>
        <v>26</v>
      </c>
      <c r="Q445" cm="1">
        <f t="array" ref="Q445">IF(SUM(N(ISNUMBER(FIND({"A","B","C","D","E","F","G","H","I","J","K","L","M","N","O","P","Q","R","S","T","U","V","W","X","Y","Z"}, B445))))&gt;0, 26, 0)</f>
        <v>0</v>
      </c>
      <c r="R445" cm="1">
        <f t="array" ref="R445">IF(SUM(N(ISNUMBER(FIND({0,1,2,3,4,5,6,7,8,9}, B445))))&gt;0, 10, 0)</f>
        <v>0</v>
      </c>
      <c r="S445" cm="1">
        <f t="array" ref="S445">IF(LEN(B445)&gt;SUMPRODUCT(LEN(B445)-LEN(SUBSTITUTE(B445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5" s="2"/>
    </row>
    <row r="446" spans="1:21" ht="15.6">
      <c r="A446" s="3">
        <v>2</v>
      </c>
      <c r="B446" s="7" t="s">
        <v>765</v>
      </c>
      <c r="C446" t="s">
        <v>640</v>
      </c>
      <c r="D446">
        <f t="shared" si="19"/>
        <v>6</v>
      </c>
      <c r="E446">
        <f t="shared" si="20"/>
        <v>39.327533110065843</v>
      </c>
      <c r="F446" s="10">
        <v>2.2516289999999999</v>
      </c>
      <c r="G446" s="10">
        <f t="shared" si="18"/>
        <v>13.509774</v>
      </c>
      <c r="H446" s="10">
        <v>0</v>
      </c>
      <c r="I446" s="10">
        <v>36</v>
      </c>
      <c r="J446" s="10">
        <v>1.556303</v>
      </c>
      <c r="K446" s="10"/>
      <c r="L446" s="10"/>
      <c r="P446" cm="1">
        <f t="array" ref="P446">IF(SUM(N(ISNUMBER(FIND({"a","b","c","d","e","f","g","h","i","j","k","l","m","n","o","p","q","r","s","t","u","v","w","x","y","z"}, B446))))&gt;0, 26, 0)</f>
        <v>26</v>
      </c>
      <c r="Q446" cm="1">
        <f t="array" ref="Q446">IF(SUM(N(ISNUMBER(FIND({"A","B","C","D","E","F","G","H","I","J","K","L","M","N","O","P","Q","R","S","T","U","V","W","X","Y","Z"}, B446))))&gt;0, 26, 0)</f>
        <v>0</v>
      </c>
      <c r="R446" cm="1">
        <f t="array" ref="R446">IF(SUM(N(ISNUMBER(FIND({0,1,2,3,4,5,6,7,8,9}, B446))))&gt;0, 10, 0)</f>
        <v>0</v>
      </c>
      <c r="S446" cm="1">
        <f t="array" ref="S446">IF(LEN(B446)&gt;SUMPRODUCT(LEN(B446)-LEN(SUBSTITUTE(B446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6" s="2"/>
    </row>
    <row r="447" spans="1:21" ht="15.6">
      <c r="A447" s="3">
        <v>2</v>
      </c>
      <c r="B447" s="7" t="s">
        <v>766</v>
      </c>
      <c r="C447" t="s">
        <v>640</v>
      </c>
      <c r="D447">
        <f t="shared" si="19"/>
        <v>6</v>
      </c>
      <c r="E447">
        <f t="shared" si="20"/>
        <v>39.327533110065843</v>
      </c>
      <c r="F447" s="10">
        <v>2.2516289999999999</v>
      </c>
      <c r="G447" s="10">
        <f t="shared" si="18"/>
        <v>13.509774</v>
      </c>
      <c r="H447" s="10">
        <v>0</v>
      </c>
      <c r="I447" s="10">
        <v>17</v>
      </c>
      <c r="J447" s="10">
        <v>1.2304489999999999</v>
      </c>
      <c r="K447" s="10"/>
      <c r="L447" s="10"/>
      <c r="P447" cm="1">
        <f t="array" ref="P447">IF(SUM(N(ISNUMBER(FIND({"a","b","c","d","e","f","g","h","i","j","k","l","m","n","o","p","q","r","s","t","u","v","w","x","y","z"}, B447))))&gt;0, 26, 0)</f>
        <v>26</v>
      </c>
      <c r="Q447" cm="1">
        <f t="array" ref="Q447">IF(SUM(N(ISNUMBER(FIND({"A","B","C","D","E","F","G","H","I","J","K","L","M","N","O","P","Q","R","S","T","U","V","W","X","Y","Z"}, B447))))&gt;0, 26, 0)</f>
        <v>0</v>
      </c>
      <c r="R447" cm="1">
        <f t="array" ref="R447">IF(SUM(N(ISNUMBER(FIND({0,1,2,3,4,5,6,7,8,9}, B447))))&gt;0, 10, 0)</f>
        <v>0</v>
      </c>
      <c r="S447" cm="1">
        <f t="array" ref="S447">IF(LEN(B447)&gt;SUMPRODUCT(LEN(B447)-LEN(SUBSTITUTE(B447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7" s="2"/>
    </row>
    <row r="448" spans="1:21" ht="15.6">
      <c r="A448" s="3">
        <v>2</v>
      </c>
      <c r="B448" s="7" t="s">
        <v>767</v>
      </c>
      <c r="C448" t="s">
        <v>640</v>
      </c>
      <c r="D448">
        <f t="shared" si="19"/>
        <v>9</v>
      </c>
      <c r="E448">
        <f t="shared" si="20"/>
        <v>58.991299665098765</v>
      </c>
      <c r="F448" s="10">
        <v>2.9477030000000002</v>
      </c>
      <c r="G448" s="10">
        <f t="shared" si="18"/>
        <v>26.529327000000002</v>
      </c>
      <c r="H448" s="10">
        <v>0</v>
      </c>
      <c r="I448" s="10">
        <v>275</v>
      </c>
      <c r="J448" s="10">
        <v>2.439333</v>
      </c>
      <c r="K448" s="10"/>
      <c r="L448" s="10"/>
      <c r="P448" cm="1">
        <f t="array" ref="P448">IF(SUM(N(ISNUMBER(FIND({"a","b","c","d","e","f","g","h","i","j","k","l","m","n","o","p","q","r","s","t","u","v","w","x","y","z"}, B448))))&gt;0, 26, 0)</f>
        <v>26</v>
      </c>
      <c r="Q448" cm="1">
        <f t="array" ref="Q448">IF(SUM(N(ISNUMBER(FIND({"A","B","C","D","E","F","G","H","I","J","K","L","M","N","O","P","Q","R","S","T","U","V","W","X","Y","Z"}, B448))))&gt;0, 26, 0)</f>
        <v>0</v>
      </c>
      <c r="R448" cm="1">
        <f t="array" ref="R448">IF(SUM(N(ISNUMBER(FIND({0,1,2,3,4,5,6,7,8,9}, B448))))&gt;0, 10, 0)</f>
        <v>0</v>
      </c>
      <c r="S448" cm="1">
        <f t="array" ref="S448">IF(LEN(B448)&gt;SUMPRODUCT(LEN(B448)-LEN(SUBSTITUTE(B448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8" s="2"/>
    </row>
    <row r="449" spans="1:21" ht="15.6">
      <c r="A449" s="3">
        <v>2</v>
      </c>
      <c r="B449" s="7" t="s">
        <v>768</v>
      </c>
      <c r="C449" t="s">
        <v>640</v>
      </c>
      <c r="D449">
        <f t="shared" si="19"/>
        <v>6</v>
      </c>
      <c r="E449">
        <f t="shared" si="20"/>
        <v>39.327533110065843</v>
      </c>
      <c r="F449" s="10">
        <v>2.5849630000000001</v>
      </c>
      <c r="G449" s="10">
        <f t="shared" si="18"/>
        <v>15.509778000000001</v>
      </c>
      <c r="H449" s="10">
        <v>0</v>
      </c>
      <c r="I449" s="10">
        <v>42</v>
      </c>
      <c r="J449" s="10">
        <v>1.6232489999999999</v>
      </c>
      <c r="K449" s="10"/>
      <c r="L449" s="10"/>
      <c r="P449" cm="1">
        <f t="array" ref="P449">IF(SUM(N(ISNUMBER(FIND({"a","b","c","d","e","f","g","h","i","j","k","l","m","n","o","p","q","r","s","t","u","v","w","x","y","z"}, B449))))&gt;0, 26, 0)</f>
        <v>26</v>
      </c>
      <c r="Q449" cm="1">
        <f t="array" ref="Q449">IF(SUM(N(ISNUMBER(FIND({"A","B","C","D","E","F","G","H","I","J","K","L","M","N","O","P","Q","R","S","T","U","V","W","X","Y","Z"}, B449))))&gt;0, 26, 0)</f>
        <v>0</v>
      </c>
      <c r="R449" cm="1">
        <f t="array" ref="R449">IF(SUM(N(ISNUMBER(FIND({0,1,2,3,4,5,6,7,8,9}, B449))))&gt;0, 10, 0)</f>
        <v>0</v>
      </c>
      <c r="S449" cm="1">
        <f t="array" ref="S449">IF(LEN(B449)&gt;SUMPRODUCT(LEN(B449)-LEN(SUBSTITUTE(B449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49" s="2"/>
    </row>
    <row r="450" spans="1:21" ht="15.6">
      <c r="A450" s="3">
        <v>2</v>
      </c>
      <c r="B450" s="7" t="s">
        <v>769</v>
      </c>
      <c r="C450" t="s">
        <v>640</v>
      </c>
      <c r="D450">
        <f t="shared" si="19"/>
        <v>6</v>
      </c>
      <c r="E450">
        <f t="shared" si="20"/>
        <v>39.327533110065843</v>
      </c>
      <c r="F450" s="10">
        <v>1.918296</v>
      </c>
      <c r="G450" s="10">
        <f t="shared" ref="G450:G513" si="21">F450 * D450</f>
        <v>11.509776</v>
      </c>
      <c r="H450" s="10">
        <v>0</v>
      </c>
      <c r="I450" s="10">
        <v>17</v>
      </c>
      <c r="J450" s="10">
        <v>1.2304489999999999</v>
      </c>
      <c r="K450" s="10"/>
      <c r="L450" s="10"/>
      <c r="P450" cm="1">
        <f t="array" ref="P450">IF(SUM(N(ISNUMBER(FIND({"a","b","c","d","e","f","g","h","i","j","k","l","m","n","o","p","q","r","s","t","u","v","w","x","y","z"}, B450))))&gt;0, 26, 0)</f>
        <v>26</v>
      </c>
      <c r="Q450" cm="1">
        <f t="array" ref="Q450">IF(SUM(N(ISNUMBER(FIND({"A","B","C","D","E","F","G","H","I","J","K","L","M","N","O","P","Q","R","S","T","U","V","W","X","Y","Z"}, B450))))&gt;0, 26, 0)</f>
        <v>0</v>
      </c>
      <c r="R450" cm="1">
        <f t="array" ref="R450">IF(SUM(N(ISNUMBER(FIND({0,1,2,3,4,5,6,7,8,9}, B450))))&gt;0, 10, 0)</f>
        <v>0</v>
      </c>
      <c r="S450" cm="1">
        <f t="array" ref="S450">IF(LEN(B450)&gt;SUMPRODUCT(LEN(B450)-LEN(SUBSTITUTE(B450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0" s="2"/>
    </row>
    <row r="451" spans="1:21" ht="15.6">
      <c r="A451" s="3">
        <v>2</v>
      </c>
      <c r="B451" s="7" t="s">
        <v>770</v>
      </c>
      <c r="C451" t="s">
        <v>640</v>
      </c>
      <c r="D451">
        <f t="shared" ref="D451:D514" si="22">LEN(B451)</f>
        <v>8</v>
      </c>
      <c r="E451">
        <f t="shared" ref="E451:E514" si="23">IMLOG2(94) * D451</f>
        <v>52.436710813421122</v>
      </c>
      <c r="F451" s="10">
        <v>2.75</v>
      </c>
      <c r="G451" s="10">
        <f t="shared" si="21"/>
        <v>22</v>
      </c>
      <c r="H451" s="10">
        <v>0</v>
      </c>
      <c r="I451" s="10">
        <v>186</v>
      </c>
      <c r="J451" s="10">
        <v>2.2695129999999999</v>
      </c>
      <c r="K451" s="10"/>
      <c r="L451" s="10"/>
      <c r="P451" cm="1">
        <f t="array" ref="P451">IF(SUM(N(ISNUMBER(FIND({"a","b","c","d","e","f","g","h","i","j","k","l","m","n","o","p","q","r","s","t","u","v","w","x","y","z"}, B451))))&gt;0, 26, 0)</f>
        <v>26</v>
      </c>
      <c r="Q451" cm="1">
        <f t="array" ref="Q451">IF(SUM(N(ISNUMBER(FIND({"A","B","C","D","E","F","G","H","I","J","K","L","M","N","O","P","Q","R","S","T","U","V","W","X","Y","Z"}, B451))))&gt;0, 26, 0)</f>
        <v>0</v>
      </c>
      <c r="R451" cm="1">
        <f t="array" ref="R451">IF(SUM(N(ISNUMBER(FIND({0,1,2,3,4,5,6,7,8,9}, B451))))&gt;0, 10, 0)</f>
        <v>0</v>
      </c>
      <c r="S451" cm="1">
        <f t="array" ref="S451">IF(LEN(B451)&gt;SUMPRODUCT(LEN(B451)-LEN(SUBSTITUTE(B451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1" s="2"/>
    </row>
    <row r="452" spans="1:21" ht="15.6">
      <c r="A452" s="3">
        <v>2</v>
      </c>
      <c r="B452" s="7" t="s">
        <v>771</v>
      </c>
      <c r="C452" t="s">
        <v>640</v>
      </c>
      <c r="D452">
        <f t="shared" si="22"/>
        <v>9</v>
      </c>
      <c r="E452">
        <f t="shared" si="23"/>
        <v>58.991299665098765</v>
      </c>
      <c r="F452" s="10">
        <v>2.6416040000000001</v>
      </c>
      <c r="G452" s="10">
        <f t="shared" si="21"/>
        <v>23.774436000000001</v>
      </c>
      <c r="H452" s="10">
        <v>0</v>
      </c>
      <c r="I452" s="10">
        <v>755</v>
      </c>
      <c r="J452" s="10">
        <v>2.8779469999999998</v>
      </c>
      <c r="K452" s="10"/>
      <c r="L452" s="10"/>
      <c r="P452" cm="1">
        <f t="array" ref="P452">IF(SUM(N(ISNUMBER(FIND({"a","b","c","d","e","f","g","h","i","j","k","l","m","n","o","p","q","r","s","t","u","v","w","x","y","z"}, B452))))&gt;0, 26, 0)</f>
        <v>26</v>
      </c>
      <c r="Q452" cm="1">
        <f t="array" ref="Q452">IF(SUM(N(ISNUMBER(FIND({"A","B","C","D","E","F","G","H","I","J","K","L","M","N","O","P","Q","R","S","T","U","V","W","X","Y","Z"}, B452))))&gt;0, 26, 0)</f>
        <v>0</v>
      </c>
      <c r="R452" cm="1">
        <f t="array" ref="R452">IF(SUM(N(ISNUMBER(FIND({0,1,2,3,4,5,6,7,8,9}, B452))))&gt;0, 10, 0)</f>
        <v>0</v>
      </c>
      <c r="S452" cm="1">
        <f t="array" ref="S452">IF(LEN(B452)&gt;SUMPRODUCT(LEN(B452)-LEN(SUBSTITUTE(B452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2" s="2"/>
    </row>
    <row r="453" spans="1:21" ht="15.6">
      <c r="A453" s="3">
        <v>2</v>
      </c>
      <c r="B453" s="7" t="s">
        <v>772</v>
      </c>
      <c r="C453" t="s">
        <v>640</v>
      </c>
      <c r="D453">
        <f t="shared" si="22"/>
        <v>8</v>
      </c>
      <c r="E453">
        <f t="shared" si="23"/>
        <v>52.436710813421122</v>
      </c>
      <c r="F453" s="10">
        <v>2.5</v>
      </c>
      <c r="G453" s="10">
        <f t="shared" si="21"/>
        <v>20</v>
      </c>
      <c r="H453" s="10">
        <v>0</v>
      </c>
      <c r="I453" s="10">
        <v>3</v>
      </c>
      <c r="J453" s="10">
        <v>0.47712100000000002</v>
      </c>
      <c r="K453" s="10"/>
      <c r="L453" s="10"/>
      <c r="P453" cm="1">
        <f t="array" ref="P453">IF(SUM(N(ISNUMBER(FIND({"a","b","c","d","e","f","g","h","i","j","k","l","m","n","o","p","q","r","s","t","u","v","w","x","y","z"}, B453))))&gt;0, 26, 0)</f>
        <v>26</v>
      </c>
      <c r="Q453" cm="1">
        <f t="array" ref="Q453">IF(SUM(N(ISNUMBER(FIND({"A","B","C","D","E","F","G","H","I","J","K","L","M","N","O","P","Q","R","S","T","U","V","W","X","Y","Z"}, B453))))&gt;0, 26, 0)</f>
        <v>0</v>
      </c>
      <c r="R453" cm="1">
        <f t="array" ref="R453">IF(SUM(N(ISNUMBER(FIND({0,1,2,3,4,5,6,7,8,9}, B453))))&gt;0, 10, 0)</f>
        <v>0</v>
      </c>
      <c r="S453" cm="1">
        <f t="array" ref="S453">IF(LEN(B453)&gt;SUMPRODUCT(LEN(B453)-LEN(SUBSTITUTE(B453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3" s="2"/>
    </row>
    <row r="454" spans="1:21" ht="15.6">
      <c r="A454" s="3">
        <v>2</v>
      </c>
      <c r="B454" s="7" t="s">
        <v>773</v>
      </c>
      <c r="C454" t="s">
        <v>640</v>
      </c>
      <c r="D454">
        <f t="shared" si="22"/>
        <v>6</v>
      </c>
      <c r="E454">
        <f t="shared" si="23"/>
        <v>39.327533110065843</v>
      </c>
      <c r="F454" s="10">
        <v>2.5849630000000001</v>
      </c>
      <c r="G454" s="10">
        <f t="shared" si="21"/>
        <v>15.509778000000001</v>
      </c>
      <c r="H454" s="10">
        <v>0</v>
      </c>
      <c r="I454" s="10">
        <v>80</v>
      </c>
      <c r="J454" s="10">
        <v>1.9030899999999999</v>
      </c>
      <c r="K454" s="10"/>
      <c r="L454" s="10"/>
      <c r="P454" cm="1">
        <f t="array" ref="P454">IF(SUM(N(ISNUMBER(FIND({"a","b","c","d","e","f","g","h","i","j","k","l","m","n","o","p","q","r","s","t","u","v","w","x","y","z"}, B454))))&gt;0, 26, 0)</f>
        <v>26</v>
      </c>
      <c r="Q454" cm="1">
        <f t="array" ref="Q454">IF(SUM(N(ISNUMBER(FIND({"A","B","C","D","E","F","G","H","I","J","K","L","M","N","O","P","Q","R","S","T","U","V","W","X","Y","Z"}, B454))))&gt;0, 26, 0)</f>
        <v>0</v>
      </c>
      <c r="R454" cm="1">
        <f t="array" ref="R454">IF(SUM(N(ISNUMBER(FIND({0,1,2,3,4,5,6,7,8,9}, B454))))&gt;0, 10, 0)</f>
        <v>0</v>
      </c>
      <c r="S454" cm="1">
        <f t="array" ref="S454">IF(LEN(B454)&gt;SUMPRODUCT(LEN(B454)-LEN(SUBSTITUTE(B454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4" s="2"/>
    </row>
    <row r="455" spans="1:21" ht="15.6">
      <c r="A455" s="3">
        <v>2</v>
      </c>
      <c r="B455" s="7" t="s">
        <v>774</v>
      </c>
      <c r="C455" t="s">
        <v>640</v>
      </c>
      <c r="D455">
        <f t="shared" si="22"/>
        <v>8</v>
      </c>
      <c r="E455">
        <f t="shared" si="23"/>
        <v>52.436710813421122</v>
      </c>
      <c r="F455" s="10">
        <v>2.75</v>
      </c>
      <c r="G455" s="10">
        <f t="shared" si="21"/>
        <v>22</v>
      </c>
      <c r="H455" s="10">
        <v>1</v>
      </c>
      <c r="I455" s="10">
        <v>7826</v>
      </c>
      <c r="J455" s="10">
        <v>3.8935399999999998</v>
      </c>
      <c r="K455" s="10"/>
      <c r="L455" s="10"/>
      <c r="P455" cm="1">
        <f t="array" ref="P455">IF(SUM(N(ISNUMBER(FIND({"a","b","c","d","e","f","g","h","i","j","k","l","m","n","o","p","q","r","s","t","u","v","w","x","y","z"}, B455))))&gt;0, 26, 0)</f>
        <v>26</v>
      </c>
      <c r="Q455" cm="1">
        <f t="array" ref="Q455">IF(SUM(N(ISNUMBER(FIND({"A","B","C","D","E","F","G","H","I","J","K","L","M","N","O","P","Q","R","S","T","U","V","W","X","Y","Z"}, B455))))&gt;0, 26, 0)</f>
        <v>0</v>
      </c>
      <c r="R455" cm="1">
        <f t="array" ref="R455">IF(SUM(N(ISNUMBER(FIND({0,1,2,3,4,5,6,7,8,9}, B455))))&gt;0, 10, 0)</f>
        <v>0</v>
      </c>
      <c r="S455" cm="1">
        <f t="array" ref="S455">IF(LEN(B455)&gt;SUMPRODUCT(LEN(B455)-LEN(SUBSTITUTE(B455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5" s="2"/>
    </row>
    <row r="456" spans="1:21" ht="15.6">
      <c r="A456" s="3">
        <v>2</v>
      </c>
      <c r="B456" s="7">
        <v>7777777</v>
      </c>
      <c r="C456" t="s">
        <v>640</v>
      </c>
      <c r="D456">
        <f t="shared" si="22"/>
        <v>7</v>
      </c>
      <c r="E456">
        <f t="shared" si="23"/>
        <v>45.882121961743479</v>
      </c>
      <c r="F456" s="10">
        <v>0</v>
      </c>
      <c r="G456" s="10">
        <f t="shared" si="21"/>
        <v>0</v>
      </c>
      <c r="H456" s="10">
        <v>0</v>
      </c>
      <c r="I456" s="10">
        <v>30</v>
      </c>
      <c r="J456" s="10">
        <v>1.4771209999999999</v>
      </c>
      <c r="K456" s="10"/>
      <c r="L456" s="10"/>
      <c r="P456" cm="1">
        <f t="array" ref="P456">IF(SUM(N(ISNUMBER(FIND({"a","b","c","d","e","f","g","h","i","j","k","l","m","n","o","p","q","r","s","t","u","v","w","x","y","z"}, B456))))&gt;0, 26, 0)</f>
        <v>0</v>
      </c>
      <c r="Q456" cm="1">
        <f t="array" ref="Q456">IF(SUM(N(ISNUMBER(FIND({"A","B","C","D","E","F","G","H","I","J","K","L","M","N","O","P","Q","R","S","T","U","V","W","X","Y","Z"}, B456))))&gt;0, 26, 0)</f>
        <v>0</v>
      </c>
      <c r="R456" cm="1">
        <f t="array" ref="R456">IF(SUM(N(ISNUMBER(FIND({0,1,2,3,4,5,6,7,8,9}, B456))))&gt;0, 10, 0)</f>
        <v>10</v>
      </c>
      <c r="S456" cm="1">
        <f t="array" ref="S456">IF(LEN(B456)&gt;SUMPRODUCT(LEN(B456)-LEN(SUBSTITUTE(B456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6" s="2"/>
    </row>
    <row r="457" spans="1:21" ht="15.6">
      <c r="A457" s="3">
        <v>2</v>
      </c>
      <c r="B457" s="7" t="s">
        <v>775</v>
      </c>
      <c r="C457" t="s">
        <v>640</v>
      </c>
      <c r="D457">
        <f t="shared" si="22"/>
        <v>6</v>
      </c>
      <c r="E457">
        <f t="shared" si="23"/>
        <v>39.327533110065843</v>
      </c>
      <c r="F457" s="10">
        <v>1.792481</v>
      </c>
      <c r="G457" s="10">
        <f t="shared" si="21"/>
        <v>10.754885999999999</v>
      </c>
      <c r="H457" s="10">
        <v>0</v>
      </c>
      <c r="I457" s="10">
        <v>68</v>
      </c>
      <c r="J457" s="10">
        <v>1.8325089999999999</v>
      </c>
      <c r="K457" s="10"/>
      <c r="L457" s="10"/>
      <c r="P457" cm="1">
        <f t="array" ref="P457">IF(SUM(N(ISNUMBER(FIND({"a","b","c","d","e","f","g","h","i","j","k","l","m","n","o","p","q","r","s","t","u","v","w","x","y","z"}, B457))))&gt;0, 26, 0)</f>
        <v>26</v>
      </c>
      <c r="Q457" cm="1">
        <f t="array" ref="Q457">IF(SUM(N(ISNUMBER(FIND({"A","B","C","D","E","F","G","H","I","J","K","L","M","N","O","P","Q","R","S","T","U","V","W","X","Y","Z"}, B457))))&gt;0, 26, 0)</f>
        <v>0</v>
      </c>
      <c r="R457" cm="1">
        <f t="array" ref="R457">IF(SUM(N(ISNUMBER(FIND({0,1,2,3,4,5,6,7,8,9}, B457))))&gt;0, 10, 0)</f>
        <v>0</v>
      </c>
      <c r="S457" cm="1">
        <f t="array" ref="S457">IF(LEN(B457)&gt;SUMPRODUCT(LEN(B457)-LEN(SUBSTITUTE(B457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7" s="2"/>
    </row>
    <row r="458" spans="1:21" ht="15.6">
      <c r="A458" s="3">
        <v>2</v>
      </c>
      <c r="B458" s="7">
        <v>159753</v>
      </c>
      <c r="C458" t="s">
        <v>640</v>
      </c>
      <c r="D458">
        <f t="shared" si="22"/>
        <v>6</v>
      </c>
      <c r="E458">
        <f t="shared" si="23"/>
        <v>39.327533110065843</v>
      </c>
      <c r="F458" s="10">
        <v>2.2516289999999999</v>
      </c>
      <c r="G458" s="10">
        <f t="shared" si="21"/>
        <v>13.509774</v>
      </c>
      <c r="H458" s="10">
        <v>0</v>
      </c>
      <c r="I458" s="10">
        <v>69</v>
      </c>
      <c r="J458" s="10">
        <v>1.838849</v>
      </c>
      <c r="K458" s="10"/>
      <c r="L458" s="10"/>
      <c r="P458" cm="1">
        <f t="array" ref="P458">IF(SUM(N(ISNUMBER(FIND({"a","b","c","d","e","f","g","h","i","j","k","l","m","n","o","p","q","r","s","t","u","v","w","x","y","z"}, B458))))&gt;0, 26, 0)</f>
        <v>0</v>
      </c>
      <c r="Q458" cm="1">
        <f t="array" ref="Q458">IF(SUM(N(ISNUMBER(FIND({"A","B","C","D","E","F","G","H","I","J","K","L","M","N","O","P","Q","R","S","T","U","V","W","X","Y","Z"}, B458))))&gt;0, 26, 0)</f>
        <v>0</v>
      </c>
      <c r="R458" cm="1">
        <f t="array" ref="R458">IF(SUM(N(ISNUMBER(FIND({0,1,2,3,4,5,6,7,8,9}, B458))))&gt;0, 10, 0)</f>
        <v>10</v>
      </c>
      <c r="S458" cm="1">
        <f t="array" ref="S458">IF(LEN(B458)&gt;SUMPRODUCT(LEN(B458)-LEN(SUBSTITUTE(B458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8" s="2"/>
    </row>
    <row r="459" spans="1:21" ht="15.6">
      <c r="A459" s="3">
        <v>2</v>
      </c>
      <c r="B459" s="7" t="s">
        <v>776</v>
      </c>
      <c r="C459" t="s">
        <v>640</v>
      </c>
      <c r="D459">
        <f t="shared" si="22"/>
        <v>7</v>
      </c>
      <c r="E459">
        <f t="shared" si="23"/>
        <v>45.882121961743479</v>
      </c>
      <c r="F459" s="10">
        <v>2.5216409999999998</v>
      </c>
      <c r="G459" s="10">
        <f t="shared" si="21"/>
        <v>17.651486999999999</v>
      </c>
      <c r="H459" s="10">
        <v>0</v>
      </c>
      <c r="I459" s="10">
        <v>119</v>
      </c>
      <c r="J459" s="10">
        <v>2.0755469999999998</v>
      </c>
      <c r="K459" s="10"/>
      <c r="L459" s="10"/>
      <c r="P459" cm="1">
        <f t="array" ref="P459">IF(SUM(N(ISNUMBER(FIND({"a","b","c","d","e","f","g","h","i","j","k","l","m","n","o","p","q","r","s","t","u","v","w","x","y","z"}, B459))))&gt;0, 26, 0)</f>
        <v>26</v>
      </c>
      <c r="Q459" cm="1">
        <f t="array" ref="Q459">IF(SUM(N(ISNUMBER(FIND({"A","B","C","D","E","F","G","H","I","J","K","L","M","N","O","P","Q","R","S","T","U","V","W","X","Y","Z"}, B459))))&gt;0, 26, 0)</f>
        <v>0</v>
      </c>
      <c r="R459" cm="1">
        <f t="array" ref="R459">IF(SUM(N(ISNUMBER(FIND({0,1,2,3,4,5,6,7,8,9}, B459))))&gt;0, 10, 0)</f>
        <v>0</v>
      </c>
      <c r="S459" cm="1">
        <f t="array" ref="S459">IF(LEN(B459)&gt;SUMPRODUCT(LEN(B459)-LEN(SUBSTITUTE(B459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59" s="2"/>
    </row>
    <row r="460" spans="1:21" ht="15.6">
      <c r="A460" s="3">
        <v>2</v>
      </c>
      <c r="B460" s="7" t="s">
        <v>777</v>
      </c>
      <c r="C460" t="s">
        <v>640</v>
      </c>
      <c r="D460">
        <f t="shared" si="22"/>
        <v>7</v>
      </c>
      <c r="E460">
        <f t="shared" si="23"/>
        <v>45.882121961743479</v>
      </c>
      <c r="F460" s="10">
        <v>2.8073549999999998</v>
      </c>
      <c r="G460" s="10">
        <f t="shared" si="21"/>
        <v>19.651484999999997</v>
      </c>
      <c r="H460" s="10">
        <v>0</v>
      </c>
      <c r="I460" s="10">
        <v>259</v>
      </c>
      <c r="J460" s="10">
        <v>2.4133</v>
      </c>
      <c r="K460" s="10"/>
      <c r="L460" s="10"/>
      <c r="P460" cm="1">
        <f t="array" ref="P460">IF(SUM(N(ISNUMBER(FIND({"a","b","c","d","e","f","g","h","i","j","k","l","m","n","o","p","q","r","s","t","u","v","w","x","y","z"}, B460))))&gt;0, 26, 0)</f>
        <v>26</v>
      </c>
      <c r="Q460" cm="1">
        <f t="array" ref="Q460">IF(SUM(N(ISNUMBER(FIND({"A","B","C","D","E","F","G","H","I","J","K","L","M","N","O","P","Q","R","S","T","U","V","W","X","Y","Z"}, B460))))&gt;0, 26, 0)</f>
        <v>0</v>
      </c>
      <c r="R460" cm="1">
        <f t="array" ref="R460">IF(SUM(N(ISNUMBER(FIND({0,1,2,3,4,5,6,7,8,9}, B460))))&gt;0, 10, 0)</f>
        <v>0</v>
      </c>
      <c r="S460" cm="1">
        <f t="array" ref="S460">IF(LEN(B460)&gt;SUMPRODUCT(LEN(B460)-LEN(SUBSTITUTE(B460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0" s="2"/>
    </row>
    <row r="461" spans="1:21" ht="15.6">
      <c r="A461" s="3">
        <v>2</v>
      </c>
      <c r="B461" s="7" t="s">
        <v>778</v>
      </c>
      <c r="C461" t="s">
        <v>640</v>
      </c>
      <c r="D461">
        <f t="shared" si="22"/>
        <v>7</v>
      </c>
      <c r="E461">
        <f t="shared" si="23"/>
        <v>45.882121961743479</v>
      </c>
      <c r="F461" s="10">
        <v>2.2359260000000001</v>
      </c>
      <c r="G461" s="10">
        <f t="shared" si="21"/>
        <v>15.651482000000001</v>
      </c>
      <c r="H461" s="10">
        <v>0</v>
      </c>
      <c r="I461" s="10">
        <v>99</v>
      </c>
      <c r="J461" s="10">
        <v>1.995635</v>
      </c>
      <c r="K461" s="10"/>
      <c r="L461" s="10"/>
      <c r="P461" cm="1">
        <f t="array" ref="P461">IF(SUM(N(ISNUMBER(FIND({"a","b","c","d","e","f","g","h","i","j","k","l","m","n","o","p","q","r","s","t","u","v","w","x","y","z"}, B461))))&gt;0, 26, 0)</f>
        <v>26</v>
      </c>
      <c r="Q461" cm="1">
        <f t="array" ref="Q461">IF(SUM(N(ISNUMBER(FIND({"A","B","C","D","E","F","G","H","I","J","K","L","M","N","O","P","Q","R","S","T","U","V","W","X","Y","Z"}, B461))))&gt;0, 26, 0)</f>
        <v>0</v>
      </c>
      <c r="R461" cm="1">
        <f t="array" ref="R461">IF(SUM(N(ISNUMBER(FIND({0,1,2,3,4,5,6,7,8,9}, B461))))&gt;0, 10, 0)</f>
        <v>0</v>
      </c>
      <c r="S461" cm="1">
        <f t="array" ref="S461">IF(LEN(B461)&gt;SUMPRODUCT(LEN(B461)-LEN(SUBSTITUTE(B461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1" s="2"/>
    </row>
    <row r="462" spans="1:21" ht="15.6">
      <c r="A462" s="3">
        <v>2</v>
      </c>
      <c r="B462" s="7" t="s">
        <v>779</v>
      </c>
      <c r="C462" t="s">
        <v>640</v>
      </c>
      <c r="D462">
        <f t="shared" si="22"/>
        <v>7</v>
      </c>
      <c r="E462">
        <f t="shared" si="23"/>
        <v>45.882121961743479</v>
      </c>
      <c r="F462" s="10">
        <v>2.2359260000000001</v>
      </c>
      <c r="G462" s="10">
        <f t="shared" si="21"/>
        <v>15.651482000000001</v>
      </c>
      <c r="H462" s="10">
        <v>0</v>
      </c>
      <c r="I462" s="10">
        <v>54</v>
      </c>
      <c r="J462" s="10">
        <v>1.732394</v>
      </c>
      <c r="K462" s="10"/>
      <c r="L462" s="10"/>
      <c r="P462" cm="1">
        <f t="array" ref="P462">IF(SUM(N(ISNUMBER(FIND({"a","b","c","d","e","f","g","h","i","j","k","l","m","n","o","p","q","r","s","t","u","v","w","x","y","z"}, B462))))&gt;0, 26, 0)</f>
        <v>26</v>
      </c>
      <c r="Q462" cm="1">
        <f t="array" ref="Q462">IF(SUM(N(ISNUMBER(FIND({"A","B","C","D","E","F","G","H","I","J","K","L","M","N","O","P","Q","R","S","T","U","V","W","X","Y","Z"}, B462))))&gt;0, 26, 0)</f>
        <v>0</v>
      </c>
      <c r="R462" cm="1">
        <f t="array" ref="R462">IF(SUM(N(ISNUMBER(FIND({0,1,2,3,4,5,6,7,8,9}, B462))))&gt;0, 10, 0)</f>
        <v>0</v>
      </c>
      <c r="S462" cm="1">
        <f t="array" ref="S462">IF(LEN(B462)&gt;SUMPRODUCT(LEN(B462)-LEN(SUBSTITUTE(B462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2" s="2"/>
    </row>
    <row r="463" spans="1:21" ht="15.6">
      <c r="A463" s="3">
        <v>2</v>
      </c>
      <c r="B463" s="7" t="s">
        <v>780</v>
      </c>
      <c r="C463" t="s">
        <v>640</v>
      </c>
      <c r="D463">
        <f t="shared" si="22"/>
        <v>5</v>
      </c>
      <c r="E463">
        <f t="shared" si="23"/>
        <v>32.7729442583882</v>
      </c>
      <c r="F463" s="10">
        <v>1.9219280000000001</v>
      </c>
      <c r="G463" s="10">
        <f t="shared" si="21"/>
        <v>9.6096400000000006</v>
      </c>
      <c r="H463" s="10">
        <v>0</v>
      </c>
      <c r="I463" s="10">
        <v>7</v>
      </c>
      <c r="J463" s="10">
        <v>0.84509800000000002</v>
      </c>
      <c r="K463" s="10"/>
      <c r="L463" s="10"/>
      <c r="P463" cm="1">
        <f t="array" ref="P463">IF(SUM(N(ISNUMBER(FIND({"a","b","c","d","e","f","g","h","i","j","k","l","m","n","o","p","q","r","s","t","u","v","w","x","y","z"}, B463))))&gt;0, 26, 0)</f>
        <v>26</v>
      </c>
      <c r="Q463" cm="1">
        <f t="array" ref="Q463">IF(SUM(N(ISNUMBER(FIND({"A","B","C","D","E","F","G","H","I","J","K","L","M","N","O","P","Q","R","S","T","U","V","W","X","Y","Z"}, B463))))&gt;0, 26, 0)</f>
        <v>0</v>
      </c>
      <c r="R463" cm="1">
        <f t="array" ref="R463">IF(SUM(N(ISNUMBER(FIND({0,1,2,3,4,5,6,7,8,9}, B463))))&gt;0, 10, 0)</f>
        <v>0</v>
      </c>
      <c r="S463" cm="1">
        <f t="array" ref="S463">IF(LEN(B463)&gt;SUMPRODUCT(LEN(B463)-LEN(SUBSTITUTE(B463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3" s="2"/>
    </row>
    <row r="464" spans="1:21" ht="15.6">
      <c r="A464" s="3">
        <v>2</v>
      </c>
      <c r="B464" s="7" t="s">
        <v>781</v>
      </c>
      <c r="C464" t="s">
        <v>640</v>
      </c>
      <c r="D464">
        <f t="shared" si="22"/>
        <v>6</v>
      </c>
      <c r="E464">
        <f t="shared" si="23"/>
        <v>39.327533110065843</v>
      </c>
      <c r="F464" s="10">
        <v>2.2516289999999999</v>
      </c>
      <c r="G464" s="10">
        <f t="shared" si="21"/>
        <v>13.509774</v>
      </c>
      <c r="H464" s="10">
        <v>0</v>
      </c>
      <c r="I464" s="10">
        <v>63</v>
      </c>
      <c r="J464" s="10">
        <v>1.7993410000000001</v>
      </c>
      <c r="K464" s="10"/>
      <c r="L464" s="10"/>
      <c r="P464" cm="1">
        <f t="array" ref="P464">IF(SUM(N(ISNUMBER(FIND({"a","b","c","d","e","f","g","h","i","j","k","l","m","n","o","p","q","r","s","t","u","v","w","x","y","z"}, B464))))&gt;0, 26, 0)</f>
        <v>26</v>
      </c>
      <c r="Q464" cm="1">
        <f t="array" ref="Q464">IF(SUM(N(ISNUMBER(FIND({"A","B","C","D","E","F","G","H","I","J","K","L","M","N","O","P","Q","R","S","T","U","V","W","X","Y","Z"}, B464))))&gt;0, 26, 0)</f>
        <v>0</v>
      </c>
      <c r="R464" cm="1">
        <f t="array" ref="R464">IF(SUM(N(ISNUMBER(FIND({0,1,2,3,4,5,6,7,8,9}, B464))))&gt;0, 10, 0)</f>
        <v>0</v>
      </c>
      <c r="S464" cm="1">
        <f t="array" ref="S464">IF(LEN(B464)&gt;SUMPRODUCT(LEN(B464)-LEN(SUBSTITUTE(B464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4" s="2"/>
    </row>
    <row r="465" spans="1:21" ht="15.6">
      <c r="A465" s="3">
        <v>2</v>
      </c>
      <c r="B465" s="7" t="s">
        <v>782</v>
      </c>
      <c r="C465" t="s">
        <v>640</v>
      </c>
      <c r="D465">
        <f t="shared" si="22"/>
        <v>9</v>
      </c>
      <c r="E465">
        <f t="shared" si="23"/>
        <v>58.991299665098765</v>
      </c>
      <c r="F465" s="10">
        <v>2.9477030000000002</v>
      </c>
      <c r="G465" s="10">
        <f t="shared" si="21"/>
        <v>26.529327000000002</v>
      </c>
      <c r="H465" s="10">
        <v>0</v>
      </c>
      <c r="I465" s="10">
        <v>42</v>
      </c>
      <c r="J465" s="10">
        <v>1.6232489999999999</v>
      </c>
      <c r="K465" s="10"/>
      <c r="L465" s="10"/>
      <c r="P465" cm="1">
        <f t="array" ref="P465">IF(SUM(N(ISNUMBER(FIND({"a","b","c","d","e","f","g","h","i","j","k","l","m","n","o","p","q","r","s","t","u","v","w","x","y","z"}, B465))))&gt;0, 26, 0)</f>
        <v>26</v>
      </c>
      <c r="Q465" cm="1">
        <f t="array" ref="Q465">IF(SUM(N(ISNUMBER(FIND({"A","B","C","D","E","F","G","H","I","J","K","L","M","N","O","P","Q","R","S","T","U","V","W","X","Y","Z"}, B465))))&gt;0, 26, 0)</f>
        <v>0</v>
      </c>
      <c r="R465" cm="1">
        <f t="array" ref="R465">IF(SUM(N(ISNUMBER(FIND({0,1,2,3,4,5,6,7,8,9}, B465))))&gt;0, 10, 0)</f>
        <v>0</v>
      </c>
      <c r="S465" cm="1">
        <f t="array" ref="S465">IF(LEN(B465)&gt;SUMPRODUCT(LEN(B465)-LEN(SUBSTITUTE(B465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5" s="2"/>
    </row>
    <row r="466" spans="1:21" ht="15.6">
      <c r="A466" s="3">
        <v>2</v>
      </c>
      <c r="B466" s="7" t="s">
        <v>783</v>
      </c>
      <c r="C466" t="s">
        <v>640</v>
      </c>
      <c r="D466">
        <f t="shared" si="22"/>
        <v>6</v>
      </c>
      <c r="E466">
        <f t="shared" si="23"/>
        <v>39.327533110065843</v>
      </c>
      <c r="F466" s="10">
        <v>2.5849630000000001</v>
      </c>
      <c r="G466" s="10">
        <f t="shared" si="21"/>
        <v>15.509778000000001</v>
      </c>
      <c r="H466" s="10">
        <v>0</v>
      </c>
      <c r="I466" s="10">
        <v>109</v>
      </c>
      <c r="J466" s="10">
        <v>2.037426</v>
      </c>
      <c r="K466" s="10"/>
      <c r="L466" s="10"/>
      <c r="P466" cm="1">
        <f t="array" ref="P466">IF(SUM(N(ISNUMBER(FIND({"a","b","c","d","e","f","g","h","i","j","k","l","m","n","o","p","q","r","s","t","u","v","w","x","y","z"}, B466))))&gt;0, 26, 0)</f>
        <v>26</v>
      </c>
      <c r="Q466" cm="1">
        <f t="array" ref="Q466">IF(SUM(N(ISNUMBER(FIND({"A","B","C","D","E","F","G","H","I","J","K","L","M","N","O","P","Q","R","S","T","U","V","W","X","Y","Z"}, B466))))&gt;0, 26, 0)</f>
        <v>0</v>
      </c>
      <c r="R466" cm="1">
        <f t="array" ref="R466">IF(SUM(N(ISNUMBER(FIND({0,1,2,3,4,5,6,7,8,9}, B466))))&gt;0, 10, 0)</f>
        <v>0</v>
      </c>
      <c r="S466" cm="1">
        <f t="array" ref="S466">IF(LEN(B466)&gt;SUMPRODUCT(LEN(B466)-LEN(SUBSTITUTE(B466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6" s="2"/>
    </row>
    <row r="467" spans="1:21" ht="15.6">
      <c r="A467" s="3">
        <v>2</v>
      </c>
      <c r="B467" s="7" t="s">
        <v>784</v>
      </c>
      <c r="C467" t="s">
        <v>640</v>
      </c>
      <c r="D467">
        <f t="shared" si="22"/>
        <v>8</v>
      </c>
      <c r="E467">
        <f t="shared" si="23"/>
        <v>52.436710813421122</v>
      </c>
      <c r="F467" s="10">
        <v>3</v>
      </c>
      <c r="G467" s="10">
        <f t="shared" si="21"/>
        <v>24</v>
      </c>
      <c r="H467" s="10">
        <v>0</v>
      </c>
      <c r="I467" s="10">
        <v>335</v>
      </c>
      <c r="J467" s="10">
        <v>2.525045</v>
      </c>
      <c r="K467" s="10"/>
      <c r="L467" s="10"/>
      <c r="P467" cm="1">
        <f t="array" ref="P467">IF(SUM(N(ISNUMBER(FIND({"a","b","c","d","e","f","g","h","i","j","k","l","m","n","o","p","q","r","s","t","u","v","w","x","y","z"}, B467))))&gt;0, 26, 0)</f>
        <v>26</v>
      </c>
      <c r="Q467" cm="1">
        <f t="array" ref="Q467">IF(SUM(N(ISNUMBER(FIND({"A","B","C","D","E","F","G","H","I","J","K","L","M","N","O","P","Q","R","S","T","U","V","W","X","Y","Z"}, B467))))&gt;0, 26, 0)</f>
        <v>0</v>
      </c>
      <c r="R467" cm="1">
        <f t="array" ref="R467">IF(SUM(N(ISNUMBER(FIND({0,1,2,3,4,5,6,7,8,9}, B467))))&gt;0, 10, 0)</f>
        <v>10</v>
      </c>
      <c r="S467" cm="1">
        <f t="array" ref="S467">IF(LEN(B467)&gt;SUMPRODUCT(LEN(B467)-LEN(SUBSTITUTE(B467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7" s="2"/>
    </row>
    <row r="468" spans="1:21" ht="15.6">
      <c r="A468" s="3">
        <v>2</v>
      </c>
      <c r="B468" s="7" t="s">
        <v>785</v>
      </c>
      <c r="C468" t="s">
        <v>640</v>
      </c>
      <c r="D468">
        <f t="shared" si="22"/>
        <v>7</v>
      </c>
      <c r="E468">
        <f t="shared" si="23"/>
        <v>45.882121961743479</v>
      </c>
      <c r="F468" s="10">
        <v>2.128085</v>
      </c>
      <c r="G468" s="10">
        <f t="shared" si="21"/>
        <v>14.896595</v>
      </c>
      <c r="H468" s="10">
        <v>0</v>
      </c>
      <c r="I468" s="10">
        <v>651</v>
      </c>
      <c r="J468" s="10">
        <v>2.8135810000000001</v>
      </c>
      <c r="K468" s="10"/>
      <c r="L468" s="10"/>
      <c r="P468" cm="1">
        <f t="array" ref="P468">IF(SUM(N(ISNUMBER(FIND({"a","b","c","d","e","f","g","h","i","j","k","l","m","n","o","p","q","r","s","t","u","v","w","x","y","z"}, B468))))&gt;0, 26, 0)</f>
        <v>26</v>
      </c>
      <c r="Q468" cm="1">
        <f t="array" ref="Q468">IF(SUM(N(ISNUMBER(FIND({"A","B","C","D","E","F","G","H","I","J","K","L","M","N","O","P","Q","R","S","T","U","V","W","X","Y","Z"}, B468))))&gt;0, 26, 0)</f>
        <v>0</v>
      </c>
      <c r="R468" cm="1">
        <f t="array" ref="R468">IF(SUM(N(ISNUMBER(FIND({0,1,2,3,4,5,6,7,8,9}, B468))))&gt;0, 10, 0)</f>
        <v>0</v>
      </c>
      <c r="S468" cm="1">
        <f t="array" ref="S468">IF(LEN(B468)&gt;SUMPRODUCT(LEN(B468)-LEN(SUBSTITUTE(B468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8" s="2"/>
    </row>
    <row r="469" spans="1:21" ht="15.6">
      <c r="A469" s="3">
        <v>2</v>
      </c>
      <c r="B469" s="7">
        <v>222222</v>
      </c>
      <c r="C469" t="s">
        <v>640</v>
      </c>
      <c r="D469">
        <f t="shared" si="22"/>
        <v>6</v>
      </c>
      <c r="E469">
        <f t="shared" si="23"/>
        <v>39.327533110065843</v>
      </c>
      <c r="F469" s="10">
        <v>0</v>
      </c>
      <c r="G469" s="10">
        <f t="shared" si="21"/>
        <v>0</v>
      </c>
      <c r="H469" s="10">
        <v>0</v>
      </c>
      <c r="I469" s="10">
        <v>73</v>
      </c>
      <c r="J469" s="10">
        <v>1.8633230000000001</v>
      </c>
      <c r="K469" s="10"/>
      <c r="L469" s="10"/>
      <c r="P469" cm="1">
        <f t="array" ref="P469">IF(SUM(N(ISNUMBER(FIND({"a","b","c","d","e","f","g","h","i","j","k","l","m","n","o","p","q","r","s","t","u","v","w","x","y","z"}, B469))))&gt;0, 26, 0)</f>
        <v>0</v>
      </c>
      <c r="Q469" cm="1">
        <f t="array" ref="Q469">IF(SUM(N(ISNUMBER(FIND({"A","B","C","D","E","F","G","H","I","J","K","L","M","N","O","P","Q","R","S","T","U","V","W","X","Y","Z"}, B469))))&gt;0, 26, 0)</f>
        <v>0</v>
      </c>
      <c r="R469" cm="1">
        <f t="array" ref="R469">IF(SUM(N(ISNUMBER(FIND({0,1,2,3,4,5,6,7,8,9}, B469))))&gt;0, 10, 0)</f>
        <v>10</v>
      </c>
      <c r="S469" cm="1">
        <f t="array" ref="S469">IF(LEN(B469)&gt;SUMPRODUCT(LEN(B469)-LEN(SUBSTITUTE(B469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69" s="2"/>
    </row>
    <row r="470" spans="1:21" ht="15.6">
      <c r="A470" s="3">
        <v>2</v>
      </c>
      <c r="B470" s="7" t="s">
        <v>786</v>
      </c>
      <c r="C470" t="s">
        <v>640</v>
      </c>
      <c r="D470">
        <f t="shared" si="22"/>
        <v>6</v>
      </c>
      <c r="E470">
        <f t="shared" si="23"/>
        <v>39.327533110065843</v>
      </c>
      <c r="F470" s="10">
        <v>2.5849630000000001</v>
      </c>
      <c r="G470" s="10">
        <f t="shared" si="21"/>
        <v>15.509778000000001</v>
      </c>
      <c r="H470" s="10">
        <v>0</v>
      </c>
      <c r="I470" s="10">
        <v>759</v>
      </c>
      <c r="J470" s="10">
        <v>2.880242</v>
      </c>
      <c r="K470" s="10"/>
      <c r="L470" s="10"/>
      <c r="P470" cm="1">
        <f t="array" ref="P470">IF(SUM(N(ISNUMBER(FIND({"a","b","c","d","e","f","g","h","i","j","k","l","m","n","o","p","q","r","s","t","u","v","w","x","y","z"}, B470))))&gt;0, 26, 0)</f>
        <v>26</v>
      </c>
      <c r="Q470" cm="1">
        <f t="array" ref="Q470">IF(SUM(N(ISNUMBER(FIND({"A","B","C","D","E","F","G","H","I","J","K","L","M","N","O","P","Q","R","S","T","U","V","W","X","Y","Z"}, B470))))&gt;0, 26, 0)</f>
        <v>0</v>
      </c>
      <c r="R470" cm="1">
        <f t="array" ref="R470">IF(SUM(N(ISNUMBER(FIND({0,1,2,3,4,5,6,7,8,9}, B470))))&gt;0, 10, 0)</f>
        <v>0</v>
      </c>
      <c r="S470" cm="1">
        <f t="array" ref="S470">IF(LEN(B470)&gt;SUMPRODUCT(LEN(B470)-LEN(SUBSTITUTE(B470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0" s="2"/>
    </row>
    <row r="471" spans="1:21" ht="15.6">
      <c r="A471" s="3">
        <v>2</v>
      </c>
      <c r="B471" s="7">
        <v>987654</v>
      </c>
      <c r="C471" t="s">
        <v>640</v>
      </c>
      <c r="D471">
        <f t="shared" si="22"/>
        <v>6</v>
      </c>
      <c r="E471">
        <f t="shared" si="23"/>
        <v>39.327533110065843</v>
      </c>
      <c r="F471" s="10">
        <v>2.5849630000000001</v>
      </c>
      <c r="G471" s="10">
        <f t="shared" si="21"/>
        <v>15.509778000000001</v>
      </c>
      <c r="H471" s="10">
        <v>0</v>
      </c>
      <c r="I471" s="10">
        <v>49</v>
      </c>
      <c r="J471" s="10">
        <v>1.690196</v>
      </c>
      <c r="K471" s="10"/>
      <c r="L471" s="10"/>
      <c r="P471" cm="1">
        <f t="array" ref="P471">IF(SUM(N(ISNUMBER(FIND({"a","b","c","d","e","f","g","h","i","j","k","l","m","n","o","p","q","r","s","t","u","v","w","x","y","z"}, B471))))&gt;0, 26, 0)</f>
        <v>0</v>
      </c>
      <c r="Q471" cm="1">
        <f t="array" ref="Q471">IF(SUM(N(ISNUMBER(FIND({"A","B","C","D","E","F","G","H","I","J","K","L","M","N","O","P","Q","R","S","T","U","V","W","X","Y","Z"}, B471))))&gt;0, 26, 0)</f>
        <v>0</v>
      </c>
      <c r="R471" cm="1">
        <f t="array" ref="R471">IF(SUM(N(ISNUMBER(FIND({0,1,2,3,4,5,6,7,8,9}, B471))))&gt;0, 10, 0)</f>
        <v>10</v>
      </c>
      <c r="S471" cm="1">
        <f t="array" ref="S471">IF(LEN(B471)&gt;SUMPRODUCT(LEN(B471)-LEN(SUBSTITUTE(B471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1" s="2"/>
    </row>
    <row r="472" spans="1:21" ht="15.6">
      <c r="A472" s="3">
        <v>2</v>
      </c>
      <c r="B472" s="7" t="s">
        <v>787</v>
      </c>
      <c r="C472" t="s">
        <v>640</v>
      </c>
      <c r="D472">
        <f t="shared" si="22"/>
        <v>8</v>
      </c>
      <c r="E472">
        <f t="shared" si="23"/>
        <v>52.436710813421122</v>
      </c>
      <c r="F472" s="10">
        <v>2.75</v>
      </c>
      <c r="G472" s="10">
        <f t="shared" si="21"/>
        <v>22</v>
      </c>
      <c r="H472" s="10">
        <v>0</v>
      </c>
      <c r="I472" s="10">
        <v>117</v>
      </c>
      <c r="J472" s="10">
        <v>2.0681859999999999</v>
      </c>
      <c r="K472" s="10"/>
      <c r="L472" s="10"/>
      <c r="P472" cm="1">
        <f t="array" ref="P472">IF(SUM(N(ISNUMBER(FIND({"a","b","c","d","e","f","g","h","i","j","k","l","m","n","o","p","q","r","s","t","u","v","w","x","y","z"}, B472))))&gt;0, 26, 0)</f>
        <v>26</v>
      </c>
      <c r="Q472" cm="1">
        <f t="array" ref="Q472">IF(SUM(N(ISNUMBER(FIND({"A","B","C","D","E","F","G","H","I","J","K","L","M","N","O","P","Q","R","S","T","U","V","W","X","Y","Z"}, B472))))&gt;0, 26, 0)</f>
        <v>0</v>
      </c>
      <c r="R472" cm="1">
        <f t="array" ref="R472">IF(SUM(N(ISNUMBER(FIND({0,1,2,3,4,5,6,7,8,9}, B472))))&gt;0, 10, 0)</f>
        <v>0</v>
      </c>
      <c r="S472" cm="1">
        <f t="array" ref="S472">IF(LEN(B472)&gt;SUMPRODUCT(LEN(B472)-LEN(SUBSTITUTE(B472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2" s="2"/>
    </row>
    <row r="473" spans="1:21" ht="15.6">
      <c r="A473" s="3">
        <v>2</v>
      </c>
      <c r="B473" s="7" t="s">
        <v>788</v>
      </c>
      <c r="C473" t="s">
        <v>640</v>
      </c>
      <c r="D473">
        <f t="shared" si="22"/>
        <v>5</v>
      </c>
      <c r="E473">
        <f t="shared" si="23"/>
        <v>32.7729442583882</v>
      </c>
      <c r="F473" s="10">
        <v>2.3219280000000002</v>
      </c>
      <c r="G473" s="10">
        <f t="shared" si="21"/>
        <v>11.609640000000001</v>
      </c>
      <c r="H473" s="10">
        <v>0</v>
      </c>
      <c r="I473" s="10">
        <v>214</v>
      </c>
      <c r="J473" s="10">
        <v>2.3304140000000002</v>
      </c>
      <c r="K473" s="10"/>
      <c r="L473" s="10"/>
      <c r="P473" cm="1">
        <f t="array" ref="P473">IF(SUM(N(ISNUMBER(FIND({"a","b","c","d","e","f","g","h","i","j","k","l","m","n","o","p","q","r","s","t","u","v","w","x","y","z"}, B473))))&gt;0, 26, 0)</f>
        <v>26</v>
      </c>
      <c r="Q473" cm="1">
        <f t="array" ref="Q473">IF(SUM(N(ISNUMBER(FIND({"A","B","C","D","E","F","G","H","I","J","K","L","M","N","O","P","Q","R","S","T","U","V","W","X","Y","Z"}, B473))))&gt;0, 26, 0)</f>
        <v>0</v>
      </c>
      <c r="R473" cm="1">
        <f t="array" ref="R473">IF(SUM(N(ISNUMBER(FIND({0,1,2,3,4,5,6,7,8,9}, B473))))&gt;0, 10, 0)</f>
        <v>0</v>
      </c>
      <c r="S473" cm="1">
        <f t="array" ref="S473">IF(LEN(B473)&gt;SUMPRODUCT(LEN(B473)-LEN(SUBSTITUTE(B473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3" s="2"/>
    </row>
    <row r="474" spans="1:21" s="18" customFormat="1" ht="15.6">
      <c r="A474" s="17">
        <v>2</v>
      </c>
      <c r="B474" s="46" t="s">
        <v>789</v>
      </c>
      <c r="C474" s="18" t="s">
        <v>640</v>
      </c>
      <c r="D474" s="18">
        <f t="shared" si="22"/>
        <v>10</v>
      </c>
      <c r="E474" s="18">
        <f t="shared" si="23"/>
        <v>65.545888516776401</v>
      </c>
      <c r="F474" s="19">
        <v>2.9219279999999999</v>
      </c>
      <c r="G474" s="19">
        <f t="shared" si="21"/>
        <v>29.219279999999998</v>
      </c>
      <c r="H474" s="10">
        <v>1</v>
      </c>
      <c r="I474" s="19">
        <v>88496</v>
      </c>
      <c r="J474" s="19">
        <v>4.9469240000000001</v>
      </c>
      <c r="K474" s="19"/>
      <c r="L474" s="19"/>
      <c r="P474" s="18" cm="1">
        <f t="array" ref="P474">IF(SUM(N(ISNUMBER(FIND({"a","b","c","d","e","f","g","h","i","j","k","l","m","n","o","p","q","r","s","t","u","v","w","x","y","z"}, B474))))&gt;0, 26, 0)</f>
        <v>26</v>
      </c>
      <c r="Q474" s="18" cm="1">
        <f t="array" ref="Q474">IF(SUM(N(ISNUMBER(FIND({"A","B","C","D","E","F","G","H","I","J","K","L","M","N","O","P","Q","R","S","T","U","V","W","X","Y","Z"}, B474))))&gt;0, 26, 0)</f>
        <v>0</v>
      </c>
      <c r="R474" s="18" cm="1">
        <f t="array" ref="R474">IF(SUM(N(ISNUMBER(FIND({0,1,2,3,4,5,6,7,8,9}, B474))))&gt;0, 10, 0)</f>
        <v>10</v>
      </c>
      <c r="S474" s="18" cm="1">
        <f t="array" ref="S474">IF(LEN(B474)&gt;SUMPRODUCT(LEN(B474)-LEN(SUBSTITUTE(B474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4" s="16"/>
    </row>
    <row r="475" spans="1:21" ht="15.6">
      <c r="A475" s="3">
        <v>2</v>
      </c>
      <c r="B475" s="7" t="s">
        <v>790</v>
      </c>
      <c r="C475" t="s">
        <v>640</v>
      </c>
      <c r="D475">
        <f t="shared" si="22"/>
        <v>8</v>
      </c>
      <c r="E475">
        <f t="shared" si="23"/>
        <v>52.436710813421122</v>
      </c>
      <c r="F475" s="10">
        <v>2.75</v>
      </c>
      <c r="G475" s="10">
        <f t="shared" si="21"/>
        <v>22</v>
      </c>
      <c r="H475" s="10">
        <v>0</v>
      </c>
      <c r="I475" s="10">
        <v>221</v>
      </c>
      <c r="J475" s="10">
        <v>2.344392</v>
      </c>
      <c r="K475" s="10"/>
      <c r="L475" s="10"/>
      <c r="P475" cm="1">
        <f t="array" ref="P475">IF(SUM(N(ISNUMBER(FIND({"a","b","c","d","e","f","g","h","i","j","k","l","m","n","o","p","q","r","s","t","u","v","w","x","y","z"}, B475))))&gt;0, 26, 0)</f>
        <v>26</v>
      </c>
      <c r="Q475" cm="1">
        <f t="array" ref="Q475">IF(SUM(N(ISNUMBER(FIND({"A","B","C","D","E","F","G","H","I","J","K","L","M","N","O","P","Q","R","S","T","U","V","W","X","Y","Z"}, B475))))&gt;0, 26, 0)</f>
        <v>0</v>
      </c>
      <c r="R475" cm="1">
        <f t="array" ref="R475">IF(SUM(N(ISNUMBER(FIND({0,1,2,3,4,5,6,7,8,9}, B475))))&gt;0, 10, 0)</f>
        <v>0</v>
      </c>
      <c r="S475" cm="1">
        <f t="array" ref="S475">IF(LEN(B475)&gt;SUMPRODUCT(LEN(B475)-LEN(SUBSTITUTE(B475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5" s="2"/>
    </row>
    <row r="476" spans="1:21" ht="15.6">
      <c r="A476" s="3">
        <v>2</v>
      </c>
      <c r="B476" s="7" t="s">
        <v>791</v>
      </c>
      <c r="C476" t="s">
        <v>640</v>
      </c>
      <c r="D476">
        <f t="shared" si="22"/>
        <v>7</v>
      </c>
      <c r="E476">
        <f t="shared" si="23"/>
        <v>45.882121961743479</v>
      </c>
      <c r="F476" s="10">
        <v>2.5216409999999998</v>
      </c>
      <c r="G476" s="10">
        <f t="shared" si="21"/>
        <v>17.651486999999999</v>
      </c>
      <c r="H476" s="10">
        <v>0</v>
      </c>
      <c r="I476" s="10">
        <v>223</v>
      </c>
      <c r="J476" s="10">
        <v>2.3483049999999999</v>
      </c>
      <c r="K476" s="10"/>
      <c r="L476" s="10"/>
      <c r="P476" cm="1">
        <f t="array" ref="P476">IF(SUM(N(ISNUMBER(FIND({"a","b","c","d","e","f","g","h","i","j","k","l","m","n","o","p","q","r","s","t","u","v","w","x","y","z"}, B476))))&gt;0, 26, 0)</f>
        <v>26</v>
      </c>
      <c r="Q476" cm="1">
        <f t="array" ref="Q476">IF(SUM(N(ISNUMBER(FIND({"A","B","C","D","E","F","G","H","I","J","K","L","M","N","O","P","Q","R","S","T","U","V","W","X","Y","Z"}, B476))))&gt;0, 26, 0)</f>
        <v>0</v>
      </c>
      <c r="R476" cm="1">
        <f t="array" ref="R476">IF(SUM(N(ISNUMBER(FIND({0,1,2,3,4,5,6,7,8,9}, B476))))&gt;0, 10, 0)</f>
        <v>0</v>
      </c>
      <c r="S476" cm="1">
        <f t="array" ref="S476">IF(LEN(B476)&gt;SUMPRODUCT(LEN(B476)-LEN(SUBSTITUTE(B476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6" s="2"/>
    </row>
    <row r="477" spans="1:21" ht="15.6">
      <c r="A477" s="3">
        <v>2</v>
      </c>
      <c r="B477" s="7" t="s">
        <v>792</v>
      </c>
      <c r="C477" t="s">
        <v>640</v>
      </c>
      <c r="D477">
        <f t="shared" si="22"/>
        <v>6</v>
      </c>
      <c r="E477">
        <f t="shared" si="23"/>
        <v>39.327533110065843</v>
      </c>
      <c r="F477" s="10">
        <v>2.2516289999999999</v>
      </c>
      <c r="G477" s="10">
        <f t="shared" si="21"/>
        <v>13.509774</v>
      </c>
      <c r="H477" s="10">
        <v>0</v>
      </c>
      <c r="I477" s="10">
        <v>61</v>
      </c>
      <c r="J477" s="10">
        <v>1.7853300000000001</v>
      </c>
      <c r="K477" s="10"/>
      <c r="L477" s="10"/>
      <c r="P477" cm="1">
        <f t="array" ref="P477">IF(SUM(N(ISNUMBER(FIND({"a","b","c","d","e","f","g","h","i","j","k","l","m","n","o","p","q","r","s","t","u","v","w","x","y","z"}, B477))))&gt;0, 26, 0)</f>
        <v>26</v>
      </c>
      <c r="Q477" cm="1">
        <f t="array" ref="Q477">IF(SUM(N(ISNUMBER(FIND({"A","B","C","D","E","F","G","H","I","J","K","L","M","N","O","P","Q","R","S","T","U","V","W","X","Y","Z"}, B477))))&gt;0, 26, 0)</f>
        <v>0</v>
      </c>
      <c r="R477" cm="1">
        <f t="array" ref="R477">IF(SUM(N(ISNUMBER(FIND({0,1,2,3,4,5,6,7,8,9}, B477))))&gt;0, 10, 0)</f>
        <v>0</v>
      </c>
      <c r="S477" cm="1">
        <f t="array" ref="S477">IF(LEN(B477)&gt;SUMPRODUCT(LEN(B477)-LEN(SUBSTITUTE(B477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7" s="2"/>
    </row>
    <row r="478" spans="1:21" ht="15.6">
      <c r="A478" s="3">
        <v>2</v>
      </c>
      <c r="B478" s="7" t="s">
        <v>793</v>
      </c>
      <c r="C478" t="s">
        <v>640</v>
      </c>
      <c r="D478">
        <f t="shared" si="22"/>
        <v>7</v>
      </c>
      <c r="E478">
        <f t="shared" si="23"/>
        <v>45.882121961743479</v>
      </c>
      <c r="F478" s="10">
        <v>2.5216409999999998</v>
      </c>
      <c r="G478" s="10">
        <f t="shared" si="21"/>
        <v>17.651486999999999</v>
      </c>
      <c r="H478" s="10">
        <v>1</v>
      </c>
      <c r="I478" s="10">
        <v>1873</v>
      </c>
      <c r="J478" s="10">
        <v>3.2725379999999999</v>
      </c>
      <c r="K478" s="10"/>
      <c r="L478" s="10"/>
      <c r="P478" cm="1">
        <f t="array" ref="P478">IF(SUM(N(ISNUMBER(FIND({"a","b","c","d","e","f","g","h","i","j","k","l","m","n","o","p","q","r","s","t","u","v","w","x","y","z"}, B478))))&gt;0, 26, 0)</f>
        <v>26</v>
      </c>
      <c r="Q478" cm="1">
        <f t="array" ref="Q478">IF(SUM(N(ISNUMBER(FIND({"A","B","C","D","E","F","G","H","I","J","K","L","M","N","O","P","Q","R","S","T","U","V","W","X","Y","Z"}, B478))))&gt;0, 26, 0)</f>
        <v>0</v>
      </c>
      <c r="R478" cm="1">
        <f t="array" ref="R478">IF(SUM(N(ISNUMBER(FIND({0,1,2,3,4,5,6,7,8,9}, B478))))&gt;0, 10, 0)</f>
        <v>0</v>
      </c>
      <c r="S478" cm="1">
        <f t="array" ref="S478">IF(LEN(B478)&gt;SUMPRODUCT(LEN(B478)-LEN(SUBSTITUTE(B478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8" s="2"/>
    </row>
    <row r="479" spans="1:21" ht="15.6">
      <c r="A479" s="3">
        <v>2</v>
      </c>
      <c r="B479" s="7" t="s">
        <v>794</v>
      </c>
      <c r="C479" t="s">
        <v>640</v>
      </c>
      <c r="D479">
        <f t="shared" si="22"/>
        <v>7</v>
      </c>
      <c r="E479">
        <f t="shared" si="23"/>
        <v>45.882121961743479</v>
      </c>
      <c r="F479" s="10">
        <v>2.5216409999999998</v>
      </c>
      <c r="G479" s="10">
        <f t="shared" si="21"/>
        <v>17.651486999999999</v>
      </c>
      <c r="H479" s="10">
        <v>0</v>
      </c>
      <c r="I479" s="10">
        <v>106</v>
      </c>
      <c r="J479" s="10">
        <v>2.0253060000000001</v>
      </c>
      <c r="K479" s="10"/>
      <c r="L479" s="10"/>
      <c r="P479" cm="1">
        <f t="array" ref="P479">IF(SUM(N(ISNUMBER(FIND({"a","b","c","d","e","f","g","h","i","j","k","l","m","n","o","p","q","r","s","t","u","v","w","x","y","z"}, B479))))&gt;0, 26, 0)</f>
        <v>26</v>
      </c>
      <c r="Q479" cm="1">
        <f t="array" ref="Q479">IF(SUM(N(ISNUMBER(FIND({"A","B","C","D","E","F","G","H","I","J","K","L","M","N","O","P","Q","R","S","T","U","V","W","X","Y","Z"}, B479))))&gt;0, 26, 0)</f>
        <v>0</v>
      </c>
      <c r="R479" cm="1">
        <f t="array" ref="R479">IF(SUM(N(ISNUMBER(FIND({0,1,2,3,4,5,6,7,8,9}, B479))))&gt;0, 10, 0)</f>
        <v>0</v>
      </c>
      <c r="S479" cm="1">
        <f t="array" ref="S479">IF(LEN(B479)&gt;SUMPRODUCT(LEN(B479)-LEN(SUBSTITUTE(B479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79" s="2"/>
    </row>
    <row r="480" spans="1:21" ht="15.6">
      <c r="A480" s="3">
        <v>2</v>
      </c>
      <c r="B480" s="7" t="s">
        <v>795</v>
      </c>
      <c r="C480" t="s">
        <v>640</v>
      </c>
      <c r="D480">
        <f t="shared" si="22"/>
        <v>6</v>
      </c>
      <c r="E480">
        <f t="shared" si="23"/>
        <v>39.327533110065843</v>
      </c>
      <c r="F480" s="10">
        <v>1.4591479999999999</v>
      </c>
      <c r="G480" s="10">
        <f t="shared" si="21"/>
        <v>8.7548879999999993</v>
      </c>
      <c r="H480" s="10">
        <v>0</v>
      </c>
      <c r="I480" s="10">
        <v>55</v>
      </c>
      <c r="J480" s="10">
        <v>1.7403630000000001</v>
      </c>
      <c r="K480" s="10"/>
      <c r="L480" s="10"/>
      <c r="P480" cm="1">
        <f t="array" ref="P480">IF(SUM(N(ISNUMBER(FIND({"a","b","c","d","e","f","g","h","i","j","k","l","m","n","o","p","q","r","s","t","u","v","w","x","y","z"}, B480))))&gt;0, 26, 0)</f>
        <v>26</v>
      </c>
      <c r="Q480" cm="1">
        <f t="array" ref="Q480">IF(SUM(N(ISNUMBER(FIND({"A","B","C","D","E","F","G","H","I","J","K","L","M","N","O","P","Q","R","S","T","U","V","W","X","Y","Z"}, B480))))&gt;0, 26, 0)</f>
        <v>0</v>
      </c>
      <c r="R480" cm="1">
        <f t="array" ref="R480">IF(SUM(N(ISNUMBER(FIND({0,1,2,3,4,5,6,7,8,9}, B480))))&gt;0, 10, 0)</f>
        <v>0</v>
      </c>
      <c r="S480" cm="1">
        <f t="array" ref="S480">IF(LEN(B480)&gt;SUMPRODUCT(LEN(B480)-LEN(SUBSTITUTE(B480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0" s="2"/>
    </row>
    <row r="481" spans="1:21" ht="15.6">
      <c r="A481" s="3">
        <v>2</v>
      </c>
      <c r="B481" s="7" t="s">
        <v>796</v>
      </c>
      <c r="C481" t="s">
        <v>640</v>
      </c>
      <c r="D481">
        <f t="shared" si="22"/>
        <v>8</v>
      </c>
      <c r="E481">
        <f t="shared" si="23"/>
        <v>52.436710813421122</v>
      </c>
      <c r="F481" s="10">
        <v>2.75</v>
      </c>
      <c r="G481" s="10">
        <f t="shared" si="21"/>
        <v>22</v>
      </c>
      <c r="H481" s="10">
        <v>0</v>
      </c>
      <c r="I481" s="10">
        <v>420</v>
      </c>
      <c r="J481" s="10">
        <v>2.6232489999999999</v>
      </c>
      <c r="K481" s="10"/>
      <c r="L481" s="10"/>
      <c r="P481" cm="1">
        <f t="array" ref="P481">IF(SUM(N(ISNUMBER(FIND({"a","b","c","d","e","f","g","h","i","j","k","l","m","n","o","p","q","r","s","t","u","v","w","x","y","z"}, B481))))&gt;0, 26, 0)</f>
        <v>26</v>
      </c>
      <c r="Q481" cm="1">
        <f t="array" ref="Q481">IF(SUM(N(ISNUMBER(FIND({"A","B","C","D","E","F","G","H","I","J","K","L","M","N","O","P","Q","R","S","T","U","V","W","X","Y","Z"}, B481))))&gt;0, 26, 0)</f>
        <v>0</v>
      </c>
      <c r="R481" cm="1">
        <f t="array" ref="R481">IF(SUM(N(ISNUMBER(FIND({0,1,2,3,4,5,6,7,8,9}, B481))))&gt;0, 10, 0)</f>
        <v>0</v>
      </c>
      <c r="S481" cm="1">
        <f t="array" ref="S481">IF(LEN(B481)&gt;SUMPRODUCT(LEN(B481)-LEN(SUBSTITUTE(B481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1" s="2"/>
    </row>
    <row r="482" spans="1:21" ht="15.6">
      <c r="A482" s="3">
        <v>2</v>
      </c>
      <c r="B482" s="7" t="s">
        <v>797</v>
      </c>
      <c r="C482" t="s">
        <v>640</v>
      </c>
      <c r="D482">
        <f t="shared" si="22"/>
        <v>7</v>
      </c>
      <c r="E482">
        <f t="shared" si="23"/>
        <v>45.882121961743479</v>
      </c>
      <c r="F482" s="10">
        <v>2.8073549999999998</v>
      </c>
      <c r="G482" s="10">
        <f t="shared" si="21"/>
        <v>19.651484999999997</v>
      </c>
      <c r="H482" s="10">
        <v>0</v>
      </c>
      <c r="I482" s="10">
        <v>232</v>
      </c>
      <c r="J482" s="10">
        <v>2.365488</v>
      </c>
      <c r="K482" s="10"/>
      <c r="L482" s="10"/>
      <c r="P482" cm="1">
        <f t="array" ref="P482">IF(SUM(N(ISNUMBER(FIND({"a","b","c","d","e","f","g","h","i","j","k","l","m","n","o","p","q","r","s","t","u","v","w","x","y","z"}, B482))))&gt;0, 26, 0)</f>
        <v>26</v>
      </c>
      <c r="Q482" cm="1">
        <f t="array" ref="Q482">IF(SUM(N(ISNUMBER(FIND({"A","B","C","D","E","F","G","H","I","J","K","L","M","N","O","P","Q","R","S","T","U","V","W","X","Y","Z"}, B482))))&gt;0, 26, 0)</f>
        <v>0</v>
      </c>
      <c r="R482" cm="1">
        <f t="array" ref="R482">IF(SUM(N(ISNUMBER(FIND({0,1,2,3,4,5,6,7,8,9}, B482))))&gt;0, 10, 0)</f>
        <v>0</v>
      </c>
      <c r="S482" cm="1">
        <f t="array" ref="S482">IF(LEN(B482)&gt;SUMPRODUCT(LEN(B482)-LEN(SUBSTITUTE(B482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2" s="2"/>
    </row>
    <row r="483" spans="1:21" ht="15.6">
      <c r="A483" s="3">
        <v>2</v>
      </c>
      <c r="B483" s="7" t="s">
        <v>798</v>
      </c>
      <c r="C483" t="s">
        <v>640</v>
      </c>
      <c r="D483">
        <f t="shared" si="22"/>
        <v>6</v>
      </c>
      <c r="E483">
        <f t="shared" si="23"/>
        <v>39.327533110065843</v>
      </c>
      <c r="F483" s="10">
        <v>1.792481</v>
      </c>
      <c r="G483" s="10">
        <f t="shared" si="21"/>
        <v>10.754885999999999</v>
      </c>
      <c r="H483" s="10">
        <v>1</v>
      </c>
      <c r="I483" s="10">
        <v>1630</v>
      </c>
      <c r="J483" s="10">
        <v>3.2121879999999998</v>
      </c>
      <c r="K483" s="10"/>
      <c r="L483" s="10"/>
      <c r="P483" cm="1">
        <f t="array" ref="P483">IF(SUM(N(ISNUMBER(FIND({"a","b","c","d","e","f","g","h","i","j","k","l","m","n","o","p","q","r","s","t","u","v","w","x","y","z"}, B483))))&gt;0, 26, 0)</f>
        <v>26</v>
      </c>
      <c r="Q483" cm="1">
        <f t="array" ref="Q483">IF(SUM(N(ISNUMBER(FIND({"A","B","C","D","E","F","G","H","I","J","K","L","M","N","O","P","Q","R","S","T","U","V","W","X","Y","Z"}, B483))))&gt;0, 26, 0)</f>
        <v>0</v>
      </c>
      <c r="R483" cm="1">
        <f t="array" ref="R483">IF(SUM(N(ISNUMBER(FIND({0,1,2,3,4,5,6,7,8,9}, B483))))&gt;0, 10, 0)</f>
        <v>0</v>
      </c>
      <c r="S483" cm="1">
        <f t="array" ref="S483">IF(LEN(B483)&gt;SUMPRODUCT(LEN(B483)-LEN(SUBSTITUTE(B483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3" s="2"/>
    </row>
    <row r="484" spans="1:21" ht="15.6">
      <c r="A484" s="3">
        <v>2</v>
      </c>
      <c r="B484" s="7" t="s">
        <v>799</v>
      </c>
      <c r="C484" t="s">
        <v>640</v>
      </c>
      <c r="D484">
        <f t="shared" si="22"/>
        <v>6</v>
      </c>
      <c r="E484">
        <f t="shared" si="23"/>
        <v>39.327533110065843</v>
      </c>
      <c r="F484" s="10">
        <v>2.5849630000000001</v>
      </c>
      <c r="G484" s="10">
        <f t="shared" si="21"/>
        <v>15.509778000000001</v>
      </c>
      <c r="H484" s="10">
        <v>0</v>
      </c>
      <c r="I484" s="10">
        <v>109</v>
      </c>
      <c r="J484" s="10">
        <v>2.037426</v>
      </c>
      <c r="K484" s="10"/>
      <c r="L484" s="10"/>
      <c r="P484" cm="1">
        <f t="array" ref="P484">IF(SUM(N(ISNUMBER(FIND({"a","b","c","d","e","f","g","h","i","j","k","l","m","n","o","p","q","r","s","t","u","v","w","x","y","z"}, B484))))&gt;0, 26, 0)</f>
        <v>26</v>
      </c>
      <c r="Q484" cm="1">
        <f t="array" ref="Q484">IF(SUM(N(ISNUMBER(FIND({"A","B","C","D","E","F","G","H","I","J","K","L","M","N","O","P","Q","R","S","T","U","V","W","X","Y","Z"}, B484))))&gt;0, 26, 0)</f>
        <v>0</v>
      </c>
      <c r="R484" cm="1">
        <f t="array" ref="R484">IF(SUM(N(ISNUMBER(FIND({0,1,2,3,4,5,6,7,8,9}, B484))))&gt;0, 10, 0)</f>
        <v>0</v>
      </c>
      <c r="S484" cm="1">
        <f t="array" ref="S484">IF(LEN(B484)&gt;SUMPRODUCT(LEN(B484)-LEN(SUBSTITUTE(B484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4" s="2"/>
    </row>
    <row r="485" spans="1:21" ht="15.6">
      <c r="A485" s="3">
        <v>2</v>
      </c>
      <c r="B485" s="7" t="s">
        <v>800</v>
      </c>
      <c r="C485" t="s">
        <v>640</v>
      </c>
      <c r="D485">
        <f t="shared" si="22"/>
        <v>7</v>
      </c>
      <c r="E485">
        <f t="shared" si="23"/>
        <v>45.882121961743479</v>
      </c>
      <c r="F485" s="10">
        <v>2.8073549999999998</v>
      </c>
      <c r="G485" s="10">
        <f t="shared" si="21"/>
        <v>19.651484999999997</v>
      </c>
      <c r="H485" s="10">
        <v>1</v>
      </c>
      <c r="I485" s="10">
        <v>7425</v>
      </c>
      <c r="J485" s="10">
        <v>3.8706960000000001</v>
      </c>
      <c r="K485" s="10"/>
      <c r="L485" s="10"/>
      <c r="P485" cm="1">
        <f t="array" ref="P485">IF(SUM(N(ISNUMBER(FIND({"a","b","c","d","e","f","g","h","i","j","k","l","m","n","o","p","q","r","s","t","u","v","w","x","y","z"}, B485))))&gt;0, 26, 0)</f>
        <v>26</v>
      </c>
      <c r="Q485" cm="1">
        <f t="array" ref="Q485">IF(SUM(N(ISNUMBER(FIND({"A","B","C","D","E","F","G","H","I","J","K","L","M","N","O","P","Q","R","S","T","U","V","W","X","Y","Z"}, B485))))&gt;0, 26, 0)</f>
        <v>0</v>
      </c>
      <c r="R485" cm="1">
        <f t="array" ref="R485">IF(SUM(N(ISNUMBER(FIND({0,1,2,3,4,5,6,7,8,9}, B485))))&gt;0, 10, 0)</f>
        <v>0</v>
      </c>
      <c r="S485" cm="1">
        <f t="array" ref="S485">IF(LEN(B485)&gt;SUMPRODUCT(LEN(B485)-LEN(SUBSTITUTE(B485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5" s="2"/>
    </row>
    <row r="486" spans="1:21" ht="15.6">
      <c r="A486" s="3">
        <v>2</v>
      </c>
      <c r="B486" s="7" t="s">
        <v>801</v>
      </c>
      <c r="C486" t="s">
        <v>640</v>
      </c>
      <c r="D486">
        <f t="shared" si="22"/>
        <v>7</v>
      </c>
      <c r="E486">
        <f t="shared" si="23"/>
        <v>45.882121961743479</v>
      </c>
      <c r="F486" s="10">
        <v>2.128085</v>
      </c>
      <c r="G486" s="10">
        <f t="shared" si="21"/>
        <v>14.896595</v>
      </c>
      <c r="H486" s="10">
        <v>1</v>
      </c>
      <c r="I486" s="10">
        <v>10900</v>
      </c>
      <c r="J486" s="10">
        <v>4.037426</v>
      </c>
      <c r="K486" s="10"/>
      <c r="L486" s="10"/>
      <c r="P486" cm="1">
        <f t="array" ref="P486">IF(SUM(N(ISNUMBER(FIND({"a","b","c","d","e","f","g","h","i","j","k","l","m","n","o","p","q","r","s","t","u","v","w","x","y","z"}, B486))))&gt;0, 26, 0)</f>
        <v>26</v>
      </c>
      <c r="Q486" cm="1">
        <f t="array" ref="Q486">IF(SUM(N(ISNUMBER(FIND({"A","B","C","D","E","F","G","H","I","J","K","L","M","N","O","P","Q","R","S","T","U","V","W","X","Y","Z"}, B486))))&gt;0, 26, 0)</f>
        <v>0</v>
      </c>
      <c r="R486" cm="1">
        <f t="array" ref="R486">IF(SUM(N(ISNUMBER(FIND({0,1,2,3,4,5,6,7,8,9}, B486))))&gt;0, 10, 0)</f>
        <v>0</v>
      </c>
      <c r="S486" cm="1">
        <f t="array" ref="S486">IF(LEN(B486)&gt;SUMPRODUCT(LEN(B486)-LEN(SUBSTITUTE(B486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6" s="2"/>
    </row>
    <row r="487" spans="1:21" ht="15.6">
      <c r="A487" s="3">
        <v>2</v>
      </c>
      <c r="B487" s="7" t="s">
        <v>802</v>
      </c>
      <c r="C487" t="s">
        <v>640</v>
      </c>
      <c r="D487">
        <f t="shared" si="22"/>
        <v>6</v>
      </c>
      <c r="E487">
        <f t="shared" si="23"/>
        <v>39.327533110065843</v>
      </c>
      <c r="F487" s="10">
        <v>2.5849630000000001</v>
      </c>
      <c r="G487" s="10">
        <f t="shared" si="21"/>
        <v>15.509778000000001</v>
      </c>
      <c r="H487" s="10">
        <v>0</v>
      </c>
      <c r="I487" s="10">
        <v>728</v>
      </c>
      <c r="J487" s="10">
        <v>2.8621310000000002</v>
      </c>
      <c r="K487" s="10"/>
      <c r="L487" s="10"/>
      <c r="P487" cm="1">
        <f t="array" ref="P487">IF(SUM(N(ISNUMBER(FIND({"a","b","c","d","e","f","g","h","i","j","k","l","m","n","o","p","q","r","s","t","u","v","w","x","y","z"}, B487))))&gt;0, 26, 0)</f>
        <v>26</v>
      </c>
      <c r="Q487" cm="1">
        <f t="array" ref="Q487">IF(SUM(N(ISNUMBER(FIND({"A","B","C","D","E","F","G","H","I","J","K","L","M","N","O","P","Q","R","S","T","U","V","W","X","Y","Z"}, B487))))&gt;0, 26, 0)</f>
        <v>0</v>
      </c>
      <c r="R487" cm="1">
        <f t="array" ref="R487">IF(SUM(N(ISNUMBER(FIND({0,1,2,3,4,5,6,7,8,9}, B487))))&gt;0, 10, 0)</f>
        <v>10</v>
      </c>
      <c r="S487" cm="1">
        <f t="array" ref="S487">IF(LEN(B487)&gt;SUMPRODUCT(LEN(B487)-LEN(SUBSTITUTE(B487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7" s="2"/>
    </row>
    <row r="488" spans="1:21" ht="15.6">
      <c r="A488" s="3">
        <v>2</v>
      </c>
      <c r="B488" s="7" t="s">
        <v>803</v>
      </c>
      <c r="C488" t="s">
        <v>640</v>
      </c>
      <c r="D488">
        <f t="shared" si="22"/>
        <v>7</v>
      </c>
      <c r="E488">
        <f t="shared" si="23"/>
        <v>45.882121961743479</v>
      </c>
      <c r="F488" s="10">
        <v>2.5216409999999998</v>
      </c>
      <c r="G488" s="10">
        <f t="shared" si="21"/>
        <v>17.651486999999999</v>
      </c>
      <c r="H488" s="10">
        <v>0</v>
      </c>
      <c r="I488" s="10">
        <v>184</v>
      </c>
      <c r="J488" s="10">
        <v>2.264818</v>
      </c>
      <c r="K488" s="10"/>
      <c r="L488" s="10"/>
      <c r="P488" cm="1">
        <f t="array" ref="P488">IF(SUM(N(ISNUMBER(FIND({"a","b","c","d","e","f","g","h","i","j","k","l","m","n","o","p","q","r","s","t","u","v","w","x","y","z"}, B488))))&gt;0, 26, 0)</f>
        <v>26</v>
      </c>
      <c r="Q488" cm="1">
        <f t="array" ref="Q488">IF(SUM(N(ISNUMBER(FIND({"A","B","C","D","E","F","G","H","I","J","K","L","M","N","O","P","Q","R","S","T","U","V","W","X","Y","Z"}, B488))))&gt;0, 26, 0)</f>
        <v>0</v>
      </c>
      <c r="R488" cm="1">
        <f t="array" ref="R488">IF(SUM(N(ISNUMBER(FIND({0,1,2,3,4,5,6,7,8,9}, B488))))&gt;0, 10, 0)</f>
        <v>0</v>
      </c>
      <c r="S488" cm="1">
        <f t="array" ref="S488">IF(LEN(B488)&gt;SUMPRODUCT(LEN(B488)-LEN(SUBSTITUTE(B488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8" s="2"/>
    </row>
    <row r="489" spans="1:21" ht="15.6">
      <c r="A489" s="3">
        <v>2</v>
      </c>
      <c r="B489" s="7" t="s">
        <v>804</v>
      </c>
      <c r="C489" t="s">
        <v>640</v>
      </c>
      <c r="D489">
        <f t="shared" si="22"/>
        <v>8</v>
      </c>
      <c r="E489">
        <f t="shared" si="23"/>
        <v>52.436710813421122</v>
      </c>
      <c r="F489" s="10">
        <v>2.75</v>
      </c>
      <c r="G489" s="10">
        <f t="shared" si="21"/>
        <v>22</v>
      </c>
      <c r="H489" s="10">
        <v>1</v>
      </c>
      <c r="I489" s="10">
        <v>10913</v>
      </c>
      <c r="J489" s="10">
        <v>4.0379440000000004</v>
      </c>
      <c r="K489" s="10"/>
      <c r="L489" s="10"/>
      <c r="P489" cm="1">
        <f t="array" ref="P489">IF(SUM(N(ISNUMBER(FIND({"a","b","c","d","e","f","g","h","i","j","k","l","m","n","o","p","q","r","s","t","u","v","w","x","y","z"}, B489))))&gt;0, 26, 0)</f>
        <v>26</v>
      </c>
      <c r="Q489" cm="1">
        <f t="array" ref="Q489">IF(SUM(N(ISNUMBER(FIND({"A","B","C","D","E","F","G","H","I","J","K","L","M","N","O","P","Q","R","S","T","U","V","W","X","Y","Z"}, B489))))&gt;0, 26, 0)</f>
        <v>0</v>
      </c>
      <c r="R489" cm="1">
        <f t="array" ref="R489">IF(SUM(N(ISNUMBER(FIND({0,1,2,3,4,5,6,7,8,9}, B489))))&gt;0, 10, 0)</f>
        <v>0</v>
      </c>
      <c r="S489" cm="1">
        <f t="array" ref="S489">IF(LEN(B489)&gt;SUMPRODUCT(LEN(B489)-LEN(SUBSTITUTE(B489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89" s="2"/>
    </row>
    <row r="490" spans="1:21" ht="15.6">
      <c r="A490" s="3">
        <v>2</v>
      </c>
      <c r="B490" s="7" t="s">
        <v>805</v>
      </c>
      <c r="C490" t="s">
        <v>640</v>
      </c>
      <c r="D490">
        <f t="shared" si="22"/>
        <v>6</v>
      </c>
      <c r="E490">
        <f t="shared" si="23"/>
        <v>39.327533110065843</v>
      </c>
      <c r="F490" s="10">
        <v>2.2516289999999999</v>
      </c>
      <c r="G490" s="10">
        <f t="shared" si="21"/>
        <v>13.509774</v>
      </c>
      <c r="H490" s="10">
        <v>0</v>
      </c>
      <c r="I490" s="10">
        <v>356</v>
      </c>
      <c r="J490" s="10">
        <v>2.55145</v>
      </c>
      <c r="K490" s="10"/>
      <c r="L490" s="10"/>
      <c r="P490" cm="1">
        <f t="array" ref="P490">IF(SUM(N(ISNUMBER(FIND({"a","b","c","d","e","f","g","h","i","j","k","l","m","n","o","p","q","r","s","t","u","v","w","x","y","z"}, B490))))&gt;0, 26, 0)</f>
        <v>26</v>
      </c>
      <c r="Q490" cm="1">
        <f t="array" ref="Q490">IF(SUM(N(ISNUMBER(FIND({"A","B","C","D","E","F","G","H","I","J","K","L","M","N","O","P","Q","R","S","T","U","V","W","X","Y","Z"}, B490))))&gt;0, 26, 0)</f>
        <v>0</v>
      </c>
      <c r="R490" cm="1">
        <f t="array" ref="R490">IF(SUM(N(ISNUMBER(FIND({0,1,2,3,4,5,6,7,8,9}, B490))))&gt;0, 10, 0)</f>
        <v>0</v>
      </c>
      <c r="S490" cm="1">
        <f t="array" ref="S490">IF(LEN(B490)&gt;SUMPRODUCT(LEN(B490)-LEN(SUBSTITUTE(B490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0" s="2"/>
    </row>
    <row r="491" spans="1:21" ht="15.6">
      <c r="A491" s="3">
        <v>2</v>
      </c>
      <c r="B491" s="7">
        <v>55555</v>
      </c>
      <c r="C491" t="s">
        <v>640</v>
      </c>
      <c r="D491">
        <f t="shared" si="22"/>
        <v>5</v>
      </c>
      <c r="E491">
        <f t="shared" si="23"/>
        <v>32.7729442583882</v>
      </c>
      <c r="F491" s="10">
        <v>0</v>
      </c>
      <c r="G491" s="10">
        <f t="shared" si="21"/>
        <v>0</v>
      </c>
      <c r="H491" s="10">
        <v>0</v>
      </c>
      <c r="I491" s="10">
        <v>61</v>
      </c>
      <c r="J491" s="10">
        <v>1.7853300000000001</v>
      </c>
      <c r="K491" s="10"/>
      <c r="L491" s="10"/>
      <c r="P491" cm="1">
        <f t="array" ref="P491">IF(SUM(N(ISNUMBER(FIND({"a","b","c","d","e","f","g","h","i","j","k","l","m","n","o","p","q","r","s","t","u","v","w","x","y","z"}, B491))))&gt;0, 26, 0)</f>
        <v>0</v>
      </c>
      <c r="Q491" cm="1">
        <f t="array" ref="Q491">IF(SUM(N(ISNUMBER(FIND({"A","B","C","D","E","F","G","H","I","J","K","L","M","N","O","P","Q","R","S","T","U","V","W","X","Y","Z"}, B491))))&gt;0, 26, 0)</f>
        <v>0</v>
      </c>
      <c r="R491" cm="1">
        <f t="array" ref="R491">IF(SUM(N(ISNUMBER(FIND({0,1,2,3,4,5,6,7,8,9}, B491))))&gt;0, 10, 0)</f>
        <v>10</v>
      </c>
      <c r="S491" cm="1">
        <f t="array" ref="S491">IF(LEN(B491)&gt;SUMPRODUCT(LEN(B491)-LEN(SUBSTITUTE(B491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1" s="2"/>
    </row>
    <row r="492" spans="1:21" ht="15.6">
      <c r="A492" s="3">
        <v>2</v>
      </c>
      <c r="B492" s="7" t="s">
        <v>806</v>
      </c>
      <c r="C492" t="s">
        <v>640</v>
      </c>
      <c r="D492">
        <f t="shared" si="22"/>
        <v>8</v>
      </c>
      <c r="E492">
        <f t="shared" si="23"/>
        <v>52.436710813421122</v>
      </c>
      <c r="F492" s="10">
        <v>2.25</v>
      </c>
      <c r="G492" s="10">
        <f t="shared" si="21"/>
        <v>18</v>
      </c>
      <c r="H492" s="10">
        <v>0</v>
      </c>
      <c r="I492" s="10">
        <v>13</v>
      </c>
      <c r="J492" s="10">
        <v>1.1139429999999999</v>
      </c>
      <c r="K492" s="10"/>
      <c r="L492" s="10"/>
      <c r="P492" cm="1">
        <f t="array" ref="P492">IF(SUM(N(ISNUMBER(FIND({"a","b","c","d","e","f","g","h","i","j","k","l","m","n","o","p","q","r","s","t","u","v","w","x","y","z"}, B492))))&gt;0, 26, 0)</f>
        <v>26</v>
      </c>
      <c r="Q492" cm="1">
        <f t="array" ref="Q492">IF(SUM(N(ISNUMBER(FIND({"A","B","C","D","E","F","G","H","I","J","K","L","M","N","O","P","Q","R","S","T","U","V","W","X","Y","Z"}, B492))))&gt;0, 26, 0)</f>
        <v>0</v>
      </c>
      <c r="R492" cm="1">
        <f t="array" ref="R492">IF(SUM(N(ISNUMBER(FIND({0,1,2,3,4,5,6,7,8,9}, B492))))&gt;0, 10, 0)</f>
        <v>0</v>
      </c>
      <c r="S492" cm="1">
        <f t="array" ref="S492">IF(LEN(B492)&gt;SUMPRODUCT(LEN(B492)-LEN(SUBSTITUTE(B492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2" s="2"/>
    </row>
    <row r="493" spans="1:21" ht="15.6">
      <c r="A493" s="3">
        <v>2</v>
      </c>
      <c r="B493" s="7" t="s">
        <v>807</v>
      </c>
      <c r="C493" t="s">
        <v>640</v>
      </c>
      <c r="D493">
        <f t="shared" si="22"/>
        <v>6</v>
      </c>
      <c r="E493">
        <f t="shared" si="23"/>
        <v>39.327533110065843</v>
      </c>
      <c r="F493" s="10">
        <v>2.5849630000000001</v>
      </c>
      <c r="G493" s="10">
        <f t="shared" si="21"/>
        <v>15.509778000000001</v>
      </c>
      <c r="H493" s="10">
        <v>0</v>
      </c>
      <c r="I493" s="10">
        <v>16</v>
      </c>
      <c r="J493" s="10">
        <v>1.2041200000000001</v>
      </c>
      <c r="K493" s="10"/>
      <c r="L493" s="10"/>
      <c r="P493" cm="1">
        <f t="array" ref="P493">IF(SUM(N(ISNUMBER(FIND({"a","b","c","d","e","f","g","h","i","j","k","l","m","n","o","p","q","r","s","t","u","v","w","x","y","z"}, B493))))&gt;0, 26, 0)</f>
        <v>26</v>
      </c>
      <c r="Q493" cm="1">
        <f t="array" ref="Q493">IF(SUM(N(ISNUMBER(FIND({"A","B","C","D","E","F","G","H","I","J","K","L","M","N","O","P","Q","R","S","T","U","V","W","X","Y","Z"}, B493))))&gt;0, 26, 0)</f>
        <v>0</v>
      </c>
      <c r="R493" cm="1">
        <f t="array" ref="R493">IF(SUM(N(ISNUMBER(FIND({0,1,2,3,4,5,6,7,8,9}, B493))))&gt;0, 10, 0)</f>
        <v>0</v>
      </c>
      <c r="S493" cm="1">
        <f t="array" ref="S493">IF(LEN(B493)&gt;SUMPRODUCT(LEN(B493)-LEN(SUBSTITUTE(B493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3" s="2"/>
    </row>
    <row r="494" spans="1:21" ht="15.6">
      <c r="A494" s="3">
        <v>2</v>
      </c>
      <c r="B494" s="7" t="s">
        <v>808</v>
      </c>
      <c r="C494" t="s">
        <v>640</v>
      </c>
      <c r="D494">
        <f t="shared" si="22"/>
        <v>8</v>
      </c>
      <c r="E494">
        <f t="shared" si="23"/>
        <v>52.436710813421122</v>
      </c>
      <c r="F494" s="10">
        <v>2.75</v>
      </c>
      <c r="G494" s="10">
        <f t="shared" si="21"/>
        <v>22</v>
      </c>
      <c r="H494" s="10">
        <v>0</v>
      </c>
      <c r="I494" s="10">
        <v>741</v>
      </c>
      <c r="J494" s="10">
        <v>2.869818</v>
      </c>
      <c r="K494" s="10"/>
      <c r="L494" s="10"/>
      <c r="P494" cm="1">
        <f t="array" ref="P494">IF(SUM(N(ISNUMBER(FIND({"a","b","c","d","e","f","g","h","i","j","k","l","m","n","o","p","q","r","s","t","u","v","w","x","y","z"}, B494))))&gt;0, 26, 0)</f>
        <v>26</v>
      </c>
      <c r="Q494" cm="1">
        <f t="array" ref="Q494">IF(SUM(N(ISNUMBER(FIND({"A","B","C","D","E","F","G","H","I","J","K","L","M","N","O","P","Q","R","S","T","U","V","W","X","Y","Z"}, B494))))&gt;0, 26, 0)</f>
        <v>0</v>
      </c>
      <c r="R494" cm="1">
        <f t="array" ref="R494">IF(SUM(N(ISNUMBER(FIND({0,1,2,3,4,5,6,7,8,9}, B494))))&gt;0, 10, 0)</f>
        <v>0</v>
      </c>
      <c r="S494" cm="1">
        <f t="array" ref="S494">IF(LEN(B494)&gt;SUMPRODUCT(LEN(B494)-LEN(SUBSTITUTE(B494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4" s="2"/>
    </row>
    <row r="495" spans="1:21" ht="15.6">
      <c r="A495" s="3">
        <v>2</v>
      </c>
      <c r="B495" s="7" t="s">
        <v>809</v>
      </c>
      <c r="C495" t="s">
        <v>640</v>
      </c>
      <c r="D495">
        <f t="shared" si="22"/>
        <v>8</v>
      </c>
      <c r="E495">
        <f t="shared" si="23"/>
        <v>52.436710813421122</v>
      </c>
      <c r="F495" s="10">
        <v>2.75</v>
      </c>
      <c r="G495" s="10">
        <f t="shared" si="21"/>
        <v>22</v>
      </c>
      <c r="H495" s="10">
        <v>0</v>
      </c>
      <c r="I495" s="10">
        <v>172</v>
      </c>
      <c r="J495" s="10">
        <v>2.235528</v>
      </c>
      <c r="K495" s="10"/>
      <c r="L495" s="10"/>
      <c r="P495" cm="1">
        <f t="array" ref="P495">IF(SUM(N(ISNUMBER(FIND({"a","b","c","d","e","f","g","h","i","j","k","l","m","n","o","p","q","r","s","t","u","v","w","x","y","z"}, B495))))&gt;0, 26, 0)</f>
        <v>26</v>
      </c>
      <c r="Q495" cm="1">
        <f t="array" ref="Q495">IF(SUM(N(ISNUMBER(FIND({"A","B","C","D","E","F","G","H","I","J","K","L","M","N","O","P","Q","R","S","T","U","V","W","X","Y","Z"}, B495))))&gt;0, 26, 0)</f>
        <v>0</v>
      </c>
      <c r="R495" cm="1">
        <f t="array" ref="R495">IF(SUM(N(ISNUMBER(FIND({0,1,2,3,4,5,6,7,8,9}, B495))))&gt;0, 10, 0)</f>
        <v>0</v>
      </c>
      <c r="S495" cm="1">
        <f t="array" ref="S495">IF(LEN(B495)&gt;SUMPRODUCT(LEN(B495)-LEN(SUBSTITUTE(B495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5" s="2"/>
    </row>
    <row r="496" spans="1:21" ht="15.6">
      <c r="A496" s="3">
        <v>2</v>
      </c>
      <c r="B496" s="7" t="s">
        <v>810</v>
      </c>
      <c r="C496" t="s">
        <v>640</v>
      </c>
      <c r="D496">
        <f t="shared" si="22"/>
        <v>6</v>
      </c>
      <c r="E496">
        <f t="shared" si="23"/>
        <v>39.327533110065843</v>
      </c>
      <c r="F496" s="10">
        <v>1.918296</v>
      </c>
      <c r="G496" s="10">
        <f t="shared" si="21"/>
        <v>11.509776</v>
      </c>
      <c r="H496" s="10">
        <v>0</v>
      </c>
      <c r="I496" s="10">
        <v>431</v>
      </c>
      <c r="J496" s="10">
        <v>2.634477</v>
      </c>
      <c r="K496" s="10"/>
      <c r="L496" s="10"/>
      <c r="P496" cm="1">
        <f t="array" ref="P496">IF(SUM(N(ISNUMBER(FIND({"a","b","c","d","e","f","g","h","i","j","k","l","m","n","o","p","q","r","s","t","u","v","w","x","y","z"}, B496))))&gt;0, 26, 0)</f>
        <v>26</v>
      </c>
      <c r="Q496" cm="1">
        <f t="array" ref="Q496">IF(SUM(N(ISNUMBER(FIND({"A","B","C","D","E","F","G","H","I","J","K","L","M","N","O","P","Q","R","S","T","U","V","W","X","Y","Z"}, B496))))&gt;0, 26, 0)</f>
        <v>0</v>
      </c>
      <c r="R496" cm="1">
        <f t="array" ref="R496">IF(SUM(N(ISNUMBER(FIND({0,1,2,3,4,5,6,7,8,9}, B496))))&gt;0, 10, 0)</f>
        <v>0</v>
      </c>
      <c r="S496" cm="1">
        <f t="array" ref="S496">IF(LEN(B496)&gt;SUMPRODUCT(LEN(B496)-LEN(SUBSTITUTE(B496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6" s="2"/>
    </row>
    <row r="497" spans="1:21" ht="15.6">
      <c r="A497" s="3">
        <v>2</v>
      </c>
      <c r="B497" s="7" t="s">
        <v>811</v>
      </c>
      <c r="C497" t="s">
        <v>640</v>
      </c>
      <c r="D497">
        <f t="shared" si="22"/>
        <v>7</v>
      </c>
      <c r="E497">
        <f t="shared" si="23"/>
        <v>45.882121961743479</v>
      </c>
      <c r="F497" s="10">
        <v>2.8073549999999998</v>
      </c>
      <c r="G497" s="10">
        <f t="shared" si="21"/>
        <v>19.651484999999997</v>
      </c>
      <c r="H497" s="10">
        <v>0</v>
      </c>
      <c r="I497" s="10">
        <v>198</v>
      </c>
      <c r="J497" s="10">
        <v>2.296665</v>
      </c>
      <c r="K497" s="10"/>
      <c r="L497" s="10"/>
      <c r="P497" cm="1">
        <f t="array" ref="P497">IF(SUM(N(ISNUMBER(FIND({"a","b","c","d","e","f","g","h","i","j","k","l","m","n","o","p","q","r","s","t","u","v","w","x","y","z"}, B497))))&gt;0, 26, 0)</f>
        <v>26</v>
      </c>
      <c r="Q497" cm="1">
        <f t="array" ref="Q497">IF(SUM(N(ISNUMBER(FIND({"A","B","C","D","E","F","G","H","I","J","K","L","M","N","O","P","Q","R","S","T","U","V","W","X","Y","Z"}, B497))))&gt;0, 26, 0)</f>
        <v>0</v>
      </c>
      <c r="R497" cm="1">
        <f t="array" ref="R497">IF(SUM(N(ISNUMBER(FIND({0,1,2,3,4,5,6,7,8,9}, B497))))&gt;0, 10, 0)</f>
        <v>0</v>
      </c>
      <c r="S497" cm="1">
        <f t="array" ref="S497">IF(LEN(B497)&gt;SUMPRODUCT(LEN(B497)-LEN(SUBSTITUTE(B497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7" s="2"/>
    </row>
    <row r="498" spans="1:21" ht="15.6">
      <c r="A498" s="3">
        <v>2</v>
      </c>
      <c r="B498" s="7" t="s">
        <v>812</v>
      </c>
      <c r="C498" t="s">
        <v>640</v>
      </c>
      <c r="D498">
        <f t="shared" si="22"/>
        <v>6</v>
      </c>
      <c r="E498">
        <f t="shared" si="23"/>
        <v>39.327533110065843</v>
      </c>
      <c r="F498" s="10">
        <v>2.5849630000000001</v>
      </c>
      <c r="G498" s="10">
        <f t="shared" si="21"/>
        <v>15.509778000000001</v>
      </c>
      <c r="H498" s="10">
        <v>0</v>
      </c>
      <c r="I498" s="10">
        <v>154</v>
      </c>
      <c r="J498" s="10">
        <v>2.1875209999999998</v>
      </c>
      <c r="K498" s="10"/>
      <c r="L498" s="10"/>
      <c r="P498" cm="1">
        <f t="array" ref="P498">IF(SUM(N(ISNUMBER(FIND({"a","b","c","d","e","f","g","h","i","j","k","l","m","n","o","p","q","r","s","t","u","v","w","x","y","z"}, B498))))&gt;0, 26, 0)</f>
        <v>26</v>
      </c>
      <c r="Q498" cm="1">
        <f t="array" ref="Q498">IF(SUM(N(ISNUMBER(FIND({"A","B","C","D","E","F","G","H","I","J","K","L","M","N","O","P","Q","R","S","T","U","V","W","X","Y","Z"}, B498))))&gt;0, 26, 0)</f>
        <v>0</v>
      </c>
      <c r="R498" cm="1">
        <f t="array" ref="R498">IF(SUM(N(ISNUMBER(FIND({0,1,2,3,4,5,6,7,8,9}, B498))))&gt;0, 10, 0)</f>
        <v>0</v>
      </c>
      <c r="S498" cm="1">
        <f t="array" ref="S498">IF(LEN(B498)&gt;SUMPRODUCT(LEN(B498)-LEN(SUBSTITUTE(B498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8" s="2"/>
    </row>
    <row r="499" spans="1:21" ht="15.6">
      <c r="A499" s="3">
        <v>2</v>
      </c>
      <c r="B499" s="7">
        <v>123321</v>
      </c>
      <c r="C499" t="s">
        <v>640</v>
      </c>
      <c r="D499">
        <f t="shared" si="22"/>
        <v>6</v>
      </c>
      <c r="E499">
        <f t="shared" si="23"/>
        <v>39.327533110065843</v>
      </c>
      <c r="F499" s="10">
        <v>1.5849629999999999</v>
      </c>
      <c r="G499" s="10">
        <f t="shared" si="21"/>
        <v>9.509777999999999</v>
      </c>
      <c r="H499" s="10">
        <v>0</v>
      </c>
      <c r="I499" s="10">
        <v>24</v>
      </c>
      <c r="J499" s="10">
        <v>1.3802110000000001</v>
      </c>
      <c r="K499" s="10"/>
      <c r="L499" s="10"/>
      <c r="P499" cm="1">
        <f t="array" ref="P499">IF(SUM(N(ISNUMBER(FIND({"a","b","c","d","e","f","g","h","i","j","k","l","m","n","o","p","q","r","s","t","u","v","w","x","y","z"}, B499))))&gt;0, 26, 0)</f>
        <v>0</v>
      </c>
      <c r="Q499" cm="1">
        <f t="array" ref="Q499">IF(SUM(N(ISNUMBER(FIND({"A","B","C","D","E","F","G","H","I","J","K","L","M","N","O","P","Q","R","S","T","U","V","W","X","Y","Z"}, B499))))&gt;0, 26, 0)</f>
        <v>0</v>
      </c>
      <c r="R499" cm="1">
        <f t="array" ref="R499">IF(SUM(N(ISNUMBER(FIND({0,1,2,3,4,5,6,7,8,9}, B499))))&gt;0, 10, 0)</f>
        <v>10</v>
      </c>
      <c r="S499" cm="1">
        <f t="array" ref="S499">IF(LEN(B499)&gt;SUMPRODUCT(LEN(B499)-LEN(SUBSTITUTE(B499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499" s="2"/>
    </row>
    <row r="500" spans="1:21" ht="15.6">
      <c r="A500" s="3">
        <v>2</v>
      </c>
      <c r="B500" s="7" t="s">
        <v>813</v>
      </c>
      <c r="C500" t="s">
        <v>640</v>
      </c>
      <c r="D500">
        <f t="shared" si="22"/>
        <v>6</v>
      </c>
      <c r="E500">
        <f t="shared" si="23"/>
        <v>39.327533110065843</v>
      </c>
      <c r="F500" s="10">
        <v>2.5849630000000001</v>
      </c>
      <c r="G500" s="10">
        <f t="shared" si="21"/>
        <v>15.509778000000001</v>
      </c>
      <c r="H500" s="10">
        <v>0</v>
      </c>
      <c r="I500" s="10">
        <v>224</v>
      </c>
      <c r="J500" s="10">
        <v>2.3502480000000001</v>
      </c>
      <c r="K500" s="10"/>
      <c r="L500" s="10"/>
      <c r="P500" cm="1">
        <f t="array" ref="P500">IF(SUM(N(ISNUMBER(FIND({"a","b","c","d","e","f","g","h","i","j","k","l","m","n","o","p","q","r","s","t","u","v","w","x","y","z"}, B500))))&gt;0, 26, 0)</f>
        <v>26</v>
      </c>
      <c r="Q500" cm="1">
        <f t="array" ref="Q500">IF(SUM(N(ISNUMBER(FIND({"A","B","C","D","E","F","G","H","I","J","K","L","M","N","O","P","Q","R","S","T","U","V","W","X","Y","Z"}, B500))))&gt;0, 26, 0)</f>
        <v>0</v>
      </c>
      <c r="R500" cm="1">
        <f t="array" ref="R500">IF(SUM(N(ISNUMBER(FIND({0,1,2,3,4,5,6,7,8,9}, B500))))&gt;0, 10, 0)</f>
        <v>10</v>
      </c>
      <c r="S500" cm="1">
        <f t="array" ref="S500">IF(LEN(B500)&gt;SUMPRODUCT(LEN(B500)-LEN(SUBSTITUTE(B500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0" s="2"/>
    </row>
    <row r="501" spans="1:21" ht="15.6">
      <c r="A501" s="3">
        <v>2</v>
      </c>
      <c r="B501" s="7" t="s">
        <v>814</v>
      </c>
      <c r="C501" t="s">
        <v>640</v>
      </c>
      <c r="D501">
        <f t="shared" si="22"/>
        <v>9</v>
      </c>
      <c r="E501">
        <f t="shared" si="23"/>
        <v>58.991299665098765</v>
      </c>
      <c r="F501" s="10">
        <v>2.6416040000000001</v>
      </c>
      <c r="G501" s="10">
        <f t="shared" si="21"/>
        <v>23.774436000000001</v>
      </c>
      <c r="H501" s="10">
        <v>1</v>
      </c>
      <c r="I501" s="10">
        <v>8085</v>
      </c>
      <c r="J501" s="10">
        <v>3.90768</v>
      </c>
      <c r="K501" s="10"/>
      <c r="L501" s="10"/>
      <c r="P501" cm="1">
        <f t="array" ref="P501">IF(SUM(N(ISNUMBER(FIND({"a","b","c","d","e","f","g","h","i","j","k","l","m","n","o","p","q","r","s","t","u","v","w","x","y","z"}, B501))))&gt;0, 26, 0)</f>
        <v>26</v>
      </c>
      <c r="Q501" cm="1">
        <f t="array" ref="Q501">IF(SUM(N(ISNUMBER(FIND({"A","B","C","D","E","F","G","H","I","J","K","L","M","N","O","P","Q","R","S","T","U","V","W","X","Y","Z"}, B501))))&gt;0, 26, 0)</f>
        <v>0</v>
      </c>
      <c r="R501" cm="1">
        <f t="array" ref="R501">IF(SUM(N(ISNUMBER(FIND({0,1,2,3,4,5,6,7,8,9}, B501))))&gt;0, 10, 0)</f>
        <v>0</v>
      </c>
      <c r="S501" cm="1">
        <f t="array" ref="S501">IF(LEN(B501)&gt;SUMPRODUCT(LEN(B501)-LEN(SUBSTITUTE(B501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1" s="2"/>
    </row>
    <row r="502" spans="1:21" ht="15.6">
      <c r="A502" s="3">
        <v>2</v>
      </c>
      <c r="B502" s="7" t="s">
        <v>815</v>
      </c>
      <c r="C502" t="s">
        <v>640</v>
      </c>
      <c r="D502">
        <f t="shared" si="22"/>
        <v>6</v>
      </c>
      <c r="E502">
        <f t="shared" si="23"/>
        <v>39.327533110065843</v>
      </c>
      <c r="F502" s="10">
        <v>2.2516289999999999</v>
      </c>
      <c r="G502" s="10">
        <f t="shared" si="21"/>
        <v>13.509774</v>
      </c>
      <c r="H502" s="10">
        <v>0</v>
      </c>
      <c r="I502" s="10">
        <v>43</v>
      </c>
      <c r="J502" s="10">
        <v>1.6334679999999999</v>
      </c>
      <c r="K502" s="10"/>
      <c r="L502" s="10"/>
      <c r="P502" cm="1">
        <f t="array" ref="P502">IF(SUM(N(ISNUMBER(FIND({"a","b","c","d","e","f","g","h","i","j","k","l","m","n","o","p","q","r","s","t","u","v","w","x","y","z"}, B502))))&gt;0, 26, 0)</f>
        <v>26</v>
      </c>
      <c r="Q502" cm="1">
        <f t="array" ref="Q502">IF(SUM(N(ISNUMBER(FIND({"A","B","C","D","E","F","G","H","I","J","K","L","M","N","O","P","Q","R","S","T","U","V","W","X","Y","Z"}, B502))))&gt;0, 26, 0)</f>
        <v>0</v>
      </c>
      <c r="R502" cm="1">
        <f t="array" ref="R502">IF(SUM(N(ISNUMBER(FIND({0,1,2,3,4,5,6,7,8,9}, B502))))&gt;0, 10, 0)</f>
        <v>0</v>
      </c>
      <c r="S502" cm="1">
        <f t="array" ref="S502">IF(LEN(B502)&gt;SUMPRODUCT(LEN(B502)-LEN(SUBSTITUTE(B502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2" s="2"/>
    </row>
    <row r="503" spans="1:21" ht="15.6">
      <c r="A503" s="3">
        <v>2</v>
      </c>
      <c r="B503" s="7" t="s">
        <v>816</v>
      </c>
      <c r="C503" t="s">
        <v>640</v>
      </c>
      <c r="D503">
        <f t="shared" si="22"/>
        <v>9</v>
      </c>
      <c r="E503">
        <f t="shared" si="23"/>
        <v>58.991299665098765</v>
      </c>
      <c r="F503" s="10">
        <v>2.6416040000000001</v>
      </c>
      <c r="G503" s="10">
        <f t="shared" si="21"/>
        <v>23.774436000000001</v>
      </c>
      <c r="H503" s="10">
        <v>0</v>
      </c>
      <c r="I503" s="10">
        <v>144</v>
      </c>
      <c r="J503" s="10">
        <v>2.1583619999999999</v>
      </c>
      <c r="K503" s="10"/>
      <c r="L503" s="10"/>
      <c r="P503" cm="1">
        <f t="array" ref="P503">IF(SUM(N(ISNUMBER(FIND({"a","b","c","d","e","f","g","h","i","j","k","l","m","n","o","p","q","r","s","t","u","v","w","x","y","z"}, B503))))&gt;0, 26, 0)</f>
        <v>26</v>
      </c>
      <c r="Q503" cm="1">
        <f t="array" ref="Q503">IF(SUM(N(ISNUMBER(FIND({"A","B","C","D","E","F","G","H","I","J","K","L","M","N","O","P","Q","R","S","T","U","V","W","X","Y","Z"}, B503))))&gt;0, 26, 0)</f>
        <v>0</v>
      </c>
      <c r="R503" cm="1">
        <f t="array" ref="R503">IF(SUM(N(ISNUMBER(FIND({0,1,2,3,4,5,6,7,8,9}, B503))))&gt;0, 10, 0)</f>
        <v>0</v>
      </c>
      <c r="S503" cm="1">
        <f t="array" ref="S503">IF(LEN(B503)&gt;SUMPRODUCT(LEN(B503)-LEN(SUBSTITUTE(B503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3" s="2"/>
    </row>
    <row r="504" spans="1:21" ht="15.6">
      <c r="A504" s="3">
        <v>2</v>
      </c>
      <c r="B504" s="7" t="s">
        <v>817</v>
      </c>
      <c r="C504" t="s">
        <v>640</v>
      </c>
      <c r="D504">
        <f t="shared" si="22"/>
        <v>8</v>
      </c>
      <c r="E504">
        <f t="shared" si="23"/>
        <v>52.436710813421122</v>
      </c>
      <c r="F504" s="10">
        <v>2.4056389999999999</v>
      </c>
      <c r="G504" s="10">
        <f t="shared" si="21"/>
        <v>19.245111999999999</v>
      </c>
      <c r="H504" s="10">
        <v>0</v>
      </c>
      <c r="I504" s="10">
        <v>175</v>
      </c>
      <c r="J504" s="10">
        <v>2.2430379999999999</v>
      </c>
      <c r="K504" s="10"/>
      <c r="L504" s="10"/>
      <c r="P504" cm="1">
        <f t="array" ref="P504">IF(SUM(N(ISNUMBER(FIND({"a","b","c","d","e","f","g","h","i","j","k","l","m","n","o","p","q","r","s","t","u","v","w","x","y","z"}, B504))))&gt;0, 26, 0)</f>
        <v>26</v>
      </c>
      <c r="Q504" cm="1">
        <f t="array" ref="Q504">IF(SUM(N(ISNUMBER(FIND({"A","B","C","D","E","F","G","H","I","J","K","L","M","N","O","P","Q","R","S","T","U","V","W","X","Y","Z"}, B504))))&gt;0, 26, 0)</f>
        <v>0</v>
      </c>
      <c r="R504" cm="1">
        <f t="array" ref="R504">IF(SUM(N(ISNUMBER(FIND({0,1,2,3,4,5,6,7,8,9}, B504))))&gt;0, 10, 0)</f>
        <v>0</v>
      </c>
      <c r="S504" cm="1">
        <f t="array" ref="S504">IF(LEN(B504)&gt;SUMPRODUCT(LEN(B504)-LEN(SUBSTITUTE(B504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4" s="2"/>
    </row>
    <row r="505" spans="1:21" ht="15.6">
      <c r="A505" s="3">
        <v>2</v>
      </c>
      <c r="B505" s="7" t="s">
        <v>818</v>
      </c>
      <c r="C505" t="s">
        <v>640</v>
      </c>
      <c r="D505">
        <f t="shared" si="22"/>
        <v>6</v>
      </c>
      <c r="E505">
        <f t="shared" si="23"/>
        <v>39.327533110065843</v>
      </c>
      <c r="F505" s="10">
        <v>2.5849630000000001</v>
      </c>
      <c r="G505" s="10">
        <f t="shared" si="21"/>
        <v>15.509778000000001</v>
      </c>
      <c r="H505" s="10">
        <v>0</v>
      </c>
      <c r="I505" s="10">
        <v>56</v>
      </c>
      <c r="J505" s="10">
        <v>1.7481880000000001</v>
      </c>
      <c r="K505" s="10"/>
      <c r="L505" s="10"/>
      <c r="P505" cm="1">
        <f t="array" ref="P505">IF(SUM(N(ISNUMBER(FIND({"a","b","c","d","e","f","g","h","i","j","k","l","m","n","o","p","q","r","s","t","u","v","w","x","y","z"}, B505))))&gt;0, 26, 0)</f>
        <v>26</v>
      </c>
      <c r="Q505" cm="1">
        <f t="array" ref="Q505">IF(SUM(N(ISNUMBER(FIND({"A","B","C","D","E","F","G","H","I","J","K","L","M","N","O","P","Q","R","S","T","U","V","W","X","Y","Z"}, B505))))&gt;0, 26, 0)</f>
        <v>0</v>
      </c>
      <c r="R505" cm="1">
        <f t="array" ref="R505">IF(SUM(N(ISNUMBER(FIND({0,1,2,3,4,5,6,7,8,9}, B505))))&gt;0, 10, 0)</f>
        <v>0</v>
      </c>
      <c r="S505" cm="1">
        <f t="array" ref="S505">IF(LEN(B505)&gt;SUMPRODUCT(LEN(B505)-LEN(SUBSTITUTE(B505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5" s="2"/>
    </row>
    <row r="506" spans="1:21" ht="15.6">
      <c r="A506" s="3">
        <v>2</v>
      </c>
      <c r="B506" s="7" t="s">
        <v>819</v>
      </c>
      <c r="C506" t="s">
        <v>640</v>
      </c>
      <c r="D506">
        <f t="shared" si="22"/>
        <v>8</v>
      </c>
      <c r="E506">
        <f t="shared" si="23"/>
        <v>52.436710813421122</v>
      </c>
      <c r="F506" s="10">
        <v>2.75</v>
      </c>
      <c r="G506" s="10">
        <f t="shared" si="21"/>
        <v>22</v>
      </c>
      <c r="H506" s="10">
        <v>1</v>
      </c>
      <c r="I506" s="10">
        <v>3645</v>
      </c>
      <c r="J506" s="10">
        <v>3.5616979999999998</v>
      </c>
      <c r="K506" s="10"/>
      <c r="L506" s="10"/>
      <c r="P506" cm="1">
        <f t="array" ref="P506">IF(SUM(N(ISNUMBER(FIND({"a","b","c","d","e","f","g","h","i","j","k","l","m","n","o","p","q","r","s","t","u","v","w","x","y","z"}, B506))))&gt;0, 26, 0)</f>
        <v>26</v>
      </c>
      <c r="Q506" cm="1">
        <f t="array" ref="Q506">IF(SUM(N(ISNUMBER(FIND({"A","B","C","D","E","F","G","H","I","J","K","L","M","N","O","P","Q","R","S","T","U","V","W","X","Y","Z"}, B506))))&gt;0, 26, 0)</f>
        <v>0</v>
      </c>
      <c r="R506" cm="1">
        <f t="array" ref="R506">IF(SUM(N(ISNUMBER(FIND({0,1,2,3,4,5,6,7,8,9}, B506))))&gt;0, 10, 0)</f>
        <v>0</v>
      </c>
      <c r="S506" cm="1">
        <f t="array" ref="S506">IF(LEN(B506)&gt;SUMPRODUCT(LEN(B506)-LEN(SUBSTITUTE(B506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6" s="2"/>
    </row>
    <row r="507" spans="1:21" ht="15.6">
      <c r="A507" s="3">
        <v>2</v>
      </c>
      <c r="B507" s="7" t="s">
        <v>820</v>
      </c>
      <c r="C507" t="s">
        <v>640</v>
      </c>
      <c r="D507">
        <f t="shared" si="22"/>
        <v>5</v>
      </c>
      <c r="E507">
        <f t="shared" si="23"/>
        <v>32.7729442583882</v>
      </c>
      <c r="F507" s="10">
        <v>1.9219280000000001</v>
      </c>
      <c r="G507" s="10">
        <f t="shared" si="21"/>
        <v>9.6096400000000006</v>
      </c>
      <c r="H507" s="10">
        <v>0</v>
      </c>
      <c r="I507" s="10">
        <v>8</v>
      </c>
      <c r="J507" s="10">
        <v>0.90308999999999995</v>
      </c>
      <c r="K507" s="10"/>
      <c r="L507" s="10"/>
      <c r="P507" cm="1">
        <f t="array" ref="P507">IF(SUM(N(ISNUMBER(FIND({"a","b","c","d","e","f","g","h","i","j","k","l","m","n","o","p","q","r","s","t","u","v","w","x","y","z"}, B507))))&gt;0, 26, 0)</f>
        <v>26</v>
      </c>
      <c r="Q507" cm="1">
        <f t="array" ref="Q507">IF(SUM(N(ISNUMBER(FIND({"A","B","C","D","E","F","G","H","I","J","K","L","M","N","O","P","Q","R","S","T","U","V","W","X","Y","Z"}, B507))))&gt;0, 26, 0)</f>
        <v>0</v>
      </c>
      <c r="R507" cm="1">
        <f t="array" ref="R507">IF(SUM(N(ISNUMBER(FIND({0,1,2,3,4,5,6,7,8,9}, B507))))&gt;0, 10, 0)</f>
        <v>0</v>
      </c>
      <c r="S507" cm="1">
        <f t="array" ref="S507">IF(LEN(B507)&gt;SUMPRODUCT(LEN(B507)-LEN(SUBSTITUTE(B507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7" s="2"/>
    </row>
    <row r="508" spans="1:21" ht="15.6">
      <c r="A508" s="3">
        <v>2</v>
      </c>
      <c r="B508" s="7" t="s">
        <v>821</v>
      </c>
      <c r="C508" t="s">
        <v>640</v>
      </c>
      <c r="D508">
        <f t="shared" si="22"/>
        <v>8</v>
      </c>
      <c r="E508">
        <f t="shared" si="23"/>
        <v>52.436710813421122</v>
      </c>
      <c r="F508" s="10">
        <v>2.75</v>
      </c>
      <c r="G508" s="10">
        <f t="shared" si="21"/>
        <v>22</v>
      </c>
      <c r="H508" s="10">
        <v>0</v>
      </c>
      <c r="I508" s="10">
        <v>596</v>
      </c>
      <c r="J508" s="10">
        <v>2.7752460000000001</v>
      </c>
      <c r="K508" s="10"/>
      <c r="L508" s="10"/>
      <c r="P508" cm="1">
        <f t="array" ref="P508">IF(SUM(N(ISNUMBER(FIND({"a","b","c","d","e","f","g","h","i","j","k","l","m","n","o","p","q","r","s","t","u","v","w","x","y","z"}, B508))))&gt;0, 26, 0)</f>
        <v>26</v>
      </c>
      <c r="Q508" cm="1">
        <f t="array" ref="Q508">IF(SUM(N(ISNUMBER(FIND({"A","B","C","D","E","F","G","H","I","J","K","L","M","N","O","P","Q","R","S","T","U","V","W","X","Y","Z"}, B508))))&gt;0, 26, 0)</f>
        <v>0</v>
      </c>
      <c r="R508" cm="1">
        <f t="array" ref="R508">IF(SUM(N(ISNUMBER(FIND({0,1,2,3,4,5,6,7,8,9}, B508))))&gt;0, 10, 0)</f>
        <v>0</v>
      </c>
      <c r="S508" cm="1">
        <f t="array" ref="S508">IF(LEN(B508)&gt;SUMPRODUCT(LEN(B508)-LEN(SUBSTITUTE(B508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8" s="2"/>
    </row>
    <row r="509" spans="1:21" ht="15.6">
      <c r="A509" s="3">
        <v>2</v>
      </c>
      <c r="B509" s="7" t="s">
        <v>822</v>
      </c>
      <c r="C509" t="s">
        <v>640</v>
      </c>
      <c r="D509">
        <f t="shared" si="22"/>
        <v>9</v>
      </c>
      <c r="E509">
        <f t="shared" si="23"/>
        <v>58.991299665098765</v>
      </c>
      <c r="F509" s="10">
        <v>2.9477030000000002</v>
      </c>
      <c r="G509" s="10">
        <f t="shared" si="21"/>
        <v>26.529327000000002</v>
      </c>
      <c r="H509" s="10">
        <v>1</v>
      </c>
      <c r="I509" s="10">
        <v>4061</v>
      </c>
      <c r="J509" s="10">
        <v>3.6086330000000002</v>
      </c>
      <c r="K509" s="10"/>
      <c r="L509" s="10"/>
      <c r="P509" cm="1">
        <f t="array" ref="P509">IF(SUM(N(ISNUMBER(FIND({"a","b","c","d","e","f","g","h","i","j","k","l","m","n","o","p","q","r","s","t","u","v","w","x","y","z"}, B509))))&gt;0, 26, 0)</f>
        <v>26</v>
      </c>
      <c r="Q509" cm="1">
        <f t="array" ref="Q509">IF(SUM(N(ISNUMBER(FIND({"A","B","C","D","E","F","G","H","I","J","K","L","M","N","O","P","Q","R","S","T","U","V","W","X","Y","Z"}, B509))))&gt;0, 26, 0)</f>
        <v>0</v>
      </c>
      <c r="R509" cm="1">
        <f t="array" ref="R509">IF(SUM(N(ISNUMBER(FIND({0,1,2,3,4,5,6,7,8,9}, B509))))&gt;0, 10, 0)</f>
        <v>10</v>
      </c>
      <c r="S509" cm="1">
        <f t="array" ref="S509">IF(LEN(B509)&gt;SUMPRODUCT(LEN(B509)-LEN(SUBSTITUTE(B509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09" s="2"/>
    </row>
    <row r="510" spans="1:21" ht="15.6">
      <c r="A510" s="3">
        <v>2</v>
      </c>
      <c r="B510" s="7" t="s">
        <v>823</v>
      </c>
      <c r="C510" t="s">
        <v>640</v>
      </c>
      <c r="D510">
        <f t="shared" si="22"/>
        <v>6</v>
      </c>
      <c r="E510">
        <f t="shared" si="23"/>
        <v>39.327533110065843</v>
      </c>
      <c r="F510" s="10">
        <v>2.5849630000000001</v>
      </c>
      <c r="G510" s="10">
        <f t="shared" si="21"/>
        <v>15.509778000000001</v>
      </c>
      <c r="H510" s="10">
        <v>0</v>
      </c>
      <c r="I510" s="10">
        <v>59</v>
      </c>
      <c r="J510" s="10">
        <v>1.7708520000000001</v>
      </c>
      <c r="K510" s="10"/>
      <c r="L510" s="10"/>
      <c r="P510" cm="1">
        <f t="array" ref="P510">IF(SUM(N(ISNUMBER(FIND({"a","b","c","d","e","f","g","h","i","j","k","l","m","n","o","p","q","r","s","t","u","v","w","x","y","z"}, B510))))&gt;0, 26, 0)</f>
        <v>26</v>
      </c>
      <c r="Q510" cm="1">
        <f t="array" ref="Q510">IF(SUM(N(ISNUMBER(FIND({"A","B","C","D","E","F","G","H","I","J","K","L","M","N","O","P","Q","R","S","T","U","V","W","X","Y","Z"}, B510))))&gt;0, 26, 0)</f>
        <v>0</v>
      </c>
      <c r="R510" cm="1">
        <f t="array" ref="R510">IF(SUM(N(ISNUMBER(FIND({0,1,2,3,4,5,6,7,8,9}, B510))))&gt;0, 10, 0)</f>
        <v>0</v>
      </c>
      <c r="S510" cm="1">
        <f t="array" ref="S510">IF(LEN(B510)&gt;SUMPRODUCT(LEN(B510)-LEN(SUBSTITUTE(B510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0" s="2"/>
    </row>
    <row r="511" spans="1:21" ht="15.6">
      <c r="A511" s="3">
        <v>2</v>
      </c>
      <c r="B511" s="7" t="s">
        <v>824</v>
      </c>
      <c r="C511" t="s">
        <v>640</v>
      </c>
      <c r="D511">
        <f t="shared" si="22"/>
        <v>6</v>
      </c>
      <c r="E511">
        <f t="shared" si="23"/>
        <v>39.327533110065843</v>
      </c>
      <c r="F511" s="10">
        <v>2.2516289999999999</v>
      </c>
      <c r="G511" s="10">
        <f t="shared" si="21"/>
        <v>13.509774</v>
      </c>
      <c r="H511" s="10">
        <v>0</v>
      </c>
      <c r="I511" s="10">
        <v>77</v>
      </c>
      <c r="J511" s="10">
        <v>1.8864909999999999</v>
      </c>
      <c r="K511" s="10"/>
      <c r="L511" s="10"/>
      <c r="P511" cm="1">
        <f t="array" ref="P511">IF(SUM(N(ISNUMBER(FIND({"a","b","c","d","e","f","g","h","i","j","k","l","m","n","o","p","q","r","s","t","u","v","w","x","y","z"}, B511))))&gt;0, 26, 0)</f>
        <v>26</v>
      </c>
      <c r="Q511" cm="1">
        <f t="array" ref="Q511">IF(SUM(N(ISNUMBER(FIND({"A","B","C","D","E","F","G","H","I","J","K","L","M","N","O","P","Q","R","S","T","U","V","W","X","Y","Z"}, B511))))&gt;0, 26, 0)</f>
        <v>0</v>
      </c>
      <c r="R511" cm="1">
        <f t="array" ref="R511">IF(SUM(N(ISNUMBER(FIND({0,1,2,3,4,5,6,7,8,9}, B511))))&gt;0, 10, 0)</f>
        <v>0</v>
      </c>
      <c r="S511" cm="1">
        <f t="array" ref="S511">IF(LEN(B511)&gt;SUMPRODUCT(LEN(B511)-LEN(SUBSTITUTE(B511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1" s="2"/>
    </row>
    <row r="512" spans="1:21" ht="15.6">
      <c r="A512" s="3">
        <v>2</v>
      </c>
      <c r="B512" s="7" t="s">
        <v>825</v>
      </c>
      <c r="C512" t="s">
        <v>640</v>
      </c>
      <c r="D512">
        <f t="shared" si="22"/>
        <v>6</v>
      </c>
      <c r="E512">
        <f t="shared" si="23"/>
        <v>39.327533110065843</v>
      </c>
      <c r="F512" s="10">
        <v>2.2516289999999999</v>
      </c>
      <c r="G512" s="10">
        <f t="shared" si="21"/>
        <v>13.509774</v>
      </c>
      <c r="H512" s="10">
        <v>0</v>
      </c>
      <c r="I512" s="10">
        <v>38</v>
      </c>
      <c r="J512" s="10">
        <v>1.5797840000000001</v>
      </c>
      <c r="K512" s="10"/>
      <c r="L512" s="10"/>
      <c r="P512" cm="1">
        <f t="array" ref="P512">IF(SUM(N(ISNUMBER(FIND({"a","b","c","d","e","f","g","h","i","j","k","l","m","n","o","p","q","r","s","t","u","v","w","x","y","z"}, B512))))&gt;0, 26, 0)</f>
        <v>26</v>
      </c>
      <c r="Q512" cm="1">
        <f t="array" ref="Q512">IF(SUM(N(ISNUMBER(FIND({"A","B","C","D","E","F","G","H","I","J","K","L","M","N","O","P","Q","R","S","T","U","V","W","X","Y","Z"}, B512))))&gt;0, 26, 0)</f>
        <v>0</v>
      </c>
      <c r="R512" cm="1">
        <f t="array" ref="R512">IF(SUM(N(ISNUMBER(FIND({0,1,2,3,4,5,6,7,8,9}, B512))))&gt;0, 10, 0)</f>
        <v>0</v>
      </c>
      <c r="S512" cm="1">
        <f t="array" ref="S512">IF(LEN(B512)&gt;SUMPRODUCT(LEN(B512)-LEN(SUBSTITUTE(B512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2" s="2"/>
    </row>
    <row r="513" spans="1:21" ht="15.6">
      <c r="A513" s="3">
        <v>2</v>
      </c>
      <c r="B513" s="7" t="s">
        <v>826</v>
      </c>
      <c r="C513" t="s">
        <v>640</v>
      </c>
      <c r="D513">
        <f t="shared" si="22"/>
        <v>8</v>
      </c>
      <c r="E513">
        <f t="shared" si="23"/>
        <v>52.436710813421122</v>
      </c>
      <c r="F513" s="10">
        <v>3</v>
      </c>
      <c r="G513" s="10">
        <f t="shared" si="21"/>
        <v>24</v>
      </c>
      <c r="H513" s="10">
        <v>0</v>
      </c>
      <c r="I513" s="10">
        <v>25</v>
      </c>
      <c r="J513" s="10">
        <v>1.39794</v>
      </c>
      <c r="K513" s="10"/>
      <c r="L513" s="10"/>
      <c r="P513" cm="1">
        <f t="array" ref="P513">IF(SUM(N(ISNUMBER(FIND({"a","b","c","d","e","f","g","h","i","j","k","l","m","n","o","p","q","r","s","t","u","v","w","x","y","z"}, B513))))&gt;0, 26, 0)</f>
        <v>26</v>
      </c>
      <c r="Q513" cm="1">
        <f t="array" ref="Q513">IF(SUM(N(ISNUMBER(FIND({"A","B","C","D","E","F","G","H","I","J","K","L","M","N","O","P","Q","R","S","T","U","V","W","X","Y","Z"}, B513))))&gt;0, 26, 0)</f>
        <v>0</v>
      </c>
      <c r="R513" cm="1">
        <f t="array" ref="R513">IF(SUM(N(ISNUMBER(FIND({0,1,2,3,4,5,6,7,8,9}, B513))))&gt;0, 10, 0)</f>
        <v>0</v>
      </c>
      <c r="S513" cm="1">
        <f t="array" ref="S513">IF(LEN(B513)&gt;SUMPRODUCT(LEN(B513)-LEN(SUBSTITUTE(B513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3" s="2"/>
    </row>
    <row r="514" spans="1:21" ht="15.6">
      <c r="A514" s="3">
        <v>2</v>
      </c>
      <c r="B514" s="7" t="s">
        <v>827</v>
      </c>
      <c r="C514" t="s">
        <v>640</v>
      </c>
      <c r="D514">
        <f t="shared" si="22"/>
        <v>6</v>
      </c>
      <c r="E514">
        <f t="shared" si="23"/>
        <v>39.327533110065843</v>
      </c>
      <c r="F514" s="10">
        <v>2.2516289999999999</v>
      </c>
      <c r="G514" s="10">
        <f t="shared" ref="G514:G577" si="24">F514 * D514</f>
        <v>13.509774</v>
      </c>
      <c r="H514" s="10">
        <v>0</v>
      </c>
      <c r="I514" s="10">
        <v>237</v>
      </c>
      <c r="J514" s="10">
        <v>2.3747479999999999</v>
      </c>
      <c r="K514" s="10"/>
      <c r="L514" s="10"/>
      <c r="P514" cm="1">
        <f t="array" ref="P514">IF(SUM(N(ISNUMBER(FIND({"a","b","c","d","e","f","g","h","i","j","k","l","m","n","o","p","q","r","s","t","u","v","w","x","y","z"}, B514))))&gt;0, 26, 0)</f>
        <v>26</v>
      </c>
      <c r="Q514" cm="1">
        <f t="array" ref="Q514">IF(SUM(N(ISNUMBER(FIND({"A","B","C","D","E","F","G","H","I","J","K","L","M","N","O","P","Q","R","S","T","U","V","W","X","Y","Z"}, B514))))&gt;0, 26, 0)</f>
        <v>0</v>
      </c>
      <c r="R514" cm="1">
        <f t="array" ref="R514">IF(SUM(N(ISNUMBER(FIND({0,1,2,3,4,5,6,7,8,9}, B514))))&gt;0, 10, 0)</f>
        <v>0</v>
      </c>
      <c r="S514" cm="1">
        <f t="array" ref="S514">IF(LEN(B514)&gt;SUMPRODUCT(LEN(B514)-LEN(SUBSTITUTE(B514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4" s="2"/>
    </row>
    <row r="515" spans="1:21" ht="15.6">
      <c r="A515" s="3">
        <v>2</v>
      </c>
      <c r="B515" s="7" t="s">
        <v>828</v>
      </c>
      <c r="C515" t="s">
        <v>640</v>
      </c>
      <c r="D515">
        <f t="shared" ref="D515:D578" si="25">LEN(B515)</f>
        <v>7</v>
      </c>
      <c r="E515">
        <f t="shared" ref="E515:E578" si="26">IMLOG2(94) * D515</f>
        <v>45.882121961743479</v>
      </c>
      <c r="F515" s="10">
        <v>2.128085</v>
      </c>
      <c r="G515" s="10">
        <f t="shared" si="24"/>
        <v>14.896595</v>
      </c>
      <c r="H515" s="10">
        <v>0</v>
      </c>
      <c r="I515" s="10">
        <v>124</v>
      </c>
      <c r="J515" s="10">
        <v>2.0934219999999999</v>
      </c>
      <c r="K515" s="10"/>
      <c r="L515" s="10"/>
      <c r="P515" cm="1">
        <f t="array" ref="P515">IF(SUM(N(ISNUMBER(FIND({"a","b","c","d","e","f","g","h","i","j","k","l","m","n","o","p","q","r","s","t","u","v","w","x","y","z"}, B515))))&gt;0, 26, 0)</f>
        <v>26</v>
      </c>
      <c r="Q515" cm="1">
        <f t="array" ref="Q515">IF(SUM(N(ISNUMBER(FIND({"A","B","C","D","E","F","G","H","I","J","K","L","M","N","O","P","Q","R","S","T","U","V","W","X","Y","Z"}, B515))))&gt;0, 26, 0)</f>
        <v>0</v>
      </c>
      <c r="R515" cm="1">
        <f t="array" ref="R515">IF(SUM(N(ISNUMBER(FIND({0,1,2,3,4,5,6,7,8,9}, B515))))&gt;0, 10, 0)</f>
        <v>0</v>
      </c>
      <c r="S515" cm="1">
        <f t="array" ref="S515">IF(LEN(B515)&gt;SUMPRODUCT(LEN(B515)-LEN(SUBSTITUTE(B515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5" s="2"/>
    </row>
    <row r="516" spans="1:21" ht="15.6">
      <c r="A516" s="3">
        <v>2</v>
      </c>
      <c r="B516" s="7" t="s">
        <v>829</v>
      </c>
      <c r="C516" t="s">
        <v>640</v>
      </c>
      <c r="D516">
        <f t="shared" si="25"/>
        <v>8</v>
      </c>
      <c r="E516">
        <f t="shared" si="26"/>
        <v>52.436710813421122</v>
      </c>
      <c r="F516" s="10">
        <v>3</v>
      </c>
      <c r="G516" s="10">
        <f t="shared" si="24"/>
        <v>24</v>
      </c>
      <c r="H516" s="10">
        <v>0</v>
      </c>
      <c r="I516" s="10">
        <v>791</v>
      </c>
      <c r="J516" s="10">
        <v>2.8981759999999999</v>
      </c>
      <c r="K516" s="10"/>
      <c r="L516" s="10"/>
      <c r="P516" cm="1">
        <f t="array" ref="P516">IF(SUM(N(ISNUMBER(FIND({"a","b","c","d","e","f","g","h","i","j","k","l","m","n","o","p","q","r","s","t","u","v","w","x","y","z"}, B516))))&gt;0, 26, 0)</f>
        <v>26</v>
      </c>
      <c r="Q516" cm="1">
        <f t="array" ref="Q516">IF(SUM(N(ISNUMBER(FIND({"A","B","C","D","E","F","G","H","I","J","K","L","M","N","O","P","Q","R","S","T","U","V","W","X","Y","Z"}, B516))))&gt;0, 26, 0)</f>
        <v>0</v>
      </c>
      <c r="R516" cm="1">
        <f t="array" ref="R516">IF(SUM(N(ISNUMBER(FIND({0,1,2,3,4,5,6,7,8,9}, B516))))&gt;0, 10, 0)</f>
        <v>0</v>
      </c>
      <c r="S516" cm="1">
        <f t="array" ref="S516">IF(LEN(B516)&gt;SUMPRODUCT(LEN(B516)-LEN(SUBSTITUTE(B516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6" s="2"/>
    </row>
    <row r="517" spans="1:21" ht="15.6">
      <c r="A517" s="3">
        <v>2</v>
      </c>
      <c r="B517" s="7" t="s">
        <v>830</v>
      </c>
      <c r="C517" t="s">
        <v>640</v>
      </c>
      <c r="D517">
        <f t="shared" si="25"/>
        <v>7</v>
      </c>
      <c r="E517">
        <f t="shared" si="26"/>
        <v>45.882121961743479</v>
      </c>
      <c r="F517" s="10">
        <v>2.5216409999999998</v>
      </c>
      <c r="G517" s="10">
        <f t="shared" si="24"/>
        <v>17.651486999999999</v>
      </c>
      <c r="H517" s="10">
        <v>0</v>
      </c>
      <c r="I517" s="10">
        <v>54</v>
      </c>
      <c r="J517" s="10">
        <v>1.732394</v>
      </c>
      <c r="K517" s="10"/>
      <c r="L517" s="10"/>
      <c r="P517" cm="1">
        <f t="array" ref="P517">IF(SUM(N(ISNUMBER(FIND({"a","b","c","d","e","f","g","h","i","j","k","l","m","n","o","p","q","r","s","t","u","v","w","x","y","z"}, B517))))&gt;0, 26, 0)</f>
        <v>26</v>
      </c>
      <c r="Q517" cm="1">
        <f t="array" ref="Q517">IF(SUM(N(ISNUMBER(FIND({"A","B","C","D","E","F","G","H","I","J","K","L","M","N","O","P","Q","R","S","T","U","V","W","X","Y","Z"}, B517))))&gt;0, 26, 0)</f>
        <v>0</v>
      </c>
      <c r="R517" cm="1">
        <f t="array" ref="R517">IF(SUM(N(ISNUMBER(FIND({0,1,2,3,4,5,6,7,8,9}, B517))))&gt;0, 10, 0)</f>
        <v>0</v>
      </c>
      <c r="S517" cm="1">
        <f t="array" ref="S517">IF(LEN(B517)&gt;SUMPRODUCT(LEN(B517)-LEN(SUBSTITUTE(B517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7" s="2"/>
    </row>
    <row r="518" spans="1:21" ht="15.6">
      <c r="A518" s="3">
        <v>2</v>
      </c>
      <c r="B518" s="7" t="s">
        <v>831</v>
      </c>
      <c r="C518" t="s">
        <v>640</v>
      </c>
      <c r="D518">
        <f t="shared" si="25"/>
        <v>6</v>
      </c>
      <c r="E518">
        <f t="shared" si="26"/>
        <v>39.327533110065843</v>
      </c>
      <c r="F518" s="10">
        <v>2.5849630000000001</v>
      </c>
      <c r="G518" s="10">
        <f t="shared" si="24"/>
        <v>15.509778000000001</v>
      </c>
      <c r="H518" s="10">
        <v>0</v>
      </c>
      <c r="I518" s="10">
        <v>206</v>
      </c>
      <c r="J518" s="10">
        <v>2.3138670000000001</v>
      </c>
      <c r="K518" s="10"/>
      <c r="L518" s="10"/>
      <c r="P518" cm="1">
        <f t="array" ref="P518">IF(SUM(N(ISNUMBER(FIND({"a","b","c","d","e","f","g","h","i","j","k","l","m","n","o","p","q","r","s","t","u","v","w","x","y","z"}, B518))))&gt;0, 26, 0)</f>
        <v>26</v>
      </c>
      <c r="Q518" cm="1">
        <f t="array" ref="Q518">IF(SUM(N(ISNUMBER(FIND({"A","B","C","D","E","F","G","H","I","J","K","L","M","N","O","P","Q","R","S","T","U","V","W","X","Y","Z"}, B518))))&gt;0, 26, 0)</f>
        <v>0</v>
      </c>
      <c r="R518" cm="1">
        <f t="array" ref="R518">IF(SUM(N(ISNUMBER(FIND({0,1,2,3,4,5,6,7,8,9}, B518))))&gt;0, 10, 0)</f>
        <v>0</v>
      </c>
      <c r="S518" cm="1">
        <f t="array" ref="S518">IF(LEN(B518)&gt;SUMPRODUCT(LEN(B518)-LEN(SUBSTITUTE(B518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8" s="2"/>
    </row>
    <row r="519" spans="1:21" ht="15.6">
      <c r="A519" s="3">
        <v>2</v>
      </c>
      <c r="B519" s="7" t="s">
        <v>832</v>
      </c>
      <c r="C519" t="s">
        <v>640</v>
      </c>
      <c r="D519">
        <f t="shared" si="25"/>
        <v>6</v>
      </c>
      <c r="E519">
        <f t="shared" si="26"/>
        <v>39.327533110065843</v>
      </c>
      <c r="F519" s="10">
        <v>1.918296</v>
      </c>
      <c r="G519" s="10">
        <f t="shared" si="24"/>
        <v>11.509776</v>
      </c>
      <c r="H519" s="10">
        <v>0</v>
      </c>
      <c r="I519" s="10">
        <v>214</v>
      </c>
      <c r="J519" s="10">
        <v>2.3304140000000002</v>
      </c>
      <c r="K519" s="10"/>
      <c r="L519" s="10"/>
      <c r="P519" cm="1">
        <f t="array" ref="P519">IF(SUM(N(ISNUMBER(FIND({"a","b","c","d","e","f","g","h","i","j","k","l","m","n","o","p","q","r","s","t","u","v","w","x","y","z"}, B519))))&gt;0, 26, 0)</f>
        <v>26</v>
      </c>
      <c r="Q519" cm="1">
        <f t="array" ref="Q519">IF(SUM(N(ISNUMBER(FIND({"A","B","C","D","E","F","G","H","I","J","K","L","M","N","O","P","Q","R","S","T","U","V","W","X","Y","Z"}, B519))))&gt;0, 26, 0)</f>
        <v>0</v>
      </c>
      <c r="R519" cm="1">
        <f t="array" ref="R519">IF(SUM(N(ISNUMBER(FIND({0,1,2,3,4,5,6,7,8,9}, B519))))&gt;0, 10, 0)</f>
        <v>0</v>
      </c>
      <c r="S519" cm="1">
        <f t="array" ref="S519">IF(LEN(B519)&gt;SUMPRODUCT(LEN(B519)-LEN(SUBSTITUTE(B519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19" s="2"/>
    </row>
    <row r="520" spans="1:21" ht="15.6">
      <c r="A520" s="3">
        <v>2</v>
      </c>
      <c r="B520" s="7" t="s">
        <v>833</v>
      </c>
      <c r="C520" t="s">
        <v>640</v>
      </c>
      <c r="D520">
        <f t="shared" si="25"/>
        <v>10</v>
      </c>
      <c r="E520">
        <f t="shared" si="26"/>
        <v>65.545888516776401</v>
      </c>
      <c r="F520" s="10">
        <v>2.9219279999999999</v>
      </c>
      <c r="G520" s="10">
        <f t="shared" si="24"/>
        <v>29.219279999999998</v>
      </c>
      <c r="H520" s="10">
        <v>1</v>
      </c>
      <c r="I520" s="10">
        <v>4933</v>
      </c>
      <c r="J520" s="10">
        <v>3.693111</v>
      </c>
      <c r="K520" s="10"/>
      <c r="L520" s="10"/>
      <c r="P520" cm="1">
        <f t="array" ref="P520">IF(SUM(N(ISNUMBER(FIND({"a","b","c","d","e","f","g","h","i","j","k","l","m","n","o","p","q","r","s","t","u","v","w","x","y","z"}, B520))))&gt;0, 26, 0)</f>
        <v>26</v>
      </c>
      <c r="Q520" cm="1">
        <f t="array" ref="Q520">IF(SUM(N(ISNUMBER(FIND({"A","B","C","D","E","F","G","H","I","J","K","L","M","N","O","P","Q","R","S","T","U","V","W","X","Y","Z"}, B520))))&gt;0, 26, 0)</f>
        <v>0</v>
      </c>
      <c r="R520" cm="1">
        <f t="array" ref="R520">IF(SUM(N(ISNUMBER(FIND({0,1,2,3,4,5,6,7,8,9}, B520))))&gt;0, 10, 0)</f>
        <v>0</v>
      </c>
      <c r="S520" cm="1">
        <f t="array" ref="S520">IF(LEN(B520)&gt;SUMPRODUCT(LEN(B520)-LEN(SUBSTITUTE(B520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0" s="2"/>
    </row>
    <row r="521" spans="1:21" ht="15.6">
      <c r="A521" s="3">
        <v>2</v>
      </c>
      <c r="B521" s="7" t="s">
        <v>834</v>
      </c>
      <c r="C521" t="s">
        <v>640</v>
      </c>
      <c r="D521">
        <f t="shared" si="25"/>
        <v>7</v>
      </c>
      <c r="E521">
        <f t="shared" si="26"/>
        <v>45.882121961743479</v>
      </c>
      <c r="F521" s="10">
        <v>2.5216409999999998</v>
      </c>
      <c r="G521" s="10">
        <f t="shared" si="24"/>
        <v>17.651486999999999</v>
      </c>
      <c r="H521" s="10">
        <v>0</v>
      </c>
      <c r="I521" s="10">
        <v>232</v>
      </c>
      <c r="J521" s="10">
        <v>2.365488</v>
      </c>
      <c r="K521" s="10"/>
      <c r="L521" s="10"/>
      <c r="P521" cm="1">
        <f t="array" ref="P521">IF(SUM(N(ISNUMBER(FIND({"a","b","c","d","e","f","g","h","i","j","k","l","m","n","o","p","q","r","s","t","u","v","w","x","y","z"}, B521))))&gt;0, 26, 0)</f>
        <v>26</v>
      </c>
      <c r="Q521" cm="1">
        <f t="array" ref="Q521">IF(SUM(N(ISNUMBER(FIND({"A","B","C","D","E","F","G","H","I","J","K","L","M","N","O","P","Q","R","S","T","U","V","W","X","Y","Z"}, B521))))&gt;0, 26, 0)</f>
        <v>0</v>
      </c>
      <c r="R521" cm="1">
        <f t="array" ref="R521">IF(SUM(N(ISNUMBER(FIND({0,1,2,3,4,5,6,7,8,9}, B521))))&gt;0, 10, 0)</f>
        <v>0</v>
      </c>
      <c r="S521" cm="1">
        <f t="array" ref="S521">IF(LEN(B521)&gt;SUMPRODUCT(LEN(B521)-LEN(SUBSTITUTE(B521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1" s="2"/>
    </row>
    <row r="522" spans="1:21" ht="15.6">
      <c r="A522" s="3">
        <v>2</v>
      </c>
      <c r="B522" s="7" t="s">
        <v>835</v>
      </c>
      <c r="C522" t="s">
        <v>640</v>
      </c>
      <c r="D522">
        <f t="shared" si="25"/>
        <v>9</v>
      </c>
      <c r="E522">
        <f t="shared" si="26"/>
        <v>58.991299665098765</v>
      </c>
      <c r="F522" s="10">
        <v>2.9477030000000002</v>
      </c>
      <c r="G522" s="10">
        <f t="shared" si="24"/>
        <v>26.529327000000002</v>
      </c>
      <c r="H522" s="10">
        <v>1</v>
      </c>
      <c r="I522" s="10">
        <v>11502</v>
      </c>
      <c r="J522" s="10">
        <v>4.0607730000000002</v>
      </c>
      <c r="K522" s="10"/>
      <c r="L522" s="10"/>
      <c r="P522" cm="1">
        <f t="array" ref="P522">IF(SUM(N(ISNUMBER(FIND({"a","b","c","d","e","f","g","h","i","j","k","l","m","n","o","p","q","r","s","t","u","v","w","x","y","z"}, B522))))&gt;0, 26, 0)</f>
        <v>26</v>
      </c>
      <c r="Q522" cm="1">
        <f t="array" ref="Q522">IF(SUM(N(ISNUMBER(FIND({"A","B","C","D","E","F","G","H","I","J","K","L","M","N","O","P","Q","R","S","T","U","V","W","X","Y","Z"}, B522))))&gt;0, 26, 0)</f>
        <v>0</v>
      </c>
      <c r="R522" cm="1">
        <f t="array" ref="R522">IF(SUM(N(ISNUMBER(FIND({0,1,2,3,4,5,6,7,8,9}, B522))))&gt;0, 10, 0)</f>
        <v>10</v>
      </c>
      <c r="S522" cm="1">
        <f t="array" ref="S522">IF(LEN(B522)&gt;SUMPRODUCT(LEN(B522)-LEN(SUBSTITUTE(B522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2" s="2"/>
    </row>
    <row r="523" spans="1:21" ht="15.6">
      <c r="A523" s="3">
        <v>2</v>
      </c>
      <c r="B523" s="7" t="s">
        <v>836</v>
      </c>
      <c r="C523" t="s">
        <v>640</v>
      </c>
      <c r="D523">
        <f t="shared" si="25"/>
        <v>8</v>
      </c>
      <c r="E523">
        <f t="shared" si="26"/>
        <v>52.436710813421122</v>
      </c>
      <c r="F523" s="10">
        <v>2.75</v>
      </c>
      <c r="G523" s="10">
        <f t="shared" si="24"/>
        <v>22</v>
      </c>
      <c r="H523" s="10">
        <v>0</v>
      </c>
      <c r="I523" s="10">
        <v>381</v>
      </c>
      <c r="J523" s="10">
        <v>2.5809250000000001</v>
      </c>
      <c r="K523" s="10"/>
      <c r="L523" s="10"/>
      <c r="P523" cm="1">
        <f t="array" ref="P523">IF(SUM(N(ISNUMBER(FIND({"a","b","c","d","e","f","g","h","i","j","k","l","m","n","o","p","q","r","s","t","u","v","w","x","y","z"}, B523))))&gt;0, 26, 0)</f>
        <v>26</v>
      </c>
      <c r="Q523" cm="1">
        <f t="array" ref="Q523">IF(SUM(N(ISNUMBER(FIND({"A","B","C","D","E","F","G","H","I","J","K","L","M","N","O","P","Q","R","S","T","U","V","W","X","Y","Z"}, B523))))&gt;0, 26, 0)</f>
        <v>0</v>
      </c>
      <c r="R523" cm="1">
        <f t="array" ref="R523">IF(SUM(N(ISNUMBER(FIND({0,1,2,3,4,5,6,7,8,9}, B523))))&gt;0, 10, 0)</f>
        <v>0</v>
      </c>
      <c r="S523" cm="1">
        <f t="array" ref="S523">IF(LEN(B523)&gt;SUMPRODUCT(LEN(B523)-LEN(SUBSTITUTE(B523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3" s="2"/>
    </row>
    <row r="524" spans="1:21" ht="15.6">
      <c r="A524" s="3">
        <v>2</v>
      </c>
      <c r="B524" s="7" t="s">
        <v>837</v>
      </c>
      <c r="C524" t="s">
        <v>640</v>
      </c>
      <c r="D524">
        <f t="shared" si="25"/>
        <v>6</v>
      </c>
      <c r="E524">
        <f t="shared" si="26"/>
        <v>39.327533110065843</v>
      </c>
      <c r="F524" s="10">
        <v>2.5849630000000001</v>
      </c>
      <c r="G524" s="10">
        <f t="shared" si="24"/>
        <v>15.509778000000001</v>
      </c>
      <c r="H524" s="10">
        <v>0</v>
      </c>
      <c r="I524" s="10">
        <v>78</v>
      </c>
      <c r="J524" s="10">
        <v>1.8920950000000001</v>
      </c>
      <c r="K524" s="10"/>
      <c r="L524" s="10"/>
      <c r="P524" cm="1">
        <f t="array" ref="P524">IF(SUM(N(ISNUMBER(FIND({"a","b","c","d","e","f","g","h","i","j","k","l","m","n","o","p","q","r","s","t","u","v","w","x","y","z"}, B524))))&gt;0, 26, 0)</f>
        <v>26</v>
      </c>
      <c r="Q524" cm="1">
        <f t="array" ref="Q524">IF(SUM(N(ISNUMBER(FIND({"A","B","C","D","E","F","G","H","I","J","K","L","M","N","O","P","Q","R","S","T","U","V","W","X","Y","Z"}, B524))))&gt;0, 26, 0)</f>
        <v>0</v>
      </c>
      <c r="R524" cm="1">
        <f t="array" ref="R524">IF(SUM(N(ISNUMBER(FIND({0,1,2,3,4,5,6,7,8,9}, B524))))&gt;0, 10, 0)</f>
        <v>0</v>
      </c>
      <c r="S524" cm="1">
        <f t="array" ref="S524">IF(LEN(B524)&gt;SUMPRODUCT(LEN(B524)-LEN(SUBSTITUTE(B524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4" s="2"/>
    </row>
    <row r="525" spans="1:21" ht="15.6">
      <c r="A525" s="3">
        <v>2</v>
      </c>
      <c r="B525" s="7" t="s">
        <v>838</v>
      </c>
      <c r="C525" t="s">
        <v>640</v>
      </c>
      <c r="D525">
        <f t="shared" si="25"/>
        <v>7</v>
      </c>
      <c r="E525">
        <f t="shared" si="26"/>
        <v>45.882121961743479</v>
      </c>
      <c r="F525" s="10">
        <v>2.5216409999999998</v>
      </c>
      <c r="G525" s="10">
        <f t="shared" si="24"/>
        <v>17.651486999999999</v>
      </c>
      <c r="H525" s="10">
        <v>1</v>
      </c>
      <c r="I525" s="10">
        <v>10753</v>
      </c>
      <c r="J525" s="10">
        <v>4.0315300000000001</v>
      </c>
      <c r="K525" s="10"/>
      <c r="L525" s="10"/>
      <c r="P525" cm="1">
        <f t="array" ref="P525">IF(SUM(N(ISNUMBER(FIND({"a","b","c","d","e","f","g","h","i","j","k","l","m","n","o","p","q","r","s","t","u","v","w","x","y","z"}, B525))))&gt;0, 26, 0)</f>
        <v>26</v>
      </c>
      <c r="Q525" cm="1">
        <f t="array" ref="Q525">IF(SUM(N(ISNUMBER(FIND({"A","B","C","D","E","F","G","H","I","J","K","L","M","N","O","P","Q","R","S","T","U","V","W","X","Y","Z"}, B525))))&gt;0, 26, 0)</f>
        <v>0</v>
      </c>
      <c r="R525" cm="1">
        <f t="array" ref="R525">IF(SUM(N(ISNUMBER(FIND({0,1,2,3,4,5,6,7,8,9}, B525))))&gt;0, 10, 0)</f>
        <v>0</v>
      </c>
      <c r="S525" cm="1">
        <f t="array" ref="S525">IF(LEN(B525)&gt;SUMPRODUCT(LEN(B525)-LEN(SUBSTITUTE(B525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5" s="2"/>
    </row>
    <row r="526" spans="1:21" ht="15.6">
      <c r="A526" s="3">
        <v>2</v>
      </c>
      <c r="B526" s="7" t="s">
        <v>839</v>
      </c>
      <c r="C526" t="s">
        <v>640</v>
      </c>
      <c r="D526">
        <f t="shared" si="25"/>
        <v>6</v>
      </c>
      <c r="E526">
        <f t="shared" si="26"/>
        <v>39.327533110065843</v>
      </c>
      <c r="F526" s="10">
        <v>2.5849630000000001</v>
      </c>
      <c r="G526" s="10">
        <f t="shared" si="24"/>
        <v>15.509778000000001</v>
      </c>
      <c r="H526" s="10">
        <v>0</v>
      </c>
      <c r="I526" s="10">
        <v>84</v>
      </c>
      <c r="J526" s="10">
        <v>1.9242790000000001</v>
      </c>
      <c r="K526" s="10"/>
      <c r="L526" s="10"/>
      <c r="P526" cm="1">
        <f t="array" ref="P526">IF(SUM(N(ISNUMBER(FIND({"a","b","c","d","e","f","g","h","i","j","k","l","m","n","o","p","q","r","s","t","u","v","w","x","y","z"}, B526))))&gt;0, 26, 0)</f>
        <v>26</v>
      </c>
      <c r="Q526" cm="1">
        <f t="array" ref="Q526">IF(SUM(N(ISNUMBER(FIND({"A","B","C","D","E","F","G","H","I","J","K","L","M","N","O","P","Q","R","S","T","U","V","W","X","Y","Z"}, B526))))&gt;0, 26, 0)</f>
        <v>0</v>
      </c>
      <c r="R526" cm="1">
        <f t="array" ref="R526">IF(SUM(N(ISNUMBER(FIND({0,1,2,3,4,5,6,7,8,9}, B526))))&gt;0, 10, 0)</f>
        <v>0</v>
      </c>
      <c r="S526" cm="1">
        <f t="array" ref="S526">IF(LEN(B526)&gt;SUMPRODUCT(LEN(B526)-LEN(SUBSTITUTE(B526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6" s="2"/>
    </row>
    <row r="527" spans="1:21" ht="15.6">
      <c r="A527" s="3">
        <v>2</v>
      </c>
      <c r="B527" s="7" t="s">
        <v>840</v>
      </c>
      <c r="C527" t="s">
        <v>640</v>
      </c>
      <c r="D527">
        <f t="shared" si="25"/>
        <v>6</v>
      </c>
      <c r="E527">
        <f t="shared" si="26"/>
        <v>39.327533110065843</v>
      </c>
      <c r="F527" s="10">
        <v>2.2516289999999999</v>
      </c>
      <c r="G527" s="10">
        <f t="shared" si="24"/>
        <v>13.509774</v>
      </c>
      <c r="H527" s="10">
        <v>0</v>
      </c>
      <c r="I527" s="10">
        <v>424</v>
      </c>
      <c r="J527" s="10">
        <v>2.6273659999999999</v>
      </c>
      <c r="K527" s="10"/>
      <c r="L527" s="10"/>
      <c r="P527" cm="1">
        <f t="array" ref="P527">IF(SUM(N(ISNUMBER(FIND({"a","b","c","d","e","f","g","h","i","j","k","l","m","n","o","p","q","r","s","t","u","v","w","x","y","z"}, B527))))&gt;0, 26, 0)</f>
        <v>26</v>
      </c>
      <c r="Q527" cm="1">
        <f t="array" ref="Q527">IF(SUM(N(ISNUMBER(FIND({"A","B","C","D","E","F","G","H","I","J","K","L","M","N","O","P","Q","R","S","T","U","V","W","X","Y","Z"}, B527))))&gt;0, 26, 0)</f>
        <v>0</v>
      </c>
      <c r="R527" cm="1">
        <f t="array" ref="R527">IF(SUM(N(ISNUMBER(FIND({0,1,2,3,4,5,6,7,8,9}, B527))))&gt;0, 10, 0)</f>
        <v>0</v>
      </c>
      <c r="S527" cm="1">
        <f t="array" ref="S527">IF(LEN(B527)&gt;SUMPRODUCT(LEN(B527)-LEN(SUBSTITUTE(B527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7" s="2"/>
    </row>
    <row r="528" spans="1:21" ht="15.6">
      <c r="A528" s="3">
        <v>2</v>
      </c>
      <c r="B528" s="7" t="s">
        <v>841</v>
      </c>
      <c r="C528" t="s">
        <v>640</v>
      </c>
      <c r="D528">
        <f t="shared" si="25"/>
        <v>7</v>
      </c>
      <c r="E528">
        <f t="shared" si="26"/>
        <v>45.882121961743479</v>
      </c>
      <c r="F528" s="10">
        <v>2.5216409999999998</v>
      </c>
      <c r="G528" s="10">
        <f t="shared" si="24"/>
        <v>17.651486999999999</v>
      </c>
      <c r="H528" s="10">
        <v>0</v>
      </c>
      <c r="I528" s="10">
        <v>111</v>
      </c>
      <c r="J528" s="10">
        <v>2.0453229999999998</v>
      </c>
      <c r="K528" s="10"/>
      <c r="L528" s="10"/>
      <c r="P528" cm="1">
        <f t="array" ref="P528">IF(SUM(N(ISNUMBER(FIND({"a","b","c","d","e","f","g","h","i","j","k","l","m","n","o","p","q","r","s","t","u","v","w","x","y","z"}, B528))))&gt;0, 26, 0)</f>
        <v>26</v>
      </c>
      <c r="Q528" cm="1">
        <f t="array" ref="Q528">IF(SUM(N(ISNUMBER(FIND({"A","B","C","D","E","F","G","H","I","J","K","L","M","N","O","P","Q","R","S","T","U","V","W","X","Y","Z"}, B528))))&gt;0, 26, 0)</f>
        <v>0</v>
      </c>
      <c r="R528" cm="1">
        <f t="array" ref="R528">IF(SUM(N(ISNUMBER(FIND({0,1,2,3,4,5,6,7,8,9}, B528))))&gt;0, 10, 0)</f>
        <v>0</v>
      </c>
      <c r="S528" cm="1">
        <f t="array" ref="S528">IF(LEN(B528)&gt;SUMPRODUCT(LEN(B528)-LEN(SUBSTITUTE(B528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8" s="2"/>
    </row>
    <row r="529" spans="1:21" ht="15.6">
      <c r="A529" s="3">
        <v>2</v>
      </c>
      <c r="B529" s="7" t="s">
        <v>842</v>
      </c>
      <c r="C529" t="s">
        <v>640</v>
      </c>
      <c r="D529">
        <f t="shared" si="25"/>
        <v>7</v>
      </c>
      <c r="E529">
        <f t="shared" si="26"/>
        <v>45.882121961743479</v>
      </c>
      <c r="F529" s="10">
        <v>2.128085</v>
      </c>
      <c r="G529" s="10">
        <f t="shared" si="24"/>
        <v>14.896595</v>
      </c>
      <c r="H529" s="10">
        <v>0</v>
      </c>
      <c r="I529" s="10">
        <v>875</v>
      </c>
      <c r="J529" s="10">
        <v>2.942008</v>
      </c>
      <c r="K529" s="10"/>
      <c r="L529" s="10"/>
      <c r="P529" cm="1">
        <f t="array" ref="P529">IF(SUM(N(ISNUMBER(FIND({"a","b","c","d","e","f","g","h","i","j","k","l","m","n","o","p","q","r","s","t","u","v","w","x","y","z"}, B529))))&gt;0, 26, 0)</f>
        <v>26</v>
      </c>
      <c r="Q529" cm="1">
        <f t="array" ref="Q529">IF(SUM(N(ISNUMBER(FIND({"A","B","C","D","E","F","G","H","I","J","K","L","M","N","O","P","Q","R","S","T","U","V","W","X","Y","Z"}, B529))))&gt;0, 26, 0)</f>
        <v>0</v>
      </c>
      <c r="R529" cm="1">
        <f t="array" ref="R529">IF(SUM(N(ISNUMBER(FIND({0,1,2,3,4,5,6,7,8,9}, B529))))&gt;0, 10, 0)</f>
        <v>0</v>
      </c>
      <c r="S529" cm="1">
        <f t="array" ref="S529">IF(LEN(B529)&gt;SUMPRODUCT(LEN(B529)-LEN(SUBSTITUTE(B529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29" s="2"/>
    </row>
    <row r="530" spans="1:21" ht="15.6">
      <c r="A530" s="3">
        <v>2</v>
      </c>
      <c r="B530" s="7" t="s">
        <v>843</v>
      </c>
      <c r="C530" t="s">
        <v>640</v>
      </c>
      <c r="D530">
        <f t="shared" si="25"/>
        <v>7</v>
      </c>
      <c r="E530">
        <f t="shared" si="26"/>
        <v>45.882121961743479</v>
      </c>
      <c r="F530" s="10">
        <v>2.5216409999999998</v>
      </c>
      <c r="G530" s="10">
        <f t="shared" si="24"/>
        <v>17.651486999999999</v>
      </c>
      <c r="H530" s="10">
        <v>0</v>
      </c>
      <c r="I530" s="10">
        <v>268</v>
      </c>
      <c r="J530" s="10">
        <v>2.4281350000000002</v>
      </c>
      <c r="K530" s="10"/>
      <c r="L530" s="10"/>
      <c r="P530" cm="1">
        <f t="array" ref="P530">IF(SUM(N(ISNUMBER(FIND({"a","b","c","d","e","f","g","h","i","j","k","l","m","n","o","p","q","r","s","t","u","v","w","x","y","z"}, B530))))&gt;0, 26, 0)</f>
        <v>26</v>
      </c>
      <c r="Q530" cm="1">
        <f t="array" ref="Q530">IF(SUM(N(ISNUMBER(FIND({"A","B","C","D","E","F","G","H","I","J","K","L","M","N","O","P","Q","R","S","T","U","V","W","X","Y","Z"}, B530))))&gt;0, 26, 0)</f>
        <v>0</v>
      </c>
      <c r="R530" cm="1">
        <f t="array" ref="R530">IF(SUM(N(ISNUMBER(FIND({0,1,2,3,4,5,6,7,8,9}, B530))))&gt;0, 10, 0)</f>
        <v>0</v>
      </c>
      <c r="S530" cm="1">
        <f t="array" ref="S530">IF(LEN(B530)&gt;SUMPRODUCT(LEN(B530)-LEN(SUBSTITUTE(B530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0" s="2"/>
    </row>
    <row r="531" spans="1:21" ht="15.6">
      <c r="A531" s="3">
        <v>2</v>
      </c>
      <c r="B531" s="7" t="s">
        <v>844</v>
      </c>
      <c r="C531" t="s">
        <v>640</v>
      </c>
      <c r="D531">
        <f t="shared" si="25"/>
        <v>6</v>
      </c>
      <c r="E531">
        <f t="shared" si="26"/>
        <v>39.327533110065843</v>
      </c>
      <c r="F531" s="10">
        <v>2.5849630000000001</v>
      </c>
      <c r="G531" s="10">
        <f t="shared" si="24"/>
        <v>15.509778000000001</v>
      </c>
      <c r="H531" s="10">
        <v>0</v>
      </c>
      <c r="I531" s="10">
        <v>312</v>
      </c>
      <c r="J531" s="10">
        <v>2.4941550000000001</v>
      </c>
      <c r="K531" s="10"/>
      <c r="L531" s="10"/>
      <c r="P531" cm="1">
        <f t="array" ref="P531">IF(SUM(N(ISNUMBER(FIND({"a","b","c","d","e","f","g","h","i","j","k","l","m","n","o","p","q","r","s","t","u","v","w","x","y","z"}, B531))))&gt;0, 26, 0)</f>
        <v>26</v>
      </c>
      <c r="Q531" cm="1">
        <f t="array" ref="Q531">IF(SUM(N(ISNUMBER(FIND({"A","B","C","D","E","F","G","H","I","J","K","L","M","N","O","P","Q","R","S","T","U","V","W","X","Y","Z"}, B531))))&gt;0, 26, 0)</f>
        <v>0</v>
      </c>
      <c r="R531" cm="1">
        <f t="array" ref="R531">IF(SUM(N(ISNUMBER(FIND({0,1,2,3,4,5,6,7,8,9}, B531))))&gt;0, 10, 0)</f>
        <v>0</v>
      </c>
      <c r="S531" cm="1">
        <f t="array" ref="S531">IF(LEN(B531)&gt;SUMPRODUCT(LEN(B531)-LEN(SUBSTITUTE(B531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1" s="2"/>
    </row>
    <row r="532" spans="1:21" ht="15.6">
      <c r="A532" s="3">
        <v>2</v>
      </c>
      <c r="B532" s="7" t="s">
        <v>845</v>
      </c>
      <c r="C532" t="s">
        <v>640</v>
      </c>
      <c r="D532">
        <f t="shared" si="25"/>
        <v>8</v>
      </c>
      <c r="E532">
        <f t="shared" si="26"/>
        <v>52.436710813421122</v>
      </c>
      <c r="F532" s="10">
        <v>3</v>
      </c>
      <c r="G532" s="10">
        <f t="shared" si="24"/>
        <v>24</v>
      </c>
      <c r="H532" s="10">
        <v>0</v>
      </c>
      <c r="I532" s="10">
        <v>243</v>
      </c>
      <c r="J532" s="10">
        <v>2.3856060000000001</v>
      </c>
      <c r="K532" s="10"/>
      <c r="L532" s="10"/>
      <c r="P532" cm="1">
        <f t="array" ref="P532">IF(SUM(N(ISNUMBER(FIND({"a","b","c","d","e","f","g","h","i","j","k","l","m","n","o","p","q","r","s","t","u","v","w","x","y","z"}, B532))))&gt;0, 26, 0)</f>
        <v>26</v>
      </c>
      <c r="Q532" cm="1">
        <f t="array" ref="Q532">IF(SUM(N(ISNUMBER(FIND({"A","B","C","D","E","F","G","H","I","J","K","L","M","N","O","P","Q","R","S","T","U","V","W","X","Y","Z"}, B532))))&gt;0, 26, 0)</f>
        <v>0</v>
      </c>
      <c r="R532" cm="1">
        <f t="array" ref="R532">IF(SUM(N(ISNUMBER(FIND({0,1,2,3,4,5,6,7,8,9}, B532))))&gt;0, 10, 0)</f>
        <v>0</v>
      </c>
      <c r="S532" cm="1">
        <f t="array" ref="S532">IF(LEN(B532)&gt;SUMPRODUCT(LEN(B532)-LEN(SUBSTITUTE(B532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2" s="2"/>
    </row>
    <row r="533" spans="1:21" ht="15.6">
      <c r="A533" s="3">
        <v>2</v>
      </c>
      <c r="B533" s="7" t="s">
        <v>846</v>
      </c>
      <c r="C533" t="s">
        <v>640</v>
      </c>
      <c r="D533">
        <f t="shared" si="25"/>
        <v>6</v>
      </c>
      <c r="E533">
        <f t="shared" si="26"/>
        <v>39.327533110065843</v>
      </c>
      <c r="F533" s="10">
        <v>0.918296</v>
      </c>
      <c r="G533" s="10">
        <f t="shared" si="24"/>
        <v>5.5097760000000005</v>
      </c>
      <c r="H533" s="10">
        <v>0</v>
      </c>
      <c r="I533" s="10">
        <v>125</v>
      </c>
      <c r="J533" s="10">
        <v>2.0969099999999998</v>
      </c>
      <c r="K533" s="10"/>
      <c r="L533" s="10"/>
      <c r="P533" cm="1">
        <f t="array" ref="P533">IF(SUM(N(ISNUMBER(FIND({"a","b","c","d","e","f","g","h","i","j","k","l","m","n","o","p","q","r","s","t","u","v","w","x","y","z"}, B533))))&gt;0, 26, 0)</f>
        <v>26</v>
      </c>
      <c r="Q533" cm="1">
        <f t="array" ref="Q533">IF(SUM(N(ISNUMBER(FIND({"A","B","C","D","E","F","G","H","I","J","K","L","M","N","O","P","Q","R","S","T","U","V","W","X","Y","Z"}, B533))))&gt;0, 26, 0)</f>
        <v>0</v>
      </c>
      <c r="R533" cm="1">
        <f t="array" ref="R533">IF(SUM(N(ISNUMBER(FIND({0,1,2,3,4,5,6,7,8,9}, B533))))&gt;0, 10, 0)</f>
        <v>0</v>
      </c>
      <c r="S533" cm="1">
        <f t="array" ref="S533">IF(LEN(B533)&gt;SUMPRODUCT(LEN(B533)-LEN(SUBSTITUTE(B533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3" s="2"/>
    </row>
    <row r="534" spans="1:21" ht="15.6">
      <c r="A534" s="3">
        <v>2</v>
      </c>
      <c r="B534" s="7" t="s">
        <v>847</v>
      </c>
      <c r="C534" t="s">
        <v>640</v>
      </c>
      <c r="D534">
        <f t="shared" si="25"/>
        <v>6</v>
      </c>
      <c r="E534">
        <f t="shared" si="26"/>
        <v>39.327533110065843</v>
      </c>
      <c r="F534" s="10">
        <v>2.2516289999999999</v>
      </c>
      <c r="G534" s="10">
        <f t="shared" si="24"/>
        <v>13.509774</v>
      </c>
      <c r="H534" s="10">
        <v>1</v>
      </c>
      <c r="I534" s="10">
        <v>1053</v>
      </c>
      <c r="J534" s="10">
        <v>3.0224280000000001</v>
      </c>
      <c r="K534" s="10"/>
      <c r="L534" s="10"/>
      <c r="P534" cm="1">
        <f t="array" ref="P534">IF(SUM(N(ISNUMBER(FIND({"a","b","c","d","e","f","g","h","i","j","k","l","m","n","o","p","q","r","s","t","u","v","w","x","y","z"}, B534))))&gt;0, 26, 0)</f>
        <v>26</v>
      </c>
      <c r="Q534" cm="1">
        <f t="array" ref="Q534">IF(SUM(N(ISNUMBER(FIND({"A","B","C","D","E","F","G","H","I","J","K","L","M","N","O","P","Q","R","S","T","U","V","W","X","Y","Z"}, B534))))&gt;0, 26, 0)</f>
        <v>0</v>
      </c>
      <c r="R534" cm="1">
        <f t="array" ref="R534">IF(SUM(N(ISNUMBER(FIND({0,1,2,3,4,5,6,7,8,9}, B534))))&gt;0, 10, 0)</f>
        <v>0</v>
      </c>
      <c r="S534" cm="1">
        <f t="array" ref="S534">IF(LEN(B534)&gt;SUMPRODUCT(LEN(B534)-LEN(SUBSTITUTE(B534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4" s="2"/>
    </row>
    <row r="535" spans="1:21" ht="15.6">
      <c r="A535" s="3">
        <v>2</v>
      </c>
      <c r="B535" s="7" t="s">
        <v>848</v>
      </c>
      <c r="C535" t="s">
        <v>640</v>
      </c>
      <c r="D535">
        <f t="shared" si="25"/>
        <v>6</v>
      </c>
      <c r="E535">
        <f t="shared" si="26"/>
        <v>39.327533110065843</v>
      </c>
      <c r="F535" s="10">
        <v>2.5849630000000001</v>
      </c>
      <c r="G535" s="10">
        <f t="shared" si="24"/>
        <v>15.509778000000001</v>
      </c>
      <c r="H535" s="10">
        <v>0</v>
      </c>
      <c r="I535" s="10">
        <v>39</v>
      </c>
      <c r="J535" s="10">
        <v>1.591065</v>
      </c>
      <c r="K535" s="10"/>
      <c r="L535" s="10"/>
      <c r="P535" cm="1">
        <f t="array" ref="P535">IF(SUM(N(ISNUMBER(FIND({"a","b","c","d","e","f","g","h","i","j","k","l","m","n","o","p","q","r","s","t","u","v","w","x","y","z"}, B535))))&gt;0, 26, 0)</f>
        <v>26</v>
      </c>
      <c r="Q535" cm="1">
        <f t="array" ref="Q535">IF(SUM(N(ISNUMBER(FIND({"A","B","C","D","E","F","G","H","I","J","K","L","M","N","O","P","Q","R","S","T","U","V","W","X","Y","Z"}, B535))))&gt;0, 26, 0)</f>
        <v>0</v>
      </c>
      <c r="R535" cm="1">
        <f t="array" ref="R535">IF(SUM(N(ISNUMBER(FIND({0,1,2,3,4,5,6,7,8,9}, B535))))&gt;0, 10, 0)</f>
        <v>0</v>
      </c>
      <c r="S535" cm="1">
        <f t="array" ref="S535">IF(LEN(B535)&gt;SUMPRODUCT(LEN(B535)-LEN(SUBSTITUTE(B535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5" s="2"/>
    </row>
    <row r="536" spans="1:21" ht="15.6">
      <c r="A536" s="3">
        <v>2</v>
      </c>
      <c r="B536" s="7" t="s">
        <v>849</v>
      </c>
      <c r="C536" t="s">
        <v>640</v>
      </c>
      <c r="D536">
        <f t="shared" si="25"/>
        <v>7</v>
      </c>
      <c r="E536">
        <f t="shared" si="26"/>
        <v>45.882121961743479</v>
      </c>
      <c r="F536" s="10">
        <v>2.5216409999999998</v>
      </c>
      <c r="G536" s="10">
        <f t="shared" si="24"/>
        <v>17.651486999999999</v>
      </c>
      <c r="H536" s="10">
        <v>0</v>
      </c>
      <c r="I536" s="10">
        <v>685</v>
      </c>
      <c r="J536" s="10">
        <v>2.8356910000000002</v>
      </c>
      <c r="K536" s="10"/>
      <c r="L536" s="10"/>
      <c r="P536" cm="1">
        <f t="array" ref="P536">IF(SUM(N(ISNUMBER(FIND({"a","b","c","d","e","f","g","h","i","j","k","l","m","n","o","p","q","r","s","t","u","v","w","x","y","z"}, B536))))&gt;0, 26, 0)</f>
        <v>26</v>
      </c>
      <c r="Q536" cm="1">
        <f t="array" ref="Q536">IF(SUM(N(ISNUMBER(FIND({"A","B","C","D","E","F","G","H","I","J","K","L","M","N","O","P","Q","R","S","T","U","V","W","X","Y","Z"}, B536))))&gt;0, 26, 0)</f>
        <v>0</v>
      </c>
      <c r="R536" cm="1">
        <f t="array" ref="R536">IF(SUM(N(ISNUMBER(FIND({0,1,2,3,4,5,6,7,8,9}, B536))))&gt;0, 10, 0)</f>
        <v>0</v>
      </c>
      <c r="S536" cm="1">
        <f t="array" ref="S536">IF(LEN(B536)&gt;SUMPRODUCT(LEN(B536)-LEN(SUBSTITUTE(B536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6" s="2"/>
    </row>
    <row r="537" spans="1:21" ht="15.6">
      <c r="A537" s="3">
        <v>2</v>
      </c>
      <c r="B537" s="7" t="s">
        <v>850</v>
      </c>
      <c r="C537" t="s">
        <v>640</v>
      </c>
      <c r="D537">
        <f t="shared" si="25"/>
        <v>9</v>
      </c>
      <c r="E537">
        <f t="shared" si="26"/>
        <v>58.991299665098765</v>
      </c>
      <c r="F537" s="10">
        <v>2.9477030000000002</v>
      </c>
      <c r="G537" s="10">
        <f t="shared" si="24"/>
        <v>26.529327000000002</v>
      </c>
      <c r="H537" s="10">
        <v>1</v>
      </c>
      <c r="I537" s="10">
        <v>4529</v>
      </c>
      <c r="J537" s="10">
        <v>3.656002</v>
      </c>
      <c r="K537" s="10"/>
      <c r="L537" s="10"/>
      <c r="P537" cm="1">
        <f t="array" ref="P537">IF(SUM(N(ISNUMBER(FIND({"a","b","c","d","e","f","g","h","i","j","k","l","m","n","o","p","q","r","s","t","u","v","w","x","y","z"}, B537))))&gt;0, 26, 0)</f>
        <v>26</v>
      </c>
      <c r="Q537" cm="1">
        <f t="array" ref="Q537">IF(SUM(N(ISNUMBER(FIND({"A","B","C","D","E","F","G","H","I","J","K","L","M","N","O","P","Q","R","S","T","U","V","W","X","Y","Z"}, B537))))&gt;0, 26, 0)</f>
        <v>0</v>
      </c>
      <c r="R537" cm="1">
        <f t="array" ref="R537">IF(SUM(N(ISNUMBER(FIND({0,1,2,3,4,5,6,7,8,9}, B537))))&gt;0, 10, 0)</f>
        <v>10</v>
      </c>
      <c r="S537" cm="1">
        <f t="array" ref="S537">IF(LEN(B537)&gt;SUMPRODUCT(LEN(B537)-LEN(SUBSTITUTE(B537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7" s="2"/>
    </row>
    <row r="538" spans="1:21" ht="15.6">
      <c r="A538" s="3">
        <v>2</v>
      </c>
      <c r="B538" s="7" t="s">
        <v>851</v>
      </c>
      <c r="C538" t="s">
        <v>640</v>
      </c>
      <c r="D538">
        <f t="shared" si="25"/>
        <v>8</v>
      </c>
      <c r="E538">
        <f t="shared" si="26"/>
        <v>52.436710813421122</v>
      </c>
      <c r="F538" s="10">
        <v>3</v>
      </c>
      <c r="G538" s="10">
        <f t="shared" si="24"/>
        <v>24</v>
      </c>
      <c r="H538" s="10">
        <v>0</v>
      </c>
      <c r="I538" s="10">
        <v>780</v>
      </c>
      <c r="J538" s="10">
        <v>2.8920949999999999</v>
      </c>
      <c r="K538" s="10"/>
      <c r="L538" s="10"/>
      <c r="P538" cm="1">
        <f t="array" ref="P538">IF(SUM(N(ISNUMBER(FIND({"a","b","c","d","e","f","g","h","i","j","k","l","m","n","o","p","q","r","s","t","u","v","w","x","y","z"}, B538))))&gt;0, 26, 0)</f>
        <v>26</v>
      </c>
      <c r="Q538" cm="1">
        <f t="array" ref="Q538">IF(SUM(N(ISNUMBER(FIND({"A","B","C","D","E","F","G","H","I","J","K","L","M","N","O","P","Q","R","S","T","U","V","W","X","Y","Z"}, B538))))&gt;0, 26, 0)</f>
        <v>0</v>
      </c>
      <c r="R538" cm="1">
        <f t="array" ref="R538">IF(SUM(N(ISNUMBER(FIND({0,1,2,3,4,5,6,7,8,9}, B538))))&gt;0, 10, 0)</f>
        <v>0</v>
      </c>
      <c r="S538" cm="1">
        <f t="array" ref="S538">IF(LEN(B538)&gt;SUMPRODUCT(LEN(B538)-LEN(SUBSTITUTE(B538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8" s="2"/>
    </row>
    <row r="539" spans="1:21" ht="15.6">
      <c r="A539" s="3">
        <v>2</v>
      </c>
      <c r="B539" s="7" t="s">
        <v>852</v>
      </c>
      <c r="C539" t="s">
        <v>640</v>
      </c>
      <c r="D539">
        <f t="shared" si="25"/>
        <v>7</v>
      </c>
      <c r="E539">
        <f t="shared" si="26"/>
        <v>45.882121961743479</v>
      </c>
      <c r="F539" s="10">
        <v>2.5216409999999998</v>
      </c>
      <c r="G539" s="10">
        <f t="shared" si="24"/>
        <v>17.651486999999999</v>
      </c>
      <c r="H539" s="10">
        <v>0</v>
      </c>
      <c r="I539" s="10">
        <v>160</v>
      </c>
      <c r="J539" s="10">
        <v>2.2041200000000001</v>
      </c>
      <c r="K539" s="10"/>
      <c r="L539" s="10"/>
      <c r="P539" cm="1">
        <f t="array" ref="P539">IF(SUM(N(ISNUMBER(FIND({"a","b","c","d","e","f","g","h","i","j","k","l","m","n","o","p","q","r","s","t","u","v","w","x","y","z"}, B539))))&gt;0, 26, 0)</f>
        <v>26</v>
      </c>
      <c r="Q539" cm="1">
        <f t="array" ref="Q539">IF(SUM(N(ISNUMBER(FIND({"A","B","C","D","E","F","G","H","I","J","K","L","M","N","O","P","Q","R","S","T","U","V","W","X","Y","Z"}, B539))))&gt;0, 26, 0)</f>
        <v>0</v>
      </c>
      <c r="R539" cm="1">
        <f t="array" ref="R539">IF(SUM(N(ISNUMBER(FIND({0,1,2,3,4,5,6,7,8,9}, B539))))&gt;0, 10, 0)</f>
        <v>0</v>
      </c>
      <c r="S539" cm="1">
        <f t="array" ref="S539">IF(LEN(B539)&gt;SUMPRODUCT(LEN(B539)-LEN(SUBSTITUTE(B539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39" s="2"/>
    </row>
    <row r="540" spans="1:21" ht="15.6">
      <c r="A540" s="3">
        <v>2</v>
      </c>
      <c r="B540" s="7" t="s">
        <v>853</v>
      </c>
      <c r="C540" t="s">
        <v>640</v>
      </c>
      <c r="D540">
        <f t="shared" si="25"/>
        <v>8</v>
      </c>
      <c r="E540">
        <f t="shared" si="26"/>
        <v>52.436710813421122</v>
      </c>
      <c r="F540" s="10">
        <v>2.75</v>
      </c>
      <c r="G540" s="10">
        <f t="shared" si="24"/>
        <v>22</v>
      </c>
      <c r="H540" s="10">
        <v>1</v>
      </c>
      <c r="I540" s="10">
        <v>3030</v>
      </c>
      <c r="J540" s="10">
        <v>3.4814430000000001</v>
      </c>
      <c r="K540" s="10"/>
      <c r="L540" s="10"/>
      <c r="P540" cm="1">
        <f t="array" ref="P540">IF(SUM(N(ISNUMBER(FIND({"a","b","c","d","e","f","g","h","i","j","k","l","m","n","o","p","q","r","s","t","u","v","w","x","y","z"}, B540))))&gt;0, 26, 0)</f>
        <v>26</v>
      </c>
      <c r="Q540" cm="1">
        <f t="array" ref="Q540">IF(SUM(N(ISNUMBER(FIND({"A","B","C","D","E","F","G","H","I","J","K","L","M","N","O","P","Q","R","S","T","U","V","W","X","Y","Z"}, B540))))&gt;0, 26, 0)</f>
        <v>0</v>
      </c>
      <c r="R540" cm="1">
        <f t="array" ref="R540">IF(SUM(N(ISNUMBER(FIND({0,1,2,3,4,5,6,7,8,9}, B540))))&gt;0, 10, 0)</f>
        <v>0</v>
      </c>
      <c r="S540" cm="1">
        <f t="array" ref="S540">IF(LEN(B540)&gt;SUMPRODUCT(LEN(B540)-LEN(SUBSTITUTE(B540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0" s="2"/>
    </row>
    <row r="541" spans="1:21" ht="15.6">
      <c r="A541" s="3">
        <v>2</v>
      </c>
      <c r="B541" s="7" t="s">
        <v>854</v>
      </c>
      <c r="C541" t="s">
        <v>640</v>
      </c>
      <c r="D541">
        <f t="shared" si="25"/>
        <v>7</v>
      </c>
      <c r="E541">
        <f t="shared" si="26"/>
        <v>45.882121961743479</v>
      </c>
      <c r="F541" s="10">
        <v>2.5216409999999998</v>
      </c>
      <c r="G541" s="10">
        <f t="shared" si="24"/>
        <v>17.651486999999999</v>
      </c>
      <c r="H541" s="10">
        <v>0</v>
      </c>
      <c r="I541" s="10">
        <v>256</v>
      </c>
      <c r="J541" s="10">
        <v>2.4082400000000002</v>
      </c>
      <c r="K541" s="10"/>
      <c r="L541" s="10"/>
      <c r="P541" cm="1">
        <f t="array" ref="P541">IF(SUM(N(ISNUMBER(FIND({"a","b","c","d","e","f","g","h","i","j","k","l","m","n","o","p","q","r","s","t","u","v","w","x","y","z"}, B541))))&gt;0, 26, 0)</f>
        <v>26</v>
      </c>
      <c r="Q541" cm="1">
        <f t="array" ref="Q541">IF(SUM(N(ISNUMBER(FIND({"A","B","C","D","E","F","G","H","I","J","K","L","M","N","O","P","Q","R","S","T","U","V","W","X","Y","Z"}, B541))))&gt;0, 26, 0)</f>
        <v>0</v>
      </c>
      <c r="R541" cm="1">
        <f t="array" ref="R541">IF(SUM(N(ISNUMBER(FIND({0,1,2,3,4,5,6,7,8,9}, B541))))&gt;0, 10, 0)</f>
        <v>0</v>
      </c>
      <c r="S541" cm="1">
        <f t="array" ref="S541">IF(LEN(B541)&gt;SUMPRODUCT(LEN(B541)-LEN(SUBSTITUTE(B541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1" s="2"/>
    </row>
    <row r="542" spans="1:21" ht="15.6">
      <c r="A542" s="3">
        <v>2</v>
      </c>
      <c r="B542" s="7" t="s">
        <v>855</v>
      </c>
      <c r="C542" t="s">
        <v>640</v>
      </c>
      <c r="D542">
        <f t="shared" si="25"/>
        <v>8</v>
      </c>
      <c r="E542">
        <f t="shared" si="26"/>
        <v>52.436710813421122</v>
      </c>
      <c r="F542" s="10">
        <v>3</v>
      </c>
      <c r="G542" s="10">
        <f t="shared" si="24"/>
        <v>24</v>
      </c>
      <c r="H542" s="10">
        <v>0</v>
      </c>
      <c r="I542" s="10">
        <v>159</v>
      </c>
      <c r="J542" s="10">
        <v>2.201397</v>
      </c>
      <c r="K542" s="10"/>
      <c r="L542" s="10"/>
      <c r="P542" cm="1">
        <f t="array" ref="P542">IF(SUM(N(ISNUMBER(FIND({"a","b","c","d","e","f","g","h","i","j","k","l","m","n","o","p","q","r","s","t","u","v","w","x","y","z"}, B542))))&gt;0, 26, 0)</f>
        <v>26</v>
      </c>
      <c r="Q542" cm="1">
        <f t="array" ref="Q542">IF(SUM(N(ISNUMBER(FIND({"A","B","C","D","E","F","G","H","I","J","K","L","M","N","O","P","Q","R","S","T","U","V","W","X","Y","Z"}, B542))))&gt;0, 26, 0)</f>
        <v>0</v>
      </c>
      <c r="R542" cm="1">
        <f t="array" ref="R542">IF(SUM(N(ISNUMBER(FIND({0,1,2,3,4,5,6,7,8,9}, B542))))&gt;0, 10, 0)</f>
        <v>0</v>
      </c>
      <c r="S542" cm="1">
        <f t="array" ref="S542">IF(LEN(B542)&gt;SUMPRODUCT(LEN(B542)-LEN(SUBSTITUTE(B542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2" s="2"/>
    </row>
    <row r="543" spans="1:21" ht="15.6">
      <c r="A543" s="3">
        <v>2</v>
      </c>
      <c r="B543" s="7" t="s">
        <v>856</v>
      </c>
      <c r="C543" t="s">
        <v>640</v>
      </c>
      <c r="D543">
        <f t="shared" si="25"/>
        <v>5</v>
      </c>
      <c r="E543">
        <f t="shared" si="26"/>
        <v>32.7729442583882</v>
      </c>
      <c r="F543" s="10">
        <v>2.3219280000000002</v>
      </c>
      <c r="G543" s="10">
        <f t="shared" si="24"/>
        <v>11.609640000000001</v>
      </c>
      <c r="H543" s="10">
        <v>0</v>
      </c>
      <c r="I543" s="10">
        <v>95</v>
      </c>
      <c r="J543" s="10">
        <v>1.977724</v>
      </c>
      <c r="K543" s="10"/>
      <c r="L543" s="10"/>
      <c r="P543" cm="1">
        <f t="array" ref="P543">IF(SUM(N(ISNUMBER(FIND({"a","b","c","d","e","f","g","h","i","j","k","l","m","n","o","p","q","r","s","t","u","v","w","x","y","z"}, B543))))&gt;0, 26, 0)</f>
        <v>26</v>
      </c>
      <c r="Q543" cm="1">
        <f t="array" ref="Q543">IF(SUM(N(ISNUMBER(FIND({"A","B","C","D","E","F","G","H","I","J","K","L","M","N","O","P","Q","R","S","T","U","V","W","X","Y","Z"}, B543))))&gt;0, 26, 0)</f>
        <v>0</v>
      </c>
      <c r="R543" cm="1">
        <f t="array" ref="R543">IF(SUM(N(ISNUMBER(FIND({0,1,2,3,4,5,6,7,8,9}, B543))))&gt;0, 10, 0)</f>
        <v>0</v>
      </c>
      <c r="S543" cm="1">
        <f t="array" ref="S543">IF(LEN(B543)&gt;SUMPRODUCT(LEN(B543)-LEN(SUBSTITUTE(B543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3" s="2"/>
    </row>
    <row r="544" spans="1:21" ht="15.6">
      <c r="A544" s="3">
        <v>2</v>
      </c>
      <c r="B544" s="7">
        <v>888888</v>
      </c>
      <c r="C544" t="s">
        <v>640</v>
      </c>
      <c r="D544">
        <f t="shared" si="25"/>
        <v>6</v>
      </c>
      <c r="E544">
        <f t="shared" si="26"/>
        <v>39.327533110065843</v>
      </c>
      <c r="F544" s="10">
        <v>0</v>
      </c>
      <c r="G544" s="10">
        <f t="shared" si="24"/>
        <v>0</v>
      </c>
      <c r="H544" s="10">
        <v>0</v>
      </c>
      <c r="I544" s="10">
        <v>73</v>
      </c>
      <c r="J544" s="10">
        <v>1.8633230000000001</v>
      </c>
      <c r="K544" s="10"/>
      <c r="L544" s="10"/>
      <c r="P544" cm="1">
        <f t="array" ref="P544">IF(SUM(N(ISNUMBER(FIND({"a","b","c","d","e","f","g","h","i","j","k","l","m","n","o","p","q","r","s","t","u","v","w","x","y","z"}, B544))))&gt;0, 26, 0)</f>
        <v>0</v>
      </c>
      <c r="Q544" cm="1">
        <f t="array" ref="Q544">IF(SUM(N(ISNUMBER(FIND({"A","B","C","D","E","F","G","H","I","J","K","L","M","N","O","P","Q","R","S","T","U","V","W","X","Y","Z"}, B544))))&gt;0, 26, 0)</f>
        <v>0</v>
      </c>
      <c r="R544" cm="1">
        <f t="array" ref="R544">IF(SUM(N(ISNUMBER(FIND({0,1,2,3,4,5,6,7,8,9}, B544))))&gt;0, 10, 0)</f>
        <v>10</v>
      </c>
      <c r="S544" cm="1">
        <f t="array" ref="S544">IF(LEN(B544)&gt;SUMPRODUCT(LEN(B544)-LEN(SUBSTITUTE(B544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4" s="2"/>
    </row>
    <row r="545" spans="1:21" ht="15.6">
      <c r="A545" s="3">
        <v>2</v>
      </c>
      <c r="B545" s="7" t="s">
        <v>857</v>
      </c>
      <c r="C545" t="s">
        <v>640</v>
      </c>
      <c r="D545">
        <f t="shared" si="25"/>
        <v>7</v>
      </c>
      <c r="E545">
        <f t="shared" si="26"/>
        <v>45.882121961743479</v>
      </c>
      <c r="F545" s="10">
        <v>2.128085</v>
      </c>
      <c r="G545" s="10">
        <f t="shared" si="24"/>
        <v>14.896595</v>
      </c>
      <c r="H545" s="10">
        <v>0</v>
      </c>
      <c r="I545" s="10">
        <v>492</v>
      </c>
      <c r="J545" s="10">
        <v>2.6919650000000002</v>
      </c>
      <c r="K545" s="10"/>
      <c r="L545" s="10"/>
      <c r="P545" cm="1">
        <f t="array" ref="P545">IF(SUM(N(ISNUMBER(FIND({"a","b","c","d","e","f","g","h","i","j","k","l","m","n","o","p","q","r","s","t","u","v","w","x","y","z"}, B545))))&gt;0, 26, 0)</f>
        <v>26</v>
      </c>
      <c r="Q545" cm="1">
        <f t="array" ref="Q545">IF(SUM(N(ISNUMBER(FIND({"A","B","C","D","E","F","G","H","I","J","K","L","M","N","O","P","Q","R","S","T","U","V","W","X","Y","Z"}, B545))))&gt;0, 26, 0)</f>
        <v>0</v>
      </c>
      <c r="R545" cm="1">
        <f t="array" ref="R545">IF(SUM(N(ISNUMBER(FIND({0,1,2,3,4,5,6,7,8,9}, B545))))&gt;0, 10, 0)</f>
        <v>0</v>
      </c>
      <c r="S545" cm="1">
        <f t="array" ref="S545">IF(LEN(B545)&gt;SUMPRODUCT(LEN(B545)-LEN(SUBSTITUTE(B545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5" s="2"/>
    </row>
    <row r="546" spans="1:21" ht="15.6">
      <c r="A546" s="3">
        <v>2</v>
      </c>
      <c r="B546" s="7" t="s">
        <v>858</v>
      </c>
      <c r="C546" t="s">
        <v>640</v>
      </c>
      <c r="D546">
        <f t="shared" si="25"/>
        <v>5</v>
      </c>
      <c r="E546">
        <f t="shared" si="26"/>
        <v>32.7729442583882</v>
      </c>
      <c r="F546" s="10">
        <v>2.3219280000000002</v>
      </c>
      <c r="G546" s="10">
        <f t="shared" si="24"/>
        <v>11.609640000000001</v>
      </c>
      <c r="H546" s="10">
        <v>1</v>
      </c>
      <c r="I546" s="10">
        <v>3844</v>
      </c>
      <c r="J546" s="10">
        <v>3.5847829999999998</v>
      </c>
      <c r="K546" s="10"/>
      <c r="L546" s="10"/>
      <c r="P546" cm="1">
        <f t="array" ref="P546">IF(SUM(N(ISNUMBER(FIND({"a","b","c","d","e","f","g","h","i","j","k","l","m","n","o","p","q","r","s","t","u","v","w","x","y","z"}, B546))))&gt;0, 26, 0)</f>
        <v>26</v>
      </c>
      <c r="Q546" cm="1">
        <f t="array" ref="Q546">IF(SUM(N(ISNUMBER(FIND({"A","B","C","D","E","F","G","H","I","J","K","L","M","N","O","P","Q","R","S","T","U","V","W","X","Y","Z"}, B546))))&gt;0, 26, 0)</f>
        <v>0</v>
      </c>
      <c r="R546" cm="1">
        <f t="array" ref="R546">IF(SUM(N(ISNUMBER(FIND({0,1,2,3,4,5,6,7,8,9}, B546))))&gt;0, 10, 0)</f>
        <v>0</v>
      </c>
      <c r="S546" cm="1">
        <f t="array" ref="S546">IF(LEN(B546)&gt;SUMPRODUCT(LEN(B546)-LEN(SUBSTITUTE(B546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6" s="2"/>
    </row>
    <row r="547" spans="1:21" ht="15.6">
      <c r="A547" s="3">
        <v>2</v>
      </c>
      <c r="B547" s="7" t="s">
        <v>859</v>
      </c>
      <c r="C547" t="s">
        <v>640</v>
      </c>
      <c r="D547">
        <f t="shared" si="25"/>
        <v>5</v>
      </c>
      <c r="E547">
        <f t="shared" si="26"/>
        <v>32.7729442583882</v>
      </c>
      <c r="F547" s="10">
        <v>2.3219280000000002</v>
      </c>
      <c r="G547" s="10">
        <f t="shared" si="24"/>
        <v>11.609640000000001</v>
      </c>
      <c r="H547" s="10">
        <v>0</v>
      </c>
      <c r="I547" s="10">
        <v>2</v>
      </c>
      <c r="J547" s="10">
        <v>0.30103000000000002</v>
      </c>
      <c r="K547" s="10"/>
      <c r="L547" s="10"/>
      <c r="P547" cm="1">
        <f t="array" ref="P547">IF(SUM(N(ISNUMBER(FIND({"a","b","c","d","e","f","g","h","i","j","k","l","m","n","o","p","q","r","s","t","u","v","w","x","y","z"}, B547))))&gt;0, 26, 0)</f>
        <v>26</v>
      </c>
      <c r="Q547" cm="1">
        <f t="array" ref="Q547">IF(SUM(N(ISNUMBER(FIND({"A","B","C","D","E","F","G","H","I","J","K","L","M","N","O","P","Q","R","S","T","U","V","W","X","Y","Z"}, B547))))&gt;0, 26, 0)</f>
        <v>0</v>
      </c>
      <c r="R547" cm="1">
        <f t="array" ref="R547">IF(SUM(N(ISNUMBER(FIND({0,1,2,3,4,5,6,7,8,9}, B547))))&gt;0, 10, 0)</f>
        <v>0</v>
      </c>
      <c r="S547" cm="1">
        <f t="array" ref="S547">IF(LEN(B547)&gt;SUMPRODUCT(LEN(B547)-LEN(SUBSTITUTE(B547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7" s="2"/>
    </row>
    <row r="548" spans="1:21" ht="15.6">
      <c r="A548" s="3">
        <v>2</v>
      </c>
      <c r="B548" s="7" t="s">
        <v>860</v>
      </c>
      <c r="C548" t="s">
        <v>640</v>
      </c>
      <c r="D548">
        <f t="shared" si="25"/>
        <v>6</v>
      </c>
      <c r="E548">
        <f t="shared" si="26"/>
        <v>39.327533110065843</v>
      </c>
      <c r="F548" s="10">
        <v>1.4591479999999999</v>
      </c>
      <c r="G548" s="10">
        <f t="shared" si="24"/>
        <v>8.7548879999999993</v>
      </c>
      <c r="H548" s="10">
        <v>0</v>
      </c>
      <c r="I548" s="10">
        <v>144</v>
      </c>
      <c r="J548" s="10">
        <v>2.1583619999999999</v>
      </c>
      <c r="K548" s="10"/>
      <c r="L548" s="10"/>
      <c r="P548" cm="1">
        <f t="array" ref="P548">IF(SUM(N(ISNUMBER(FIND({"a","b","c","d","e","f","g","h","i","j","k","l","m","n","o","p","q","r","s","t","u","v","w","x","y","z"}, B548))))&gt;0, 26, 0)</f>
        <v>26</v>
      </c>
      <c r="Q548" cm="1">
        <f t="array" ref="Q548">IF(SUM(N(ISNUMBER(FIND({"A","B","C","D","E","F","G","H","I","J","K","L","M","N","O","P","Q","R","S","T","U","V","W","X","Y","Z"}, B548))))&gt;0, 26, 0)</f>
        <v>0</v>
      </c>
      <c r="R548" cm="1">
        <f t="array" ref="R548">IF(SUM(N(ISNUMBER(FIND({0,1,2,3,4,5,6,7,8,9}, B548))))&gt;0, 10, 0)</f>
        <v>0</v>
      </c>
      <c r="S548" cm="1">
        <f t="array" ref="S548">IF(LEN(B548)&gt;SUMPRODUCT(LEN(B548)-LEN(SUBSTITUTE(B548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8" s="2"/>
    </row>
    <row r="549" spans="1:21" ht="15.6">
      <c r="A549" s="3">
        <v>2</v>
      </c>
      <c r="B549" s="7" t="s">
        <v>861</v>
      </c>
      <c r="C549" t="s">
        <v>640</v>
      </c>
      <c r="D549">
        <f t="shared" si="25"/>
        <v>6</v>
      </c>
      <c r="E549">
        <f t="shared" si="26"/>
        <v>39.327533110065843</v>
      </c>
      <c r="F549" s="10">
        <v>2.5849630000000001</v>
      </c>
      <c r="G549" s="10">
        <f t="shared" si="24"/>
        <v>15.509778000000001</v>
      </c>
      <c r="H549" s="10">
        <v>0</v>
      </c>
      <c r="I549" s="10">
        <v>179</v>
      </c>
      <c r="J549" s="10">
        <v>2.252853</v>
      </c>
      <c r="K549" s="10"/>
      <c r="L549" s="10"/>
      <c r="P549" cm="1">
        <f t="array" ref="P549">IF(SUM(N(ISNUMBER(FIND({"a","b","c","d","e","f","g","h","i","j","k","l","m","n","o","p","q","r","s","t","u","v","w","x","y","z"}, B549))))&gt;0, 26, 0)</f>
        <v>26</v>
      </c>
      <c r="Q549" cm="1">
        <f t="array" ref="Q549">IF(SUM(N(ISNUMBER(FIND({"A","B","C","D","E","F","G","H","I","J","K","L","M","N","O","P","Q","R","S","T","U","V","W","X","Y","Z"}, B549))))&gt;0, 26, 0)</f>
        <v>0</v>
      </c>
      <c r="R549" cm="1">
        <f t="array" ref="R549">IF(SUM(N(ISNUMBER(FIND({0,1,2,3,4,5,6,7,8,9}, B549))))&gt;0, 10, 0)</f>
        <v>0</v>
      </c>
      <c r="S549" cm="1">
        <f t="array" ref="S549">IF(LEN(B549)&gt;SUMPRODUCT(LEN(B549)-LEN(SUBSTITUTE(B549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49" s="2"/>
    </row>
    <row r="550" spans="1:21" ht="15.6">
      <c r="A550" s="3">
        <v>2</v>
      </c>
      <c r="B550" s="7" t="s">
        <v>862</v>
      </c>
      <c r="C550" t="s">
        <v>640</v>
      </c>
      <c r="D550">
        <f t="shared" si="25"/>
        <v>6</v>
      </c>
      <c r="E550">
        <f t="shared" si="26"/>
        <v>39.327533110065843</v>
      </c>
      <c r="F550" s="10">
        <v>2.5849630000000001</v>
      </c>
      <c r="G550" s="10">
        <f t="shared" si="24"/>
        <v>15.509778000000001</v>
      </c>
      <c r="H550" s="10">
        <v>0</v>
      </c>
      <c r="I550" s="10">
        <v>204</v>
      </c>
      <c r="J550" s="10">
        <v>2.3096299999999998</v>
      </c>
      <c r="K550" s="10"/>
      <c r="L550" s="10"/>
      <c r="P550" cm="1">
        <f t="array" ref="P550">IF(SUM(N(ISNUMBER(FIND({"a","b","c","d","e","f","g","h","i","j","k","l","m","n","o","p","q","r","s","t","u","v","w","x","y","z"}, B550))))&gt;0, 26, 0)</f>
        <v>26</v>
      </c>
      <c r="Q550" cm="1">
        <f t="array" ref="Q550">IF(SUM(N(ISNUMBER(FIND({"A","B","C","D","E","F","G","H","I","J","K","L","M","N","O","P","Q","R","S","T","U","V","W","X","Y","Z"}, B550))))&gt;0, 26, 0)</f>
        <v>0</v>
      </c>
      <c r="R550" cm="1">
        <f t="array" ref="R550">IF(SUM(N(ISNUMBER(FIND({0,1,2,3,4,5,6,7,8,9}, B550))))&gt;0, 10, 0)</f>
        <v>0</v>
      </c>
      <c r="S550" cm="1">
        <f t="array" ref="S550">IF(LEN(B550)&gt;SUMPRODUCT(LEN(B550)-LEN(SUBSTITUTE(B550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0" s="2"/>
    </row>
    <row r="551" spans="1:21" ht="15.6">
      <c r="A551" s="3">
        <v>2</v>
      </c>
      <c r="B551" s="7" t="s">
        <v>863</v>
      </c>
      <c r="C551" t="s">
        <v>640</v>
      </c>
      <c r="D551">
        <f t="shared" si="25"/>
        <v>6</v>
      </c>
      <c r="E551">
        <f t="shared" si="26"/>
        <v>39.327533110065843</v>
      </c>
      <c r="F551" s="10">
        <v>2.2516289999999999</v>
      </c>
      <c r="G551" s="10">
        <f t="shared" si="24"/>
        <v>13.509774</v>
      </c>
      <c r="H551" s="10">
        <v>1</v>
      </c>
      <c r="I551" s="10">
        <v>1020</v>
      </c>
      <c r="J551" s="10">
        <v>3.0085999999999999</v>
      </c>
      <c r="K551" s="10"/>
      <c r="L551" s="10"/>
      <c r="P551" cm="1">
        <f t="array" ref="P551">IF(SUM(N(ISNUMBER(FIND({"a","b","c","d","e","f","g","h","i","j","k","l","m","n","o","p","q","r","s","t","u","v","w","x","y","z"}, B551))))&gt;0, 26, 0)</f>
        <v>26</v>
      </c>
      <c r="Q551" cm="1">
        <f t="array" ref="Q551">IF(SUM(N(ISNUMBER(FIND({"A","B","C","D","E","F","G","H","I","J","K","L","M","N","O","P","Q","R","S","T","U","V","W","X","Y","Z"}, B551))))&gt;0, 26, 0)</f>
        <v>0</v>
      </c>
      <c r="R551" cm="1">
        <f t="array" ref="R551">IF(SUM(N(ISNUMBER(FIND({0,1,2,3,4,5,6,7,8,9}, B551))))&gt;0, 10, 0)</f>
        <v>10</v>
      </c>
      <c r="S551" cm="1">
        <f t="array" ref="S551">IF(LEN(B551)&gt;SUMPRODUCT(LEN(B551)-LEN(SUBSTITUTE(B551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1" s="2"/>
    </row>
    <row r="552" spans="1:21" ht="15.6">
      <c r="A552" s="3">
        <v>2</v>
      </c>
      <c r="B552" s="7" t="s">
        <v>864</v>
      </c>
      <c r="C552" t="s">
        <v>640</v>
      </c>
      <c r="D552">
        <f t="shared" si="25"/>
        <v>7</v>
      </c>
      <c r="E552">
        <f t="shared" si="26"/>
        <v>45.882121961743479</v>
      </c>
      <c r="F552" s="10">
        <v>2.8073549999999998</v>
      </c>
      <c r="G552" s="10">
        <f t="shared" si="24"/>
        <v>19.651484999999997</v>
      </c>
      <c r="H552" s="10">
        <v>0</v>
      </c>
      <c r="I552" s="10">
        <v>103</v>
      </c>
      <c r="J552" s="10">
        <v>2.0128370000000002</v>
      </c>
      <c r="K552" s="10"/>
      <c r="L552" s="10"/>
      <c r="P552" cm="1">
        <f t="array" ref="P552">IF(SUM(N(ISNUMBER(FIND({"a","b","c","d","e","f","g","h","i","j","k","l","m","n","o","p","q","r","s","t","u","v","w","x","y","z"}, B552))))&gt;0, 26, 0)</f>
        <v>26</v>
      </c>
      <c r="Q552" cm="1">
        <f t="array" ref="Q552">IF(SUM(N(ISNUMBER(FIND({"A","B","C","D","E","F","G","H","I","J","K","L","M","N","O","P","Q","R","S","T","U","V","W","X","Y","Z"}, B552))))&gt;0, 26, 0)</f>
        <v>0</v>
      </c>
      <c r="R552" cm="1">
        <f t="array" ref="R552">IF(SUM(N(ISNUMBER(FIND({0,1,2,3,4,5,6,7,8,9}, B552))))&gt;0, 10, 0)</f>
        <v>0</v>
      </c>
      <c r="S552" cm="1">
        <f t="array" ref="S552">IF(LEN(B552)&gt;SUMPRODUCT(LEN(B552)-LEN(SUBSTITUTE(B552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2" s="2"/>
    </row>
    <row r="553" spans="1:21" ht="15.6">
      <c r="A553" s="3">
        <v>2</v>
      </c>
      <c r="B553" s="7" t="s">
        <v>865</v>
      </c>
      <c r="C553" t="s">
        <v>640</v>
      </c>
      <c r="D553">
        <f t="shared" si="25"/>
        <v>6</v>
      </c>
      <c r="E553">
        <f t="shared" si="26"/>
        <v>39.327533110065843</v>
      </c>
      <c r="F553" s="10">
        <v>2.2516289999999999</v>
      </c>
      <c r="G553" s="10">
        <f t="shared" si="24"/>
        <v>13.509774</v>
      </c>
      <c r="H553" s="10">
        <v>0</v>
      </c>
      <c r="I553" s="10">
        <v>388</v>
      </c>
      <c r="J553" s="10">
        <v>2.588832</v>
      </c>
      <c r="K553" s="10"/>
      <c r="L553" s="10"/>
      <c r="P553" cm="1">
        <f t="array" ref="P553">IF(SUM(N(ISNUMBER(FIND({"a","b","c","d","e","f","g","h","i","j","k","l","m","n","o","p","q","r","s","t","u","v","w","x","y","z"}, B553))))&gt;0, 26, 0)</f>
        <v>26</v>
      </c>
      <c r="Q553" cm="1">
        <f t="array" ref="Q553">IF(SUM(N(ISNUMBER(FIND({"A","B","C","D","E","F","G","H","I","J","K","L","M","N","O","P","Q","R","S","T","U","V","W","X","Y","Z"}, B553))))&gt;0, 26, 0)</f>
        <v>0</v>
      </c>
      <c r="R553" cm="1">
        <f t="array" ref="R553">IF(SUM(N(ISNUMBER(FIND({0,1,2,3,4,5,6,7,8,9}, B553))))&gt;0, 10, 0)</f>
        <v>0</v>
      </c>
      <c r="S553" cm="1">
        <f t="array" ref="S553">IF(LEN(B553)&gt;SUMPRODUCT(LEN(B553)-LEN(SUBSTITUTE(B553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3" s="2"/>
    </row>
    <row r="554" spans="1:21" ht="15.6">
      <c r="A554" s="3">
        <v>2</v>
      </c>
      <c r="B554" s="7" t="s">
        <v>866</v>
      </c>
      <c r="C554" t="s">
        <v>640</v>
      </c>
      <c r="D554">
        <f t="shared" si="25"/>
        <v>7</v>
      </c>
      <c r="E554">
        <f t="shared" si="26"/>
        <v>45.882121961743479</v>
      </c>
      <c r="F554" s="10">
        <v>2.8073549999999998</v>
      </c>
      <c r="G554" s="10">
        <f t="shared" si="24"/>
        <v>19.651484999999997</v>
      </c>
      <c r="H554" s="10">
        <v>0</v>
      </c>
      <c r="I554" s="10">
        <v>40</v>
      </c>
      <c r="J554" s="10">
        <v>1.60206</v>
      </c>
      <c r="K554" s="10"/>
      <c r="L554" s="10"/>
      <c r="P554" cm="1">
        <f t="array" ref="P554">IF(SUM(N(ISNUMBER(FIND({"a","b","c","d","e","f","g","h","i","j","k","l","m","n","o","p","q","r","s","t","u","v","w","x","y","z"}, B554))))&gt;0, 26, 0)</f>
        <v>26</v>
      </c>
      <c r="Q554" cm="1">
        <f t="array" ref="Q554">IF(SUM(N(ISNUMBER(FIND({"A","B","C","D","E","F","G","H","I","J","K","L","M","N","O","P","Q","R","S","T","U","V","W","X","Y","Z"}, B554))))&gt;0, 26, 0)</f>
        <v>0</v>
      </c>
      <c r="R554" cm="1">
        <f t="array" ref="R554">IF(SUM(N(ISNUMBER(FIND({0,1,2,3,4,5,6,7,8,9}, B554))))&gt;0, 10, 0)</f>
        <v>0</v>
      </c>
      <c r="S554" cm="1">
        <f t="array" ref="S554">IF(LEN(B554)&gt;SUMPRODUCT(LEN(B554)-LEN(SUBSTITUTE(B554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4" s="2"/>
    </row>
    <row r="555" spans="1:21" ht="15.6">
      <c r="A555" s="3">
        <v>2</v>
      </c>
      <c r="B555" s="7" t="s">
        <v>867</v>
      </c>
      <c r="C555" t="s">
        <v>640</v>
      </c>
      <c r="D555">
        <f t="shared" si="25"/>
        <v>6</v>
      </c>
      <c r="E555">
        <f t="shared" si="26"/>
        <v>39.327533110065843</v>
      </c>
      <c r="F555" s="10">
        <v>2.2516289999999999</v>
      </c>
      <c r="G555" s="10">
        <f t="shared" si="24"/>
        <v>13.509774</v>
      </c>
      <c r="H555" s="10">
        <v>0</v>
      </c>
      <c r="I555" s="10">
        <v>20</v>
      </c>
      <c r="J555" s="10">
        <v>1.3010299999999999</v>
      </c>
      <c r="K555" s="10"/>
      <c r="L555" s="10"/>
      <c r="P555" cm="1">
        <f t="array" ref="P555">IF(SUM(N(ISNUMBER(FIND({"a","b","c","d","e","f","g","h","i","j","k","l","m","n","o","p","q","r","s","t","u","v","w","x","y","z"}, B555))))&gt;0, 26, 0)</f>
        <v>26</v>
      </c>
      <c r="Q555" cm="1">
        <f t="array" ref="Q555">IF(SUM(N(ISNUMBER(FIND({"A","B","C","D","E","F","G","H","I","J","K","L","M","N","O","P","Q","R","S","T","U","V","W","X","Y","Z"}, B555))))&gt;0, 26, 0)</f>
        <v>0</v>
      </c>
      <c r="R555" cm="1">
        <f t="array" ref="R555">IF(SUM(N(ISNUMBER(FIND({0,1,2,3,4,5,6,7,8,9}, B555))))&gt;0, 10, 0)</f>
        <v>0</v>
      </c>
      <c r="S555" cm="1">
        <f t="array" ref="S555">IF(LEN(B555)&gt;SUMPRODUCT(LEN(B555)-LEN(SUBSTITUTE(B555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5" s="2"/>
    </row>
    <row r="556" spans="1:21" ht="15.6">
      <c r="A556" s="3">
        <v>2</v>
      </c>
      <c r="B556" s="7" t="s">
        <v>868</v>
      </c>
      <c r="C556" t="s">
        <v>640</v>
      </c>
      <c r="D556">
        <f t="shared" si="25"/>
        <v>6</v>
      </c>
      <c r="E556">
        <f t="shared" si="26"/>
        <v>39.327533110065843</v>
      </c>
      <c r="F556" s="10">
        <v>2.5849630000000001</v>
      </c>
      <c r="G556" s="10">
        <f t="shared" si="24"/>
        <v>15.509778000000001</v>
      </c>
      <c r="H556" s="10">
        <v>0</v>
      </c>
      <c r="I556" s="10">
        <v>159</v>
      </c>
      <c r="J556" s="10">
        <v>2.201397</v>
      </c>
      <c r="K556" s="10"/>
      <c r="L556" s="10"/>
      <c r="P556" cm="1">
        <f t="array" ref="P556">IF(SUM(N(ISNUMBER(FIND({"a","b","c","d","e","f","g","h","i","j","k","l","m","n","o","p","q","r","s","t","u","v","w","x","y","z"}, B556))))&gt;0, 26, 0)</f>
        <v>26</v>
      </c>
      <c r="Q556" cm="1">
        <f t="array" ref="Q556">IF(SUM(N(ISNUMBER(FIND({"A","B","C","D","E","F","G","H","I","J","K","L","M","N","O","P","Q","R","S","T","U","V","W","X","Y","Z"}, B556))))&gt;0, 26, 0)</f>
        <v>0</v>
      </c>
      <c r="R556" cm="1">
        <f t="array" ref="R556">IF(SUM(N(ISNUMBER(FIND({0,1,2,3,4,5,6,7,8,9}, B556))))&gt;0, 10, 0)</f>
        <v>0</v>
      </c>
      <c r="S556" cm="1">
        <f t="array" ref="S556">IF(LEN(B556)&gt;SUMPRODUCT(LEN(B556)-LEN(SUBSTITUTE(B556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6" s="2"/>
    </row>
    <row r="557" spans="1:21" ht="15.6">
      <c r="A557" s="3">
        <v>2</v>
      </c>
      <c r="B557" s="7" t="s">
        <v>869</v>
      </c>
      <c r="C557" t="s">
        <v>640</v>
      </c>
      <c r="D557">
        <f t="shared" si="25"/>
        <v>5</v>
      </c>
      <c r="E557">
        <f t="shared" si="26"/>
        <v>32.7729442583882</v>
      </c>
      <c r="F557" s="10">
        <v>1.9219280000000001</v>
      </c>
      <c r="G557" s="10">
        <f t="shared" si="24"/>
        <v>9.6096400000000006</v>
      </c>
      <c r="H557" s="10">
        <v>0</v>
      </c>
      <c r="I557" s="10">
        <v>97</v>
      </c>
      <c r="J557" s="10">
        <v>1.986772</v>
      </c>
      <c r="K557" s="10"/>
      <c r="L557" s="10"/>
      <c r="P557" cm="1">
        <f t="array" ref="P557">IF(SUM(N(ISNUMBER(FIND({"a","b","c","d","e","f","g","h","i","j","k","l","m","n","o","p","q","r","s","t","u","v","w","x","y","z"}, B557))))&gt;0, 26, 0)</f>
        <v>26</v>
      </c>
      <c r="Q557" cm="1">
        <f t="array" ref="Q557">IF(SUM(N(ISNUMBER(FIND({"A","B","C","D","E","F","G","H","I","J","K","L","M","N","O","P","Q","R","S","T","U","V","W","X","Y","Z"}, B557))))&gt;0, 26, 0)</f>
        <v>0</v>
      </c>
      <c r="R557" cm="1">
        <f t="array" ref="R557">IF(SUM(N(ISNUMBER(FIND({0,1,2,3,4,5,6,7,8,9}, B557))))&gt;0, 10, 0)</f>
        <v>0</v>
      </c>
      <c r="S557" cm="1">
        <f t="array" ref="S557">IF(LEN(B557)&gt;SUMPRODUCT(LEN(B557)-LEN(SUBSTITUTE(B557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7" s="2"/>
    </row>
    <row r="558" spans="1:21" ht="15.6">
      <c r="A558" s="3">
        <v>2</v>
      </c>
      <c r="B558" s="7" t="s">
        <v>870</v>
      </c>
      <c r="C558" t="s">
        <v>640</v>
      </c>
      <c r="D558">
        <f t="shared" si="25"/>
        <v>7</v>
      </c>
      <c r="E558">
        <f t="shared" si="26"/>
        <v>45.882121961743479</v>
      </c>
      <c r="F558" s="10">
        <v>2.5216409999999998</v>
      </c>
      <c r="G558" s="10">
        <f t="shared" si="24"/>
        <v>17.651486999999999</v>
      </c>
      <c r="H558" s="10">
        <v>0</v>
      </c>
      <c r="I558" s="10">
        <v>115</v>
      </c>
      <c r="J558" s="10">
        <v>2.0606979999999999</v>
      </c>
      <c r="K558" s="10"/>
      <c r="L558" s="10"/>
      <c r="P558" cm="1">
        <f t="array" ref="P558">IF(SUM(N(ISNUMBER(FIND({"a","b","c","d","e","f","g","h","i","j","k","l","m","n","o","p","q","r","s","t","u","v","w","x","y","z"}, B558))))&gt;0, 26, 0)</f>
        <v>26</v>
      </c>
      <c r="Q558" cm="1">
        <f t="array" ref="Q558">IF(SUM(N(ISNUMBER(FIND({"A","B","C","D","E","F","G","H","I","J","K","L","M","N","O","P","Q","R","S","T","U","V","W","X","Y","Z"}, B558))))&gt;0, 26, 0)</f>
        <v>0</v>
      </c>
      <c r="R558" cm="1">
        <f t="array" ref="R558">IF(SUM(N(ISNUMBER(FIND({0,1,2,3,4,5,6,7,8,9}, B558))))&gt;0, 10, 0)</f>
        <v>0</v>
      </c>
      <c r="S558" cm="1">
        <f t="array" ref="S558">IF(LEN(B558)&gt;SUMPRODUCT(LEN(B558)-LEN(SUBSTITUTE(B558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8" s="2"/>
    </row>
    <row r="559" spans="1:21" ht="15.6">
      <c r="A559" s="3">
        <v>2</v>
      </c>
      <c r="B559" s="7" t="s">
        <v>871</v>
      </c>
      <c r="C559" t="s">
        <v>640</v>
      </c>
      <c r="D559">
        <f t="shared" si="25"/>
        <v>7</v>
      </c>
      <c r="E559">
        <f t="shared" si="26"/>
        <v>45.882121961743479</v>
      </c>
      <c r="F559" s="10">
        <v>2.5216409999999998</v>
      </c>
      <c r="G559" s="10">
        <f t="shared" si="24"/>
        <v>17.651486999999999</v>
      </c>
      <c r="H559" s="10">
        <v>0</v>
      </c>
      <c r="I559" s="10">
        <v>59</v>
      </c>
      <c r="J559" s="10">
        <v>1.7708520000000001</v>
      </c>
      <c r="K559" s="10"/>
      <c r="L559" s="10"/>
      <c r="P559" cm="1">
        <f t="array" ref="P559">IF(SUM(N(ISNUMBER(FIND({"a","b","c","d","e","f","g","h","i","j","k","l","m","n","o","p","q","r","s","t","u","v","w","x","y","z"}, B559))))&gt;0, 26, 0)</f>
        <v>26</v>
      </c>
      <c r="Q559" cm="1">
        <f t="array" ref="Q559">IF(SUM(N(ISNUMBER(FIND({"A","B","C","D","E","F","G","H","I","J","K","L","M","N","O","P","Q","R","S","T","U","V","W","X","Y","Z"}, B559))))&gt;0, 26, 0)</f>
        <v>0</v>
      </c>
      <c r="R559" cm="1">
        <f t="array" ref="R559">IF(SUM(N(ISNUMBER(FIND({0,1,2,3,4,5,6,7,8,9}, B559))))&gt;0, 10, 0)</f>
        <v>0</v>
      </c>
      <c r="S559" cm="1">
        <f t="array" ref="S559">IF(LEN(B559)&gt;SUMPRODUCT(LEN(B559)-LEN(SUBSTITUTE(B559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59" s="2"/>
    </row>
    <row r="560" spans="1:21" ht="15.6">
      <c r="A560" s="3">
        <v>2</v>
      </c>
      <c r="B560" s="7" t="s">
        <v>872</v>
      </c>
      <c r="C560" t="s">
        <v>640</v>
      </c>
      <c r="D560">
        <f t="shared" si="25"/>
        <v>6</v>
      </c>
      <c r="E560">
        <f t="shared" si="26"/>
        <v>39.327533110065843</v>
      </c>
      <c r="F560" s="10">
        <v>2.5849630000000001</v>
      </c>
      <c r="G560" s="10">
        <f t="shared" si="24"/>
        <v>15.509778000000001</v>
      </c>
      <c r="H560" s="10">
        <v>0</v>
      </c>
      <c r="I560" s="10">
        <v>292</v>
      </c>
      <c r="J560" s="10">
        <v>2.4653830000000001</v>
      </c>
      <c r="K560" s="10"/>
      <c r="L560" s="10"/>
      <c r="P560" cm="1">
        <f t="array" ref="P560">IF(SUM(N(ISNUMBER(FIND({"a","b","c","d","e","f","g","h","i","j","k","l","m","n","o","p","q","r","s","t","u","v","w","x","y","z"}, B560))))&gt;0, 26, 0)</f>
        <v>26</v>
      </c>
      <c r="Q560" cm="1">
        <f t="array" ref="Q560">IF(SUM(N(ISNUMBER(FIND({"A","B","C","D","E","F","G","H","I","J","K","L","M","N","O","P","Q","R","S","T","U","V","W","X","Y","Z"}, B560))))&gt;0, 26, 0)</f>
        <v>0</v>
      </c>
      <c r="R560" cm="1">
        <f t="array" ref="R560">IF(SUM(N(ISNUMBER(FIND({0,1,2,3,4,5,6,7,8,9}, B560))))&gt;0, 10, 0)</f>
        <v>0</v>
      </c>
      <c r="S560" cm="1">
        <f t="array" ref="S560">IF(LEN(B560)&gt;SUMPRODUCT(LEN(B560)-LEN(SUBSTITUTE(B560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0" s="2"/>
    </row>
    <row r="561" spans="1:21" ht="15.6">
      <c r="A561" s="3">
        <v>2</v>
      </c>
      <c r="B561" s="7" t="s">
        <v>873</v>
      </c>
      <c r="C561" t="s">
        <v>640</v>
      </c>
      <c r="D561">
        <f t="shared" si="25"/>
        <v>7</v>
      </c>
      <c r="E561">
        <f t="shared" si="26"/>
        <v>45.882121961743479</v>
      </c>
      <c r="F561" s="10">
        <v>2.2359260000000001</v>
      </c>
      <c r="G561" s="10">
        <f t="shared" si="24"/>
        <v>15.651482000000001</v>
      </c>
      <c r="H561" s="10">
        <v>0</v>
      </c>
      <c r="I561" s="10">
        <v>18</v>
      </c>
      <c r="J561" s="10">
        <v>1.2552730000000001</v>
      </c>
      <c r="K561" s="10"/>
      <c r="L561" s="10"/>
      <c r="P561" cm="1">
        <f t="array" ref="P561">IF(SUM(N(ISNUMBER(FIND({"a","b","c","d","e","f","g","h","i","j","k","l","m","n","o","p","q","r","s","t","u","v","w","x","y","z"}, B561))))&gt;0, 26, 0)</f>
        <v>26</v>
      </c>
      <c r="Q561" cm="1">
        <f t="array" ref="Q561">IF(SUM(N(ISNUMBER(FIND({"A","B","C","D","E","F","G","H","I","J","K","L","M","N","O","P","Q","R","S","T","U","V","W","X","Y","Z"}, B561))))&gt;0, 26, 0)</f>
        <v>0</v>
      </c>
      <c r="R561" cm="1">
        <f t="array" ref="R561">IF(SUM(N(ISNUMBER(FIND({0,1,2,3,4,5,6,7,8,9}, B561))))&gt;0, 10, 0)</f>
        <v>0</v>
      </c>
      <c r="S561" cm="1">
        <f t="array" ref="S561">IF(LEN(B561)&gt;SUMPRODUCT(LEN(B561)-LEN(SUBSTITUTE(B561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1" s="2"/>
    </row>
    <row r="562" spans="1:21" ht="15.6">
      <c r="A562" s="3">
        <v>2</v>
      </c>
      <c r="B562" s="7" t="s">
        <v>874</v>
      </c>
      <c r="C562" t="s">
        <v>640</v>
      </c>
      <c r="D562">
        <f t="shared" si="25"/>
        <v>6</v>
      </c>
      <c r="E562">
        <f t="shared" si="26"/>
        <v>39.327533110065843</v>
      </c>
      <c r="F562" s="10">
        <v>2.5849630000000001</v>
      </c>
      <c r="G562" s="10">
        <f t="shared" si="24"/>
        <v>15.509778000000001</v>
      </c>
      <c r="H562" s="10">
        <v>0</v>
      </c>
      <c r="I562" s="10">
        <v>19</v>
      </c>
      <c r="J562" s="10">
        <v>1.2787539999999999</v>
      </c>
      <c r="K562" s="10"/>
      <c r="L562" s="10"/>
      <c r="P562" cm="1">
        <f t="array" ref="P562">IF(SUM(N(ISNUMBER(FIND({"a","b","c","d","e","f","g","h","i","j","k","l","m","n","o","p","q","r","s","t","u","v","w","x","y","z"}, B562))))&gt;0, 26, 0)</f>
        <v>26</v>
      </c>
      <c r="Q562" cm="1">
        <f t="array" ref="Q562">IF(SUM(N(ISNUMBER(FIND({"A","B","C","D","E","F","G","H","I","J","K","L","M","N","O","P","Q","R","S","T","U","V","W","X","Y","Z"}, B562))))&gt;0, 26, 0)</f>
        <v>0</v>
      </c>
      <c r="R562" cm="1">
        <f t="array" ref="R562">IF(SUM(N(ISNUMBER(FIND({0,1,2,3,4,5,6,7,8,9}, B562))))&gt;0, 10, 0)</f>
        <v>0</v>
      </c>
      <c r="S562" cm="1">
        <f t="array" ref="S562">IF(LEN(B562)&gt;SUMPRODUCT(LEN(B562)-LEN(SUBSTITUTE(B562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2" s="2"/>
    </row>
    <row r="563" spans="1:21" ht="15.6">
      <c r="A563" s="3">
        <v>2</v>
      </c>
      <c r="B563" s="7" t="s">
        <v>875</v>
      </c>
      <c r="C563" t="s">
        <v>640</v>
      </c>
      <c r="D563">
        <f t="shared" si="25"/>
        <v>6</v>
      </c>
      <c r="E563">
        <f t="shared" si="26"/>
        <v>39.327533110065843</v>
      </c>
      <c r="F563" s="10">
        <v>2.2516289999999999</v>
      </c>
      <c r="G563" s="10">
        <f t="shared" si="24"/>
        <v>13.509774</v>
      </c>
      <c r="H563" s="10">
        <v>0</v>
      </c>
      <c r="I563" s="10">
        <v>150</v>
      </c>
      <c r="J563" s="10">
        <v>2.176091</v>
      </c>
      <c r="K563" s="10"/>
      <c r="L563" s="10"/>
      <c r="P563" cm="1">
        <f t="array" ref="P563">IF(SUM(N(ISNUMBER(FIND({"a","b","c","d","e","f","g","h","i","j","k","l","m","n","o","p","q","r","s","t","u","v","w","x","y","z"}, B563))))&gt;0, 26, 0)</f>
        <v>26</v>
      </c>
      <c r="Q563" cm="1">
        <f t="array" ref="Q563">IF(SUM(N(ISNUMBER(FIND({"A","B","C","D","E","F","G","H","I","J","K","L","M","N","O","P","Q","R","S","T","U","V","W","X","Y","Z"}, B563))))&gt;0, 26, 0)</f>
        <v>0</v>
      </c>
      <c r="R563" cm="1">
        <f t="array" ref="R563">IF(SUM(N(ISNUMBER(FIND({0,1,2,3,4,5,6,7,8,9}, B563))))&gt;0, 10, 0)</f>
        <v>0</v>
      </c>
      <c r="S563" cm="1">
        <f t="array" ref="S563">IF(LEN(B563)&gt;SUMPRODUCT(LEN(B563)-LEN(SUBSTITUTE(B563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3" s="2"/>
    </row>
    <row r="564" spans="1:21" ht="15.6">
      <c r="A564" s="3">
        <v>2</v>
      </c>
      <c r="B564" s="7" t="s">
        <v>876</v>
      </c>
      <c r="C564" t="s">
        <v>640</v>
      </c>
      <c r="D564">
        <f t="shared" si="25"/>
        <v>6</v>
      </c>
      <c r="E564">
        <f t="shared" si="26"/>
        <v>39.327533110065843</v>
      </c>
      <c r="F564" s="10">
        <v>2.5849630000000001</v>
      </c>
      <c r="G564" s="10">
        <f t="shared" si="24"/>
        <v>15.509778000000001</v>
      </c>
      <c r="H564" s="10">
        <v>0</v>
      </c>
      <c r="I564" s="10">
        <v>112</v>
      </c>
      <c r="J564" s="10">
        <v>2.0492180000000002</v>
      </c>
      <c r="K564" s="10"/>
      <c r="L564" s="10"/>
      <c r="P564" cm="1">
        <f t="array" ref="P564">IF(SUM(N(ISNUMBER(FIND({"a","b","c","d","e","f","g","h","i","j","k","l","m","n","o","p","q","r","s","t","u","v","w","x","y","z"}, B564))))&gt;0, 26, 0)</f>
        <v>26</v>
      </c>
      <c r="Q564" cm="1">
        <f t="array" ref="Q564">IF(SUM(N(ISNUMBER(FIND({"A","B","C","D","E","F","G","H","I","J","K","L","M","N","O","P","Q","R","S","T","U","V","W","X","Y","Z"}, B564))))&gt;0, 26, 0)</f>
        <v>0</v>
      </c>
      <c r="R564" cm="1">
        <f t="array" ref="R564">IF(SUM(N(ISNUMBER(FIND({0,1,2,3,4,5,6,7,8,9}, B564))))&gt;0, 10, 0)</f>
        <v>0</v>
      </c>
      <c r="S564" cm="1">
        <f t="array" ref="S564">IF(LEN(B564)&gt;SUMPRODUCT(LEN(B564)-LEN(SUBSTITUTE(B564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4" s="2"/>
    </row>
    <row r="565" spans="1:21" ht="15.6">
      <c r="A565" s="3">
        <v>2</v>
      </c>
      <c r="B565" s="7">
        <v>456789</v>
      </c>
      <c r="C565" t="s">
        <v>640</v>
      </c>
      <c r="D565">
        <f t="shared" si="25"/>
        <v>6</v>
      </c>
      <c r="E565">
        <f t="shared" si="26"/>
        <v>39.327533110065843</v>
      </c>
      <c r="F565" s="10">
        <v>2.5849630000000001</v>
      </c>
      <c r="G565" s="10">
        <f t="shared" si="24"/>
        <v>15.509778000000001</v>
      </c>
      <c r="H565" s="10">
        <v>0</v>
      </c>
      <c r="I565" s="10">
        <v>61</v>
      </c>
      <c r="J565" s="10">
        <v>1.7853300000000001</v>
      </c>
      <c r="K565" s="10"/>
      <c r="L565" s="10"/>
      <c r="P565" cm="1">
        <f t="array" ref="P565">IF(SUM(N(ISNUMBER(FIND({"a","b","c","d","e","f","g","h","i","j","k","l","m","n","o","p","q","r","s","t","u","v","w","x","y","z"}, B565))))&gt;0, 26, 0)</f>
        <v>0</v>
      </c>
      <c r="Q565" cm="1">
        <f t="array" ref="Q565">IF(SUM(N(ISNUMBER(FIND({"A","B","C","D","E","F","G","H","I","J","K","L","M","N","O","P","Q","R","S","T","U","V","W","X","Y","Z"}, B565))))&gt;0, 26, 0)</f>
        <v>0</v>
      </c>
      <c r="R565" cm="1">
        <f t="array" ref="R565">IF(SUM(N(ISNUMBER(FIND({0,1,2,3,4,5,6,7,8,9}, B565))))&gt;0, 10, 0)</f>
        <v>10</v>
      </c>
      <c r="S565" cm="1">
        <f t="array" ref="S565">IF(LEN(B565)&gt;SUMPRODUCT(LEN(B565)-LEN(SUBSTITUTE(B565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5" s="2"/>
    </row>
    <row r="566" spans="1:21" ht="15.6">
      <c r="A566" s="3">
        <v>2</v>
      </c>
      <c r="B566" s="7" t="s">
        <v>877</v>
      </c>
      <c r="C566" t="s">
        <v>640</v>
      </c>
      <c r="D566">
        <f t="shared" si="25"/>
        <v>9</v>
      </c>
      <c r="E566">
        <f t="shared" si="26"/>
        <v>58.991299665098765</v>
      </c>
      <c r="F566" s="10">
        <v>2.7254809999999998</v>
      </c>
      <c r="G566" s="10">
        <f t="shared" si="24"/>
        <v>24.529328999999997</v>
      </c>
      <c r="H566" s="10">
        <v>0</v>
      </c>
      <c r="I566" s="10">
        <v>568</v>
      </c>
      <c r="J566" s="10">
        <v>2.7543479999999998</v>
      </c>
      <c r="K566" s="10"/>
      <c r="L566" s="10"/>
      <c r="P566" cm="1">
        <f t="array" ref="P566">IF(SUM(N(ISNUMBER(FIND({"a","b","c","d","e","f","g","h","i","j","k","l","m","n","o","p","q","r","s","t","u","v","w","x","y","z"}, B566))))&gt;0, 26, 0)</f>
        <v>26</v>
      </c>
      <c r="Q566" cm="1">
        <f t="array" ref="Q566">IF(SUM(N(ISNUMBER(FIND({"A","B","C","D","E","F","G","H","I","J","K","L","M","N","O","P","Q","R","S","T","U","V","W","X","Y","Z"}, B566))))&gt;0, 26, 0)</f>
        <v>0</v>
      </c>
      <c r="R566" cm="1">
        <f t="array" ref="R566">IF(SUM(N(ISNUMBER(FIND({0,1,2,3,4,5,6,7,8,9}, B566))))&gt;0, 10, 0)</f>
        <v>0</v>
      </c>
      <c r="S566" cm="1">
        <f t="array" ref="S566">IF(LEN(B566)&gt;SUMPRODUCT(LEN(B566)-LEN(SUBSTITUTE(B566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6" s="2"/>
    </row>
    <row r="567" spans="1:21" ht="15.6">
      <c r="A567" s="3">
        <v>2</v>
      </c>
      <c r="B567" s="7" t="s">
        <v>878</v>
      </c>
      <c r="C567" t="s">
        <v>640</v>
      </c>
      <c r="D567">
        <f t="shared" si="25"/>
        <v>7</v>
      </c>
      <c r="E567">
        <f t="shared" si="26"/>
        <v>45.882121961743479</v>
      </c>
      <c r="F567" s="10">
        <v>2.2359260000000001</v>
      </c>
      <c r="G567" s="10">
        <f t="shared" si="24"/>
        <v>15.651482000000001</v>
      </c>
      <c r="H567" s="10">
        <v>0</v>
      </c>
      <c r="I567" s="10">
        <v>35</v>
      </c>
      <c r="J567" s="10">
        <v>1.544068</v>
      </c>
      <c r="K567" s="10"/>
      <c r="L567" s="10"/>
      <c r="P567" cm="1">
        <f t="array" ref="P567">IF(SUM(N(ISNUMBER(FIND({"a","b","c","d","e","f","g","h","i","j","k","l","m","n","o","p","q","r","s","t","u","v","w","x","y","z"}, B567))))&gt;0, 26, 0)</f>
        <v>26</v>
      </c>
      <c r="Q567" cm="1">
        <f t="array" ref="Q567">IF(SUM(N(ISNUMBER(FIND({"A","B","C","D","E","F","G","H","I","J","K","L","M","N","O","P","Q","R","S","T","U","V","W","X","Y","Z"}, B567))))&gt;0, 26, 0)</f>
        <v>0</v>
      </c>
      <c r="R567" cm="1">
        <f t="array" ref="R567">IF(SUM(N(ISNUMBER(FIND({0,1,2,3,4,5,6,7,8,9}, B567))))&gt;0, 10, 0)</f>
        <v>0</v>
      </c>
      <c r="S567" cm="1">
        <f t="array" ref="S567">IF(LEN(B567)&gt;SUMPRODUCT(LEN(B567)-LEN(SUBSTITUTE(B567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7" s="2"/>
    </row>
    <row r="568" spans="1:21" ht="15.6">
      <c r="A568" s="3">
        <v>2</v>
      </c>
      <c r="B568" s="7" t="s">
        <v>879</v>
      </c>
      <c r="C568" t="s">
        <v>640</v>
      </c>
      <c r="D568">
        <f t="shared" si="25"/>
        <v>6</v>
      </c>
      <c r="E568">
        <f t="shared" si="26"/>
        <v>39.327533110065843</v>
      </c>
      <c r="F568" s="10">
        <v>2.5849630000000001</v>
      </c>
      <c r="G568" s="10">
        <f t="shared" si="24"/>
        <v>15.509778000000001</v>
      </c>
      <c r="H568" s="10">
        <v>0</v>
      </c>
      <c r="I568" s="10">
        <v>233</v>
      </c>
      <c r="J568" s="10">
        <v>2.367356</v>
      </c>
      <c r="K568" s="10"/>
      <c r="L568" s="10"/>
      <c r="P568" cm="1">
        <f t="array" ref="P568">IF(SUM(N(ISNUMBER(FIND({"a","b","c","d","e","f","g","h","i","j","k","l","m","n","o","p","q","r","s","t","u","v","w","x","y","z"}, B568))))&gt;0, 26, 0)</f>
        <v>26</v>
      </c>
      <c r="Q568" cm="1">
        <f t="array" ref="Q568">IF(SUM(N(ISNUMBER(FIND({"A","B","C","D","E","F","G","H","I","J","K","L","M","N","O","P","Q","R","S","T","U","V","W","X","Y","Z"}, B568))))&gt;0, 26, 0)</f>
        <v>0</v>
      </c>
      <c r="R568" cm="1">
        <f t="array" ref="R568">IF(SUM(N(ISNUMBER(FIND({0,1,2,3,4,5,6,7,8,9}, B568))))&gt;0, 10, 0)</f>
        <v>0</v>
      </c>
      <c r="S568" cm="1">
        <f t="array" ref="S568">IF(LEN(B568)&gt;SUMPRODUCT(LEN(B568)-LEN(SUBSTITUTE(B568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8" s="2"/>
    </row>
    <row r="569" spans="1:21" ht="15.6">
      <c r="A569" s="3">
        <v>2</v>
      </c>
      <c r="B569" s="7" t="s">
        <v>880</v>
      </c>
      <c r="C569" t="s">
        <v>640</v>
      </c>
      <c r="D569">
        <f t="shared" si="25"/>
        <v>9</v>
      </c>
      <c r="E569">
        <f t="shared" si="26"/>
        <v>58.991299665098765</v>
      </c>
      <c r="F569" s="10">
        <v>3.1699250000000001</v>
      </c>
      <c r="G569" s="10">
        <f t="shared" si="24"/>
        <v>28.529325</v>
      </c>
      <c r="H569" s="10">
        <v>0</v>
      </c>
      <c r="I569" s="10">
        <v>689</v>
      </c>
      <c r="J569" s="10">
        <v>2.838219</v>
      </c>
      <c r="K569" s="10"/>
      <c r="L569" s="10"/>
      <c r="P569" cm="1">
        <f t="array" ref="P569">IF(SUM(N(ISNUMBER(FIND({"a","b","c","d","e","f","g","h","i","j","k","l","m","n","o","p","q","r","s","t","u","v","w","x","y","z"}, B569))))&gt;0, 26, 0)</f>
        <v>26</v>
      </c>
      <c r="Q569" cm="1">
        <f t="array" ref="Q569">IF(SUM(N(ISNUMBER(FIND({"A","B","C","D","E","F","G","H","I","J","K","L","M","N","O","P","Q","R","S","T","U","V","W","X","Y","Z"}, B569))))&gt;0, 26, 0)</f>
        <v>0</v>
      </c>
      <c r="R569" cm="1">
        <f t="array" ref="R569">IF(SUM(N(ISNUMBER(FIND({0,1,2,3,4,5,6,7,8,9}, B569))))&gt;0, 10, 0)</f>
        <v>0</v>
      </c>
      <c r="S569" cm="1">
        <f t="array" ref="S569">IF(LEN(B569)&gt;SUMPRODUCT(LEN(B569)-LEN(SUBSTITUTE(B569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69" s="2"/>
    </row>
    <row r="570" spans="1:21" ht="15.6">
      <c r="A570" s="3">
        <v>2</v>
      </c>
      <c r="B570" s="7" t="s">
        <v>881</v>
      </c>
      <c r="C570" t="s">
        <v>640</v>
      </c>
      <c r="D570">
        <f t="shared" si="25"/>
        <v>11</v>
      </c>
      <c r="E570">
        <f t="shared" si="26"/>
        <v>72.100477368454037</v>
      </c>
      <c r="F570" s="10">
        <v>3.0957949999999999</v>
      </c>
      <c r="G570" s="10">
        <f t="shared" si="24"/>
        <v>34.053744999999999</v>
      </c>
      <c r="H570" s="10">
        <v>0</v>
      </c>
      <c r="I570" s="10">
        <v>12</v>
      </c>
      <c r="J570" s="10">
        <v>1.0791809999999999</v>
      </c>
      <c r="K570" s="10"/>
      <c r="L570" s="10"/>
      <c r="P570" cm="1">
        <f t="array" ref="P570">IF(SUM(N(ISNUMBER(FIND({"a","b","c","d","e","f","g","h","i","j","k","l","m","n","o","p","q","r","s","t","u","v","w","x","y","z"}, B570))))&gt;0, 26, 0)</f>
        <v>26</v>
      </c>
      <c r="Q570" cm="1">
        <f t="array" ref="Q570">IF(SUM(N(ISNUMBER(FIND({"A","B","C","D","E","F","G","H","I","J","K","L","M","N","O","P","Q","R","S","T","U","V","W","X","Y","Z"}, B570))))&gt;0, 26, 0)</f>
        <v>0</v>
      </c>
      <c r="R570" cm="1">
        <f t="array" ref="R570">IF(SUM(N(ISNUMBER(FIND({0,1,2,3,4,5,6,7,8,9}, B570))))&gt;0, 10, 0)</f>
        <v>0</v>
      </c>
      <c r="S570" cm="1">
        <f t="array" ref="S570">IF(LEN(B570)&gt;SUMPRODUCT(LEN(B570)-LEN(SUBSTITUTE(B570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0" s="2"/>
    </row>
    <row r="571" spans="1:21" ht="15.6">
      <c r="A571" s="3">
        <v>2</v>
      </c>
      <c r="B571" s="7" t="s">
        <v>882</v>
      </c>
      <c r="C571" t="s">
        <v>640</v>
      </c>
      <c r="D571">
        <f t="shared" si="25"/>
        <v>6</v>
      </c>
      <c r="E571">
        <f t="shared" si="26"/>
        <v>39.327533110065843</v>
      </c>
      <c r="F571" s="10">
        <v>2.2516289999999999</v>
      </c>
      <c r="G571" s="10">
        <f t="shared" si="24"/>
        <v>13.509774</v>
      </c>
      <c r="H571" s="10">
        <v>0</v>
      </c>
      <c r="I571" s="10">
        <v>553</v>
      </c>
      <c r="J571" s="10">
        <v>2.7427250000000001</v>
      </c>
      <c r="K571" s="10"/>
      <c r="L571" s="10"/>
      <c r="P571" cm="1">
        <f t="array" ref="P571">IF(SUM(N(ISNUMBER(FIND({"a","b","c","d","e","f","g","h","i","j","k","l","m","n","o","p","q","r","s","t","u","v","w","x","y","z"}, B571))))&gt;0, 26, 0)</f>
        <v>26</v>
      </c>
      <c r="Q571" cm="1">
        <f t="array" ref="Q571">IF(SUM(N(ISNUMBER(FIND({"A","B","C","D","E","F","G","H","I","J","K","L","M","N","O","P","Q","R","S","T","U","V","W","X","Y","Z"}, B571))))&gt;0, 26, 0)</f>
        <v>0</v>
      </c>
      <c r="R571" cm="1">
        <f t="array" ref="R571">IF(SUM(N(ISNUMBER(FIND({0,1,2,3,4,5,6,7,8,9}, B571))))&gt;0, 10, 0)</f>
        <v>0</v>
      </c>
      <c r="S571" cm="1">
        <f t="array" ref="S571">IF(LEN(B571)&gt;SUMPRODUCT(LEN(B571)-LEN(SUBSTITUTE(B571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1" s="2"/>
    </row>
    <row r="572" spans="1:21" ht="15.6">
      <c r="A572" s="3">
        <v>2</v>
      </c>
      <c r="B572" s="7" t="s">
        <v>883</v>
      </c>
      <c r="C572" t="s">
        <v>640</v>
      </c>
      <c r="D572">
        <f t="shared" si="25"/>
        <v>6</v>
      </c>
      <c r="E572">
        <f t="shared" si="26"/>
        <v>39.327533110065843</v>
      </c>
      <c r="F572" s="10">
        <v>2.2516289999999999</v>
      </c>
      <c r="G572" s="10">
        <f t="shared" si="24"/>
        <v>13.509774</v>
      </c>
      <c r="H572" s="10">
        <v>0</v>
      </c>
      <c r="I572" s="10">
        <v>96</v>
      </c>
      <c r="J572" s="10">
        <v>1.9822709999999999</v>
      </c>
      <c r="K572" s="10"/>
      <c r="L572" s="10"/>
      <c r="P572" cm="1">
        <f t="array" ref="P572">IF(SUM(N(ISNUMBER(FIND({"a","b","c","d","e","f","g","h","i","j","k","l","m","n","o","p","q","r","s","t","u","v","w","x","y","z"}, B572))))&gt;0, 26, 0)</f>
        <v>26</v>
      </c>
      <c r="Q572" cm="1">
        <f t="array" ref="Q572">IF(SUM(N(ISNUMBER(FIND({"A","B","C","D","E","F","G","H","I","J","K","L","M","N","O","P","Q","R","S","T","U","V","W","X","Y","Z"}, B572))))&gt;0, 26, 0)</f>
        <v>0</v>
      </c>
      <c r="R572" cm="1">
        <f t="array" ref="R572">IF(SUM(N(ISNUMBER(FIND({0,1,2,3,4,5,6,7,8,9}, B572))))&gt;0, 10, 0)</f>
        <v>0</v>
      </c>
      <c r="S572" cm="1">
        <f t="array" ref="S572">IF(LEN(B572)&gt;SUMPRODUCT(LEN(B572)-LEN(SUBSTITUTE(B572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2" s="2"/>
    </row>
    <row r="573" spans="1:21" ht="15.6">
      <c r="A573" s="3">
        <v>2</v>
      </c>
      <c r="B573" s="7" t="s">
        <v>884</v>
      </c>
      <c r="C573" t="s">
        <v>640</v>
      </c>
      <c r="D573">
        <f t="shared" si="25"/>
        <v>7</v>
      </c>
      <c r="E573">
        <f t="shared" si="26"/>
        <v>45.882121961743479</v>
      </c>
      <c r="F573" s="10">
        <v>2.8073549999999998</v>
      </c>
      <c r="G573" s="10">
        <f t="shared" si="24"/>
        <v>19.651484999999997</v>
      </c>
      <c r="H573" s="10">
        <v>1</v>
      </c>
      <c r="I573" s="10">
        <v>732844</v>
      </c>
      <c r="J573" s="10">
        <v>5.8650120000000001</v>
      </c>
      <c r="K573" s="10"/>
      <c r="L573" s="10"/>
      <c r="P573" cm="1">
        <f t="array" ref="P573">IF(SUM(N(ISNUMBER(FIND({"a","b","c","d","e","f","g","h","i","j","k","l","m","n","o","p","q","r","s","t","u","v","w","x","y","z"}, B573))))&gt;0, 26, 0)</f>
        <v>26</v>
      </c>
      <c r="Q573" cm="1">
        <f t="array" ref="Q573">IF(SUM(N(ISNUMBER(FIND({"A","B","C","D","E","F","G","H","I","J","K","L","M","N","O","P","Q","R","S","T","U","V","W","X","Y","Z"}, B573))))&gt;0, 26, 0)</f>
        <v>0</v>
      </c>
      <c r="R573" cm="1">
        <f t="array" ref="R573">IF(SUM(N(ISNUMBER(FIND({0,1,2,3,4,5,6,7,8,9}, B573))))&gt;0, 10, 0)</f>
        <v>0</v>
      </c>
      <c r="S573" cm="1">
        <f t="array" ref="S573">IF(LEN(B573)&gt;SUMPRODUCT(LEN(B573)-LEN(SUBSTITUTE(B573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3" s="2"/>
    </row>
    <row r="574" spans="1:21" ht="15.6">
      <c r="A574" s="3">
        <v>2</v>
      </c>
      <c r="B574" s="7">
        <v>123456789</v>
      </c>
      <c r="C574" t="s">
        <v>640</v>
      </c>
      <c r="D574">
        <f t="shared" si="25"/>
        <v>9</v>
      </c>
      <c r="E574">
        <f t="shared" si="26"/>
        <v>58.991299665098765</v>
      </c>
      <c r="F574" s="10">
        <v>3.1699250000000001</v>
      </c>
      <c r="G574" s="10">
        <f t="shared" si="24"/>
        <v>28.529325</v>
      </c>
      <c r="H574" s="10">
        <v>0</v>
      </c>
      <c r="I574" s="10">
        <v>6</v>
      </c>
      <c r="J574" s="10">
        <v>0.77815100000000004</v>
      </c>
      <c r="K574" s="10"/>
      <c r="L574" s="10"/>
      <c r="P574" cm="1">
        <f t="array" ref="P574">IF(SUM(N(ISNUMBER(FIND({"a","b","c","d","e","f","g","h","i","j","k","l","m","n","o","p","q","r","s","t","u","v","w","x","y","z"}, B574))))&gt;0, 26, 0)</f>
        <v>0</v>
      </c>
      <c r="Q574" cm="1">
        <f t="array" ref="Q574">IF(SUM(N(ISNUMBER(FIND({"A","B","C","D","E","F","G","H","I","J","K","L","M","N","O","P","Q","R","S","T","U","V","W","X","Y","Z"}, B574))))&gt;0, 26, 0)</f>
        <v>0</v>
      </c>
      <c r="R574" cm="1">
        <f t="array" ref="R574">IF(SUM(N(ISNUMBER(FIND({0,1,2,3,4,5,6,7,8,9}, B574))))&gt;0, 10, 0)</f>
        <v>10</v>
      </c>
      <c r="S574" cm="1">
        <f t="array" ref="S574">IF(LEN(B574)&gt;SUMPRODUCT(LEN(B574)-LEN(SUBSTITUTE(B574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4" s="2"/>
    </row>
    <row r="575" spans="1:21" ht="15.6">
      <c r="A575" s="3">
        <v>2</v>
      </c>
      <c r="B575" s="7" t="s">
        <v>885</v>
      </c>
      <c r="C575" t="s">
        <v>640</v>
      </c>
      <c r="D575">
        <f t="shared" si="25"/>
        <v>6</v>
      </c>
      <c r="E575">
        <f t="shared" si="26"/>
        <v>39.327533110065843</v>
      </c>
      <c r="F575" s="10">
        <v>2.2516289999999999</v>
      </c>
      <c r="G575" s="10">
        <f t="shared" si="24"/>
        <v>13.509774</v>
      </c>
      <c r="H575" s="10">
        <v>0</v>
      </c>
      <c r="I575" s="10">
        <v>45</v>
      </c>
      <c r="J575" s="10">
        <v>1.653213</v>
      </c>
      <c r="K575" s="10"/>
      <c r="L575" s="10"/>
      <c r="P575" cm="1">
        <f t="array" ref="P575">IF(SUM(N(ISNUMBER(FIND({"a","b","c","d","e","f","g","h","i","j","k","l","m","n","o","p","q","r","s","t","u","v","w","x","y","z"}, B575))))&gt;0, 26, 0)</f>
        <v>26</v>
      </c>
      <c r="Q575" cm="1">
        <f t="array" ref="Q575">IF(SUM(N(ISNUMBER(FIND({"A","B","C","D","E","F","G","H","I","J","K","L","M","N","O","P","Q","R","S","T","U","V","W","X","Y","Z"}, B575))))&gt;0, 26, 0)</f>
        <v>0</v>
      </c>
      <c r="R575" cm="1">
        <f t="array" ref="R575">IF(SUM(N(ISNUMBER(FIND({0,1,2,3,4,5,6,7,8,9}, B575))))&gt;0, 10, 0)</f>
        <v>0</v>
      </c>
      <c r="S575" cm="1">
        <f t="array" ref="S575">IF(LEN(B575)&gt;SUMPRODUCT(LEN(B575)-LEN(SUBSTITUTE(B575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5" s="2"/>
    </row>
    <row r="576" spans="1:21" ht="15.6">
      <c r="A576" s="3">
        <v>2</v>
      </c>
      <c r="B576" s="7" t="s">
        <v>886</v>
      </c>
      <c r="C576" t="s">
        <v>640</v>
      </c>
      <c r="D576">
        <f t="shared" si="25"/>
        <v>9</v>
      </c>
      <c r="E576">
        <f t="shared" si="26"/>
        <v>58.991299665098765</v>
      </c>
      <c r="F576" s="10">
        <v>2.9477030000000002</v>
      </c>
      <c r="G576" s="10">
        <f t="shared" si="24"/>
        <v>26.529327000000002</v>
      </c>
      <c r="H576" s="10">
        <v>1</v>
      </c>
      <c r="I576" s="10">
        <v>1050</v>
      </c>
      <c r="J576" s="10">
        <v>3.0211890000000001</v>
      </c>
      <c r="K576" s="10"/>
      <c r="L576" s="10"/>
      <c r="P576" cm="1">
        <f t="array" ref="P576">IF(SUM(N(ISNUMBER(FIND({"a","b","c","d","e","f","g","h","i","j","k","l","m","n","o","p","q","r","s","t","u","v","w","x","y","z"}, B576))))&gt;0, 26, 0)</f>
        <v>26</v>
      </c>
      <c r="Q576" cm="1">
        <f t="array" ref="Q576">IF(SUM(N(ISNUMBER(FIND({"A","B","C","D","E","F","G","H","I","J","K","L","M","N","O","P","Q","R","S","T","U","V","W","X","Y","Z"}, B576))))&gt;0, 26, 0)</f>
        <v>0</v>
      </c>
      <c r="R576" cm="1">
        <f t="array" ref="R576">IF(SUM(N(ISNUMBER(FIND({0,1,2,3,4,5,6,7,8,9}, B576))))&gt;0, 10, 0)</f>
        <v>0</v>
      </c>
      <c r="S576" cm="1">
        <f t="array" ref="S576">IF(LEN(B576)&gt;SUMPRODUCT(LEN(B576)-LEN(SUBSTITUTE(B576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6" s="2"/>
    </row>
    <row r="577" spans="1:21" ht="15.6">
      <c r="A577" s="3">
        <v>2</v>
      </c>
      <c r="B577" s="7" t="s">
        <v>887</v>
      </c>
      <c r="C577" t="s">
        <v>640</v>
      </c>
      <c r="D577">
        <f t="shared" si="25"/>
        <v>6</v>
      </c>
      <c r="E577">
        <f t="shared" si="26"/>
        <v>39.327533110065843</v>
      </c>
      <c r="F577" s="10">
        <v>2.2516289999999999</v>
      </c>
      <c r="G577" s="10">
        <f t="shared" si="24"/>
        <v>13.509774</v>
      </c>
      <c r="H577" s="10">
        <v>0</v>
      </c>
      <c r="I577" s="10">
        <v>162</v>
      </c>
      <c r="J577" s="10">
        <v>2.2095150000000001</v>
      </c>
      <c r="K577" s="10"/>
      <c r="L577" s="10"/>
      <c r="P577" cm="1">
        <f t="array" ref="P577">IF(SUM(N(ISNUMBER(FIND({"a","b","c","d","e","f","g","h","i","j","k","l","m","n","o","p","q","r","s","t","u","v","w","x","y","z"}, B577))))&gt;0, 26, 0)</f>
        <v>26</v>
      </c>
      <c r="Q577" cm="1">
        <f t="array" ref="Q577">IF(SUM(N(ISNUMBER(FIND({"A","B","C","D","E","F","G","H","I","J","K","L","M","N","O","P","Q","R","S","T","U","V","W","X","Y","Z"}, B577))))&gt;0, 26, 0)</f>
        <v>0</v>
      </c>
      <c r="R577" cm="1">
        <f t="array" ref="R577">IF(SUM(N(ISNUMBER(FIND({0,1,2,3,4,5,6,7,8,9}, B577))))&gt;0, 10, 0)</f>
        <v>0</v>
      </c>
      <c r="S577" cm="1">
        <f t="array" ref="S577">IF(LEN(B577)&gt;SUMPRODUCT(LEN(B577)-LEN(SUBSTITUTE(B577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7" s="2"/>
    </row>
    <row r="578" spans="1:21" ht="15.6">
      <c r="A578" s="3">
        <v>2</v>
      </c>
      <c r="B578" s="7" t="s">
        <v>888</v>
      </c>
      <c r="C578" t="s">
        <v>640</v>
      </c>
      <c r="D578">
        <f t="shared" si="25"/>
        <v>7</v>
      </c>
      <c r="E578">
        <f t="shared" si="26"/>
        <v>45.882121961743479</v>
      </c>
      <c r="F578" s="10">
        <v>2.5216409999999998</v>
      </c>
      <c r="G578" s="10">
        <f t="shared" ref="G578:G603" si="27">F578 * D578</f>
        <v>17.651486999999999</v>
      </c>
      <c r="H578" s="10">
        <v>0</v>
      </c>
      <c r="I578" s="10">
        <v>297</v>
      </c>
      <c r="J578" s="10">
        <v>2.472756</v>
      </c>
      <c r="K578" s="10"/>
      <c r="L578" s="10"/>
      <c r="P578" cm="1">
        <f t="array" ref="P578">IF(SUM(N(ISNUMBER(FIND({"a","b","c","d","e","f","g","h","i","j","k","l","m","n","o","p","q","r","s","t","u","v","w","x","y","z"}, B578))))&gt;0, 26, 0)</f>
        <v>26</v>
      </c>
      <c r="Q578" cm="1">
        <f t="array" ref="Q578">IF(SUM(N(ISNUMBER(FIND({"A","B","C","D","E","F","G","H","I","J","K","L","M","N","O","P","Q","R","S","T","U","V","W","X","Y","Z"}, B578))))&gt;0, 26, 0)</f>
        <v>0</v>
      </c>
      <c r="R578" cm="1">
        <f t="array" ref="R578">IF(SUM(N(ISNUMBER(FIND({0,1,2,3,4,5,6,7,8,9}, B578))))&gt;0, 10, 0)</f>
        <v>0</v>
      </c>
      <c r="S578" cm="1">
        <f t="array" ref="S578">IF(LEN(B578)&gt;SUMPRODUCT(LEN(B578)-LEN(SUBSTITUTE(B578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8" s="2"/>
    </row>
    <row r="579" spans="1:21" ht="15.6">
      <c r="A579" s="3">
        <v>2</v>
      </c>
      <c r="B579" s="7" t="s">
        <v>889</v>
      </c>
      <c r="C579" t="s">
        <v>640</v>
      </c>
      <c r="D579">
        <f t="shared" ref="D579:D602" si="28">LEN(B579)</f>
        <v>6</v>
      </c>
      <c r="E579">
        <f t="shared" ref="E579:E602" si="29">IMLOG2(94) * D579</f>
        <v>39.327533110065843</v>
      </c>
      <c r="F579" s="10">
        <v>2.5849630000000001</v>
      </c>
      <c r="G579" s="10">
        <f t="shared" si="27"/>
        <v>15.509778000000001</v>
      </c>
      <c r="H579" s="10">
        <v>0</v>
      </c>
      <c r="I579" s="10">
        <v>61</v>
      </c>
      <c r="J579" s="10">
        <v>1.7853300000000001</v>
      </c>
      <c r="K579" s="10"/>
      <c r="L579" s="10"/>
      <c r="P579" cm="1">
        <f t="array" ref="P579">IF(SUM(N(ISNUMBER(FIND({"a","b","c","d","e","f","g","h","i","j","k","l","m","n","o","p","q","r","s","t","u","v","w","x","y","z"}, B579))))&gt;0, 26, 0)</f>
        <v>26</v>
      </c>
      <c r="Q579" cm="1">
        <f t="array" ref="Q579">IF(SUM(N(ISNUMBER(FIND({"A","B","C","D","E","F","G","H","I","J","K","L","M","N","O","P","Q","R","S","T","U","V","W","X","Y","Z"}, B579))))&gt;0, 26, 0)</f>
        <v>0</v>
      </c>
      <c r="R579" cm="1">
        <f t="array" ref="R579">IF(SUM(N(ISNUMBER(FIND({0,1,2,3,4,5,6,7,8,9}, B579))))&gt;0, 10, 0)</f>
        <v>0</v>
      </c>
      <c r="S579" cm="1">
        <f t="array" ref="S579">IF(LEN(B579)&gt;SUMPRODUCT(LEN(B579)-LEN(SUBSTITUTE(B579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79" s="2"/>
    </row>
    <row r="580" spans="1:21" ht="15.6">
      <c r="A580" s="3">
        <v>2</v>
      </c>
      <c r="B580" s="7" t="s">
        <v>890</v>
      </c>
      <c r="C580" t="s">
        <v>640</v>
      </c>
      <c r="D580">
        <f t="shared" si="28"/>
        <v>7</v>
      </c>
      <c r="E580">
        <f t="shared" si="29"/>
        <v>45.882121961743479</v>
      </c>
      <c r="F580" s="10">
        <v>2.8073549999999998</v>
      </c>
      <c r="G580" s="10">
        <f t="shared" si="27"/>
        <v>19.651484999999997</v>
      </c>
      <c r="H580" s="10">
        <v>0</v>
      </c>
      <c r="I580" s="10">
        <v>238</v>
      </c>
      <c r="J580" s="10">
        <v>2.3765770000000002</v>
      </c>
      <c r="K580" s="10"/>
      <c r="L580" s="10"/>
      <c r="P580" cm="1">
        <f t="array" ref="P580">IF(SUM(N(ISNUMBER(FIND({"a","b","c","d","e","f","g","h","i","j","k","l","m","n","o","p","q","r","s","t","u","v","w","x","y","z"}, B580))))&gt;0, 26, 0)</f>
        <v>26</v>
      </c>
      <c r="Q580" cm="1">
        <f t="array" ref="Q580">IF(SUM(N(ISNUMBER(FIND({"A","B","C","D","E","F","G","H","I","J","K","L","M","N","O","P","Q","R","S","T","U","V","W","X","Y","Z"}, B580))))&gt;0, 26, 0)</f>
        <v>0</v>
      </c>
      <c r="R580" cm="1">
        <f t="array" ref="R580">IF(SUM(N(ISNUMBER(FIND({0,1,2,3,4,5,6,7,8,9}, B580))))&gt;0, 10, 0)</f>
        <v>0</v>
      </c>
      <c r="S580" cm="1">
        <f t="array" ref="S580">IF(LEN(B580)&gt;SUMPRODUCT(LEN(B580)-LEN(SUBSTITUTE(B580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0" s="2"/>
    </row>
    <row r="581" spans="1:21" ht="15.6">
      <c r="A581" s="3">
        <v>2</v>
      </c>
      <c r="B581" s="7" t="s">
        <v>891</v>
      </c>
      <c r="C581" t="s">
        <v>640</v>
      </c>
      <c r="D581">
        <f t="shared" si="28"/>
        <v>8</v>
      </c>
      <c r="E581">
        <f t="shared" si="29"/>
        <v>52.436710813421122</v>
      </c>
      <c r="F581" s="10">
        <v>3</v>
      </c>
      <c r="G581" s="10">
        <f t="shared" si="27"/>
        <v>24</v>
      </c>
      <c r="H581" s="10">
        <v>0</v>
      </c>
      <c r="I581" s="10">
        <v>225</v>
      </c>
      <c r="J581" s="10">
        <v>2.3521830000000001</v>
      </c>
      <c r="K581" s="10"/>
      <c r="L581" s="10"/>
      <c r="P581" cm="1">
        <f t="array" ref="P581">IF(SUM(N(ISNUMBER(FIND({"a","b","c","d","e","f","g","h","i","j","k","l","m","n","o","p","q","r","s","t","u","v","w","x","y","z"}, B581))))&gt;0, 26, 0)</f>
        <v>26</v>
      </c>
      <c r="Q581" cm="1">
        <f t="array" ref="Q581">IF(SUM(N(ISNUMBER(FIND({"A","B","C","D","E","F","G","H","I","J","K","L","M","N","O","P","Q","R","S","T","U","V","W","X","Y","Z"}, B581))))&gt;0, 26, 0)</f>
        <v>0</v>
      </c>
      <c r="R581" cm="1">
        <f t="array" ref="R581">IF(SUM(N(ISNUMBER(FIND({0,1,2,3,4,5,6,7,8,9}, B581))))&gt;0, 10, 0)</f>
        <v>0</v>
      </c>
      <c r="S581" cm="1">
        <f t="array" ref="S581">IF(LEN(B581)&gt;SUMPRODUCT(LEN(B581)-LEN(SUBSTITUTE(B581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1" s="2"/>
    </row>
    <row r="582" spans="1:21" ht="15.6">
      <c r="A582" s="3">
        <v>2</v>
      </c>
      <c r="B582" s="7" t="s">
        <v>892</v>
      </c>
      <c r="C582" t="s">
        <v>640</v>
      </c>
      <c r="D582">
        <f t="shared" si="28"/>
        <v>8</v>
      </c>
      <c r="E582">
        <f t="shared" si="29"/>
        <v>52.436710813421122</v>
      </c>
      <c r="F582" s="10">
        <v>2.5</v>
      </c>
      <c r="G582" s="10">
        <f t="shared" si="27"/>
        <v>20</v>
      </c>
      <c r="H582" s="10">
        <v>1</v>
      </c>
      <c r="I582" s="10">
        <v>4600</v>
      </c>
      <c r="J582" s="10">
        <v>3.6627580000000002</v>
      </c>
      <c r="K582" s="10"/>
      <c r="L582" s="10"/>
      <c r="P582" cm="1">
        <f t="array" ref="P582">IF(SUM(N(ISNUMBER(FIND({"a","b","c","d","e","f","g","h","i","j","k","l","m","n","o","p","q","r","s","t","u","v","w","x","y","z"}, B582))))&gt;0, 26, 0)</f>
        <v>26</v>
      </c>
      <c r="Q582" cm="1">
        <f t="array" ref="Q582">IF(SUM(N(ISNUMBER(FIND({"A","B","C","D","E","F","G","H","I","J","K","L","M","N","O","P","Q","R","S","T","U","V","W","X","Y","Z"}, B582))))&gt;0, 26, 0)</f>
        <v>0</v>
      </c>
      <c r="R582" cm="1">
        <f t="array" ref="R582">IF(SUM(N(ISNUMBER(FIND({0,1,2,3,4,5,6,7,8,9}, B582))))&gt;0, 10, 0)</f>
        <v>0</v>
      </c>
      <c r="S582" cm="1">
        <f t="array" ref="S582">IF(LEN(B582)&gt;SUMPRODUCT(LEN(B582)-LEN(SUBSTITUTE(B582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2" s="2"/>
    </row>
    <row r="583" spans="1:21" ht="15.6">
      <c r="A583" s="3">
        <v>2</v>
      </c>
      <c r="B583" s="7" t="s">
        <v>893</v>
      </c>
      <c r="C583" t="s">
        <v>640</v>
      </c>
      <c r="D583">
        <f t="shared" si="28"/>
        <v>7</v>
      </c>
      <c r="E583">
        <f t="shared" si="29"/>
        <v>45.882121961743479</v>
      </c>
      <c r="F583" s="10">
        <v>2.8073549999999998</v>
      </c>
      <c r="G583" s="10">
        <f t="shared" si="27"/>
        <v>19.651484999999997</v>
      </c>
      <c r="H583" s="10">
        <v>0</v>
      </c>
      <c r="I583" s="10">
        <v>860</v>
      </c>
      <c r="J583" s="10">
        <v>2.9344980000000001</v>
      </c>
      <c r="K583" s="10"/>
      <c r="L583" s="10"/>
      <c r="P583" cm="1">
        <f t="array" ref="P583">IF(SUM(N(ISNUMBER(FIND({"a","b","c","d","e","f","g","h","i","j","k","l","m","n","o","p","q","r","s","t","u","v","w","x","y","z"}, B583))))&gt;0, 26, 0)</f>
        <v>26</v>
      </c>
      <c r="Q583" cm="1">
        <f t="array" ref="Q583">IF(SUM(N(ISNUMBER(FIND({"A","B","C","D","E","F","G","H","I","J","K","L","M","N","O","P","Q","R","S","T","U","V","W","X","Y","Z"}, B583))))&gt;0, 26, 0)</f>
        <v>0</v>
      </c>
      <c r="R583" cm="1">
        <f t="array" ref="R583">IF(SUM(N(ISNUMBER(FIND({0,1,2,3,4,5,6,7,8,9}, B583))))&gt;0, 10, 0)</f>
        <v>10</v>
      </c>
      <c r="S583" cm="1">
        <f t="array" ref="S583">IF(LEN(B583)&gt;SUMPRODUCT(LEN(B583)-LEN(SUBSTITUTE(B583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3" s="2"/>
    </row>
    <row r="584" spans="1:21" ht="15.6">
      <c r="A584" s="3">
        <v>2</v>
      </c>
      <c r="B584" s="7" t="s">
        <v>894</v>
      </c>
      <c r="C584" t="s">
        <v>640</v>
      </c>
      <c r="D584">
        <f t="shared" si="28"/>
        <v>6</v>
      </c>
      <c r="E584">
        <f t="shared" si="29"/>
        <v>39.327533110065843</v>
      </c>
      <c r="F584" s="10">
        <v>2.5849630000000001</v>
      </c>
      <c r="G584" s="10">
        <f t="shared" si="27"/>
        <v>15.509778000000001</v>
      </c>
      <c r="H584" s="10">
        <v>1</v>
      </c>
      <c r="I584" s="10">
        <v>2248</v>
      </c>
      <c r="J584" s="10">
        <v>3.3517960000000002</v>
      </c>
      <c r="K584" s="10"/>
      <c r="L584" s="10"/>
      <c r="P584" cm="1">
        <f t="array" ref="P584">IF(SUM(N(ISNUMBER(FIND({"a","b","c","d","e","f","g","h","i","j","k","l","m","n","o","p","q","r","s","t","u","v","w","x","y","z"}, B584))))&gt;0, 26, 0)</f>
        <v>26</v>
      </c>
      <c r="Q584" cm="1">
        <f t="array" ref="Q584">IF(SUM(N(ISNUMBER(FIND({"A","B","C","D","E","F","G","H","I","J","K","L","M","N","O","P","Q","R","S","T","U","V","W","X","Y","Z"}, B584))))&gt;0, 26, 0)</f>
        <v>0</v>
      </c>
      <c r="R584" cm="1">
        <f t="array" ref="R584">IF(SUM(N(ISNUMBER(FIND({0,1,2,3,4,5,6,7,8,9}, B584))))&gt;0, 10, 0)</f>
        <v>10</v>
      </c>
      <c r="S584" cm="1">
        <f t="array" ref="S584">IF(LEN(B584)&gt;SUMPRODUCT(LEN(B584)-LEN(SUBSTITUTE(B584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4" s="2"/>
    </row>
    <row r="585" spans="1:21" ht="15.6">
      <c r="A585" s="3">
        <v>2</v>
      </c>
      <c r="B585" s="7" t="s">
        <v>895</v>
      </c>
      <c r="C585" t="s">
        <v>640</v>
      </c>
      <c r="D585">
        <f t="shared" si="28"/>
        <v>6</v>
      </c>
      <c r="E585">
        <f t="shared" si="29"/>
        <v>39.327533110065843</v>
      </c>
      <c r="F585" s="10">
        <v>2.5849630000000001</v>
      </c>
      <c r="G585" s="10">
        <f t="shared" si="27"/>
        <v>15.509778000000001</v>
      </c>
      <c r="H585" s="10">
        <v>0</v>
      </c>
      <c r="I585" s="10">
        <v>484</v>
      </c>
      <c r="J585" s="10">
        <v>2.6848450000000001</v>
      </c>
      <c r="K585" s="10"/>
      <c r="L585" s="10"/>
      <c r="P585" cm="1">
        <f t="array" ref="P585">IF(SUM(N(ISNUMBER(FIND({"a","b","c","d","e","f","g","h","i","j","k","l","m","n","o","p","q","r","s","t","u","v","w","x","y","z"}, B585))))&gt;0, 26, 0)</f>
        <v>26</v>
      </c>
      <c r="Q585" cm="1">
        <f t="array" ref="Q585">IF(SUM(N(ISNUMBER(FIND({"A","B","C","D","E","F","G","H","I","J","K","L","M","N","O","P","Q","R","S","T","U","V","W","X","Y","Z"}, B585))))&gt;0, 26, 0)</f>
        <v>0</v>
      </c>
      <c r="R585" cm="1">
        <f t="array" ref="R585">IF(SUM(N(ISNUMBER(FIND({0,1,2,3,4,5,6,7,8,9}, B585))))&gt;0, 10, 0)</f>
        <v>0</v>
      </c>
      <c r="S585" cm="1">
        <f t="array" ref="S585">IF(LEN(B585)&gt;SUMPRODUCT(LEN(B585)-LEN(SUBSTITUTE(B585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5" s="2"/>
    </row>
    <row r="586" spans="1:21" ht="15.6">
      <c r="A586" s="3">
        <v>2</v>
      </c>
      <c r="B586" s="7" t="s">
        <v>896</v>
      </c>
      <c r="C586" t="s">
        <v>640</v>
      </c>
      <c r="D586">
        <f t="shared" si="28"/>
        <v>5</v>
      </c>
      <c r="E586">
        <f t="shared" si="29"/>
        <v>32.7729442583882</v>
      </c>
      <c r="F586" s="10">
        <v>2.3219280000000002</v>
      </c>
      <c r="G586" s="10">
        <f t="shared" si="27"/>
        <v>11.609640000000001</v>
      </c>
      <c r="H586" s="10">
        <v>0</v>
      </c>
      <c r="I586" s="10">
        <v>24</v>
      </c>
      <c r="J586" s="10">
        <v>1.3802110000000001</v>
      </c>
      <c r="K586" s="10"/>
      <c r="L586" s="10"/>
      <c r="P586" cm="1">
        <f t="array" ref="P586">IF(SUM(N(ISNUMBER(FIND({"a","b","c","d","e","f","g","h","i","j","k","l","m","n","o","p","q","r","s","t","u","v","w","x","y","z"}, B586))))&gt;0, 26, 0)</f>
        <v>26</v>
      </c>
      <c r="Q586" cm="1">
        <f t="array" ref="Q586">IF(SUM(N(ISNUMBER(FIND({"A","B","C","D","E","F","G","H","I","J","K","L","M","N","O","P","Q","R","S","T","U","V","W","X","Y","Z"}, B586))))&gt;0, 26, 0)</f>
        <v>0</v>
      </c>
      <c r="R586" cm="1">
        <f t="array" ref="R586">IF(SUM(N(ISNUMBER(FIND({0,1,2,3,4,5,6,7,8,9}, B586))))&gt;0, 10, 0)</f>
        <v>0</v>
      </c>
      <c r="S586" cm="1">
        <f t="array" ref="S586">IF(LEN(B586)&gt;SUMPRODUCT(LEN(B586)-LEN(SUBSTITUTE(B586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6" s="2"/>
    </row>
    <row r="587" spans="1:21" ht="15.6">
      <c r="A587" s="3">
        <v>2</v>
      </c>
      <c r="B587" s="7" t="s">
        <v>897</v>
      </c>
      <c r="C587" t="s">
        <v>640</v>
      </c>
      <c r="D587">
        <f t="shared" si="28"/>
        <v>5</v>
      </c>
      <c r="E587">
        <f t="shared" si="29"/>
        <v>32.7729442583882</v>
      </c>
      <c r="F587" s="10">
        <v>2.3219280000000002</v>
      </c>
      <c r="G587" s="10">
        <f t="shared" si="27"/>
        <v>11.609640000000001</v>
      </c>
      <c r="H587" s="10">
        <v>0</v>
      </c>
      <c r="I587" s="10">
        <v>205</v>
      </c>
      <c r="J587" s="10">
        <v>2.3117540000000001</v>
      </c>
      <c r="K587" s="10"/>
      <c r="L587" s="10"/>
      <c r="P587" cm="1">
        <f t="array" ref="P587">IF(SUM(N(ISNUMBER(FIND({"a","b","c","d","e","f","g","h","i","j","k","l","m","n","o","p","q","r","s","t","u","v","w","x","y","z"}, B587))))&gt;0, 26, 0)</f>
        <v>26</v>
      </c>
      <c r="Q587" cm="1">
        <f t="array" ref="Q587">IF(SUM(N(ISNUMBER(FIND({"A","B","C","D","E","F","G","H","I","J","K","L","M","N","O","P","Q","R","S","T","U","V","W","X","Y","Z"}, B587))))&gt;0, 26, 0)</f>
        <v>0</v>
      </c>
      <c r="R587" cm="1">
        <f t="array" ref="R587">IF(SUM(N(ISNUMBER(FIND({0,1,2,3,4,5,6,7,8,9}, B587))))&gt;0, 10, 0)</f>
        <v>0</v>
      </c>
      <c r="S587" cm="1">
        <f t="array" ref="S587">IF(LEN(B587)&gt;SUMPRODUCT(LEN(B587)-LEN(SUBSTITUTE(B587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7" s="2"/>
    </row>
    <row r="588" spans="1:21" ht="15.6">
      <c r="A588" s="3">
        <v>2</v>
      </c>
      <c r="B588" s="7" t="s">
        <v>898</v>
      </c>
      <c r="C588" t="s">
        <v>640</v>
      </c>
      <c r="D588">
        <f t="shared" si="28"/>
        <v>7</v>
      </c>
      <c r="E588">
        <f t="shared" si="29"/>
        <v>45.882121961743479</v>
      </c>
      <c r="F588" s="10">
        <v>2.128085</v>
      </c>
      <c r="G588" s="10">
        <f t="shared" si="27"/>
        <v>14.896595</v>
      </c>
      <c r="H588" s="10">
        <v>1</v>
      </c>
      <c r="I588" s="10">
        <v>8019</v>
      </c>
      <c r="J588" s="10">
        <v>3.9041199999999998</v>
      </c>
      <c r="K588" s="10"/>
      <c r="L588" s="10"/>
      <c r="P588" cm="1">
        <f t="array" ref="P588">IF(SUM(N(ISNUMBER(FIND({"a","b","c","d","e","f","g","h","i","j","k","l","m","n","o","p","q","r","s","t","u","v","w","x","y","z"}, B588))))&gt;0, 26, 0)</f>
        <v>26</v>
      </c>
      <c r="Q588" cm="1">
        <f t="array" ref="Q588">IF(SUM(N(ISNUMBER(FIND({"A","B","C","D","E","F","G","H","I","J","K","L","M","N","O","P","Q","R","S","T","U","V","W","X","Y","Z"}, B588))))&gt;0, 26, 0)</f>
        <v>0</v>
      </c>
      <c r="R588" cm="1">
        <f t="array" ref="R588">IF(SUM(N(ISNUMBER(FIND({0,1,2,3,4,5,6,7,8,9}, B588))))&gt;0, 10, 0)</f>
        <v>0</v>
      </c>
      <c r="S588" cm="1">
        <f t="array" ref="S588">IF(LEN(B588)&gt;SUMPRODUCT(LEN(B588)-LEN(SUBSTITUTE(B588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8" s="2"/>
    </row>
    <row r="589" spans="1:21" ht="15.6">
      <c r="A589" s="3">
        <v>2</v>
      </c>
      <c r="B589" s="7" t="s">
        <v>899</v>
      </c>
      <c r="C589" t="s">
        <v>640</v>
      </c>
      <c r="D589">
        <f t="shared" si="28"/>
        <v>7</v>
      </c>
      <c r="E589">
        <f t="shared" si="29"/>
        <v>45.882121961743479</v>
      </c>
      <c r="F589" s="10">
        <v>1.842371</v>
      </c>
      <c r="G589" s="10">
        <f t="shared" si="27"/>
        <v>12.896597</v>
      </c>
      <c r="H589" s="10">
        <v>1</v>
      </c>
      <c r="I589" s="10">
        <v>1923</v>
      </c>
      <c r="J589" s="10">
        <v>3.283979</v>
      </c>
      <c r="K589" s="10"/>
      <c r="L589" s="10"/>
      <c r="P589" cm="1">
        <f t="array" ref="P589">IF(SUM(N(ISNUMBER(FIND({"a","b","c","d","e","f","g","h","i","j","k","l","m","n","o","p","q","r","s","t","u","v","w","x","y","z"}, B589))))&gt;0, 26, 0)</f>
        <v>26</v>
      </c>
      <c r="Q589" cm="1">
        <f t="array" ref="Q589">IF(SUM(N(ISNUMBER(FIND({"A","B","C","D","E","F","G","H","I","J","K","L","M","N","O","P","Q","R","S","T","U","V","W","X","Y","Z"}, B589))))&gt;0, 26, 0)</f>
        <v>0</v>
      </c>
      <c r="R589" cm="1">
        <f t="array" ref="R589">IF(SUM(N(ISNUMBER(FIND({0,1,2,3,4,5,6,7,8,9}, B589))))&gt;0, 10, 0)</f>
        <v>0</v>
      </c>
      <c r="S589" cm="1">
        <f t="array" ref="S589">IF(LEN(B589)&gt;SUMPRODUCT(LEN(B589)-LEN(SUBSTITUTE(B589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89" s="2"/>
    </row>
    <row r="590" spans="1:21" ht="15.6">
      <c r="A590" s="3">
        <v>2</v>
      </c>
      <c r="B590" s="7" t="s">
        <v>900</v>
      </c>
      <c r="C590" t="s">
        <v>640</v>
      </c>
      <c r="D590">
        <f t="shared" si="28"/>
        <v>6</v>
      </c>
      <c r="E590">
        <f t="shared" si="29"/>
        <v>39.327533110065843</v>
      </c>
      <c r="F590" s="10">
        <v>2.5849630000000001</v>
      </c>
      <c r="G590" s="10">
        <f t="shared" si="27"/>
        <v>15.509778000000001</v>
      </c>
      <c r="H590" s="10">
        <v>0</v>
      </c>
      <c r="I590" s="10">
        <v>180</v>
      </c>
      <c r="J590" s="10">
        <v>2.2552729999999999</v>
      </c>
      <c r="K590" s="10"/>
      <c r="L590" s="10"/>
      <c r="P590" cm="1">
        <f t="array" ref="P590">IF(SUM(N(ISNUMBER(FIND({"a","b","c","d","e","f","g","h","i","j","k","l","m","n","o","p","q","r","s","t","u","v","w","x","y","z"}, B590))))&gt;0, 26, 0)</f>
        <v>26</v>
      </c>
      <c r="Q590" cm="1">
        <f t="array" ref="Q590">IF(SUM(N(ISNUMBER(FIND({"A","B","C","D","E","F","G","H","I","J","K","L","M","N","O","P","Q","R","S","T","U","V","W","X","Y","Z"}, B590))))&gt;0, 26, 0)</f>
        <v>0</v>
      </c>
      <c r="R590" cm="1">
        <f t="array" ref="R590">IF(SUM(N(ISNUMBER(FIND({0,1,2,3,4,5,6,7,8,9}, B590))))&gt;0, 10, 0)</f>
        <v>0</v>
      </c>
      <c r="S590" cm="1">
        <f t="array" ref="S590">IF(LEN(B590)&gt;SUMPRODUCT(LEN(B590)-LEN(SUBSTITUTE(B590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0" s="2"/>
    </row>
    <row r="591" spans="1:21" ht="15.6">
      <c r="A591" s="3">
        <v>2</v>
      </c>
      <c r="B591" s="7" t="s">
        <v>901</v>
      </c>
      <c r="C591" t="s">
        <v>640</v>
      </c>
      <c r="D591">
        <f t="shared" si="28"/>
        <v>6</v>
      </c>
      <c r="E591">
        <f t="shared" si="29"/>
        <v>39.327533110065843</v>
      </c>
      <c r="F591" s="10">
        <v>2.5849630000000001</v>
      </c>
      <c r="G591" s="10">
        <f t="shared" si="27"/>
        <v>15.509778000000001</v>
      </c>
      <c r="H591" s="10">
        <v>0</v>
      </c>
      <c r="I591" s="10">
        <v>32</v>
      </c>
      <c r="J591" s="10">
        <v>1.50515</v>
      </c>
      <c r="K591" s="10"/>
      <c r="L591" s="10"/>
      <c r="P591" cm="1">
        <f t="array" ref="P591">IF(SUM(N(ISNUMBER(FIND({"a","b","c","d","e","f","g","h","i","j","k","l","m","n","o","p","q","r","s","t","u","v","w","x","y","z"}, B591))))&gt;0, 26, 0)</f>
        <v>26</v>
      </c>
      <c r="Q591" cm="1">
        <f t="array" ref="Q591">IF(SUM(N(ISNUMBER(FIND({"A","B","C","D","E","F","G","H","I","J","K","L","M","N","O","P","Q","R","S","T","U","V","W","X","Y","Z"}, B591))))&gt;0, 26, 0)</f>
        <v>0</v>
      </c>
      <c r="R591" cm="1">
        <f t="array" ref="R591">IF(SUM(N(ISNUMBER(FIND({0,1,2,3,4,5,6,7,8,9}, B591))))&gt;0, 10, 0)</f>
        <v>0</v>
      </c>
      <c r="S591" cm="1">
        <f t="array" ref="S591">IF(LEN(B591)&gt;SUMPRODUCT(LEN(B591)-LEN(SUBSTITUTE(B591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1" s="2"/>
    </row>
    <row r="592" spans="1:21" ht="15.6">
      <c r="A592" s="3">
        <v>2</v>
      </c>
      <c r="B592" s="7" t="s">
        <v>902</v>
      </c>
      <c r="C592" t="s">
        <v>640</v>
      </c>
      <c r="D592">
        <f t="shared" si="28"/>
        <v>6</v>
      </c>
      <c r="E592">
        <f t="shared" si="29"/>
        <v>39.327533110065843</v>
      </c>
      <c r="F592" s="10">
        <v>1.918296</v>
      </c>
      <c r="G592" s="10">
        <f t="shared" si="27"/>
        <v>11.509776</v>
      </c>
      <c r="H592" s="10">
        <v>0</v>
      </c>
      <c r="I592" s="10">
        <v>186</v>
      </c>
      <c r="J592" s="10">
        <v>2.2695129999999999</v>
      </c>
      <c r="K592" s="10"/>
      <c r="L592" s="10"/>
      <c r="P592" cm="1">
        <f t="array" ref="P592">IF(SUM(N(ISNUMBER(FIND({"a","b","c","d","e","f","g","h","i","j","k","l","m","n","o","p","q","r","s","t","u","v","w","x","y","z"}, B592))))&gt;0, 26, 0)</f>
        <v>26</v>
      </c>
      <c r="Q592" cm="1">
        <f t="array" ref="Q592">IF(SUM(N(ISNUMBER(FIND({"A","B","C","D","E","F","G","H","I","J","K","L","M","N","O","P","Q","R","S","T","U","V","W","X","Y","Z"}, B592))))&gt;0, 26, 0)</f>
        <v>0</v>
      </c>
      <c r="R592" cm="1">
        <f t="array" ref="R592">IF(SUM(N(ISNUMBER(FIND({0,1,2,3,4,5,6,7,8,9}, B592))))&gt;0, 10, 0)</f>
        <v>0</v>
      </c>
      <c r="S592" cm="1">
        <f t="array" ref="S592">IF(LEN(B592)&gt;SUMPRODUCT(LEN(B592)-LEN(SUBSTITUTE(B592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2" s="2"/>
    </row>
    <row r="593" spans="1:21" ht="15.6">
      <c r="A593" s="3">
        <v>2</v>
      </c>
      <c r="B593" s="7" t="s">
        <v>903</v>
      </c>
      <c r="C593" t="s">
        <v>640</v>
      </c>
      <c r="D593">
        <f t="shared" si="28"/>
        <v>6</v>
      </c>
      <c r="E593">
        <f t="shared" si="29"/>
        <v>39.327533110065843</v>
      </c>
      <c r="F593" s="10">
        <v>2.2516289999999999</v>
      </c>
      <c r="G593" s="10">
        <f t="shared" si="27"/>
        <v>13.509774</v>
      </c>
      <c r="H593" s="10">
        <v>0</v>
      </c>
      <c r="I593" s="10">
        <v>326</v>
      </c>
      <c r="J593" s="10">
        <v>2.5132180000000002</v>
      </c>
      <c r="K593" s="10"/>
      <c r="L593" s="10"/>
      <c r="P593" cm="1">
        <f t="array" ref="P593">IF(SUM(N(ISNUMBER(FIND({"a","b","c","d","e","f","g","h","i","j","k","l","m","n","o","p","q","r","s","t","u","v","w","x","y","z"}, B593))))&gt;0, 26, 0)</f>
        <v>26</v>
      </c>
      <c r="Q593" cm="1">
        <f t="array" ref="Q593">IF(SUM(N(ISNUMBER(FIND({"A","B","C","D","E","F","G","H","I","J","K","L","M","N","O","P","Q","R","S","T","U","V","W","X","Y","Z"}, B593))))&gt;0, 26, 0)</f>
        <v>0</v>
      </c>
      <c r="R593" cm="1">
        <f t="array" ref="R593">IF(SUM(N(ISNUMBER(FIND({0,1,2,3,4,5,6,7,8,9}, B593))))&gt;0, 10, 0)</f>
        <v>0</v>
      </c>
      <c r="S593" cm="1">
        <f t="array" ref="S593">IF(LEN(B593)&gt;SUMPRODUCT(LEN(B593)-LEN(SUBSTITUTE(B593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3" s="2"/>
    </row>
    <row r="594" spans="1:21" ht="15.6">
      <c r="A594" s="3">
        <v>2</v>
      </c>
      <c r="B594" s="7" t="s">
        <v>904</v>
      </c>
      <c r="C594" t="s">
        <v>640</v>
      </c>
      <c r="D594">
        <f t="shared" si="28"/>
        <v>5</v>
      </c>
      <c r="E594">
        <f t="shared" si="29"/>
        <v>32.7729442583882</v>
      </c>
      <c r="F594" s="10">
        <v>2.3219280000000002</v>
      </c>
      <c r="G594" s="10">
        <f t="shared" si="27"/>
        <v>11.609640000000001</v>
      </c>
      <c r="H594" s="10">
        <v>0</v>
      </c>
      <c r="I594" s="10">
        <v>14</v>
      </c>
      <c r="J594" s="10">
        <v>1.146128</v>
      </c>
      <c r="K594" s="10"/>
      <c r="L594" s="10"/>
      <c r="P594" cm="1">
        <f t="array" ref="P594">IF(SUM(N(ISNUMBER(FIND({"a","b","c","d","e","f","g","h","i","j","k","l","m","n","o","p","q","r","s","t","u","v","w","x","y","z"}, B594))))&gt;0, 26, 0)</f>
        <v>26</v>
      </c>
      <c r="Q594" cm="1">
        <f t="array" ref="Q594">IF(SUM(N(ISNUMBER(FIND({"A","B","C","D","E","F","G","H","I","J","K","L","M","N","O","P","Q","R","S","T","U","V","W","X","Y","Z"}, B594))))&gt;0, 26, 0)</f>
        <v>0</v>
      </c>
      <c r="R594" cm="1">
        <f t="array" ref="R594">IF(SUM(N(ISNUMBER(FIND({0,1,2,3,4,5,6,7,8,9}, B594))))&gt;0, 10, 0)</f>
        <v>0</v>
      </c>
      <c r="S594" cm="1">
        <f t="array" ref="S594">IF(LEN(B594)&gt;SUMPRODUCT(LEN(B594)-LEN(SUBSTITUTE(B594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4" s="2"/>
    </row>
    <row r="595" spans="1:21" ht="15.6">
      <c r="A595" s="3">
        <v>2</v>
      </c>
      <c r="B595" s="7" t="s">
        <v>905</v>
      </c>
      <c r="C595" t="s">
        <v>640</v>
      </c>
      <c r="D595">
        <f t="shared" si="28"/>
        <v>7</v>
      </c>
      <c r="E595">
        <f t="shared" si="29"/>
        <v>45.882121961743479</v>
      </c>
      <c r="F595" s="10">
        <v>2.8073549999999998</v>
      </c>
      <c r="G595" s="10">
        <f t="shared" si="27"/>
        <v>19.651484999999997</v>
      </c>
      <c r="H595" s="10">
        <v>0</v>
      </c>
      <c r="I595" s="10">
        <v>21</v>
      </c>
      <c r="J595" s="10">
        <v>1.322219</v>
      </c>
      <c r="K595" s="10"/>
      <c r="L595" s="10"/>
      <c r="P595" cm="1">
        <f t="array" ref="P595">IF(SUM(N(ISNUMBER(FIND({"a","b","c","d","e","f","g","h","i","j","k","l","m","n","o","p","q","r","s","t","u","v","w","x","y","z"}, B595))))&gt;0, 26, 0)</f>
        <v>26</v>
      </c>
      <c r="Q595" cm="1">
        <f t="array" ref="Q595">IF(SUM(N(ISNUMBER(FIND({"A","B","C","D","E","F","G","H","I","J","K","L","M","N","O","P","Q","R","S","T","U","V","W","X","Y","Z"}, B595))))&gt;0, 26, 0)</f>
        <v>0</v>
      </c>
      <c r="R595" cm="1">
        <f t="array" ref="R595">IF(SUM(N(ISNUMBER(FIND({0,1,2,3,4,5,6,7,8,9}, B595))))&gt;0, 10, 0)</f>
        <v>0</v>
      </c>
      <c r="S595" cm="1">
        <f t="array" ref="S595">IF(LEN(B595)&gt;SUMPRODUCT(LEN(B595)-LEN(SUBSTITUTE(B595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5" s="2"/>
    </row>
    <row r="596" spans="1:21" ht="15.6">
      <c r="A596" s="3">
        <v>2</v>
      </c>
      <c r="B596" s="7" t="s">
        <v>906</v>
      </c>
      <c r="C596" t="s">
        <v>640</v>
      </c>
      <c r="D596">
        <f t="shared" si="28"/>
        <v>6</v>
      </c>
      <c r="E596">
        <f t="shared" si="29"/>
        <v>39.327533110065843</v>
      </c>
      <c r="F596" s="10">
        <v>2.5849630000000001</v>
      </c>
      <c r="G596" s="10">
        <f t="shared" si="27"/>
        <v>15.509778000000001</v>
      </c>
      <c r="H596" s="10">
        <v>0</v>
      </c>
      <c r="I596" s="10">
        <v>307</v>
      </c>
      <c r="J596" s="10">
        <v>2.4871379999999998</v>
      </c>
      <c r="K596" s="10"/>
      <c r="L596" s="10"/>
      <c r="P596" cm="1">
        <f t="array" ref="P596">IF(SUM(N(ISNUMBER(FIND({"a","b","c","d","e","f","g","h","i","j","k","l","m","n","o","p","q","r","s","t","u","v","w","x","y","z"}, B596))))&gt;0, 26, 0)</f>
        <v>26</v>
      </c>
      <c r="Q596" cm="1">
        <f t="array" ref="Q596">IF(SUM(N(ISNUMBER(FIND({"A","B","C","D","E","F","G","H","I","J","K","L","M","N","O","P","Q","R","S","T","U","V","W","X","Y","Z"}, B596))))&gt;0, 26, 0)</f>
        <v>0</v>
      </c>
      <c r="R596" cm="1">
        <f t="array" ref="R596">IF(SUM(N(ISNUMBER(FIND({0,1,2,3,4,5,6,7,8,9}, B596))))&gt;0, 10, 0)</f>
        <v>0</v>
      </c>
      <c r="S596" cm="1">
        <f t="array" ref="S596">IF(LEN(B596)&gt;SUMPRODUCT(LEN(B596)-LEN(SUBSTITUTE(B596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6" s="2"/>
    </row>
    <row r="597" spans="1:21" ht="15.6">
      <c r="A597" s="3">
        <v>2</v>
      </c>
      <c r="B597" s="7" t="s">
        <v>907</v>
      </c>
      <c r="C597" t="s">
        <v>640</v>
      </c>
      <c r="D597">
        <f t="shared" si="28"/>
        <v>7</v>
      </c>
      <c r="E597">
        <f t="shared" si="29"/>
        <v>45.882121961743479</v>
      </c>
      <c r="F597" s="10">
        <v>2.5216409999999998</v>
      </c>
      <c r="G597" s="10">
        <f t="shared" si="27"/>
        <v>17.651486999999999</v>
      </c>
      <c r="H597" s="10">
        <v>0</v>
      </c>
      <c r="I597" s="10">
        <v>215</v>
      </c>
      <c r="J597" s="10">
        <v>2.3324379999999998</v>
      </c>
      <c r="K597" s="10"/>
      <c r="L597" s="10"/>
      <c r="P597" cm="1">
        <f t="array" ref="P597">IF(SUM(N(ISNUMBER(FIND({"a","b","c","d","e","f","g","h","i","j","k","l","m","n","o","p","q","r","s","t","u","v","w","x","y","z"}, B597))))&gt;0, 26, 0)</f>
        <v>26</v>
      </c>
      <c r="Q597" cm="1">
        <f t="array" ref="Q597">IF(SUM(N(ISNUMBER(FIND({"A","B","C","D","E","F","G","H","I","J","K","L","M","N","O","P","Q","R","S","T","U","V","W","X","Y","Z"}, B597))))&gt;0, 26, 0)</f>
        <v>0</v>
      </c>
      <c r="R597" cm="1">
        <f t="array" ref="R597">IF(SUM(N(ISNUMBER(FIND({0,1,2,3,4,5,6,7,8,9}, B597))))&gt;0, 10, 0)</f>
        <v>0</v>
      </c>
      <c r="S597" cm="1">
        <f t="array" ref="S597">IF(LEN(B597)&gt;SUMPRODUCT(LEN(B597)-LEN(SUBSTITUTE(B597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7" s="2"/>
    </row>
    <row r="598" spans="1:21" ht="15.6">
      <c r="A598" s="3">
        <v>2</v>
      </c>
      <c r="B598" s="7" t="s">
        <v>908</v>
      </c>
      <c r="C598" t="s">
        <v>640</v>
      </c>
      <c r="D598">
        <f t="shared" si="28"/>
        <v>7</v>
      </c>
      <c r="E598">
        <f t="shared" si="29"/>
        <v>45.882121961743479</v>
      </c>
      <c r="F598" s="10">
        <v>2.8073549999999998</v>
      </c>
      <c r="G598" s="10">
        <f t="shared" si="27"/>
        <v>19.651484999999997</v>
      </c>
      <c r="H598" s="10">
        <v>2</v>
      </c>
      <c r="I598" s="10">
        <v>1292000</v>
      </c>
      <c r="J598" s="10">
        <v>6.1112630000000001</v>
      </c>
      <c r="K598" s="10"/>
      <c r="L598" s="10"/>
      <c r="P598" cm="1">
        <f t="array" ref="P598">IF(SUM(N(ISNUMBER(FIND({"a","b","c","d","e","f","g","h","i","j","k","l","m","n","o","p","q","r","s","t","u","v","w","x","y","z"}, B598))))&gt;0, 26, 0)</f>
        <v>26</v>
      </c>
      <c r="Q598" cm="1">
        <f t="array" ref="Q598">IF(SUM(N(ISNUMBER(FIND({"A","B","C","D","E","F","G","H","I","J","K","L","M","N","O","P","Q","R","S","T","U","V","W","X","Y","Z"}, B598))))&gt;0, 26, 0)</f>
        <v>0</v>
      </c>
      <c r="R598" cm="1">
        <f t="array" ref="R598">IF(SUM(N(ISNUMBER(FIND({0,1,2,3,4,5,6,7,8,9}, B598))))&gt;0, 10, 0)</f>
        <v>0</v>
      </c>
      <c r="S598" cm="1">
        <f t="array" ref="S598">IF(LEN(B598)&gt;SUMPRODUCT(LEN(B598)-LEN(SUBSTITUTE(B598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8" s="2"/>
    </row>
    <row r="599" spans="1:21" ht="15.6">
      <c r="A599" s="3">
        <v>2</v>
      </c>
      <c r="B599" s="7" t="s">
        <v>909</v>
      </c>
      <c r="C599" t="s">
        <v>640</v>
      </c>
      <c r="D599">
        <f t="shared" si="28"/>
        <v>6</v>
      </c>
      <c r="E599">
        <f t="shared" si="29"/>
        <v>39.327533110065843</v>
      </c>
      <c r="F599" s="10">
        <v>2.5849630000000001</v>
      </c>
      <c r="G599" s="10">
        <f t="shared" si="27"/>
        <v>15.509778000000001</v>
      </c>
      <c r="H599" s="10">
        <v>0</v>
      </c>
      <c r="I599" s="10">
        <v>220</v>
      </c>
      <c r="J599" s="10">
        <v>2.3424230000000001</v>
      </c>
      <c r="K599" s="10"/>
      <c r="L599" s="10"/>
      <c r="P599" cm="1">
        <f t="array" ref="P599">IF(SUM(N(ISNUMBER(FIND({"a","b","c","d","e","f","g","h","i","j","k","l","m","n","o","p","q","r","s","t","u","v","w","x","y","z"}, B599))))&gt;0, 26, 0)</f>
        <v>26</v>
      </c>
      <c r="Q599" cm="1">
        <f t="array" ref="Q599">IF(SUM(N(ISNUMBER(FIND({"A","B","C","D","E","F","G","H","I","J","K","L","M","N","O","P","Q","R","S","T","U","V","W","X","Y","Z"}, B599))))&gt;0, 26, 0)</f>
        <v>0</v>
      </c>
      <c r="R599" cm="1">
        <f t="array" ref="R599">IF(SUM(N(ISNUMBER(FIND({0,1,2,3,4,5,6,7,8,9}, B599))))&gt;0, 10, 0)</f>
        <v>0</v>
      </c>
      <c r="S599" cm="1">
        <f t="array" ref="S599">IF(LEN(B599)&gt;SUMPRODUCT(LEN(B599)-LEN(SUBSTITUTE(B599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599" s="2"/>
    </row>
    <row r="600" spans="1:21" ht="15.6">
      <c r="A600" s="3">
        <v>2</v>
      </c>
      <c r="B600" s="7">
        <v>789456123</v>
      </c>
      <c r="C600" t="s">
        <v>640</v>
      </c>
      <c r="D600">
        <f t="shared" si="28"/>
        <v>9</v>
      </c>
      <c r="E600">
        <f t="shared" si="29"/>
        <v>58.991299665098765</v>
      </c>
      <c r="F600" s="10">
        <v>3.1699250000000001</v>
      </c>
      <c r="G600" s="10">
        <f t="shared" si="27"/>
        <v>28.529325</v>
      </c>
      <c r="H600" s="10">
        <v>0</v>
      </c>
      <c r="I600" s="10">
        <v>383</v>
      </c>
      <c r="J600" s="10">
        <v>2.583199</v>
      </c>
      <c r="K600" s="10"/>
      <c r="L600" s="10"/>
      <c r="P600" cm="1">
        <f t="array" ref="P600">IF(SUM(N(ISNUMBER(FIND({"a","b","c","d","e","f","g","h","i","j","k","l","m","n","o","p","q","r","s","t","u","v","w","x","y","z"}, B600))))&gt;0, 26, 0)</f>
        <v>0</v>
      </c>
      <c r="Q600" cm="1">
        <f t="array" ref="Q600">IF(SUM(N(ISNUMBER(FIND({"A","B","C","D","E","F","G","H","I","J","K","L","M","N","O","P","Q","R","S","T","U","V","W","X","Y","Z"}, B600))))&gt;0, 26, 0)</f>
        <v>0</v>
      </c>
      <c r="R600" cm="1">
        <f t="array" ref="R600">IF(SUM(N(ISNUMBER(FIND({0,1,2,3,4,5,6,7,8,9}, B600))))&gt;0, 10, 0)</f>
        <v>10</v>
      </c>
      <c r="S600" cm="1">
        <f t="array" ref="S600">IF(LEN(B600)&gt;SUMPRODUCT(LEN(B600)-LEN(SUBSTITUTE(B600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600" s="2"/>
    </row>
    <row r="601" spans="1:21" ht="15.6">
      <c r="A601" s="3">
        <v>2</v>
      </c>
      <c r="B601" s="7">
        <v>123654</v>
      </c>
      <c r="C601" t="s">
        <v>640</v>
      </c>
      <c r="D601">
        <f t="shared" si="28"/>
        <v>6</v>
      </c>
      <c r="E601">
        <f t="shared" si="29"/>
        <v>39.327533110065843</v>
      </c>
      <c r="F601" s="10">
        <v>2.5849630000000001</v>
      </c>
      <c r="G601" s="10">
        <f t="shared" si="27"/>
        <v>15.509778000000001</v>
      </c>
      <c r="H601" s="10">
        <v>0</v>
      </c>
      <c r="I601" s="10">
        <v>151</v>
      </c>
      <c r="J601" s="10">
        <v>2.1789770000000002</v>
      </c>
      <c r="K601" s="10"/>
      <c r="L601" s="10"/>
      <c r="P601" cm="1">
        <f t="array" ref="P601">IF(SUM(N(ISNUMBER(FIND({"a","b","c","d","e","f","g","h","i","j","k","l","m","n","o","p","q","r","s","t","u","v","w","x","y","z"}, B601))))&gt;0, 26, 0)</f>
        <v>0</v>
      </c>
      <c r="Q601" cm="1">
        <f t="array" ref="Q601">IF(SUM(N(ISNUMBER(FIND({"A","B","C","D","E","F","G","H","I","J","K","L","M","N","O","P","Q","R","S","T","U","V","W","X","Y","Z"}, B601))))&gt;0, 26, 0)</f>
        <v>0</v>
      </c>
      <c r="R601" cm="1">
        <f t="array" ref="R601">IF(SUM(N(ISNUMBER(FIND({0,1,2,3,4,5,6,7,8,9}, B601))))&gt;0, 10, 0)</f>
        <v>10</v>
      </c>
      <c r="S601" cm="1">
        <f t="array" ref="S601">IF(LEN(B601)&gt;SUMPRODUCT(LEN(B601)-LEN(SUBSTITUTE(B601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601" s="2"/>
    </row>
    <row r="602" spans="1:21" ht="15.6">
      <c r="A602" s="3">
        <v>2</v>
      </c>
      <c r="B602" s="7" t="s">
        <v>910</v>
      </c>
      <c r="C602" t="s">
        <v>640</v>
      </c>
      <c r="D602">
        <f t="shared" si="28"/>
        <v>5</v>
      </c>
      <c r="E602">
        <f t="shared" si="29"/>
        <v>32.7729442583882</v>
      </c>
      <c r="F602" s="10">
        <v>1.9219280000000001</v>
      </c>
      <c r="G602" s="10">
        <f t="shared" si="27"/>
        <v>9.6096400000000006</v>
      </c>
      <c r="H602" s="10">
        <v>0</v>
      </c>
      <c r="I602" s="10">
        <v>24</v>
      </c>
      <c r="J602" s="10">
        <v>1.3802110000000001</v>
      </c>
      <c r="K602" s="10"/>
      <c r="L602" s="10"/>
      <c r="P602" cm="1">
        <f t="array" ref="P602">IF(SUM(N(ISNUMBER(FIND({"a","b","c","d","e","f","g","h","i","j","k","l","m","n","o","p","q","r","s","t","u","v","w","x","y","z"}, B602))))&gt;0, 26, 0)</f>
        <v>26</v>
      </c>
      <c r="Q602" cm="1">
        <f t="array" ref="Q602">IF(SUM(N(ISNUMBER(FIND({"A","B","C","D","E","F","G","H","I","J","K","L","M","N","O","P","Q","R","S","T","U","V","W","X","Y","Z"}, B602))))&gt;0, 26, 0)</f>
        <v>0</v>
      </c>
      <c r="R602" cm="1">
        <f t="array" ref="R602">IF(SUM(N(ISNUMBER(FIND({0,1,2,3,4,5,6,7,8,9}, B602))))&gt;0, 10, 0)</f>
        <v>0</v>
      </c>
      <c r="S602" cm="1">
        <f t="array" ref="S602">IF(LEN(B602)&gt;SUMPRODUCT(LEN(B602)-LEN(SUBSTITUTE(B602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602" s="2"/>
    </row>
    <row r="603" spans="1:21" ht="15" customHeight="1">
      <c r="A603" s="3">
        <v>2</v>
      </c>
      <c r="B603" s="7" t="s">
        <v>911</v>
      </c>
      <c r="C603" t="s">
        <v>640</v>
      </c>
      <c r="D603">
        <f t="shared" ref="D603:D653" si="30">LEN(B603)</f>
        <v>6</v>
      </c>
      <c r="E603">
        <f t="shared" ref="E603" si="31">IMLOG2(94) * D603</f>
        <v>39.327533110065843</v>
      </c>
      <c r="F603" s="10">
        <v>1.4591479999999999</v>
      </c>
      <c r="G603" s="10">
        <f t="shared" si="27"/>
        <v>8.7548879999999993</v>
      </c>
      <c r="H603" s="10">
        <v>1</v>
      </c>
      <c r="I603" s="10">
        <v>4076</v>
      </c>
      <c r="J603" s="10">
        <v>3.6102340000000002</v>
      </c>
      <c r="P603" cm="1">
        <f t="array" ref="P603">IF(SUM(N(ISNUMBER(FIND({"a","b","c","d","e","f","g","h","i","j","k","l","m","n","o","p","q","r","s","t","u","v","w","x","y","z"}, B603))))&gt;0, 26, 0)</f>
        <v>26</v>
      </c>
      <c r="Q603" cm="1">
        <f t="array" ref="Q603">IF(SUM(N(ISNUMBER(FIND({"A","B","C","D","E","F","G","H","I","J","K","L","M","N","O","P","Q","R","S","T","U","V","W","X","Y","Z"}, B603))))&gt;0, 26, 0)</f>
        <v>0</v>
      </c>
      <c r="R603" cm="1">
        <f t="array" ref="R603">IF(SUM(N(ISNUMBER(FIND({0,1,2,3,4,5,6,7,8,9}, B603))))&gt;0, 10, 0)</f>
        <v>0</v>
      </c>
      <c r="S603" cm="1">
        <f t="array" ref="S603">IF(LEN(B603)&gt;SUMPRODUCT(LEN(B603)-LEN(SUBSTITUTE(B603,{"a","b","c","d","e","f","g","h","i","j","k","l","m","n","o","p","q","r","s","t","u","v","w","x","y","z","A","B","C","D","E","F","G","H","I","J","K","L","M","N","O","P","Q","R","S","T","U","V","W","X","Y","Z",0,1,2,3,4,5,6,7,8,9}, ""))), 32, 0)</f>
        <v>0</v>
      </c>
      <c r="U603" s="2"/>
    </row>
    <row r="604" spans="1:21" ht="15" customHeight="1">
      <c r="B604" s="7" t="s">
        <v>912</v>
      </c>
      <c r="C604" t="s">
        <v>29</v>
      </c>
      <c r="D604">
        <f t="shared" si="30"/>
        <v>15</v>
      </c>
      <c r="F604" s="10"/>
      <c r="G604" s="10"/>
      <c r="H604" s="10"/>
      <c r="I604" s="10"/>
      <c r="J604" s="10"/>
      <c r="U604" t="s">
        <v>913</v>
      </c>
    </row>
    <row r="605" spans="1:21" ht="15" customHeight="1">
      <c r="B605" s="7" t="s">
        <v>914</v>
      </c>
      <c r="C605" t="s">
        <v>29</v>
      </c>
      <c r="D605">
        <f t="shared" si="30"/>
        <v>17</v>
      </c>
      <c r="U605" t="s">
        <v>915</v>
      </c>
    </row>
    <row r="606" spans="1:21" ht="15" customHeight="1">
      <c r="B606" s="7" t="s">
        <v>916</v>
      </c>
      <c r="C606" t="s">
        <v>29</v>
      </c>
      <c r="D606">
        <f t="shared" si="30"/>
        <v>12</v>
      </c>
      <c r="U606" t="s">
        <v>917</v>
      </c>
    </row>
    <row r="607" spans="1:21" ht="15" customHeight="1">
      <c r="B607" s="7" t="s">
        <v>918</v>
      </c>
      <c r="C607" t="s">
        <v>29</v>
      </c>
      <c r="D607">
        <f t="shared" si="30"/>
        <v>18</v>
      </c>
      <c r="U607" t="s">
        <v>919</v>
      </c>
    </row>
    <row r="608" spans="1:21" ht="15" customHeight="1">
      <c r="B608" s="7" t="s">
        <v>920</v>
      </c>
      <c r="C608" t="s">
        <v>29</v>
      </c>
      <c r="D608">
        <f t="shared" si="30"/>
        <v>16</v>
      </c>
      <c r="U608" t="s">
        <v>921</v>
      </c>
    </row>
    <row r="609" spans="2:21" ht="15" customHeight="1">
      <c r="B609" s="7" t="s">
        <v>922</v>
      </c>
      <c r="C609" t="s">
        <v>29</v>
      </c>
      <c r="D609">
        <f t="shared" si="30"/>
        <v>13</v>
      </c>
      <c r="U609" t="s">
        <v>923</v>
      </c>
    </row>
    <row r="610" spans="2:21" ht="15" customHeight="1">
      <c r="B610" s="7" t="s">
        <v>924</v>
      </c>
      <c r="C610" t="s">
        <v>29</v>
      </c>
      <c r="D610">
        <f t="shared" si="30"/>
        <v>13</v>
      </c>
      <c r="U610" t="s">
        <v>925</v>
      </c>
    </row>
    <row r="611" spans="2:21" ht="15" customHeight="1">
      <c r="B611" s="7" t="s">
        <v>926</v>
      </c>
      <c r="C611" t="s">
        <v>29</v>
      </c>
      <c r="D611">
        <f t="shared" si="30"/>
        <v>11</v>
      </c>
      <c r="U611" t="s">
        <v>927</v>
      </c>
    </row>
    <row r="612" spans="2:21" ht="15" customHeight="1">
      <c r="B612" s="7" t="s">
        <v>928</v>
      </c>
      <c r="C612" t="s">
        <v>29</v>
      </c>
      <c r="D612">
        <f t="shared" si="30"/>
        <v>14</v>
      </c>
      <c r="U612" t="s">
        <v>929</v>
      </c>
    </row>
    <row r="613" spans="2:21" ht="15" customHeight="1">
      <c r="B613" s="7" t="s">
        <v>930</v>
      </c>
      <c r="C613" t="s">
        <v>29</v>
      </c>
      <c r="D613">
        <f t="shared" si="30"/>
        <v>11</v>
      </c>
      <c r="U613" t="s">
        <v>931</v>
      </c>
    </row>
    <row r="614" spans="2:21" ht="15" customHeight="1">
      <c r="B614" s="7" t="s">
        <v>932</v>
      </c>
      <c r="C614" t="s">
        <v>29</v>
      </c>
      <c r="D614">
        <f t="shared" si="30"/>
        <v>12</v>
      </c>
      <c r="U614" t="s">
        <v>933</v>
      </c>
    </row>
    <row r="615" spans="2:21" ht="15" customHeight="1">
      <c r="B615" s="7" t="s">
        <v>934</v>
      </c>
      <c r="C615" t="s">
        <v>29</v>
      </c>
      <c r="D615">
        <f t="shared" si="30"/>
        <v>13</v>
      </c>
      <c r="U615" t="s">
        <v>935</v>
      </c>
    </row>
    <row r="616" spans="2:21" ht="15" customHeight="1">
      <c r="B616" s="7" t="s">
        <v>936</v>
      </c>
      <c r="C616" t="s">
        <v>29</v>
      </c>
      <c r="D616">
        <f t="shared" si="30"/>
        <v>10</v>
      </c>
      <c r="U616" t="s">
        <v>937</v>
      </c>
    </row>
    <row r="617" spans="2:21" ht="15" customHeight="1">
      <c r="B617" s="7" t="s">
        <v>938</v>
      </c>
      <c r="C617" t="s">
        <v>29</v>
      </c>
      <c r="D617">
        <f t="shared" si="30"/>
        <v>12</v>
      </c>
      <c r="U617" t="s">
        <v>939</v>
      </c>
    </row>
    <row r="618" spans="2:21" ht="15" customHeight="1">
      <c r="B618" s="7" t="s">
        <v>940</v>
      </c>
      <c r="C618" t="s">
        <v>29</v>
      </c>
      <c r="D618">
        <f t="shared" si="30"/>
        <v>14</v>
      </c>
      <c r="U618" t="s">
        <v>941</v>
      </c>
    </row>
    <row r="619" spans="2:21" ht="15" customHeight="1">
      <c r="B619" s="7" t="s">
        <v>942</v>
      </c>
      <c r="C619" t="s">
        <v>29</v>
      </c>
      <c r="D619">
        <f t="shared" si="30"/>
        <v>12</v>
      </c>
      <c r="U619" t="s">
        <v>943</v>
      </c>
    </row>
    <row r="620" spans="2:21" ht="15" customHeight="1">
      <c r="B620" s="7" t="s">
        <v>944</v>
      </c>
      <c r="C620" t="s">
        <v>29</v>
      </c>
      <c r="D620">
        <f t="shared" si="30"/>
        <v>11</v>
      </c>
      <c r="U620" t="s">
        <v>945</v>
      </c>
    </row>
    <row r="621" spans="2:21" ht="15" customHeight="1">
      <c r="B621" s="7" t="s">
        <v>946</v>
      </c>
      <c r="C621" t="s">
        <v>29</v>
      </c>
      <c r="D621">
        <f t="shared" si="30"/>
        <v>12</v>
      </c>
      <c r="U621" t="s">
        <v>947</v>
      </c>
    </row>
    <row r="622" spans="2:21" ht="15" customHeight="1">
      <c r="B622" s="7" t="s">
        <v>948</v>
      </c>
      <c r="C622" t="s">
        <v>29</v>
      </c>
      <c r="D622">
        <f t="shared" si="30"/>
        <v>14</v>
      </c>
      <c r="U622" t="s">
        <v>949</v>
      </c>
    </row>
    <row r="623" spans="2:21" ht="15" customHeight="1">
      <c r="B623" s="7" t="s">
        <v>950</v>
      </c>
      <c r="C623" t="s">
        <v>29</v>
      </c>
      <c r="D623">
        <f t="shared" si="30"/>
        <v>13</v>
      </c>
      <c r="U623" t="s">
        <v>951</v>
      </c>
    </row>
    <row r="624" spans="2:21" ht="15" customHeight="1">
      <c r="B624" s="7" t="s">
        <v>952</v>
      </c>
      <c r="C624" t="s">
        <v>29</v>
      </c>
      <c r="D624">
        <f t="shared" si="30"/>
        <v>13</v>
      </c>
      <c r="U624" t="s">
        <v>953</v>
      </c>
    </row>
    <row r="625" spans="2:21" ht="15" customHeight="1">
      <c r="B625" s="7" t="s">
        <v>954</v>
      </c>
      <c r="C625" t="s">
        <v>29</v>
      </c>
      <c r="D625">
        <f t="shared" si="30"/>
        <v>11</v>
      </c>
      <c r="U625" t="s">
        <v>955</v>
      </c>
    </row>
    <row r="626" spans="2:21" ht="15" customHeight="1">
      <c r="B626" s="7" t="s">
        <v>956</v>
      </c>
      <c r="C626" t="s">
        <v>29</v>
      </c>
      <c r="D626">
        <f t="shared" si="30"/>
        <v>11</v>
      </c>
      <c r="U626" t="s">
        <v>957</v>
      </c>
    </row>
    <row r="627" spans="2:21" ht="15" customHeight="1">
      <c r="B627" s="7" t="s">
        <v>958</v>
      </c>
      <c r="C627" t="s">
        <v>29</v>
      </c>
      <c r="D627">
        <f t="shared" si="30"/>
        <v>14</v>
      </c>
      <c r="U627" t="s">
        <v>959</v>
      </c>
    </row>
    <row r="628" spans="2:21" ht="15" customHeight="1">
      <c r="B628" s="7" t="s">
        <v>960</v>
      </c>
      <c r="C628" t="s">
        <v>29</v>
      </c>
      <c r="D628">
        <f t="shared" si="30"/>
        <v>11</v>
      </c>
      <c r="U628" t="s">
        <v>961</v>
      </c>
    </row>
    <row r="629" spans="2:21" ht="15" customHeight="1">
      <c r="B629" s="7" t="s">
        <v>962</v>
      </c>
      <c r="C629" t="s">
        <v>29</v>
      </c>
      <c r="D629">
        <f t="shared" si="30"/>
        <v>14</v>
      </c>
      <c r="U629" t="s">
        <v>963</v>
      </c>
    </row>
    <row r="630" spans="2:21" ht="15" customHeight="1">
      <c r="B630" s="7" t="s">
        <v>964</v>
      </c>
      <c r="C630" t="s">
        <v>29</v>
      </c>
      <c r="D630">
        <f t="shared" si="30"/>
        <v>12</v>
      </c>
      <c r="U630" t="s">
        <v>965</v>
      </c>
    </row>
    <row r="631" spans="2:21" ht="15" customHeight="1">
      <c r="B631" s="7" t="s">
        <v>966</v>
      </c>
      <c r="C631" t="s">
        <v>29</v>
      </c>
      <c r="D631">
        <f t="shared" si="30"/>
        <v>12</v>
      </c>
      <c r="U631" t="s">
        <v>967</v>
      </c>
    </row>
    <row r="632" spans="2:21" ht="15" customHeight="1">
      <c r="B632" s="7" t="s">
        <v>968</v>
      </c>
      <c r="C632" t="s">
        <v>29</v>
      </c>
      <c r="D632">
        <f t="shared" si="30"/>
        <v>10</v>
      </c>
      <c r="U632" t="s">
        <v>969</v>
      </c>
    </row>
    <row r="633" spans="2:21" ht="15" customHeight="1">
      <c r="B633" s="7" t="s">
        <v>970</v>
      </c>
      <c r="C633" t="s">
        <v>29</v>
      </c>
      <c r="D633">
        <f t="shared" si="30"/>
        <v>10</v>
      </c>
      <c r="U633" t="s">
        <v>971</v>
      </c>
    </row>
    <row r="634" spans="2:21" ht="15" customHeight="1">
      <c r="B634" s="7" t="s">
        <v>972</v>
      </c>
      <c r="C634" t="s">
        <v>29</v>
      </c>
      <c r="D634">
        <f t="shared" si="30"/>
        <v>10</v>
      </c>
      <c r="U634" t="s">
        <v>973</v>
      </c>
    </row>
    <row r="635" spans="2:21" ht="15" customHeight="1">
      <c r="B635" s="7" t="s">
        <v>974</v>
      </c>
      <c r="C635" t="s">
        <v>29</v>
      </c>
      <c r="D635">
        <f t="shared" si="30"/>
        <v>16</v>
      </c>
      <c r="U635" t="s">
        <v>975</v>
      </c>
    </row>
    <row r="636" spans="2:21" ht="15" customHeight="1">
      <c r="B636" s="7" t="s">
        <v>976</v>
      </c>
      <c r="C636" t="s">
        <v>29</v>
      </c>
      <c r="D636">
        <f t="shared" si="30"/>
        <v>13</v>
      </c>
      <c r="U636" t="s">
        <v>977</v>
      </c>
    </row>
    <row r="637" spans="2:21" ht="15" customHeight="1">
      <c r="B637" s="7" t="s">
        <v>978</v>
      </c>
      <c r="C637" t="s">
        <v>29</v>
      </c>
      <c r="D637">
        <f t="shared" si="30"/>
        <v>12</v>
      </c>
      <c r="U637" t="s">
        <v>979</v>
      </c>
    </row>
    <row r="638" spans="2:21" ht="15" customHeight="1">
      <c r="B638" s="7" t="s">
        <v>980</v>
      </c>
      <c r="C638" t="s">
        <v>29</v>
      </c>
      <c r="D638">
        <f t="shared" si="30"/>
        <v>14</v>
      </c>
      <c r="U638" t="s">
        <v>981</v>
      </c>
    </row>
    <row r="639" spans="2:21" ht="15" customHeight="1">
      <c r="B639" s="7" t="s">
        <v>982</v>
      </c>
      <c r="C639" t="s">
        <v>29</v>
      </c>
      <c r="D639">
        <f t="shared" si="30"/>
        <v>12</v>
      </c>
      <c r="U639" t="s">
        <v>983</v>
      </c>
    </row>
    <row r="640" spans="2:21" ht="15" customHeight="1">
      <c r="B640" s="7" t="s">
        <v>984</v>
      </c>
      <c r="C640" t="s">
        <v>29</v>
      </c>
      <c r="D640">
        <f t="shared" si="30"/>
        <v>13</v>
      </c>
      <c r="U640" t="s">
        <v>985</v>
      </c>
    </row>
    <row r="641" spans="2:21" ht="15" customHeight="1">
      <c r="B641" s="7" t="s">
        <v>986</v>
      </c>
      <c r="C641" t="s">
        <v>29</v>
      </c>
      <c r="D641">
        <f t="shared" si="30"/>
        <v>12</v>
      </c>
      <c r="U641" t="s">
        <v>987</v>
      </c>
    </row>
    <row r="642" spans="2:21" ht="15" customHeight="1">
      <c r="B642" s="7" t="s">
        <v>988</v>
      </c>
      <c r="C642" t="s">
        <v>29</v>
      </c>
      <c r="D642">
        <f t="shared" si="30"/>
        <v>13</v>
      </c>
      <c r="U642" t="s">
        <v>989</v>
      </c>
    </row>
    <row r="643" spans="2:21" ht="15" customHeight="1">
      <c r="B643" s="7" t="s">
        <v>990</v>
      </c>
      <c r="C643" t="s">
        <v>29</v>
      </c>
      <c r="D643">
        <f t="shared" si="30"/>
        <v>9</v>
      </c>
      <c r="U643" t="s">
        <v>991</v>
      </c>
    </row>
    <row r="644" spans="2:21" ht="15" customHeight="1">
      <c r="B644" s="7" t="s">
        <v>992</v>
      </c>
      <c r="C644" t="s">
        <v>29</v>
      </c>
      <c r="D644">
        <f t="shared" si="30"/>
        <v>12</v>
      </c>
      <c r="U644" t="s">
        <v>993</v>
      </c>
    </row>
    <row r="645" spans="2:21" ht="15" customHeight="1">
      <c r="B645" s="7" t="s">
        <v>994</v>
      </c>
      <c r="C645" t="s">
        <v>29</v>
      </c>
      <c r="D645">
        <f t="shared" si="30"/>
        <v>12</v>
      </c>
      <c r="U645" t="s">
        <v>995</v>
      </c>
    </row>
    <row r="646" spans="2:21" ht="15" customHeight="1">
      <c r="B646" s="7" t="s">
        <v>996</v>
      </c>
      <c r="C646" t="s">
        <v>29</v>
      </c>
      <c r="D646">
        <f t="shared" si="30"/>
        <v>12</v>
      </c>
      <c r="U646" t="s">
        <v>997</v>
      </c>
    </row>
    <row r="647" spans="2:21" ht="15" customHeight="1">
      <c r="B647" s="7" t="s">
        <v>998</v>
      </c>
      <c r="C647" t="s">
        <v>29</v>
      </c>
      <c r="D647">
        <f t="shared" si="30"/>
        <v>13</v>
      </c>
      <c r="U647" t="s">
        <v>999</v>
      </c>
    </row>
    <row r="648" spans="2:21" ht="15" customHeight="1">
      <c r="B648" s="7" t="s">
        <v>1000</v>
      </c>
      <c r="C648" t="s">
        <v>29</v>
      </c>
      <c r="D648">
        <f t="shared" si="30"/>
        <v>10</v>
      </c>
      <c r="U648" t="s">
        <v>1001</v>
      </c>
    </row>
    <row r="649" spans="2:21" ht="15" customHeight="1">
      <c r="B649" s="7" t="s">
        <v>1002</v>
      </c>
      <c r="C649" t="s">
        <v>29</v>
      </c>
      <c r="D649">
        <f t="shared" si="30"/>
        <v>13</v>
      </c>
      <c r="U649" t="s">
        <v>1003</v>
      </c>
    </row>
    <row r="650" spans="2:21" ht="15" customHeight="1">
      <c r="B650" s="7" t="s">
        <v>1004</v>
      </c>
      <c r="C650" t="s">
        <v>29</v>
      </c>
      <c r="D650">
        <f t="shared" si="30"/>
        <v>12</v>
      </c>
      <c r="U650" t="s">
        <v>1005</v>
      </c>
    </row>
    <row r="651" spans="2:21" ht="15" customHeight="1">
      <c r="B651" s="7" t="s">
        <v>1006</v>
      </c>
      <c r="C651" t="s">
        <v>29</v>
      </c>
      <c r="D651">
        <f t="shared" si="30"/>
        <v>11</v>
      </c>
      <c r="U651" t="s">
        <v>1007</v>
      </c>
    </row>
    <row r="652" spans="2:21" ht="15" customHeight="1">
      <c r="B652" s="7" t="s">
        <v>1008</v>
      </c>
      <c r="C652" t="s">
        <v>29</v>
      </c>
      <c r="D652">
        <f t="shared" si="30"/>
        <v>13</v>
      </c>
      <c r="U652" t="s">
        <v>1009</v>
      </c>
    </row>
    <row r="653" spans="2:21" ht="15" customHeight="1">
      <c r="B653" s="7" t="s">
        <v>1010</v>
      </c>
      <c r="C653" t="s">
        <v>29</v>
      </c>
      <c r="D653">
        <f t="shared" si="30"/>
        <v>11</v>
      </c>
      <c r="U653" t="s">
        <v>1011</v>
      </c>
    </row>
    <row r="654" spans="2:21" ht="15" customHeight="1">
      <c r="B654" s="7" t="s">
        <v>359</v>
      </c>
      <c r="C654" t="s">
        <v>29</v>
      </c>
      <c r="D654">
        <f t="shared" ref="D654:D717" si="32">LEN(B654)</f>
        <v>13</v>
      </c>
      <c r="U654" t="s">
        <v>55</v>
      </c>
    </row>
    <row r="655" spans="2:21" ht="15" customHeight="1">
      <c r="B655" s="7" t="s">
        <v>364</v>
      </c>
      <c r="C655" t="s">
        <v>29</v>
      </c>
      <c r="D655">
        <f t="shared" si="32"/>
        <v>14</v>
      </c>
      <c r="U655" t="s">
        <v>120</v>
      </c>
    </row>
    <row r="656" spans="2:21" ht="15" customHeight="1">
      <c r="B656" s="7" t="s">
        <v>1012</v>
      </c>
      <c r="C656" t="s">
        <v>29</v>
      </c>
      <c r="D656">
        <f t="shared" si="32"/>
        <v>13</v>
      </c>
      <c r="U656" t="s">
        <v>1013</v>
      </c>
    </row>
    <row r="657" spans="2:21" ht="15" customHeight="1">
      <c r="B657" s="7" t="s">
        <v>1014</v>
      </c>
      <c r="C657" t="s">
        <v>29</v>
      </c>
      <c r="D657">
        <f t="shared" si="32"/>
        <v>14</v>
      </c>
      <c r="U657" t="s">
        <v>1015</v>
      </c>
    </row>
    <row r="658" spans="2:21" ht="15" customHeight="1">
      <c r="B658" s="7" t="s">
        <v>1016</v>
      </c>
      <c r="C658" t="s">
        <v>29</v>
      </c>
      <c r="D658">
        <f t="shared" si="32"/>
        <v>11</v>
      </c>
      <c r="U658" t="s">
        <v>1017</v>
      </c>
    </row>
    <row r="659" spans="2:21" ht="15" customHeight="1">
      <c r="B659" s="7" t="s">
        <v>1018</v>
      </c>
      <c r="C659" t="s">
        <v>29</v>
      </c>
      <c r="D659">
        <f t="shared" si="32"/>
        <v>14</v>
      </c>
      <c r="U659" t="s">
        <v>1019</v>
      </c>
    </row>
    <row r="660" spans="2:21" ht="15" customHeight="1">
      <c r="B660" s="7" t="s">
        <v>1020</v>
      </c>
      <c r="C660" t="s">
        <v>29</v>
      </c>
      <c r="D660">
        <f t="shared" si="32"/>
        <v>13</v>
      </c>
      <c r="U660" t="s">
        <v>1021</v>
      </c>
    </row>
    <row r="661" spans="2:21" ht="15" customHeight="1">
      <c r="B661" s="7" t="s">
        <v>1022</v>
      </c>
      <c r="C661" t="s">
        <v>29</v>
      </c>
      <c r="D661">
        <f t="shared" si="32"/>
        <v>14</v>
      </c>
      <c r="U661" t="s">
        <v>1023</v>
      </c>
    </row>
    <row r="662" spans="2:21" ht="15" customHeight="1">
      <c r="B662" s="7" t="s">
        <v>1024</v>
      </c>
      <c r="C662" t="s">
        <v>29</v>
      </c>
      <c r="D662">
        <f t="shared" si="32"/>
        <v>12</v>
      </c>
      <c r="U662" t="s">
        <v>1025</v>
      </c>
    </row>
    <row r="663" spans="2:21" ht="15" customHeight="1">
      <c r="B663" s="7" t="s">
        <v>1026</v>
      </c>
      <c r="C663" t="s">
        <v>29</v>
      </c>
      <c r="D663">
        <f t="shared" si="32"/>
        <v>11</v>
      </c>
      <c r="U663" t="s">
        <v>1027</v>
      </c>
    </row>
    <row r="664" spans="2:21" ht="15" customHeight="1">
      <c r="B664" s="7" t="s">
        <v>1028</v>
      </c>
      <c r="C664" t="s">
        <v>29</v>
      </c>
      <c r="D664">
        <f t="shared" si="32"/>
        <v>11</v>
      </c>
      <c r="U664" t="s">
        <v>1029</v>
      </c>
    </row>
    <row r="665" spans="2:21" ht="15" customHeight="1">
      <c r="B665" s="7" t="s">
        <v>1030</v>
      </c>
      <c r="C665" t="s">
        <v>29</v>
      </c>
      <c r="D665">
        <f t="shared" si="32"/>
        <v>11</v>
      </c>
      <c r="U665" t="s">
        <v>1031</v>
      </c>
    </row>
    <row r="666" spans="2:21" ht="15" customHeight="1">
      <c r="B666" s="7" t="s">
        <v>1032</v>
      </c>
      <c r="C666" t="s">
        <v>29</v>
      </c>
      <c r="D666">
        <f t="shared" si="32"/>
        <v>17</v>
      </c>
      <c r="U666" t="s">
        <v>1033</v>
      </c>
    </row>
    <row r="667" spans="2:21" ht="15" customHeight="1">
      <c r="B667" s="7" t="s">
        <v>1034</v>
      </c>
      <c r="C667" t="s">
        <v>29</v>
      </c>
      <c r="D667">
        <f t="shared" si="32"/>
        <v>13</v>
      </c>
      <c r="U667" t="s">
        <v>1035</v>
      </c>
    </row>
    <row r="668" spans="2:21" ht="15" customHeight="1">
      <c r="B668" s="7" t="s">
        <v>1036</v>
      </c>
      <c r="C668" t="s">
        <v>29</v>
      </c>
      <c r="D668">
        <f t="shared" si="32"/>
        <v>12</v>
      </c>
      <c r="U668" t="s">
        <v>1037</v>
      </c>
    </row>
    <row r="669" spans="2:21" ht="15" customHeight="1">
      <c r="B669" s="7" t="s">
        <v>400</v>
      </c>
      <c r="C669" t="s">
        <v>29</v>
      </c>
      <c r="D669">
        <f t="shared" si="32"/>
        <v>11</v>
      </c>
      <c r="U669" t="s">
        <v>40</v>
      </c>
    </row>
    <row r="670" spans="2:21" ht="15" customHeight="1">
      <c r="B670" s="7" t="s">
        <v>405</v>
      </c>
      <c r="C670" t="s">
        <v>29</v>
      </c>
      <c r="D670">
        <f t="shared" si="32"/>
        <v>10</v>
      </c>
      <c r="U670" t="s">
        <v>122</v>
      </c>
    </row>
    <row r="671" spans="2:21" ht="15" customHeight="1">
      <c r="B671" s="7" t="s">
        <v>1038</v>
      </c>
      <c r="C671" t="s">
        <v>29</v>
      </c>
      <c r="D671">
        <f t="shared" si="32"/>
        <v>10</v>
      </c>
      <c r="U671" t="s">
        <v>1039</v>
      </c>
    </row>
    <row r="672" spans="2:21" ht="15" customHeight="1">
      <c r="B672" s="7" t="s">
        <v>1040</v>
      </c>
      <c r="C672" t="s">
        <v>29</v>
      </c>
      <c r="D672">
        <f t="shared" si="32"/>
        <v>11</v>
      </c>
      <c r="U672" t="s">
        <v>1041</v>
      </c>
    </row>
    <row r="673" spans="2:21" ht="15" customHeight="1">
      <c r="B673" s="7" t="s">
        <v>1042</v>
      </c>
      <c r="C673" t="s">
        <v>29</v>
      </c>
      <c r="D673">
        <f t="shared" si="32"/>
        <v>10</v>
      </c>
      <c r="U673" t="s">
        <v>1043</v>
      </c>
    </row>
    <row r="674" spans="2:21" ht="15" customHeight="1">
      <c r="B674" s="7" t="s">
        <v>1044</v>
      </c>
      <c r="C674" t="s">
        <v>29</v>
      </c>
      <c r="D674">
        <f t="shared" si="32"/>
        <v>12</v>
      </c>
      <c r="U674" t="s">
        <v>1045</v>
      </c>
    </row>
    <row r="675" spans="2:21" ht="15" customHeight="1">
      <c r="B675" s="7" t="s">
        <v>1046</v>
      </c>
      <c r="C675" t="s">
        <v>29</v>
      </c>
      <c r="D675">
        <f t="shared" si="32"/>
        <v>15</v>
      </c>
      <c r="U675" t="s">
        <v>1047</v>
      </c>
    </row>
    <row r="676" spans="2:21" ht="15" customHeight="1">
      <c r="B676" s="7" t="s">
        <v>1048</v>
      </c>
      <c r="C676" t="s">
        <v>29</v>
      </c>
      <c r="D676">
        <f t="shared" si="32"/>
        <v>12</v>
      </c>
      <c r="U676" t="s">
        <v>1049</v>
      </c>
    </row>
    <row r="677" spans="2:21" ht="15" customHeight="1">
      <c r="B677" s="7" t="s">
        <v>1050</v>
      </c>
      <c r="C677" t="s">
        <v>29</v>
      </c>
      <c r="D677">
        <f t="shared" si="32"/>
        <v>14</v>
      </c>
      <c r="U677" t="s">
        <v>1051</v>
      </c>
    </row>
    <row r="678" spans="2:21" ht="15" customHeight="1">
      <c r="B678" s="7" t="s">
        <v>1052</v>
      </c>
      <c r="C678" t="s">
        <v>29</v>
      </c>
      <c r="D678">
        <f t="shared" si="32"/>
        <v>10</v>
      </c>
      <c r="U678" t="s">
        <v>1053</v>
      </c>
    </row>
    <row r="679" spans="2:21" ht="15" customHeight="1">
      <c r="B679" s="7" t="s">
        <v>1054</v>
      </c>
      <c r="C679" t="s">
        <v>29</v>
      </c>
      <c r="D679">
        <f t="shared" si="32"/>
        <v>11</v>
      </c>
      <c r="U679" t="s">
        <v>1055</v>
      </c>
    </row>
    <row r="680" spans="2:21" ht="15" customHeight="1">
      <c r="B680" s="7" t="s">
        <v>1056</v>
      </c>
      <c r="C680" t="s">
        <v>29</v>
      </c>
      <c r="D680">
        <f t="shared" si="32"/>
        <v>10</v>
      </c>
      <c r="U680" t="s">
        <v>1057</v>
      </c>
    </row>
    <row r="681" spans="2:21" ht="15" customHeight="1">
      <c r="B681" s="7" t="s">
        <v>1058</v>
      </c>
      <c r="C681" t="s">
        <v>29</v>
      </c>
      <c r="D681">
        <f t="shared" si="32"/>
        <v>12</v>
      </c>
      <c r="U681" t="s">
        <v>1059</v>
      </c>
    </row>
    <row r="682" spans="2:21" ht="15" customHeight="1">
      <c r="B682" s="7" t="s">
        <v>1060</v>
      </c>
      <c r="C682" t="s">
        <v>29</v>
      </c>
      <c r="D682">
        <f t="shared" si="32"/>
        <v>11</v>
      </c>
      <c r="U682" t="s">
        <v>1061</v>
      </c>
    </row>
    <row r="683" spans="2:21" ht="15" customHeight="1">
      <c r="B683" s="7" t="s">
        <v>1062</v>
      </c>
      <c r="C683" t="s">
        <v>29</v>
      </c>
      <c r="D683">
        <f t="shared" si="32"/>
        <v>11</v>
      </c>
      <c r="U683" t="s">
        <v>1063</v>
      </c>
    </row>
    <row r="684" spans="2:21" ht="15" customHeight="1">
      <c r="B684" s="7" t="s">
        <v>1064</v>
      </c>
      <c r="C684" t="s">
        <v>29</v>
      </c>
      <c r="D684">
        <f t="shared" si="32"/>
        <v>14</v>
      </c>
      <c r="U684" t="s">
        <v>1065</v>
      </c>
    </row>
    <row r="685" spans="2:21" ht="15" customHeight="1">
      <c r="B685" s="7" t="s">
        <v>1066</v>
      </c>
      <c r="C685" t="s">
        <v>29</v>
      </c>
      <c r="D685">
        <f t="shared" si="32"/>
        <v>12</v>
      </c>
      <c r="U685" t="s">
        <v>1067</v>
      </c>
    </row>
    <row r="686" spans="2:21" ht="15" customHeight="1">
      <c r="B686" s="7" t="s">
        <v>514</v>
      </c>
      <c r="C686" t="s">
        <v>29</v>
      </c>
      <c r="D686">
        <f t="shared" si="32"/>
        <v>15</v>
      </c>
      <c r="U686" t="s">
        <v>272</v>
      </c>
    </row>
    <row r="687" spans="2:21" ht="15" customHeight="1">
      <c r="B687" s="7" t="s">
        <v>1068</v>
      </c>
      <c r="C687" t="s">
        <v>29</v>
      </c>
      <c r="D687">
        <f t="shared" si="32"/>
        <v>13</v>
      </c>
      <c r="U687" t="s">
        <v>1069</v>
      </c>
    </row>
    <row r="688" spans="2:21" ht="15" customHeight="1">
      <c r="B688" s="7" t="s">
        <v>1070</v>
      </c>
      <c r="C688" t="s">
        <v>29</v>
      </c>
      <c r="D688">
        <f t="shared" si="32"/>
        <v>13</v>
      </c>
      <c r="U688" t="s">
        <v>1071</v>
      </c>
    </row>
    <row r="689" spans="2:21" ht="15" customHeight="1">
      <c r="B689" s="7" t="s">
        <v>1072</v>
      </c>
      <c r="C689" t="s">
        <v>29</v>
      </c>
      <c r="D689">
        <f t="shared" si="32"/>
        <v>10</v>
      </c>
      <c r="U689" t="s">
        <v>1073</v>
      </c>
    </row>
    <row r="690" spans="2:21" ht="15" customHeight="1">
      <c r="B690" s="7" t="s">
        <v>1074</v>
      </c>
      <c r="C690" t="s">
        <v>29</v>
      </c>
      <c r="D690">
        <f t="shared" si="32"/>
        <v>9</v>
      </c>
      <c r="U690" t="s">
        <v>1075</v>
      </c>
    </row>
    <row r="691" spans="2:21" ht="15" customHeight="1">
      <c r="B691" s="7" t="s">
        <v>1076</v>
      </c>
      <c r="C691" t="s">
        <v>29</v>
      </c>
      <c r="D691">
        <f t="shared" si="32"/>
        <v>10</v>
      </c>
      <c r="U691" t="s">
        <v>1077</v>
      </c>
    </row>
    <row r="692" spans="2:21" ht="15" customHeight="1">
      <c r="B692" s="7" t="s">
        <v>1078</v>
      </c>
      <c r="C692" t="s">
        <v>29</v>
      </c>
      <c r="D692">
        <f t="shared" si="32"/>
        <v>12</v>
      </c>
      <c r="U692" t="s">
        <v>1079</v>
      </c>
    </row>
    <row r="693" spans="2:21" ht="15" customHeight="1">
      <c r="B693" s="7" t="s">
        <v>1080</v>
      </c>
      <c r="C693" t="s">
        <v>29</v>
      </c>
      <c r="D693">
        <f t="shared" si="32"/>
        <v>10</v>
      </c>
      <c r="U693" t="s">
        <v>1081</v>
      </c>
    </row>
    <row r="694" spans="2:21" ht="15" customHeight="1">
      <c r="B694" s="7" t="s">
        <v>1082</v>
      </c>
      <c r="C694" t="s">
        <v>29</v>
      </c>
      <c r="D694">
        <f t="shared" si="32"/>
        <v>12</v>
      </c>
      <c r="U694" t="s">
        <v>1083</v>
      </c>
    </row>
    <row r="695" spans="2:21" ht="15" customHeight="1">
      <c r="B695" s="7" t="s">
        <v>1084</v>
      </c>
      <c r="C695" t="s">
        <v>29</v>
      </c>
      <c r="D695">
        <f t="shared" si="32"/>
        <v>10</v>
      </c>
      <c r="U695" t="s">
        <v>1085</v>
      </c>
    </row>
    <row r="696" spans="2:21" ht="15" customHeight="1">
      <c r="B696" s="7" t="s">
        <v>1086</v>
      </c>
      <c r="C696" t="s">
        <v>29</v>
      </c>
      <c r="D696">
        <f t="shared" si="32"/>
        <v>9</v>
      </c>
      <c r="U696" t="s">
        <v>1087</v>
      </c>
    </row>
    <row r="697" spans="2:21" ht="15" customHeight="1">
      <c r="B697" s="7" t="s">
        <v>1088</v>
      </c>
      <c r="C697" t="s">
        <v>29</v>
      </c>
      <c r="D697">
        <f t="shared" si="32"/>
        <v>7</v>
      </c>
      <c r="U697" t="s">
        <v>1089</v>
      </c>
    </row>
    <row r="698" spans="2:21" ht="15" customHeight="1">
      <c r="B698" s="7" t="s">
        <v>1090</v>
      </c>
      <c r="C698" t="s">
        <v>29</v>
      </c>
      <c r="D698">
        <f t="shared" si="32"/>
        <v>9</v>
      </c>
      <c r="U698" t="s">
        <v>1091</v>
      </c>
    </row>
    <row r="699" spans="2:21" ht="15" customHeight="1">
      <c r="B699" s="7" t="s">
        <v>1092</v>
      </c>
      <c r="C699" t="s">
        <v>29</v>
      </c>
      <c r="D699">
        <f t="shared" si="32"/>
        <v>10</v>
      </c>
      <c r="U699" t="s">
        <v>1093</v>
      </c>
    </row>
    <row r="700" spans="2:21" ht="15" customHeight="1">
      <c r="B700" s="7" t="s">
        <v>1094</v>
      </c>
      <c r="C700" t="s">
        <v>29</v>
      </c>
      <c r="D700">
        <f t="shared" si="32"/>
        <v>8</v>
      </c>
      <c r="U700" t="s">
        <v>1095</v>
      </c>
    </row>
    <row r="701" spans="2:21" ht="15" customHeight="1">
      <c r="B701" s="7" t="s">
        <v>1096</v>
      </c>
      <c r="C701" t="s">
        <v>29</v>
      </c>
      <c r="D701">
        <f t="shared" si="32"/>
        <v>11</v>
      </c>
      <c r="U701" t="s">
        <v>1097</v>
      </c>
    </row>
    <row r="702" spans="2:21" ht="15" customHeight="1">
      <c r="B702" s="7" t="s">
        <v>1098</v>
      </c>
      <c r="C702" t="s">
        <v>29</v>
      </c>
      <c r="D702">
        <f t="shared" si="32"/>
        <v>10</v>
      </c>
      <c r="U702" t="s">
        <v>1099</v>
      </c>
    </row>
    <row r="703" spans="2:21" ht="15" customHeight="1">
      <c r="B703" s="7" t="s">
        <v>1100</v>
      </c>
      <c r="C703" t="s">
        <v>29</v>
      </c>
      <c r="D703">
        <f t="shared" si="32"/>
        <v>8</v>
      </c>
      <c r="U703" t="s">
        <v>1101</v>
      </c>
    </row>
    <row r="704" spans="2:21" ht="15" customHeight="1">
      <c r="B704" s="7" t="s">
        <v>1102</v>
      </c>
      <c r="C704" t="s">
        <v>29</v>
      </c>
      <c r="D704">
        <f t="shared" si="32"/>
        <v>15</v>
      </c>
      <c r="U704" t="s">
        <v>1103</v>
      </c>
    </row>
    <row r="705" spans="2:21" ht="15" customHeight="1">
      <c r="B705" s="7" t="s">
        <v>1104</v>
      </c>
      <c r="C705" t="s">
        <v>29</v>
      </c>
      <c r="D705">
        <f t="shared" si="32"/>
        <v>17</v>
      </c>
      <c r="U705" t="s">
        <v>1105</v>
      </c>
    </row>
    <row r="706" spans="2:21" ht="15" customHeight="1">
      <c r="B706" s="7" t="s">
        <v>1106</v>
      </c>
      <c r="C706" t="s">
        <v>29</v>
      </c>
      <c r="D706">
        <f t="shared" si="32"/>
        <v>17</v>
      </c>
      <c r="U706" t="s">
        <v>1107</v>
      </c>
    </row>
    <row r="707" spans="2:21" ht="15" customHeight="1">
      <c r="B707" s="7" t="s">
        <v>1108</v>
      </c>
      <c r="C707" t="s">
        <v>29</v>
      </c>
      <c r="D707">
        <f t="shared" si="32"/>
        <v>14</v>
      </c>
      <c r="U707" t="s">
        <v>1109</v>
      </c>
    </row>
    <row r="708" spans="2:21" ht="15" customHeight="1">
      <c r="B708" s="7" t="s">
        <v>1110</v>
      </c>
      <c r="C708" t="s">
        <v>29</v>
      </c>
      <c r="D708">
        <f t="shared" si="32"/>
        <v>16</v>
      </c>
      <c r="U708" t="s">
        <v>1111</v>
      </c>
    </row>
    <row r="709" spans="2:21" ht="15" customHeight="1">
      <c r="B709" s="7" t="s">
        <v>1112</v>
      </c>
      <c r="C709" t="s">
        <v>29</v>
      </c>
      <c r="D709">
        <f t="shared" si="32"/>
        <v>15</v>
      </c>
      <c r="U709" t="s">
        <v>1113</v>
      </c>
    </row>
    <row r="710" spans="2:21" ht="15" customHeight="1">
      <c r="B710" s="7" t="s">
        <v>1114</v>
      </c>
      <c r="C710" t="s">
        <v>29</v>
      </c>
      <c r="D710">
        <f t="shared" si="32"/>
        <v>17</v>
      </c>
      <c r="U710" t="s">
        <v>1115</v>
      </c>
    </row>
    <row r="711" spans="2:21" ht="15" customHeight="1">
      <c r="B711" s="7" t="s">
        <v>1116</v>
      </c>
      <c r="C711" t="s">
        <v>29</v>
      </c>
      <c r="D711">
        <f t="shared" si="32"/>
        <v>14</v>
      </c>
      <c r="U711" t="s">
        <v>1117</v>
      </c>
    </row>
    <row r="712" spans="2:21" ht="15" customHeight="1">
      <c r="B712" s="7" t="s">
        <v>1118</v>
      </c>
      <c r="C712" t="s">
        <v>29</v>
      </c>
      <c r="D712">
        <f t="shared" si="32"/>
        <v>12</v>
      </c>
      <c r="U712" t="s">
        <v>1119</v>
      </c>
    </row>
    <row r="713" spans="2:21" ht="15" customHeight="1">
      <c r="B713" s="7" t="s">
        <v>1120</v>
      </c>
      <c r="C713" t="s">
        <v>29</v>
      </c>
      <c r="D713">
        <f t="shared" si="32"/>
        <v>14</v>
      </c>
      <c r="U713" t="s">
        <v>1121</v>
      </c>
    </row>
    <row r="714" spans="2:21" ht="15" customHeight="1">
      <c r="B714" s="7" t="s">
        <v>1122</v>
      </c>
      <c r="C714" t="s">
        <v>29</v>
      </c>
      <c r="D714">
        <f t="shared" si="32"/>
        <v>16</v>
      </c>
      <c r="U714" t="s">
        <v>1123</v>
      </c>
    </row>
    <row r="715" spans="2:21" ht="15" customHeight="1">
      <c r="B715" s="7" t="s">
        <v>1124</v>
      </c>
      <c r="C715" t="s">
        <v>29</v>
      </c>
      <c r="D715">
        <f t="shared" si="32"/>
        <v>14</v>
      </c>
      <c r="U715" t="s">
        <v>1125</v>
      </c>
    </row>
    <row r="716" spans="2:21" ht="15" customHeight="1">
      <c r="B716" s="7" t="s">
        <v>1126</v>
      </c>
      <c r="C716" t="s">
        <v>29</v>
      </c>
      <c r="D716">
        <f t="shared" si="32"/>
        <v>14</v>
      </c>
      <c r="U716" t="s">
        <v>1127</v>
      </c>
    </row>
    <row r="717" spans="2:21" ht="15" customHeight="1">
      <c r="B717" s="7" t="s">
        <v>1128</v>
      </c>
      <c r="C717" t="s">
        <v>29</v>
      </c>
      <c r="D717">
        <f t="shared" si="32"/>
        <v>14</v>
      </c>
      <c r="U717" t="s">
        <v>1129</v>
      </c>
    </row>
    <row r="718" spans="2:21" ht="15" customHeight="1">
      <c r="B718" s="7" t="s">
        <v>1130</v>
      </c>
      <c r="C718" t="s">
        <v>29</v>
      </c>
      <c r="D718">
        <f t="shared" ref="D718:D781" si="33">LEN(B718)</f>
        <v>13</v>
      </c>
      <c r="U718" t="s">
        <v>1131</v>
      </c>
    </row>
    <row r="719" spans="2:21" ht="15" customHeight="1">
      <c r="B719" s="7" t="s">
        <v>1132</v>
      </c>
      <c r="C719" t="s">
        <v>29</v>
      </c>
      <c r="D719">
        <f t="shared" si="33"/>
        <v>16</v>
      </c>
      <c r="U719" t="s">
        <v>1133</v>
      </c>
    </row>
    <row r="720" spans="2:21" ht="15" customHeight="1">
      <c r="B720" s="7" t="s">
        <v>1134</v>
      </c>
      <c r="C720" t="s">
        <v>29</v>
      </c>
      <c r="D720">
        <f t="shared" si="33"/>
        <v>14</v>
      </c>
      <c r="U720" t="s">
        <v>1135</v>
      </c>
    </row>
    <row r="721" spans="2:21" ht="15" customHeight="1">
      <c r="B721" s="7" t="s">
        <v>1136</v>
      </c>
      <c r="C721" t="s">
        <v>29</v>
      </c>
      <c r="D721">
        <f t="shared" si="33"/>
        <v>11</v>
      </c>
      <c r="U721" t="s">
        <v>1137</v>
      </c>
    </row>
    <row r="722" spans="2:21" ht="15" customHeight="1">
      <c r="B722" s="7" t="s">
        <v>1138</v>
      </c>
      <c r="C722" t="s">
        <v>29</v>
      </c>
      <c r="D722">
        <f t="shared" si="33"/>
        <v>12</v>
      </c>
      <c r="U722" t="s">
        <v>1139</v>
      </c>
    </row>
    <row r="723" spans="2:21" ht="15" customHeight="1">
      <c r="B723" s="7" t="s">
        <v>1140</v>
      </c>
      <c r="C723" t="s">
        <v>29</v>
      </c>
      <c r="D723">
        <f t="shared" si="33"/>
        <v>17</v>
      </c>
      <c r="U723" t="s">
        <v>1141</v>
      </c>
    </row>
    <row r="724" spans="2:21" ht="15" customHeight="1">
      <c r="B724" s="7" t="s">
        <v>1142</v>
      </c>
      <c r="C724" t="s">
        <v>29</v>
      </c>
      <c r="D724">
        <f t="shared" si="33"/>
        <v>16</v>
      </c>
      <c r="U724" t="s">
        <v>1143</v>
      </c>
    </row>
    <row r="725" spans="2:21" ht="15" customHeight="1">
      <c r="B725" s="7" t="s">
        <v>1144</v>
      </c>
      <c r="C725" t="s">
        <v>29</v>
      </c>
      <c r="D725">
        <f t="shared" si="33"/>
        <v>14</v>
      </c>
      <c r="U725" t="s">
        <v>1145</v>
      </c>
    </row>
    <row r="726" spans="2:21" ht="15" customHeight="1">
      <c r="B726" s="7" t="s">
        <v>1146</v>
      </c>
      <c r="C726" t="s">
        <v>29</v>
      </c>
      <c r="D726">
        <f t="shared" si="33"/>
        <v>16</v>
      </c>
      <c r="U726" t="s">
        <v>1147</v>
      </c>
    </row>
    <row r="727" spans="2:21" ht="15" customHeight="1">
      <c r="B727" s="7" t="s">
        <v>1148</v>
      </c>
      <c r="C727" t="s">
        <v>29</v>
      </c>
      <c r="D727">
        <f t="shared" si="33"/>
        <v>12</v>
      </c>
      <c r="U727" t="s">
        <v>1149</v>
      </c>
    </row>
    <row r="728" spans="2:21" ht="15" customHeight="1">
      <c r="B728" s="7" t="s">
        <v>1150</v>
      </c>
      <c r="C728" t="s">
        <v>29</v>
      </c>
      <c r="D728">
        <f t="shared" si="33"/>
        <v>15</v>
      </c>
      <c r="U728" t="s">
        <v>1151</v>
      </c>
    </row>
    <row r="729" spans="2:21" ht="15" customHeight="1">
      <c r="B729" s="7" t="s">
        <v>1152</v>
      </c>
      <c r="C729" t="s">
        <v>29</v>
      </c>
      <c r="D729">
        <f t="shared" si="33"/>
        <v>13</v>
      </c>
      <c r="U729" t="s">
        <v>1153</v>
      </c>
    </row>
    <row r="730" spans="2:21" ht="15" customHeight="1">
      <c r="B730" s="7" t="s">
        <v>1154</v>
      </c>
      <c r="C730" t="s">
        <v>29</v>
      </c>
      <c r="D730">
        <f t="shared" si="33"/>
        <v>11</v>
      </c>
      <c r="U730" t="s">
        <v>1155</v>
      </c>
    </row>
    <row r="731" spans="2:21" ht="15" customHeight="1">
      <c r="B731" s="7" t="s">
        <v>1156</v>
      </c>
      <c r="C731" t="s">
        <v>29</v>
      </c>
      <c r="D731">
        <f t="shared" si="33"/>
        <v>12</v>
      </c>
      <c r="U731" t="s">
        <v>1157</v>
      </c>
    </row>
    <row r="732" spans="2:21" ht="15" customHeight="1">
      <c r="B732" s="7" t="s">
        <v>1158</v>
      </c>
      <c r="C732" t="s">
        <v>29</v>
      </c>
      <c r="D732">
        <f t="shared" si="33"/>
        <v>14</v>
      </c>
      <c r="U732" t="s">
        <v>1159</v>
      </c>
    </row>
    <row r="733" spans="2:21" ht="15" customHeight="1">
      <c r="B733" s="7" t="s">
        <v>1160</v>
      </c>
      <c r="C733" t="s">
        <v>29</v>
      </c>
      <c r="D733">
        <f t="shared" si="33"/>
        <v>10</v>
      </c>
      <c r="U733" t="s">
        <v>1161</v>
      </c>
    </row>
    <row r="734" spans="2:21" ht="15" customHeight="1">
      <c r="B734" s="7" t="s">
        <v>1162</v>
      </c>
      <c r="C734" t="s">
        <v>29</v>
      </c>
      <c r="D734">
        <f t="shared" si="33"/>
        <v>13</v>
      </c>
      <c r="U734" t="s">
        <v>1163</v>
      </c>
    </row>
    <row r="735" spans="2:21" ht="15" customHeight="1">
      <c r="B735" s="7" t="s">
        <v>1164</v>
      </c>
      <c r="C735" t="s">
        <v>29</v>
      </c>
      <c r="D735">
        <f t="shared" si="33"/>
        <v>15</v>
      </c>
      <c r="U735" t="s">
        <v>1165</v>
      </c>
    </row>
    <row r="736" spans="2:21" ht="15" customHeight="1">
      <c r="B736" s="7" t="s">
        <v>1166</v>
      </c>
      <c r="C736" t="s">
        <v>29</v>
      </c>
      <c r="D736">
        <f t="shared" si="33"/>
        <v>11</v>
      </c>
      <c r="U736" t="s">
        <v>1167</v>
      </c>
    </row>
    <row r="737" spans="2:21" ht="15" customHeight="1">
      <c r="B737" s="7" t="s">
        <v>1168</v>
      </c>
      <c r="C737" t="s">
        <v>29</v>
      </c>
      <c r="D737">
        <f t="shared" si="33"/>
        <v>15</v>
      </c>
      <c r="U737" t="s">
        <v>1169</v>
      </c>
    </row>
    <row r="738" spans="2:21" ht="15" customHeight="1">
      <c r="B738" s="7" t="s">
        <v>1170</v>
      </c>
      <c r="C738" t="s">
        <v>29</v>
      </c>
      <c r="D738">
        <f t="shared" si="33"/>
        <v>13</v>
      </c>
      <c r="U738" t="s">
        <v>1171</v>
      </c>
    </row>
    <row r="739" spans="2:21" ht="15" customHeight="1">
      <c r="B739" s="7" t="s">
        <v>1172</v>
      </c>
      <c r="C739" t="s">
        <v>29</v>
      </c>
      <c r="D739">
        <f t="shared" si="33"/>
        <v>13</v>
      </c>
      <c r="U739" t="s">
        <v>1173</v>
      </c>
    </row>
    <row r="740" spans="2:21" ht="15" customHeight="1">
      <c r="B740" s="7" t="s">
        <v>916</v>
      </c>
      <c r="C740" t="s">
        <v>29</v>
      </c>
      <c r="D740">
        <f t="shared" si="33"/>
        <v>12</v>
      </c>
      <c r="U740" t="s">
        <v>917</v>
      </c>
    </row>
    <row r="741" spans="2:21" ht="15" customHeight="1">
      <c r="B741" s="7" t="s">
        <v>1174</v>
      </c>
      <c r="C741" t="s">
        <v>29</v>
      </c>
      <c r="D741">
        <f t="shared" si="33"/>
        <v>15</v>
      </c>
      <c r="U741" t="s">
        <v>1175</v>
      </c>
    </row>
    <row r="742" spans="2:21" ht="15" customHeight="1">
      <c r="B742" s="7" t="s">
        <v>1176</v>
      </c>
      <c r="C742" t="s">
        <v>29</v>
      </c>
      <c r="D742">
        <f t="shared" si="33"/>
        <v>11</v>
      </c>
      <c r="U742" t="s">
        <v>1177</v>
      </c>
    </row>
    <row r="743" spans="2:21" ht="15" customHeight="1">
      <c r="B743" s="7" t="s">
        <v>1178</v>
      </c>
      <c r="C743" t="s">
        <v>29</v>
      </c>
      <c r="D743">
        <f t="shared" si="33"/>
        <v>14</v>
      </c>
      <c r="U743" t="s">
        <v>1179</v>
      </c>
    </row>
    <row r="744" spans="2:21" ht="15" customHeight="1">
      <c r="B744" s="7" t="s">
        <v>1180</v>
      </c>
      <c r="C744" t="s">
        <v>29</v>
      </c>
      <c r="D744">
        <f t="shared" si="33"/>
        <v>13</v>
      </c>
      <c r="U744" t="s">
        <v>1181</v>
      </c>
    </row>
    <row r="745" spans="2:21" ht="15" customHeight="1">
      <c r="B745" s="7" t="s">
        <v>1182</v>
      </c>
      <c r="C745" t="s">
        <v>29</v>
      </c>
      <c r="D745">
        <f t="shared" si="33"/>
        <v>12</v>
      </c>
      <c r="U745" t="s">
        <v>1183</v>
      </c>
    </row>
    <row r="746" spans="2:21" ht="15" customHeight="1">
      <c r="B746" s="7" t="s">
        <v>1184</v>
      </c>
      <c r="C746" t="s">
        <v>29</v>
      </c>
      <c r="D746">
        <f t="shared" si="33"/>
        <v>13</v>
      </c>
      <c r="U746" t="s">
        <v>1185</v>
      </c>
    </row>
    <row r="747" spans="2:21" ht="15" customHeight="1">
      <c r="B747" s="7" t="s">
        <v>1186</v>
      </c>
      <c r="C747" t="s">
        <v>29</v>
      </c>
      <c r="D747">
        <f t="shared" si="33"/>
        <v>12</v>
      </c>
      <c r="U747" t="s">
        <v>1187</v>
      </c>
    </row>
    <row r="748" spans="2:21" ht="15" customHeight="1">
      <c r="B748" s="7" t="s">
        <v>992</v>
      </c>
      <c r="C748" t="s">
        <v>29</v>
      </c>
      <c r="D748">
        <f t="shared" si="33"/>
        <v>12</v>
      </c>
      <c r="U748" t="s">
        <v>993</v>
      </c>
    </row>
    <row r="749" spans="2:21" ht="15" customHeight="1">
      <c r="B749" s="7" t="s">
        <v>1188</v>
      </c>
      <c r="C749" t="s">
        <v>29</v>
      </c>
      <c r="D749">
        <f t="shared" si="33"/>
        <v>12</v>
      </c>
      <c r="U749" t="s">
        <v>1189</v>
      </c>
    </row>
    <row r="750" spans="2:21" ht="15" customHeight="1">
      <c r="B750" s="7" t="s">
        <v>1190</v>
      </c>
      <c r="C750" t="s">
        <v>29</v>
      </c>
      <c r="D750">
        <f t="shared" si="33"/>
        <v>12</v>
      </c>
      <c r="U750" t="s">
        <v>1191</v>
      </c>
    </row>
    <row r="751" spans="2:21" ht="15" customHeight="1">
      <c r="B751" s="7" t="s">
        <v>1192</v>
      </c>
      <c r="C751" t="s">
        <v>29</v>
      </c>
      <c r="D751">
        <f t="shared" si="33"/>
        <v>16</v>
      </c>
      <c r="U751" t="s">
        <v>1193</v>
      </c>
    </row>
    <row r="752" spans="2:21" ht="15" customHeight="1">
      <c r="B752" s="7" t="s">
        <v>1194</v>
      </c>
      <c r="C752" t="s">
        <v>29</v>
      </c>
      <c r="D752">
        <f t="shared" si="33"/>
        <v>11</v>
      </c>
      <c r="U752" t="s">
        <v>1195</v>
      </c>
    </row>
    <row r="753" spans="2:21" ht="15" customHeight="1">
      <c r="B753" s="7" t="s">
        <v>1196</v>
      </c>
      <c r="C753" t="s">
        <v>29</v>
      </c>
      <c r="D753">
        <f t="shared" si="33"/>
        <v>14</v>
      </c>
      <c r="U753" t="s">
        <v>1197</v>
      </c>
    </row>
    <row r="754" spans="2:21" ht="15" customHeight="1">
      <c r="B754" s="7" t="s">
        <v>1198</v>
      </c>
      <c r="C754" t="s">
        <v>29</v>
      </c>
      <c r="D754">
        <f t="shared" si="33"/>
        <v>13</v>
      </c>
      <c r="U754" t="s">
        <v>1199</v>
      </c>
    </row>
    <row r="755" spans="2:21" ht="15" customHeight="1">
      <c r="B755" s="7" t="s">
        <v>1200</v>
      </c>
      <c r="C755" t="s">
        <v>29</v>
      </c>
      <c r="D755">
        <f t="shared" si="33"/>
        <v>8</v>
      </c>
      <c r="U755" t="s">
        <v>1201</v>
      </c>
    </row>
    <row r="756" spans="2:21" ht="15" customHeight="1">
      <c r="B756" s="7" t="s">
        <v>1202</v>
      </c>
      <c r="C756" t="s">
        <v>29</v>
      </c>
      <c r="D756">
        <f t="shared" si="33"/>
        <v>11</v>
      </c>
      <c r="U756" t="s">
        <v>1203</v>
      </c>
    </row>
    <row r="757" spans="2:21" ht="15" customHeight="1">
      <c r="B757" s="7" t="s">
        <v>1204</v>
      </c>
      <c r="C757" t="s">
        <v>29</v>
      </c>
      <c r="D757">
        <f t="shared" si="33"/>
        <v>14</v>
      </c>
      <c r="U757" t="s">
        <v>1205</v>
      </c>
    </row>
    <row r="758" spans="2:21" ht="15" customHeight="1">
      <c r="B758" s="7" t="s">
        <v>1206</v>
      </c>
      <c r="C758" t="s">
        <v>29</v>
      </c>
      <c r="D758">
        <f t="shared" si="33"/>
        <v>13</v>
      </c>
      <c r="U758" t="s">
        <v>1207</v>
      </c>
    </row>
    <row r="759" spans="2:21" ht="15" customHeight="1">
      <c r="B759" s="7" t="s">
        <v>1208</v>
      </c>
      <c r="C759" t="s">
        <v>29</v>
      </c>
      <c r="D759">
        <f t="shared" si="33"/>
        <v>10</v>
      </c>
      <c r="U759" t="s">
        <v>1209</v>
      </c>
    </row>
    <row r="760" spans="2:21" ht="15" customHeight="1">
      <c r="B760" s="7" t="s">
        <v>1210</v>
      </c>
      <c r="C760" t="s">
        <v>29</v>
      </c>
      <c r="D760">
        <f t="shared" si="33"/>
        <v>10</v>
      </c>
      <c r="U760" t="s">
        <v>1211</v>
      </c>
    </row>
    <row r="761" spans="2:21" ht="15" customHeight="1">
      <c r="B761" s="7" t="s">
        <v>1212</v>
      </c>
      <c r="C761" t="s">
        <v>29</v>
      </c>
      <c r="D761">
        <f t="shared" si="33"/>
        <v>8</v>
      </c>
      <c r="U761" t="s">
        <v>1213</v>
      </c>
    </row>
    <row r="762" spans="2:21" ht="15" customHeight="1">
      <c r="B762" s="7" t="s">
        <v>1214</v>
      </c>
      <c r="C762" t="s">
        <v>29</v>
      </c>
      <c r="D762">
        <f t="shared" si="33"/>
        <v>13</v>
      </c>
      <c r="U762" t="s">
        <v>1215</v>
      </c>
    </row>
    <row r="763" spans="2:21" ht="15" customHeight="1">
      <c r="B763" s="7" t="s">
        <v>1216</v>
      </c>
      <c r="C763" t="s">
        <v>29</v>
      </c>
      <c r="D763">
        <f t="shared" si="33"/>
        <v>9</v>
      </c>
      <c r="U763" t="s">
        <v>1217</v>
      </c>
    </row>
    <row r="764" spans="2:21" ht="15" customHeight="1">
      <c r="B764" s="7" t="s">
        <v>1218</v>
      </c>
      <c r="C764" t="s">
        <v>29</v>
      </c>
      <c r="D764">
        <f t="shared" si="33"/>
        <v>10</v>
      </c>
      <c r="U764" t="s">
        <v>1219</v>
      </c>
    </row>
    <row r="765" spans="2:21" ht="15" customHeight="1">
      <c r="B765" s="7" t="s">
        <v>1220</v>
      </c>
      <c r="C765" t="s">
        <v>29</v>
      </c>
      <c r="D765">
        <f t="shared" si="33"/>
        <v>12</v>
      </c>
      <c r="U765" t="s">
        <v>1221</v>
      </c>
    </row>
    <row r="766" spans="2:21" ht="15" customHeight="1">
      <c r="B766" s="7" t="s">
        <v>1222</v>
      </c>
      <c r="C766" t="s">
        <v>29</v>
      </c>
      <c r="D766">
        <f t="shared" si="33"/>
        <v>9</v>
      </c>
      <c r="U766" t="s">
        <v>1223</v>
      </c>
    </row>
    <row r="767" spans="2:21" ht="15" customHeight="1">
      <c r="B767" s="7" t="s">
        <v>1224</v>
      </c>
      <c r="C767" t="s">
        <v>29</v>
      </c>
      <c r="D767">
        <f t="shared" si="33"/>
        <v>15</v>
      </c>
      <c r="U767" t="s">
        <v>1225</v>
      </c>
    </row>
    <row r="768" spans="2:21" ht="15" customHeight="1">
      <c r="B768" s="7" t="s">
        <v>1226</v>
      </c>
      <c r="C768" t="s">
        <v>29</v>
      </c>
      <c r="D768">
        <f t="shared" si="33"/>
        <v>10</v>
      </c>
      <c r="U768" t="s">
        <v>1227</v>
      </c>
    </row>
    <row r="769" spans="2:21" ht="15" customHeight="1">
      <c r="B769" s="7" t="s">
        <v>1228</v>
      </c>
      <c r="C769" t="s">
        <v>29</v>
      </c>
      <c r="D769">
        <f t="shared" si="33"/>
        <v>10</v>
      </c>
      <c r="U769" t="s">
        <v>1229</v>
      </c>
    </row>
    <row r="770" spans="2:21" ht="15" customHeight="1">
      <c r="B770" s="7" t="s">
        <v>1230</v>
      </c>
      <c r="C770" t="s">
        <v>29</v>
      </c>
      <c r="D770">
        <f t="shared" si="33"/>
        <v>10</v>
      </c>
      <c r="U770" t="s">
        <v>1231</v>
      </c>
    </row>
    <row r="771" spans="2:21" ht="15" customHeight="1">
      <c r="B771" s="7" t="s">
        <v>1232</v>
      </c>
      <c r="C771" t="s">
        <v>29</v>
      </c>
      <c r="D771">
        <f t="shared" si="33"/>
        <v>9</v>
      </c>
      <c r="U771" t="s">
        <v>1233</v>
      </c>
    </row>
    <row r="772" spans="2:21" ht="15" customHeight="1">
      <c r="B772" s="7" t="s">
        <v>1234</v>
      </c>
      <c r="C772" t="s">
        <v>29</v>
      </c>
      <c r="D772">
        <f t="shared" si="33"/>
        <v>11</v>
      </c>
      <c r="U772" t="s">
        <v>1235</v>
      </c>
    </row>
    <row r="773" spans="2:21" ht="15" customHeight="1">
      <c r="B773" s="7" t="s">
        <v>1236</v>
      </c>
      <c r="C773" t="s">
        <v>29</v>
      </c>
      <c r="D773">
        <f t="shared" si="33"/>
        <v>9</v>
      </c>
      <c r="U773" t="s">
        <v>1237</v>
      </c>
    </row>
    <row r="774" spans="2:21" ht="15" customHeight="1">
      <c r="B774" s="7" t="s">
        <v>1238</v>
      </c>
      <c r="C774" t="s">
        <v>29</v>
      </c>
      <c r="D774">
        <f t="shared" si="33"/>
        <v>9</v>
      </c>
      <c r="U774" t="s">
        <v>1239</v>
      </c>
    </row>
    <row r="775" spans="2:21" ht="15" customHeight="1">
      <c r="B775" s="7" t="s">
        <v>1240</v>
      </c>
      <c r="C775" t="s">
        <v>29</v>
      </c>
      <c r="D775">
        <f t="shared" si="33"/>
        <v>9</v>
      </c>
      <c r="U775" t="s">
        <v>1241</v>
      </c>
    </row>
    <row r="776" spans="2:21" ht="15" customHeight="1">
      <c r="B776" s="7" t="s">
        <v>1242</v>
      </c>
      <c r="C776" t="s">
        <v>29</v>
      </c>
      <c r="D776">
        <f t="shared" si="33"/>
        <v>8</v>
      </c>
      <c r="U776" t="s">
        <v>1243</v>
      </c>
    </row>
    <row r="777" spans="2:21" ht="15" customHeight="1">
      <c r="B777" s="7" t="s">
        <v>1244</v>
      </c>
      <c r="C777" t="s">
        <v>29</v>
      </c>
      <c r="D777">
        <f t="shared" si="33"/>
        <v>7</v>
      </c>
      <c r="U777" t="s">
        <v>1245</v>
      </c>
    </row>
    <row r="778" spans="2:21" ht="15" customHeight="1">
      <c r="B778" s="7" t="s">
        <v>1246</v>
      </c>
      <c r="C778" t="s">
        <v>29</v>
      </c>
      <c r="D778">
        <f t="shared" si="33"/>
        <v>13</v>
      </c>
      <c r="U778" t="s">
        <v>1247</v>
      </c>
    </row>
    <row r="779" spans="2:21" ht="15" customHeight="1">
      <c r="B779" s="7" t="s">
        <v>1248</v>
      </c>
      <c r="C779" t="s">
        <v>29</v>
      </c>
      <c r="D779">
        <f t="shared" si="33"/>
        <v>9</v>
      </c>
      <c r="U779" t="s">
        <v>1249</v>
      </c>
    </row>
    <row r="780" spans="2:21" ht="15" customHeight="1">
      <c r="B780" s="7" t="s">
        <v>1250</v>
      </c>
      <c r="C780" t="s">
        <v>29</v>
      </c>
      <c r="D780">
        <f t="shared" si="33"/>
        <v>8</v>
      </c>
      <c r="U780" t="s">
        <v>1251</v>
      </c>
    </row>
    <row r="781" spans="2:21" ht="15" customHeight="1">
      <c r="B781" s="7" t="s">
        <v>1252</v>
      </c>
      <c r="C781" t="s">
        <v>29</v>
      </c>
      <c r="D781">
        <f t="shared" si="33"/>
        <v>13</v>
      </c>
      <c r="U781" t="s">
        <v>1253</v>
      </c>
    </row>
    <row r="782" spans="2:21" ht="15" customHeight="1">
      <c r="B782" s="7" t="s">
        <v>1254</v>
      </c>
      <c r="C782" t="s">
        <v>29</v>
      </c>
      <c r="D782">
        <f t="shared" ref="D782:D845" si="34">LEN(B782)</f>
        <v>12</v>
      </c>
      <c r="U782" t="s">
        <v>1255</v>
      </c>
    </row>
    <row r="783" spans="2:21" ht="15" customHeight="1">
      <c r="B783" s="7" t="s">
        <v>1256</v>
      </c>
      <c r="C783" t="s">
        <v>29</v>
      </c>
      <c r="D783">
        <f t="shared" si="34"/>
        <v>12</v>
      </c>
      <c r="U783" t="s">
        <v>1257</v>
      </c>
    </row>
    <row r="784" spans="2:21" ht="15" customHeight="1">
      <c r="B784" s="7" t="s">
        <v>1258</v>
      </c>
      <c r="C784" t="s">
        <v>29</v>
      </c>
      <c r="D784">
        <f t="shared" si="34"/>
        <v>11</v>
      </c>
      <c r="U784" t="s">
        <v>1259</v>
      </c>
    </row>
    <row r="785" spans="2:21" ht="15" customHeight="1">
      <c r="B785" s="7" t="s">
        <v>1260</v>
      </c>
      <c r="C785" t="s">
        <v>29</v>
      </c>
      <c r="D785">
        <f t="shared" si="34"/>
        <v>9</v>
      </c>
      <c r="U785" t="s">
        <v>1261</v>
      </c>
    </row>
    <row r="786" spans="2:21" ht="15" customHeight="1">
      <c r="B786" s="7" t="s">
        <v>1262</v>
      </c>
      <c r="C786" t="s">
        <v>29</v>
      </c>
      <c r="D786">
        <f t="shared" si="34"/>
        <v>12</v>
      </c>
      <c r="U786" t="s">
        <v>1263</v>
      </c>
    </row>
    <row r="787" spans="2:21" ht="15" customHeight="1">
      <c r="B787" s="7" t="s">
        <v>1264</v>
      </c>
      <c r="C787" t="s">
        <v>29</v>
      </c>
      <c r="D787">
        <f t="shared" si="34"/>
        <v>9</v>
      </c>
      <c r="U787" t="s">
        <v>1265</v>
      </c>
    </row>
    <row r="788" spans="2:21" ht="15" customHeight="1">
      <c r="B788" s="7" t="s">
        <v>1266</v>
      </c>
      <c r="C788" t="s">
        <v>29</v>
      </c>
      <c r="D788">
        <f t="shared" si="34"/>
        <v>10</v>
      </c>
      <c r="U788" t="s">
        <v>1267</v>
      </c>
    </row>
    <row r="789" spans="2:21" ht="15" customHeight="1">
      <c r="B789" s="7" t="s">
        <v>1268</v>
      </c>
      <c r="C789" t="s">
        <v>29</v>
      </c>
      <c r="D789">
        <f t="shared" si="34"/>
        <v>10</v>
      </c>
      <c r="U789" t="s">
        <v>1269</v>
      </c>
    </row>
    <row r="790" spans="2:21" ht="15" customHeight="1">
      <c r="B790" s="7" t="s">
        <v>1270</v>
      </c>
      <c r="C790" t="s">
        <v>29</v>
      </c>
      <c r="D790">
        <f t="shared" si="34"/>
        <v>14</v>
      </c>
      <c r="U790" t="s">
        <v>1271</v>
      </c>
    </row>
    <row r="791" spans="2:21" ht="15" customHeight="1">
      <c r="B791" s="7" t="s">
        <v>1272</v>
      </c>
      <c r="C791" t="s">
        <v>29</v>
      </c>
      <c r="D791">
        <f t="shared" si="34"/>
        <v>12</v>
      </c>
      <c r="U791" t="s">
        <v>1273</v>
      </c>
    </row>
    <row r="792" spans="2:21" ht="15" customHeight="1">
      <c r="B792" s="7" t="s">
        <v>1274</v>
      </c>
      <c r="C792" t="s">
        <v>29</v>
      </c>
      <c r="D792">
        <f t="shared" si="34"/>
        <v>11</v>
      </c>
      <c r="U792" t="s">
        <v>1275</v>
      </c>
    </row>
    <row r="793" spans="2:21" ht="15" customHeight="1">
      <c r="B793" s="7" t="s">
        <v>1276</v>
      </c>
      <c r="C793" t="s">
        <v>29</v>
      </c>
      <c r="D793">
        <f t="shared" si="34"/>
        <v>9</v>
      </c>
      <c r="U793" t="s">
        <v>1277</v>
      </c>
    </row>
    <row r="794" spans="2:21" ht="15" customHeight="1">
      <c r="B794" s="7" t="s">
        <v>1278</v>
      </c>
      <c r="C794" t="s">
        <v>29</v>
      </c>
      <c r="D794">
        <f t="shared" si="34"/>
        <v>10</v>
      </c>
      <c r="U794" t="s">
        <v>1279</v>
      </c>
    </row>
    <row r="795" spans="2:21" ht="15" customHeight="1">
      <c r="B795" s="7" t="s">
        <v>1280</v>
      </c>
      <c r="C795" t="s">
        <v>29</v>
      </c>
      <c r="D795">
        <f t="shared" si="34"/>
        <v>9</v>
      </c>
      <c r="U795" t="s">
        <v>1281</v>
      </c>
    </row>
    <row r="796" spans="2:21" ht="15" customHeight="1">
      <c r="B796" s="7" t="s">
        <v>1282</v>
      </c>
      <c r="C796" t="s">
        <v>29</v>
      </c>
      <c r="D796">
        <f t="shared" si="34"/>
        <v>10</v>
      </c>
      <c r="U796" t="s">
        <v>1283</v>
      </c>
    </row>
    <row r="797" spans="2:21" ht="15" customHeight="1">
      <c r="B797" s="7" t="s">
        <v>1284</v>
      </c>
      <c r="C797" t="s">
        <v>29</v>
      </c>
      <c r="D797">
        <f t="shared" si="34"/>
        <v>9</v>
      </c>
      <c r="U797" t="s">
        <v>1285</v>
      </c>
    </row>
    <row r="798" spans="2:21" ht="15" customHeight="1">
      <c r="B798" s="7" t="s">
        <v>1286</v>
      </c>
      <c r="C798" t="s">
        <v>29</v>
      </c>
      <c r="D798">
        <f t="shared" si="34"/>
        <v>15</v>
      </c>
      <c r="U798" t="s">
        <v>1287</v>
      </c>
    </row>
    <row r="799" spans="2:21" ht="15" customHeight="1">
      <c r="B799" s="7" t="s">
        <v>1288</v>
      </c>
      <c r="C799" t="s">
        <v>29</v>
      </c>
      <c r="D799">
        <f t="shared" si="34"/>
        <v>12</v>
      </c>
      <c r="U799" t="s">
        <v>1289</v>
      </c>
    </row>
    <row r="800" spans="2:21" ht="15" customHeight="1">
      <c r="B800" s="7" t="s">
        <v>1290</v>
      </c>
      <c r="C800" t="s">
        <v>29</v>
      </c>
      <c r="D800">
        <f t="shared" si="34"/>
        <v>8</v>
      </c>
      <c r="U800" t="s">
        <v>1291</v>
      </c>
    </row>
    <row r="801" spans="2:21" ht="15" customHeight="1">
      <c r="B801" s="7" t="s">
        <v>1292</v>
      </c>
      <c r="C801" t="s">
        <v>29</v>
      </c>
      <c r="D801">
        <f t="shared" si="34"/>
        <v>11</v>
      </c>
      <c r="U801" t="s">
        <v>1293</v>
      </c>
    </row>
    <row r="802" spans="2:21" ht="15" customHeight="1">
      <c r="B802" s="7" t="s">
        <v>1294</v>
      </c>
      <c r="C802" t="s">
        <v>29</v>
      </c>
      <c r="D802">
        <f t="shared" si="34"/>
        <v>12</v>
      </c>
      <c r="U802" t="s">
        <v>1295</v>
      </c>
    </row>
    <row r="803" spans="2:21" ht="15" customHeight="1">
      <c r="B803" s="7" t="s">
        <v>1296</v>
      </c>
      <c r="C803" t="s">
        <v>29</v>
      </c>
      <c r="D803">
        <f t="shared" si="34"/>
        <v>10</v>
      </c>
      <c r="U803" t="s">
        <v>1297</v>
      </c>
    </row>
    <row r="804" spans="2:21" ht="15" customHeight="1">
      <c r="B804" s="7" t="s">
        <v>1298</v>
      </c>
      <c r="C804" t="s">
        <v>29</v>
      </c>
      <c r="D804">
        <f t="shared" si="34"/>
        <v>10</v>
      </c>
      <c r="U804" t="s">
        <v>1299</v>
      </c>
    </row>
    <row r="805" spans="2:21" ht="15" customHeight="1">
      <c r="B805" s="7" t="s">
        <v>1300</v>
      </c>
      <c r="C805" t="s">
        <v>29</v>
      </c>
      <c r="D805">
        <f t="shared" si="34"/>
        <v>8</v>
      </c>
      <c r="U805" t="s">
        <v>1301</v>
      </c>
    </row>
    <row r="806" spans="2:21" ht="15" customHeight="1">
      <c r="B806" s="7" t="s">
        <v>1302</v>
      </c>
      <c r="C806" t="s">
        <v>29</v>
      </c>
      <c r="D806">
        <f t="shared" si="34"/>
        <v>9</v>
      </c>
      <c r="U806" t="s">
        <v>1303</v>
      </c>
    </row>
    <row r="807" spans="2:21" ht="15" customHeight="1">
      <c r="B807" s="7" t="s">
        <v>1304</v>
      </c>
      <c r="C807" t="s">
        <v>29</v>
      </c>
      <c r="D807">
        <f t="shared" si="34"/>
        <v>13</v>
      </c>
      <c r="U807" t="s">
        <v>1305</v>
      </c>
    </row>
    <row r="808" spans="2:21" ht="15" customHeight="1">
      <c r="B808" s="7" t="s">
        <v>1306</v>
      </c>
      <c r="C808" t="s">
        <v>29</v>
      </c>
      <c r="D808">
        <f t="shared" si="34"/>
        <v>7</v>
      </c>
      <c r="U808" t="s">
        <v>1307</v>
      </c>
    </row>
    <row r="809" spans="2:21" ht="15" customHeight="1">
      <c r="B809" s="7" t="s">
        <v>1308</v>
      </c>
      <c r="C809" t="s">
        <v>29</v>
      </c>
      <c r="D809">
        <f t="shared" si="34"/>
        <v>11</v>
      </c>
      <c r="U809" t="s">
        <v>1309</v>
      </c>
    </row>
    <row r="810" spans="2:21" ht="15" customHeight="1">
      <c r="B810" s="7" t="s">
        <v>1310</v>
      </c>
      <c r="C810" t="s">
        <v>29</v>
      </c>
      <c r="D810">
        <f t="shared" si="34"/>
        <v>11</v>
      </c>
      <c r="U810" t="s">
        <v>1311</v>
      </c>
    </row>
    <row r="811" spans="2:21" ht="15" customHeight="1">
      <c r="B811" s="7" t="s">
        <v>1312</v>
      </c>
      <c r="C811" t="s">
        <v>29</v>
      </c>
      <c r="D811">
        <f t="shared" si="34"/>
        <v>10</v>
      </c>
      <c r="U811" t="s">
        <v>1313</v>
      </c>
    </row>
    <row r="812" spans="2:21" ht="15" customHeight="1">
      <c r="B812" s="7" t="s">
        <v>1314</v>
      </c>
      <c r="C812" t="s">
        <v>29</v>
      </c>
      <c r="D812">
        <f t="shared" si="34"/>
        <v>10</v>
      </c>
      <c r="U812" t="s">
        <v>1315</v>
      </c>
    </row>
    <row r="813" spans="2:21" ht="15" customHeight="1">
      <c r="B813" s="7" t="s">
        <v>1316</v>
      </c>
      <c r="C813" t="s">
        <v>29</v>
      </c>
      <c r="D813">
        <f t="shared" si="34"/>
        <v>9</v>
      </c>
      <c r="U813" t="s">
        <v>1317</v>
      </c>
    </row>
    <row r="814" spans="2:21" ht="15" customHeight="1">
      <c r="B814" s="7" t="s">
        <v>1318</v>
      </c>
      <c r="C814" t="s">
        <v>29</v>
      </c>
      <c r="D814">
        <f t="shared" si="34"/>
        <v>8</v>
      </c>
      <c r="U814" t="s">
        <v>1319</v>
      </c>
    </row>
    <row r="815" spans="2:21" ht="15" customHeight="1">
      <c r="B815" s="7" t="s">
        <v>1320</v>
      </c>
      <c r="C815" t="s">
        <v>29</v>
      </c>
      <c r="D815">
        <f t="shared" si="34"/>
        <v>9</v>
      </c>
      <c r="U815" t="s">
        <v>1321</v>
      </c>
    </row>
    <row r="816" spans="2:21" ht="15" customHeight="1">
      <c r="B816" s="7" t="s">
        <v>1322</v>
      </c>
      <c r="C816" t="s">
        <v>29</v>
      </c>
      <c r="D816">
        <f t="shared" si="34"/>
        <v>9</v>
      </c>
      <c r="U816" t="s">
        <v>1323</v>
      </c>
    </row>
    <row r="817" spans="2:21" ht="15" customHeight="1">
      <c r="B817" s="7" t="s">
        <v>1324</v>
      </c>
      <c r="C817" t="s">
        <v>29</v>
      </c>
      <c r="D817">
        <f t="shared" si="34"/>
        <v>11</v>
      </c>
      <c r="U817" t="s">
        <v>1325</v>
      </c>
    </row>
    <row r="818" spans="2:21" ht="15" customHeight="1">
      <c r="B818" s="7" t="s">
        <v>1326</v>
      </c>
      <c r="C818" t="s">
        <v>29</v>
      </c>
      <c r="D818">
        <f t="shared" si="34"/>
        <v>10</v>
      </c>
      <c r="U818" t="s">
        <v>1327</v>
      </c>
    </row>
    <row r="819" spans="2:21" ht="15" customHeight="1">
      <c r="B819" s="7" t="s">
        <v>1328</v>
      </c>
      <c r="C819" t="s">
        <v>29</v>
      </c>
      <c r="D819">
        <f t="shared" si="34"/>
        <v>11</v>
      </c>
      <c r="U819" t="s">
        <v>1329</v>
      </c>
    </row>
    <row r="820" spans="2:21" ht="15" customHeight="1">
      <c r="B820" s="7" t="s">
        <v>1330</v>
      </c>
      <c r="C820" t="s">
        <v>29</v>
      </c>
      <c r="D820">
        <f t="shared" si="34"/>
        <v>9</v>
      </c>
      <c r="U820" t="s">
        <v>1331</v>
      </c>
    </row>
    <row r="821" spans="2:21" ht="15" customHeight="1">
      <c r="B821" s="7" t="s">
        <v>1332</v>
      </c>
      <c r="C821" t="s">
        <v>29</v>
      </c>
      <c r="D821">
        <f t="shared" si="34"/>
        <v>9</v>
      </c>
      <c r="U821" t="s">
        <v>1333</v>
      </c>
    </row>
    <row r="822" spans="2:21" ht="15" customHeight="1">
      <c r="B822" s="7" t="s">
        <v>1334</v>
      </c>
      <c r="C822" t="s">
        <v>29</v>
      </c>
      <c r="D822">
        <f t="shared" si="34"/>
        <v>9</v>
      </c>
      <c r="U822" t="s">
        <v>1335</v>
      </c>
    </row>
    <row r="823" spans="2:21" ht="15" customHeight="1">
      <c r="B823" s="7" t="s">
        <v>1336</v>
      </c>
      <c r="C823" t="s">
        <v>29</v>
      </c>
      <c r="D823">
        <f t="shared" si="34"/>
        <v>9</v>
      </c>
      <c r="U823" t="s">
        <v>1337</v>
      </c>
    </row>
    <row r="824" spans="2:21" ht="15" customHeight="1">
      <c r="B824" s="7" t="s">
        <v>1338</v>
      </c>
      <c r="C824" t="s">
        <v>29</v>
      </c>
      <c r="D824">
        <f t="shared" si="34"/>
        <v>11</v>
      </c>
      <c r="U824" t="s">
        <v>1339</v>
      </c>
    </row>
    <row r="825" spans="2:21" ht="15" customHeight="1">
      <c r="B825" s="7" t="s">
        <v>1340</v>
      </c>
      <c r="C825" t="s">
        <v>29</v>
      </c>
      <c r="D825">
        <f t="shared" si="34"/>
        <v>10</v>
      </c>
      <c r="U825" t="s">
        <v>1341</v>
      </c>
    </row>
    <row r="826" spans="2:21" ht="15" customHeight="1">
      <c r="B826" s="7" t="s">
        <v>1342</v>
      </c>
      <c r="C826" t="s">
        <v>29</v>
      </c>
      <c r="D826">
        <f t="shared" si="34"/>
        <v>10</v>
      </c>
      <c r="U826" t="s">
        <v>1343</v>
      </c>
    </row>
    <row r="827" spans="2:21" ht="15" customHeight="1">
      <c r="B827" s="7" t="s">
        <v>1344</v>
      </c>
      <c r="C827" t="s">
        <v>29</v>
      </c>
      <c r="D827">
        <f t="shared" si="34"/>
        <v>9</v>
      </c>
      <c r="U827" t="s">
        <v>1345</v>
      </c>
    </row>
    <row r="828" spans="2:21" ht="15" customHeight="1">
      <c r="B828" s="7" t="s">
        <v>1346</v>
      </c>
      <c r="C828" t="s">
        <v>29</v>
      </c>
      <c r="D828">
        <f t="shared" si="34"/>
        <v>8</v>
      </c>
      <c r="U828" t="s">
        <v>1347</v>
      </c>
    </row>
    <row r="829" spans="2:21" ht="15" customHeight="1">
      <c r="B829" s="7" t="s">
        <v>1348</v>
      </c>
      <c r="C829" t="s">
        <v>29</v>
      </c>
      <c r="D829">
        <f t="shared" si="34"/>
        <v>13</v>
      </c>
      <c r="U829" t="s">
        <v>1349</v>
      </c>
    </row>
    <row r="830" spans="2:21" ht="15" customHeight="1">
      <c r="B830" s="7" t="s">
        <v>1350</v>
      </c>
      <c r="C830" t="s">
        <v>29</v>
      </c>
      <c r="D830">
        <f t="shared" si="34"/>
        <v>9</v>
      </c>
      <c r="U830" t="s">
        <v>1351</v>
      </c>
    </row>
    <row r="831" spans="2:21" ht="15" customHeight="1">
      <c r="B831" s="7" t="s">
        <v>1352</v>
      </c>
      <c r="C831" t="s">
        <v>29</v>
      </c>
      <c r="D831">
        <f t="shared" si="34"/>
        <v>11</v>
      </c>
      <c r="U831" t="s">
        <v>1353</v>
      </c>
    </row>
    <row r="832" spans="2:21" ht="15" customHeight="1">
      <c r="B832" s="7" t="s">
        <v>1354</v>
      </c>
      <c r="C832" t="s">
        <v>29</v>
      </c>
      <c r="D832">
        <f t="shared" si="34"/>
        <v>10</v>
      </c>
      <c r="U832" t="s">
        <v>1355</v>
      </c>
    </row>
    <row r="833" spans="2:21" ht="15" customHeight="1">
      <c r="B833" s="7" t="s">
        <v>1356</v>
      </c>
      <c r="C833" t="s">
        <v>29</v>
      </c>
      <c r="D833">
        <f t="shared" si="34"/>
        <v>7</v>
      </c>
      <c r="U833" t="s">
        <v>1357</v>
      </c>
    </row>
    <row r="834" spans="2:21" ht="15" customHeight="1">
      <c r="B834" s="7" t="s">
        <v>1358</v>
      </c>
      <c r="C834" t="s">
        <v>29</v>
      </c>
      <c r="D834">
        <f t="shared" si="34"/>
        <v>11</v>
      </c>
      <c r="U834" t="s">
        <v>1359</v>
      </c>
    </row>
    <row r="835" spans="2:21" ht="15" customHeight="1">
      <c r="B835" s="7" t="s">
        <v>1360</v>
      </c>
      <c r="C835" t="s">
        <v>29</v>
      </c>
      <c r="D835">
        <f t="shared" si="34"/>
        <v>10</v>
      </c>
      <c r="U835" t="s">
        <v>1361</v>
      </c>
    </row>
    <row r="836" spans="2:21" ht="15" customHeight="1">
      <c r="B836" s="7" t="s">
        <v>1362</v>
      </c>
      <c r="C836" t="s">
        <v>29</v>
      </c>
      <c r="D836">
        <f t="shared" si="34"/>
        <v>9</v>
      </c>
      <c r="U836" t="s">
        <v>1363</v>
      </c>
    </row>
    <row r="837" spans="2:21" ht="15" customHeight="1">
      <c r="B837" s="7" t="s">
        <v>1364</v>
      </c>
      <c r="C837" t="s">
        <v>29</v>
      </c>
      <c r="D837">
        <f t="shared" si="34"/>
        <v>10</v>
      </c>
      <c r="U837" t="s">
        <v>1365</v>
      </c>
    </row>
    <row r="838" spans="2:21" ht="15" customHeight="1">
      <c r="B838" s="7" t="s">
        <v>1366</v>
      </c>
      <c r="C838" t="s">
        <v>29</v>
      </c>
      <c r="D838">
        <f t="shared" si="34"/>
        <v>9</v>
      </c>
      <c r="U838" t="s">
        <v>1367</v>
      </c>
    </row>
    <row r="839" spans="2:21" ht="15" customHeight="1">
      <c r="B839" s="7" t="s">
        <v>1368</v>
      </c>
      <c r="C839" t="s">
        <v>29</v>
      </c>
      <c r="D839">
        <f t="shared" si="34"/>
        <v>10</v>
      </c>
      <c r="U839" t="s">
        <v>1369</v>
      </c>
    </row>
    <row r="840" spans="2:21" ht="15" customHeight="1">
      <c r="B840" s="7" t="s">
        <v>1230</v>
      </c>
      <c r="C840" t="s">
        <v>29</v>
      </c>
      <c r="D840">
        <f t="shared" si="34"/>
        <v>10</v>
      </c>
      <c r="U840" t="s">
        <v>1231</v>
      </c>
    </row>
    <row r="841" spans="2:21" ht="15" customHeight="1">
      <c r="B841" s="7" t="s">
        <v>1370</v>
      </c>
      <c r="C841" t="s">
        <v>29</v>
      </c>
      <c r="D841">
        <f t="shared" si="34"/>
        <v>13</v>
      </c>
      <c r="U841" t="s">
        <v>1371</v>
      </c>
    </row>
    <row r="842" spans="2:21" ht="15" customHeight="1">
      <c r="B842" s="7" t="s">
        <v>1372</v>
      </c>
      <c r="C842" t="s">
        <v>29</v>
      </c>
      <c r="D842">
        <f t="shared" si="34"/>
        <v>12</v>
      </c>
      <c r="U842" t="s">
        <v>1373</v>
      </c>
    </row>
    <row r="843" spans="2:21" ht="15" customHeight="1">
      <c r="B843" s="7" t="s">
        <v>1374</v>
      </c>
      <c r="C843" t="s">
        <v>29</v>
      </c>
      <c r="D843">
        <f t="shared" si="34"/>
        <v>12</v>
      </c>
      <c r="U843" t="s">
        <v>1375</v>
      </c>
    </row>
    <row r="844" spans="2:21" ht="15" customHeight="1">
      <c r="B844" s="7" t="s">
        <v>1376</v>
      </c>
      <c r="C844" t="s">
        <v>29</v>
      </c>
      <c r="D844">
        <f t="shared" si="34"/>
        <v>9</v>
      </c>
      <c r="U844" t="s">
        <v>1377</v>
      </c>
    </row>
    <row r="845" spans="2:21" ht="15" customHeight="1">
      <c r="B845" s="7" t="s">
        <v>1378</v>
      </c>
      <c r="C845" t="s">
        <v>29</v>
      </c>
      <c r="D845">
        <f t="shared" si="34"/>
        <v>10</v>
      </c>
      <c r="U845" t="s">
        <v>1379</v>
      </c>
    </row>
    <row r="846" spans="2:21" ht="15" customHeight="1">
      <c r="B846" s="7" t="s">
        <v>1262</v>
      </c>
      <c r="C846" t="s">
        <v>29</v>
      </c>
      <c r="D846">
        <f t="shared" ref="D846:D909" si="35">LEN(B846)</f>
        <v>12</v>
      </c>
      <c r="U846" t="s">
        <v>1263</v>
      </c>
    </row>
    <row r="847" spans="2:21" ht="15" customHeight="1">
      <c r="B847" s="7" t="s">
        <v>1380</v>
      </c>
      <c r="C847" t="s">
        <v>29</v>
      </c>
      <c r="D847">
        <f t="shared" si="35"/>
        <v>10</v>
      </c>
      <c r="U847" t="s">
        <v>1381</v>
      </c>
    </row>
    <row r="848" spans="2:21" ht="15" customHeight="1">
      <c r="B848" s="7" t="s">
        <v>1382</v>
      </c>
      <c r="C848" t="s">
        <v>29</v>
      </c>
      <c r="D848">
        <f t="shared" si="35"/>
        <v>14</v>
      </c>
      <c r="U848" t="s">
        <v>1383</v>
      </c>
    </row>
    <row r="849" spans="2:21" ht="15" customHeight="1">
      <c r="B849" s="7" t="s">
        <v>1384</v>
      </c>
      <c r="C849" t="s">
        <v>29</v>
      </c>
      <c r="D849">
        <f t="shared" si="35"/>
        <v>12</v>
      </c>
      <c r="U849" t="s">
        <v>1385</v>
      </c>
    </row>
    <row r="850" spans="2:21" ht="15" customHeight="1">
      <c r="B850" s="7" t="s">
        <v>1386</v>
      </c>
      <c r="C850" t="s">
        <v>29</v>
      </c>
      <c r="D850">
        <f t="shared" si="35"/>
        <v>12</v>
      </c>
      <c r="U850" t="s">
        <v>1387</v>
      </c>
    </row>
    <row r="851" spans="2:21" ht="15" customHeight="1">
      <c r="B851" s="7" t="s">
        <v>1388</v>
      </c>
      <c r="C851" t="s">
        <v>29</v>
      </c>
      <c r="D851">
        <f t="shared" si="35"/>
        <v>12</v>
      </c>
      <c r="U851" t="s">
        <v>1389</v>
      </c>
    </row>
    <row r="852" spans="2:21" ht="15" customHeight="1">
      <c r="B852" s="7" t="s">
        <v>1390</v>
      </c>
      <c r="C852" t="s">
        <v>29</v>
      </c>
      <c r="D852">
        <f t="shared" si="35"/>
        <v>8</v>
      </c>
      <c r="U852" t="s">
        <v>1391</v>
      </c>
    </row>
    <row r="853" spans="2:21" ht="15" customHeight="1">
      <c r="B853" s="7" t="s">
        <v>1392</v>
      </c>
      <c r="C853" t="s">
        <v>29</v>
      </c>
      <c r="D853">
        <f t="shared" si="35"/>
        <v>12</v>
      </c>
      <c r="U853" t="s">
        <v>1393</v>
      </c>
    </row>
    <row r="854" spans="2:21" ht="15" customHeight="1">
      <c r="B854" s="7" t="s">
        <v>1394</v>
      </c>
      <c r="C854" t="s">
        <v>29</v>
      </c>
      <c r="D854">
        <f t="shared" si="35"/>
        <v>12</v>
      </c>
      <c r="U854" t="s">
        <v>1395</v>
      </c>
    </row>
    <row r="855" spans="2:21" ht="15" customHeight="1">
      <c r="B855" s="7" t="s">
        <v>1396</v>
      </c>
      <c r="C855" t="s">
        <v>29</v>
      </c>
      <c r="D855">
        <f t="shared" si="35"/>
        <v>10</v>
      </c>
      <c r="U855" t="s">
        <v>1397</v>
      </c>
    </row>
    <row r="856" spans="2:21" ht="15" customHeight="1">
      <c r="B856" s="7" t="s">
        <v>1398</v>
      </c>
      <c r="C856" t="s">
        <v>29</v>
      </c>
      <c r="D856">
        <f t="shared" si="35"/>
        <v>10</v>
      </c>
      <c r="U856" t="s">
        <v>1399</v>
      </c>
    </row>
    <row r="857" spans="2:21" ht="15" customHeight="1">
      <c r="B857" s="7" t="s">
        <v>1400</v>
      </c>
      <c r="C857" t="s">
        <v>29</v>
      </c>
      <c r="D857">
        <f t="shared" si="35"/>
        <v>12</v>
      </c>
      <c r="U857" t="s">
        <v>1401</v>
      </c>
    </row>
    <row r="858" spans="2:21" ht="15" customHeight="1">
      <c r="B858" s="7" t="s">
        <v>1402</v>
      </c>
      <c r="C858" t="s">
        <v>29</v>
      </c>
      <c r="D858">
        <f t="shared" si="35"/>
        <v>10</v>
      </c>
      <c r="U858" t="s">
        <v>1403</v>
      </c>
    </row>
    <row r="859" spans="2:21" ht="15" customHeight="1">
      <c r="B859" s="7" t="s">
        <v>1404</v>
      </c>
      <c r="C859" t="s">
        <v>29</v>
      </c>
      <c r="D859">
        <f t="shared" si="35"/>
        <v>15</v>
      </c>
      <c r="U859" t="s">
        <v>1405</v>
      </c>
    </row>
    <row r="860" spans="2:21" ht="15" customHeight="1">
      <c r="B860" s="7" t="s">
        <v>1406</v>
      </c>
      <c r="C860" t="s">
        <v>29</v>
      </c>
      <c r="D860">
        <f t="shared" si="35"/>
        <v>12</v>
      </c>
      <c r="U860" t="s">
        <v>1407</v>
      </c>
    </row>
    <row r="861" spans="2:21" ht="15" customHeight="1">
      <c r="B861" s="7" t="s">
        <v>1408</v>
      </c>
      <c r="C861" t="s">
        <v>29</v>
      </c>
      <c r="D861">
        <f t="shared" si="35"/>
        <v>13</v>
      </c>
      <c r="U861" t="s">
        <v>1409</v>
      </c>
    </row>
    <row r="862" spans="2:21" ht="15" customHeight="1">
      <c r="B862" s="7" t="s">
        <v>1410</v>
      </c>
      <c r="C862" t="s">
        <v>29</v>
      </c>
      <c r="D862">
        <f t="shared" si="35"/>
        <v>11</v>
      </c>
      <c r="U862" t="s">
        <v>1411</v>
      </c>
    </row>
    <row r="863" spans="2:21" ht="15" customHeight="1">
      <c r="B863" s="7" t="s">
        <v>1412</v>
      </c>
      <c r="C863" t="s">
        <v>29</v>
      </c>
      <c r="D863">
        <f t="shared" si="35"/>
        <v>9</v>
      </c>
      <c r="U863" t="s">
        <v>1413</v>
      </c>
    </row>
    <row r="864" spans="2:21" ht="15" customHeight="1">
      <c r="B864" s="7" t="s">
        <v>1414</v>
      </c>
      <c r="C864" t="s">
        <v>29</v>
      </c>
      <c r="D864">
        <f t="shared" si="35"/>
        <v>14</v>
      </c>
      <c r="U864" t="s">
        <v>1415</v>
      </c>
    </row>
    <row r="865" spans="2:21" ht="15" customHeight="1">
      <c r="B865" s="7" t="s">
        <v>1416</v>
      </c>
      <c r="C865" t="s">
        <v>29</v>
      </c>
      <c r="D865">
        <f t="shared" si="35"/>
        <v>10</v>
      </c>
      <c r="U865" t="s">
        <v>1417</v>
      </c>
    </row>
    <row r="866" spans="2:21" ht="15" customHeight="1">
      <c r="B866" s="7" t="s">
        <v>1418</v>
      </c>
      <c r="C866" t="s">
        <v>29</v>
      </c>
      <c r="D866">
        <f t="shared" si="35"/>
        <v>10</v>
      </c>
      <c r="U866" t="s">
        <v>1419</v>
      </c>
    </row>
    <row r="867" spans="2:21" ht="15" customHeight="1">
      <c r="B867" s="7" t="s">
        <v>1420</v>
      </c>
      <c r="C867" t="s">
        <v>29</v>
      </c>
      <c r="D867">
        <f t="shared" si="35"/>
        <v>7</v>
      </c>
      <c r="U867" t="s">
        <v>1421</v>
      </c>
    </row>
    <row r="868" spans="2:21" ht="15" customHeight="1">
      <c r="B868" s="7" t="s">
        <v>1422</v>
      </c>
      <c r="C868" t="s">
        <v>29</v>
      </c>
      <c r="D868">
        <f t="shared" si="35"/>
        <v>9</v>
      </c>
      <c r="U868" t="s">
        <v>1423</v>
      </c>
    </row>
    <row r="869" spans="2:21" ht="15" customHeight="1">
      <c r="B869" s="7" t="s">
        <v>1424</v>
      </c>
      <c r="C869" t="s">
        <v>29</v>
      </c>
      <c r="D869">
        <f t="shared" si="35"/>
        <v>10</v>
      </c>
      <c r="U869" t="s">
        <v>1425</v>
      </c>
    </row>
    <row r="870" spans="2:21" ht="15" customHeight="1">
      <c r="B870" s="7" t="s">
        <v>1426</v>
      </c>
      <c r="C870" t="s">
        <v>29</v>
      </c>
      <c r="D870">
        <f t="shared" si="35"/>
        <v>10</v>
      </c>
      <c r="U870" t="s">
        <v>1427</v>
      </c>
    </row>
    <row r="871" spans="2:21" ht="15" customHeight="1">
      <c r="B871" s="7" t="s">
        <v>1428</v>
      </c>
      <c r="C871" t="s">
        <v>29</v>
      </c>
      <c r="D871">
        <f t="shared" si="35"/>
        <v>9</v>
      </c>
      <c r="U871" t="s">
        <v>1429</v>
      </c>
    </row>
    <row r="872" spans="2:21" ht="15" customHeight="1">
      <c r="B872" s="7" t="s">
        <v>1430</v>
      </c>
      <c r="C872" t="s">
        <v>29</v>
      </c>
      <c r="D872">
        <f t="shared" si="35"/>
        <v>10</v>
      </c>
      <c r="U872" t="s">
        <v>1431</v>
      </c>
    </row>
    <row r="873" spans="2:21" ht="15" customHeight="1">
      <c r="B873" s="7" t="s">
        <v>1432</v>
      </c>
      <c r="C873" t="s">
        <v>29</v>
      </c>
      <c r="D873">
        <f t="shared" si="35"/>
        <v>10</v>
      </c>
      <c r="U873" t="s">
        <v>1433</v>
      </c>
    </row>
    <row r="874" spans="2:21" ht="15" customHeight="1">
      <c r="B874" s="7" t="s">
        <v>1434</v>
      </c>
      <c r="C874" t="s">
        <v>29</v>
      </c>
      <c r="D874">
        <f t="shared" si="35"/>
        <v>11</v>
      </c>
      <c r="U874" t="s">
        <v>1435</v>
      </c>
    </row>
    <row r="875" spans="2:21" ht="15" customHeight="1">
      <c r="B875" s="7" t="s">
        <v>1436</v>
      </c>
      <c r="C875" t="s">
        <v>29</v>
      </c>
      <c r="D875">
        <f t="shared" si="35"/>
        <v>10</v>
      </c>
      <c r="U875" t="s">
        <v>1437</v>
      </c>
    </row>
    <row r="876" spans="2:21" ht="15" customHeight="1">
      <c r="B876" s="7" t="s">
        <v>1438</v>
      </c>
      <c r="C876" t="s">
        <v>29</v>
      </c>
      <c r="D876">
        <f t="shared" si="35"/>
        <v>9</v>
      </c>
      <c r="U876" t="s">
        <v>1439</v>
      </c>
    </row>
    <row r="877" spans="2:21" ht="15" customHeight="1">
      <c r="B877" s="7" t="s">
        <v>1440</v>
      </c>
      <c r="C877" t="s">
        <v>29</v>
      </c>
      <c r="D877">
        <f t="shared" si="35"/>
        <v>9</v>
      </c>
      <c r="U877" t="s">
        <v>1441</v>
      </c>
    </row>
    <row r="878" spans="2:21" ht="15" customHeight="1">
      <c r="B878" s="7" t="s">
        <v>1442</v>
      </c>
      <c r="C878" t="s">
        <v>29</v>
      </c>
      <c r="D878">
        <f t="shared" si="35"/>
        <v>8</v>
      </c>
      <c r="U878" t="s">
        <v>1443</v>
      </c>
    </row>
    <row r="879" spans="2:21" ht="15" customHeight="1">
      <c r="B879" s="7" t="s">
        <v>1444</v>
      </c>
      <c r="C879" t="s">
        <v>29</v>
      </c>
      <c r="D879">
        <f t="shared" si="35"/>
        <v>10</v>
      </c>
      <c r="U879" t="s">
        <v>1445</v>
      </c>
    </row>
    <row r="880" spans="2:21" ht="15" customHeight="1">
      <c r="B880" s="7" t="s">
        <v>1446</v>
      </c>
      <c r="C880" t="s">
        <v>29</v>
      </c>
      <c r="D880">
        <f t="shared" si="35"/>
        <v>10</v>
      </c>
      <c r="U880" t="s">
        <v>1447</v>
      </c>
    </row>
    <row r="881" spans="2:21" ht="15" customHeight="1">
      <c r="B881" s="7" t="s">
        <v>1448</v>
      </c>
      <c r="C881" t="s">
        <v>29</v>
      </c>
      <c r="D881">
        <f t="shared" si="35"/>
        <v>10</v>
      </c>
      <c r="U881" t="s">
        <v>1449</v>
      </c>
    </row>
    <row r="882" spans="2:21" ht="15" customHeight="1">
      <c r="B882" s="7" t="s">
        <v>1450</v>
      </c>
      <c r="C882" t="s">
        <v>29</v>
      </c>
      <c r="D882">
        <f t="shared" si="35"/>
        <v>12</v>
      </c>
      <c r="U882" t="s">
        <v>1451</v>
      </c>
    </row>
    <row r="883" spans="2:21" ht="15" customHeight="1">
      <c r="B883" s="7" t="s">
        <v>1452</v>
      </c>
      <c r="C883" t="s">
        <v>29</v>
      </c>
      <c r="D883">
        <f t="shared" si="35"/>
        <v>9</v>
      </c>
      <c r="U883" t="s">
        <v>1453</v>
      </c>
    </row>
    <row r="884" spans="2:21" ht="15" customHeight="1">
      <c r="B884" s="7" t="s">
        <v>1454</v>
      </c>
      <c r="C884" t="s">
        <v>29</v>
      </c>
      <c r="D884">
        <f t="shared" si="35"/>
        <v>9</v>
      </c>
      <c r="U884" t="s">
        <v>1455</v>
      </c>
    </row>
    <row r="885" spans="2:21" ht="15" customHeight="1">
      <c r="B885" s="7" t="s">
        <v>1456</v>
      </c>
      <c r="C885" t="s">
        <v>29</v>
      </c>
      <c r="D885">
        <f t="shared" si="35"/>
        <v>11</v>
      </c>
      <c r="U885" t="s">
        <v>1457</v>
      </c>
    </row>
    <row r="886" spans="2:21" ht="15" customHeight="1">
      <c r="B886" s="7" t="s">
        <v>1458</v>
      </c>
      <c r="C886" t="s">
        <v>29</v>
      </c>
      <c r="D886">
        <f t="shared" si="35"/>
        <v>10</v>
      </c>
      <c r="U886" t="s">
        <v>1459</v>
      </c>
    </row>
    <row r="887" spans="2:21" ht="15" customHeight="1">
      <c r="B887" s="7" t="s">
        <v>1460</v>
      </c>
      <c r="C887" t="s">
        <v>29</v>
      </c>
      <c r="D887">
        <f t="shared" si="35"/>
        <v>11</v>
      </c>
      <c r="U887" t="s">
        <v>1461</v>
      </c>
    </row>
    <row r="888" spans="2:21" ht="15" customHeight="1">
      <c r="B888" s="7" t="s">
        <v>1462</v>
      </c>
      <c r="C888" t="s">
        <v>29</v>
      </c>
      <c r="D888">
        <f t="shared" si="35"/>
        <v>8</v>
      </c>
      <c r="U888" t="s">
        <v>1463</v>
      </c>
    </row>
    <row r="889" spans="2:21" ht="15" customHeight="1">
      <c r="B889" s="7" t="s">
        <v>1464</v>
      </c>
      <c r="C889" t="s">
        <v>29</v>
      </c>
      <c r="D889">
        <f t="shared" si="35"/>
        <v>9</v>
      </c>
      <c r="U889" t="s">
        <v>1465</v>
      </c>
    </row>
    <row r="890" spans="2:21" ht="15" customHeight="1">
      <c r="B890" s="7" t="s">
        <v>1466</v>
      </c>
      <c r="C890" t="s">
        <v>29</v>
      </c>
      <c r="D890">
        <f t="shared" si="35"/>
        <v>10</v>
      </c>
      <c r="U890" t="s">
        <v>1467</v>
      </c>
    </row>
    <row r="891" spans="2:21" ht="15" customHeight="1">
      <c r="B891" s="7" t="s">
        <v>1468</v>
      </c>
      <c r="C891" t="s">
        <v>29</v>
      </c>
      <c r="D891">
        <f t="shared" si="35"/>
        <v>7</v>
      </c>
      <c r="U891" t="s">
        <v>1469</v>
      </c>
    </row>
    <row r="892" spans="2:21" ht="15" customHeight="1">
      <c r="B892" s="7" t="s">
        <v>1470</v>
      </c>
      <c r="C892" t="s">
        <v>29</v>
      </c>
      <c r="D892">
        <f t="shared" si="35"/>
        <v>10</v>
      </c>
      <c r="U892" t="s">
        <v>1471</v>
      </c>
    </row>
    <row r="893" spans="2:21" ht="15" customHeight="1">
      <c r="B893" s="7" t="s">
        <v>1472</v>
      </c>
      <c r="C893" t="s">
        <v>29</v>
      </c>
      <c r="D893">
        <f t="shared" si="35"/>
        <v>9</v>
      </c>
      <c r="U893" t="s">
        <v>1473</v>
      </c>
    </row>
    <row r="894" spans="2:21" ht="15" customHeight="1">
      <c r="B894" s="7" t="s">
        <v>1474</v>
      </c>
      <c r="C894" t="s">
        <v>29</v>
      </c>
      <c r="D894">
        <f t="shared" si="35"/>
        <v>11</v>
      </c>
      <c r="U894" t="s">
        <v>1475</v>
      </c>
    </row>
    <row r="895" spans="2:21" ht="15" customHeight="1">
      <c r="B895" s="7" t="s">
        <v>1476</v>
      </c>
      <c r="C895" t="s">
        <v>29</v>
      </c>
      <c r="D895">
        <f t="shared" si="35"/>
        <v>9</v>
      </c>
      <c r="U895" t="s">
        <v>1477</v>
      </c>
    </row>
    <row r="896" spans="2:21" ht="15" customHeight="1">
      <c r="B896" s="7" t="s">
        <v>1478</v>
      </c>
      <c r="C896" t="s">
        <v>29</v>
      </c>
      <c r="D896">
        <f t="shared" si="35"/>
        <v>10</v>
      </c>
      <c r="U896" t="s">
        <v>1479</v>
      </c>
    </row>
    <row r="897" spans="2:21" ht="15" customHeight="1">
      <c r="B897" s="7" t="s">
        <v>1480</v>
      </c>
      <c r="C897" t="s">
        <v>29</v>
      </c>
      <c r="D897">
        <f t="shared" si="35"/>
        <v>9</v>
      </c>
      <c r="U897" t="s">
        <v>1481</v>
      </c>
    </row>
    <row r="898" spans="2:21" ht="15" customHeight="1">
      <c r="B898" s="7" t="s">
        <v>1482</v>
      </c>
      <c r="C898" t="s">
        <v>29</v>
      </c>
      <c r="D898">
        <f t="shared" si="35"/>
        <v>8</v>
      </c>
      <c r="U898" t="s">
        <v>1483</v>
      </c>
    </row>
    <row r="899" spans="2:21" ht="15" customHeight="1">
      <c r="B899" s="7" t="s">
        <v>1484</v>
      </c>
      <c r="C899" t="s">
        <v>29</v>
      </c>
      <c r="D899">
        <f t="shared" si="35"/>
        <v>11</v>
      </c>
      <c r="U899" t="s">
        <v>1485</v>
      </c>
    </row>
    <row r="900" spans="2:21" ht="15" customHeight="1">
      <c r="B900" s="7" t="s">
        <v>1486</v>
      </c>
      <c r="C900" t="s">
        <v>29</v>
      </c>
      <c r="D900">
        <f t="shared" si="35"/>
        <v>10</v>
      </c>
      <c r="U900" t="s">
        <v>1487</v>
      </c>
    </row>
    <row r="901" spans="2:21" ht="15" customHeight="1">
      <c r="B901" s="7" t="s">
        <v>1488</v>
      </c>
      <c r="C901" t="s">
        <v>29</v>
      </c>
      <c r="D901">
        <f t="shared" si="35"/>
        <v>13</v>
      </c>
      <c r="U901" t="s">
        <v>1489</v>
      </c>
    </row>
    <row r="902" spans="2:21" ht="15" customHeight="1">
      <c r="B902" s="7" t="s">
        <v>1490</v>
      </c>
      <c r="C902" t="s">
        <v>29</v>
      </c>
      <c r="D902">
        <f t="shared" si="35"/>
        <v>10</v>
      </c>
      <c r="U902" t="s">
        <v>1491</v>
      </c>
    </row>
    <row r="903" spans="2:21" ht="15" customHeight="1">
      <c r="B903" s="7" t="s">
        <v>1492</v>
      </c>
      <c r="C903" t="s">
        <v>29</v>
      </c>
      <c r="D903">
        <f t="shared" si="35"/>
        <v>9</v>
      </c>
      <c r="U903" t="s">
        <v>1493</v>
      </c>
    </row>
    <row r="904" spans="2:21" ht="15" customHeight="1">
      <c r="B904" s="7" t="s">
        <v>1494</v>
      </c>
      <c r="C904" t="s">
        <v>29</v>
      </c>
      <c r="D904">
        <f t="shared" si="35"/>
        <v>17</v>
      </c>
      <c r="U904" t="s">
        <v>1495</v>
      </c>
    </row>
    <row r="905" spans="2:21" ht="15" customHeight="1">
      <c r="B905" s="7" t="s">
        <v>1496</v>
      </c>
      <c r="C905" t="s">
        <v>29</v>
      </c>
      <c r="D905">
        <f t="shared" si="35"/>
        <v>11</v>
      </c>
      <c r="U905" t="s">
        <v>1497</v>
      </c>
    </row>
    <row r="906" spans="2:21" ht="15" customHeight="1">
      <c r="B906" s="7" t="s">
        <v>1498</v>
      </c>
      <c r="C906" t="s">
        <v>29</v>
      </c>
      <c r="D906">
        <f t="shared" si="35"/>
        <v>13</v>
      </c>
      <c r="U906" t="s">
        <v>1499</v>
      </c>
    </row>
    <row r="907" spans="2:21" ht="15" customHeight="1">
      <c r="B907" s="7" t="s">
        <v>1500</v>
      </c>
      <c r="C907" t="s">
        <v>29</v>
      </c>
      <c r="D907">
        <f t="shared" si="35"/>
        <v>17</v>
      </c>
      <c r="U907" t="s">
        <v>1501</v>
      </c>
    </row>
    <row r="908" spans="2:21" ht="15" customHeight="1">
      <c r="B908" s="7" t="s">
        <v>1502</v>
      </c>
      <c r="C908" t="s">
        <v>29</v>
      </c>
      <c r="D908">
        <f t="shared" si="35"/>
        <v>14</v>
      </c>
      <c r="U908" t="s">
        <v>1503</v>
      </c>
    </row>
    <row r="909" spans="2:21" ht="15" customHeight="1">
      <c r="B909" s="7" t="s">
        <v>1504</v>
      </c>
      <c r="C909" t="s">
        <v>29</v>
      </c>
      <c r="D909">
        <f t="shared" si="35"/>
        <v>12</v>
      </c>
      <c r="U909" t="s">
        <v>1505</v>
      </c>
    </row>
    <row r="910" spans="2:21" ht="15" customHeight="1">
      <c r="B910" s="7" t="s">
        <v>1506</v>
      </c>
      <c r="C910" t="s">
        <v>29</v>
      </c>
      <c r="D910">
        <f t="shared" ref="D910:D973" si="36">LEN(B910)</f>
        <v>13</v>
      </c>
      <c r="U910" t="s">
        <v>1507</v>
      </c>
    </row>
    <row r="911" spans="2:21" ht="15" customHeight="1">
      <c r="B911" s="7" t="s">
        <v>1508</v>
      </c>
      <c r="C911" t="s">
        <v>29</v>
      </c>
      <c r="D911">
        <f t="shared" si="36"/>
        <v>15</v>
      </c>
      <c r="U911" t="s">
        <v>1509</v>
      </c>
    </row>
    <row r="912" spans="2:21" ht="15" customHeight="1">
      <c r="B912" s="7" t="s">
        <v>1510</v>
      </c>
      <c r="C912" t="s">
        <v>29</v>
      </c>
      <c r="D912">
        <f t="shared" si="36"/>
        <v>15</v>
      </c>
      <c r="U912" t="s">
        <v>1511</v>
      </c>
    </row>
    <row r="913" spans="2:21" ht="15" customHeight="1">
      <c r="B913" s="7" t="s">
        <v>1512</v>
      </c>
      <c r="C913" t="s">
        <v>29</v>
      </c>
      <c r="D913">
        <f t="shared" si="36"/>
        <v>13</v>
      </c>
      <c r="U913" t="s">
        <v>1513</v>
      </c>
    </row>
    <row r="914" spans="2:21" ht="15" customHeight="1">
      <c r="B914" s="7" t="s">
        <v>1514</v>
      </c>
      <c r="C914" t="s">
        <v>29</v>
      </c>
      <c r="D914">
        <f t="shared" si="36"/>
        <v>13</v>
      </c>
      <c r="U914" t="s">
        <v>1515</v>
      </c>
    </row>
    <row r="915" spans="2:21" ht="15" customHeight="1">
      <c r="B915" s="7" t="s">
        <v>1516</v>
      </c>
      <c r="C915" t="s">
        <v>29</v>
      </c>
      <c r="D915">
        <f t="shared" si="36"/>
        <v>17</v>
      </c>
      <c r="U915" t="s">
        <v>1517</v>
      </c>
    </row>
    <row r="916" spans="2:21" ht="15" customHeight="1">
      <c r="B916" s="7" t="s">
        <v>1518</v>
      </c>
      <c r="C916" t="s">
        <v>29</v>
      </c>
      <c r="D916">
        <f t="shared" si="36"/>
        <v>12</v>
      </c>
      <c r="U916" t="s">
        <v>1519</v>
      </c>
    </row>
    <row r="917" spans="2:21" ht="15" customHeight="1">
      <c r="B917" s="7" t="s">
        <v>1520</v>
      </c>
      <c r="C917" t="s">
        <v>29</v>
      </c>
      <c r="D917">
        <f t="shared" si="36"/>
        <v>10</v>
      </c>
      <c r="U917" t="s">
        <v>1521</v>
      </c>
    </row>
    <row r="918" spans="2:21" ht="15" customHeight="1">
      <c r="B918" s="7" t="s">
        <v>1522</v>
      </c>
      <c r="C918" t="s">
        <v>29</v>
      </c>
      <c r="D918">
        <f t="shared" si="36"/>
        <v>16</v>
      </c>
      <c r="U918" t="s">
        <v>1523</v>
      </c>
    </row>
    <row r="919" spans="2:21" ht="15" customHeight="1">
      <c r="B919" s="7" t="s">
        <v>1524</v>
      </c>
      <c r="C919" t="s">
        <v>29</v>
      </c>
      <c r="D919">
        <f t="shared" si="36"/>
        <v>18</v>
      </c>
      <c r="U919" t="s">
        <v>1525</v>
      </c>
    </row>
    <row r="920" spans="2:21" ht="15" customHeight="1">
      <c r="B920" s="7" t="s">
        <v>1526</v>
      </c>
      <c r="C920" t="s">
        <v>29</v>
      </c>
      <c r="D920">
        <f t="shared" si="36"/>
        <v>15</v>
      </c>
      <c r="U920" t="s">
        <v>1527</v>
      </c>
    </row>
    <row r="921" spans="2:21" ht="15" customHeight="1">
      <c r="B921" s="7" t="s">
        <v>1528</v>
      </c>
      <c r="C921" t="s">
        <v>29</v>
      </c>
      <c r="D921">
        <f t="shared" si="36"/>
        <v>10</v>
      </c>
      <c r="U921" t="s">
        <v>1529</v>
      </c>
    </row>
    <row r="922" spans="2:21" ht="15" customHeight="1">
      <c r="B922" s="7" t="s">
        <v>1530</v>
      </c>
      <c r="C922" t="s">
        <v>29</v>
      </c>
      <c r="D922">
        <f t="shared" si="36"/>
        <v>14</v>
      </c>
      <c r="U922" t="s">
        <v>1531</v>
      </c>
    </row>
    <row r="923" spans="2:21" ht="15" customHeight="1">
      <c r="B923" s="7" t="s">
        <v>1532</v>
      </c>
      <c r="C923" t="s">
        <v>29</v>
      </c>
      <c r="D923">
        <f t="shared" si="36"/>
        <v>11</v>
      </c>
      <c r="U923" t="s">
        <v>1533</v>
      </c>
    </row>
    <row r="924" spans="2:21" ht="15" customHeight="1">
      <c r="B924" s="7" t="s">
        <v>1534</v>
      </c>
      <c r="C924" t="s">
        <v>29</v>
      </c>
      <c r="D924">
        <f t="shared" si="36"/>
        <v>13</v>
      </c>
      <c r="U924" t="s">
        <v>1535</v>
      </c>
    </row>
    <row r="925" spans="2:21" ht="15" customHeight="1">
      <c r="B925" s="7" t="s">
        <v>1536</v>
      </c>
      <c r="C925" t="s">
        <v>29</v>
      </c>
      <c r="D925">
        <f t="shared" si="36"/>
        <v>12</v>
      </c>
      <c r="U925" t="s">
        <v>1537</v>
      </c>
    </row>
    <row r="926" spans="2:21" ht="15" customHeight="1">
      <c r="B926" s="7" t="s">
        <v>1538</v>
      </c>
      <c r="C926" t="s">
        <v>29</v>
      </c>
      <c r="D926">
        <f t="shared" si="36"/>
        <v>12</v>
      </c>
      <c r="U926" t="s">
        <v>1539</v>
      </c>
    </row>
    <row r="927" spans="2:21" ht="15" customHeight="1">
      <c r="B927" s="7" t="s">
        <v>1540</v>
      </c>
      <c r="C927" t="s">
        <v>29</v>
      </c>
      <c r="D927">
        <f t="shared" si="36"/>
        <v>12</v>
      </c>
      <c r="U927" t="s">
        <v>1541</v>
      </c>
    </row>
    <row r="928" spans="2:21" ht="15" customHeight="1">
      <c r="B928" s="7" t="s">
        <v>1542</v>
      </c>
      <c r="C928" t="s">
        <v>29</v>
      </c>
      <c r="D928">
        <f t="shared" si="36"/>
        <v>13</v>
      </c>
      <c r="U928" t="s">
        <v>1543</v>
      </c>
    </row>
    <row r="929" spans="2:21" ht="15" customHeight="1">
      <c r="B929" s="7" t="s">
        <v>1544</v>
      </c>
      <c r="C929" t="s">
        <v>29</v>
      </c>
      <c r="D929">
        <f t="shared" si="36"/>
        <v>12</v>
      </c>
      <c r="U929" t="s">
        <v>1545</v>
      </c>
    </row>
    <row r="930" spans="2:21" ht="15" customHeight="1">
      <c r="B930" s="7" t="s">
        <v>1546</v>
      </c>
      <c r="C930" t="s">
        <v>29</v>
      </c>
      <c r="D930">
        <f t="shared" si="36"/>
        <v>11</v>
      </c>
      <c r="U930" t="s">
        <v>1547</v>
      </c>
    </row>
    <row r="931" spans="2:21" ht="15" customHeight="1">
      <c r="B931" s="7" t="s">
        <v>1548</v>
      </c>
      <c r="C931" t="s">
        <v>29</v>
      </c>
      <c r="D931">
        <f t="shared" si="36"/>
        <v>14</v>
      </c>
      <c r="U931" t="s">
        <v>1549</v>
      </c>
    </row>
    <row r="932" spans="2:21" ht="15" customHeight="1">
      <c r="B932" s="7" t="s">
        <v>1550</v>
      </c>
      <c r="C932" t="s">
        <v>29</v>
      </c>
      <c r="D932">
        <f t="shared" si="36"/>
        <v>10</v>
      </c>
      <c r="U932" t="s">
        <v>1551</v>
      </c>
    </row>
    <row r="933" spans="2:21" ht="15" customHeight="1">
      <c r="B933" s="7" t="s">
        <v>1552</v>
      </c>
      <c r="C933" t="s">
        <v>29</v>
      </c>
      <c r="D933">
        <f t="shared" si="36"/>
        <v>11</v>
      </c>
      <c r="U933" t="s">
        <v>1553</v>
      </c>
    </row>
    <row r="934" spans="2:21" ht="15" customHeight="1">
      <c r="B934" s="7" t="s">
        <v>1554</v>
      </c>
      <c r="C934" t="s">
        <v>29</v>
      </c>
      <c r="D934">
        <f t="shared" si="36"/>
        <v>14</v>
      </c>
      <c r="U934" t="s">
        <v>1555</v>
      </c>
    </row>
    <row r="935" spans="2:21" ht="15" customHeight="1">
      <c r="B935" s="7" t="s">
        <v>1556</v>
      </c>
      <c r="C935" t="s">
        <v>29</v>
      </c>
      <c r="D935">
        <f t="shared" si="36"/>
        <v>12</v>
      </c>
      <c r="U935" t="s">
        <v>1557</v>
      </c>
    </row>
    <row r="936" spans="2:21" ht="15" customHeight="1">
      <c r="B936" s="7" t="s">
        <v>1558</v>
      </c>
      <c r="C936" t="s">
        <v>29</v>
      </c>
      <c r="D936">
        <f t="shared" si="36"/>
        <v>16</v>
      </c>
      <c r="U936" t="s">
        <v>1559</v>
      </c>
    </row>
    <row r="937" spans="2:21" ht="15" customHeight="1">
      <c r="B937" s="7" t="s">
        <v>1560</v>
      </c>
      <c r="C937" t="s">
        <v>29</v>
      </c>
      <c r="D937">
        <f t="shared" si="36"/>
        <v>15</v>
      </c>
      <c r="U937" t="s">
        <v>1561</v>
      </c>
    </row>
    <row r="938" spans="2:21" ht="15" customHeight="1">
      <c r="B938" s="7" t="s">
        <v>1562</v>
      </c>
      <c r="C938" t="s">
        <v>29</v>
      </c>
      <c r="D938">
        <f t="shared" si="36"/>
        <v>17</v>
      </c>
      <c r="U938" t="s">
        <v>1563</v>
      </c>
    </row>
    <row r="939" spans="2:21" ht="15" customHeight="1">
      <c r="B939" s="7" t="s">
        <v>1564</v>
      </c>
      <c r="C939" t="s">
        <v>29</v>
      </c>
      <c r="D939">
        <f t="shared" si="36"/>
        <v>12</v>
      </c>
      <c r="U939" t="s">
        <v>1565</v>
      </c>
    </row>
    <row r="940" spans="2:21" ht="15" customHeight="1">
      <c r="B940" s="7" t="s">
        <v>1566</v>
      </c>
      <c r="C940" t="s">
        <v>29</v>
      </c>
      <c r="D940">
        <f t="shared" si="36"/>
        <v>15</v>
      </c>
      <c r="U940" t="s">
        <v>1567</v>
      </c>
    </row>
    <row r="941" spans="2:21" ht="15" customHeight="1">
      <c r="B941" s="7" t="s">
        <v>1568</v>
      </c>
      <c r="C941" t="s">
        <v>29</v>
      </c>
      <c r="D941">
        <f t="shared" si="36"/>
        <v>11</v>
      </c>
      <c r="U941" t="s">
        <v>1569</v>
      </c>
    </row>
    <row r="942" spans="2:21" ht="15" customHeight="1">
      <c r="B942" s="7" t="s">
        <v>1570</v>
      </c>
      <c r="C942" t="s">
        <v>29</v>
      </c>
      <c r="D942">
        <f t="shared" si="36"/>
        <v>13</v>
      </c>
      <c r="U942" t="s">
        <v>1571</v>
      </c>
    </row>
    <row r="943" spans="2:21" ht="15" customHeight="1">
      <c r="B943" s="7" t="s">
        <v>1572</v>
      </c>
      <c r="C943" t="s">
        <v>29</v>
      </c>
      <c r="D943">
        <f t="shared" si="36"/>
        <v>11</v>
      </c>
      <c r="U943" t="s">
        <v>1573</v>
      </c>
    </row>
    <row r="944" spans="2:21" ht="15" customHeight="1">
      <c r="B944" s="7" t="s">
        <v>1574</v>
      </c>
      <c r="C944" t="s">
        <v>29</v>
      </c>
      <c r="D944">
        <f t="shared" si="36"/>
        <v>14</v>
      </c>
      <c r="U944" t="s">
        <v>1575</v>
      </c>
    </row>
    <row r="945" spans="2:21" ht="15" customHeight="1">
      <c r="B945" s="7" t="s">
        <v>1576</v>
      </c>
      <c r="C945" t="s">
        <v>29</v>
      </c>
      <c r="D945">
        <f t="shared" si="36"/>
        <v>11</v>
      </c>
      <c r="U945" t="s">
        <v>1577</v>
      </c>
    </row>
    <row r="946" spans="2:21" ht="15" customHeight="1">
      <c r="B946" s="7" t="s">
        <v>1578</v>
      </c>
      <c r="C946" t="s">
        <v>29</v>
      </c>
      <c r="D946">
        <f t="shared" si="36"/>
        <v>14</v>
      </c>
      <c r="U946" t="s">
        <v>1579</v>
      </c>
    </row>
    <row r="947" spans="2:21" ht="15" customHeight="1">
      <c r="B947" s="7" t="s">
        <v>1580</v>
      </c>
      <c r="C947" t="s">
        <v>29</v>
      </c>
      <c r="D947">
        <f t="shared" si="36"/>
        <v>11</v>
      </c>
      <c r="U947" t="s">
        <v>1581</v>
      </c>
    </row>
    <row r="948" spans="2:21" ht="15" customHeight="1">
      <c r="B948" s="7" t="s">
        <v>1582</v>
      </c>
      <c r="C948" t="s">
        <v>29</v>
      </c>
      <c r="D948">
        <f t="shared" si="36"/>
        <v>11</v>
      </c>
      <c r="U948" t="s">
        <v>1583</v>
      </c>
    </row>
    <row r="949" spans="2:21" ht="15" customHeight="1">
      <c r="B949" s="7" t="s">
        <v>1584</v>
      </c>
      <c r="C949" t="s">
        <v>29</v>
      </c>
      <c r="D949">
        <f t="shared" si="36"/>
        <v>13</v>
      </c>
      <c r="U949" t="s">
        <v>1585</v>
      </c>
    </row>
    <row r="950" spans="2:21" ht="15" customHeight="1">
      <c r="B950" s="7" t="s">
        <v>1586</v>
      </c>
      <c r="C950" t="s">
        <v>29</v>
      </c>
      <c r="D950">
        <f t="shared" si="36"/>
        <v>14</v>
      </c>
      <c r="U950" t="s">
        <v>1587</v>
      </c>
    </row>
    <row r="951" spans="2:21" ht="15" customHeight="1">
      <c r="B951" s="7" t="s">
        <v>1588</v>
      </c>
      <c r="C951" t="s">
        <v>29</v>
      </c>
      <c r="D951">
        <f t="shared" si="36"/>
        <v>16</v>
      </c>
      <c r="U951" t="s">
        <v>1589</v>
      </c>
    </row>
    <row r="952" spans="2:21" ht="15" customHeight="1">
      <c r="B952" s="7" t="s">
        <v>1590</v>
      </c>
      <c r="C952" t="s">
        <v>29</v>
      </c>
      <c r="D952">
        <f t="shared" si="36"/>
        <v>14</v>
      </c>
      <c r="U952" t="s">
        <v>1591</v>
      </c>
    </row>
    <row r="953" spans="2:21" ht="15" customHeight="1">
      <c r="B953" s="7" t="s">
        <v>1592</v>
      </c>
      <c r="C953" t="s">
        <v>29</v>
      </c>
      <c r="D953">
        <f t="shared" si="36"/>
        <v>13</v>
      </c>
      <c r="U953" t="s">
        <v>1593</v>
      </c>
    </row>
    <row r="954" spans="2:21" ht="15" customHeight="1">
      <c r="B954" s="7" t="s">
        <v>1594</v>
      </c>
      <c r="C954" t="s">
        <v>29</v>
      </c>
      <c r="D954">
        <f t="shared" si="36"/>
        <v>15</v>
      </c>
      <c r="U954" t="s">
        <v>1595</v>
      </c>
    </row>
    <row r="955" spans="2:21" ht="15" customHeight="1">
      <c r="B955" s="7" t="s">
        <v>1596</v>
      </c>
      <c r="C955" t="s">
        <v>29</v>
      </c>
      <c r="D955">
        <f t="shared" si="36"/>
        <v>16</v>
      </c>
      <c r="U955" t="s">
        <v>1597</v>
      </c>
    </row>
    <row r="956" spans="2:21" ht="15" customHeight="1">
      <c r="B956" s="7" t="s">
        <v>1598</v>
      </c>
      <c r="C956" t="s">
        <v>29</v>
      </c>
      <c r="D956">
        <f t="shared" si="36"/>
        <v>12</v>
      </c>
      <c r="U956" t="s">
        <v>1599</v>
      </c>
    </row>
    <row r="957" spans="2:21" ht="15" customHeight="1">
      <c r="B957" s="7" t="s">
        <v>1600</v>
      </c>
      <c r="C957" t="s">
        <v>29</v>
      </c>
      <c r="D957">
        <f t="shared" si="36"/>
        <v>15</v>
      </c>
      <c r="U957" t="s">
        <v>1601</v>
      </c>
    </row>
    <row r="958" spans="2:21" ht="15" customHeight="1">
      <c r="B958" s="7" t="s">
        <v>1602</v>
      </c>
      <c r="C958" t="s">
        <v>29</v>
      </c>
      <c r="D958">
        <f t="shared" si="36"/>
        <v>14</v>
      </c>
      <c r="U958" t="s">
        <v>1603</v>
      </c>
    </row>
    <row r="959" spans="2:21" ht="15" customHeight="1">
      <c r="B959" s="7" t="s">
        <v>1604</v>
      </c>
      <c r="C959" t="s">
        <v>29</v>
      </c>
      <c r="D959">
        <f t="shared" si="36"/>
        <v>14</v>
      </c>
      <c r="U959" t="s">
        <v>1605</v>
      </c>
    </row>
    <row r="960" spans="2:21" ht="15" customHeight="1">
      <c r="B960" s="7" t="s">
        <v>1606</v>
      </c>
      <c r="C960" t="s">
        <v>29</v>
      </c>
      <c r="D960">
        <f t="shared" si="36"/>
        <v>12</v>
      </c>
      <c r="U960" t="s">
        <v>1607</v>
      </c>
    </row>
    <row r="961" spans="2:21" ht="15" customHeight="1">
      <c r="B961" s="7" t="s">
        <v>1608</v>
      </c>
      <c r="C961" t="s">
        <v>29</v>
      </c>
      <c r="D961">
        <f t="shared" si="36"/>
        <v>13</v>
      </c>
      <c r="U961" t="s">
        <v>1609</v>
      </c>
    </row>
    <row r="962" spans="2:21" ht="15" customHeight="1">
      <c r="B962" s="7" t="s">
        <v>1610</v>
      </c>
      <c r="C962" t="s">
        <v>29</v>
      </c>
      <c r="D962">
        <f t="shared" si="36"/>
        <v>14</v>
      </c>
      <c r="U962" t="s">
        <v>1611</v>
      </c>
    </row>
    <row r="963" spans="2:21" ht="15" customHeight="1">
      <c r="B963" s="7" t="s">
        <v>1612</v>
      </c>
      <c r="C963" t="s">
        <v>29</v>
      </c>
      <c r="D963">
        <f t="shared" si="36"/>
        <v>13</v>
      </c>
      <c r="U963" t="s">
        <v>1613</v>
      </c>
    </row>
    <row r="964" spans="2:21" ht="15" customHeight="1">
      <c r="B964" s="7" t="s">
        <v>1614</v>
      </c>
      <c r="C964" t="s">
        <v>29</v>
      </c>
      <c r="D964">
        <f t="shared" si="36"/>
        <v>12</v>
      </c>
      <c r="U964" t="s">
        <v>1615</v>
      </c>
    </row>
    <row r="965" spans="2:21" ht="15" customHeight="1">
      <c r="B965" s="7" t="s">
        <v>1616</v>
      </c>
      <c r="C965" t="s">
        <v>29</v>
      </c>
      <c r="D965">
        <f t="shared" si="36"/>
        <v>12</v>
      </c>
      <c r="U965" t="s">
        <v>1617</v>
      </c>
    </row>
    <row r="966" spans="2:21" ht="15" customHeight="1">
      <c r="B966" s="7" t="s">
        <v>1618</v>
      </c>
      <c r="C966" t="s">
        <v>29</v>
      </c>
      <c r="D966">
        <f t="shared" si="36"/>
        <v>16</v>
      </c>
      <c r="U966" t="s">
        <v>1619</v>
      </c>
    </row>
    <row r="967" spans="2:21" ht="15" customHeight="1">
      <c r="B967" s="7" t="s">
        <v>1620</v>
      </c>
      <c r="C967" t="s">
        <v>29</v>
      </c>
      <c r="D967">
        <f t="shared" si="36"/>
        <v>11</v>
      </c>
      <c r="U967" t="s">
        <v>1621</v>
      </c>
    </row>
    <row r="968" spans="2:21" ht="15" customHeight="1">
      <c r="B968" s="7" t="s">
        <v>1622</v>
      </c>
      <c r="C968" t="s">
        <v>29</v>
      </c>
      <c r="D968">
        <f t="shared" si="36"/>
        <v>13</v>
      </c>
      <c r="U968" t="s">
        <v>1623</v>
      </c>
    </row>
    <row r="969" spans="2:21" ht="15" customHeight="1">
      <c r="B969" s="7" t="s">
        <v>1624</v>
      </c>
      <c r="C969" t="s">
        <v>29</v>
      </c>
      <c r="D969">
        <f t="shared" si="36"/>
        <v>16</v>
      </c>
      <c r="U969" t="s">
        <v>1625</v>
      </c>
    </row>
    <row r="970" spans="2:21" ht="15" customHeight="1">
      <c r="B970" s="7" t="s">
        <v>1626</v>
      </c>
      <c r="C970" t="s">
        <v>29</v>
      </c>
      <c r="D970">
        <f t="shared" si="36"/>
        <v>13</v>
      </c>
      <c r="U970" t="s">
        <v>1627</v>
      </c>
    </row>
    <row r="971" spans="2:21" ht="15" customHeight="1">
      <c r="B971" s="7" t="s">
        <v>1628</v>
      </c>
      <c r="C971" t="s">
        <v>29</v>
      </c>
      <c r="D971">
        <f t="shared" si="36"/>
        <v>12</v>
      </c>
      <c r="U971" t="s">
        <v>1629</v>
      </c>
    </row>
    <row r="972" spans="2:21" ht="15" customHeight="1">
      <c r="B972" s="7" t="s">
        <v>1630</v>
      </c>
      <c r="C972" t="s">
        <v>29</v>
      </c>
      <c r="D972">
        <f t="shared" si="36"/>
        <v>13</v>
      </c>
      <c r="U972" t="s">
        <v>1631</v>
      </c>
    </row>
    <row r="973" spans="2:21" ht="15" customHeight="1">
      <c r="B973" s="7" t="s">
        <v>1632</v>
      </c>
      <c r="C973" t="s">
        <v>29</v>
      </c>
      <c r="D973">
        <f t="shared" si="36"/>
        <v>8</v>
      </c>
      <c r="U973" t="s">
        <v>1633</v>
      </c>
    </row>
    <row r="974" spans="2:21" ht="15" customHeight="1">
      <c r="B974" s="7" t="s">
        <v>1634</v>
      </c>
      <c r="C974" t="s">
        <v>29</v>
      </c>
      <c r="D974">
        <f t="shared" ref="D974:D1037" si="37">LEN(B974)</f>
        <v>10</v>
      </c>
      <c r="U974" t="s">
        <v>1635</v>
      </c>
    </row>
    <row r="975" spans="2:21" ht="15" customHeight="1">
      <c r="B975" s="7" t="s">
        <v>1636</v>
      </c>
      <c r="C975" t="s">
        <v>29</v>
      </c>
      <c r="D975">
        <f t="shared" si="37"/>
        <v>14</v>
      </c>
      <c r="U975" t="s">
        <v>1637</v>
      </c>
    </row>
    <row r="976" spans="2:21" ht="15" customHeight="1">
      <c r="B976" s="7" t="s">
        <v>1638</v>
      </c>
      <c r="C976" t="s">
        <v>29</v>
      </c>
      <c r="D976">
        <f t="shared" si="37"/>
        <v>13</v>
      </c>
      <c r="U976" t="s">
        <v>1639</v>
      </c>
    </row>
    <row r="977" spans="2:21" ht="15" customHeight="1">
      <c r="B977" s="7" t="s">
        <v>1640</v>
      </c>
      <c r="C977" t="s">
        <v>29</v>
      </c>
      <c r="D977">
        <f t="shared" si="37"/>
        <v>17</v>
      </c>
      <c r="U977" t="s">
        <v>1641</v>
      </c>
    </row>
    <row r="978" spans="2:21" ht="15" customHeight="1">
      <c r="B978" s="7" t="s">
        <v>1642</v>
      </c>
      <c r="C978" t="s">
        <v>29</v>
      </c>
      <c r="D978">
        <f t="shared" si="37"/>
        <v>15</v>
      </c>
      <c r="U978" t="s">
        <v>1643</v>
      </c>
    </row>
    <row r="979" spans="2:21" ht="15" customHeight="1">
      <c r="B979" s="7" t="s">
        <v>1644</v>
      </c>
      <c r="C979" t="s">
        <v>29</v>
      </c>
      <c r="D979">
        <f t="shared" si="37"/>
        <v>12</v>
      </c>
      <c r="U979" t="s">
        <v>1645</v>
      </c>
    </row>
    <row r="980" spans="2:21" ht="15" customHeight="1">
      <c r="B980" s="7" t="s">
        <v>1646</v>
      </c>
      <c r="C980" t="s">
        <v>29</v>
      </c>
      <c r="D980">
        <f t="shared" si="37"/>
        <v>12</v>
      </c>
      <c r="U980" t="s">
        <v>1647</v>
      </c>
    </row>
    <row r="981" spans="2:21" ht="15" customHeight="1">
      <c r="B981" s="7" t="s">
        <v>1648</v>
      </c>
      <c r="C981" t="s">
        <v>29</v>
      </c>
      <c r="D981">
        <f t="shared" si="37"/>
        <v>13</v>
      </c>
      <c r="U981" t="s">
        <v>1649</v>
      </c>
    </row>
    <row r="982" spans="2:21" ht="15" customHeight="1">
      <c r="B982" s="7" t="s">
        <v>1650</v>
      </c>
      <c r="C982" t="s">
        <v>29</v>
      </c>
      <c r="D982">
        <f t="shared" si="37"/>
        <v>11</v>
      </c>
      <c r="U982" t="s">
        <v>1651</v>
      </c>
    </row>
    <row r="983" spans="2:21" ht="15" customHeight="1">
      <c r="B983" s="7" t="s">
        <v>1652</v>
      </c>
      <c r="C983" t="s">
        <v>29</v>
      </c>
      <c r="D983">
        <f t="shared" si="37"/>
        <v>15</v>
      </c>
      <c r="U983" t="s">
        <v>1653</v>
      </c>
    </row>
    <row r="984" spans="2:21" ht="15" customHeight="1">
      <c r="B984" s="7" t="s">
        <v>1654</v>
      </c>
      <c r="C984" t="s">
        <v>29</v>
      </c>
      <c r="D984">
        <f t="shared" si="37"/>
        <v>11</v>
      </c>
      <c r="U984" t="s">
        <v>1655</v>
      </c>
    </row>
    <row r="985" spans="2:21" ht="15" customHeight="1">
      <c r="B985" s="7" t="s">
        <v>1656</v>
      </c>
      <c r="C985" t="s">
        <v>29</v>
      </c>
      <c r="D985">
        <f t="shared" si="37"/>
        <v>14</v>
      </c>
      <c r="U985" t="s">
        <v>1657</v>
      </c>
    </row>
    <row r="986" spans="2:21" ht="15" customHeight="1">
      <c r="B986" s="7" t="s">
        <v>1658</v>
      </c>
      <c r="C986" t="s">
        <v>29</v>
      </c>
      <c r="D986">
        <f t="shared" si="37"/>
        <v>12</v>
      </c>
      <c r="U986" t="s">
        <v>1659</v>
      </c>
    </row>
    <row r="987" spans="2:21" ht="15" customHeight="1">
      <c r="B987" s="7" t="s">
        <v>1660</v>
      </c>
      <c r="C987" t="s">
        <v>29</v>
      </c>
      <c r="D987">
        <f t="shared" si="37"/>
        <v>12</v>
      </c>
      <c r="U987" t="s">
        <v>1661</v>
      </c>
    </row>
    <row r="988" spans="2:21" ht="15" customHeight="1">
      <c r="B988" s="7" t="s">
        <v>1662</v>
      </c>
      <c r="C988" t="s">
        <v>29</v>
      </c>
      <c r="D988">
        <f t="shared" si="37"/>
        <v>12</v>
      </c>
      <c r="U988" t="s">
        <v>1663</v>
      </c>
    </row>
    <row r="989" spans="2:21" ht="15" customHeight="1">
      <c r="B989" s="7" t="s">
        <v>1664</v>
      </c>
      <c r="C989" t="s">
        <v>29</v>
      </c>
      <c r="D989">
        <f t="shared" si="37"/>
        <v>11</v>
      </c>
      <c r="U989" t="s">
        <v>1665</v>
      </c>
    </row>
    <row r="990" spans="2:21" ht="15" customHeight="1">
      <c r="B990" s="7" t="s">
        <v>1666</v>
      </c>
      <c r="C990" t="s">
        <v>29</v>
      </c>
      <c r="D990">
        <f t="shared" si="37"/>
        <v>16</v>
      </c>
      <c r="U990" t="s">
        <v>1667</v>
      </c>
    </row>
    <row r="991" spans="2:21" ht="15" customHeight="1">
      <c r="B991" s="7" t="s">
        <v>1668</v>
      </c>
      <c r="C991" t="s">
        <v>29</v>
      </c>
      <c r="D991">
        <f t="shared" si="37"/>
        <v>13</v>
      </c>
      <c r="U991" t="s">
        <v>1669</v>
      </c>
    </row>
    <row r="992" spans="2:21" ht="15" customHeight="1">
      <c r="B992" s="7" t="s">
        <v>1670</v>
      </c>
      <c r="C992" t="s">
        <v>29</v>
      </c>
      <c r="D992">
        <f t="shared" si="37"/>
        <v>16</v>
      </c>
      <c r="U992" t="s">
        <v>1671</v>
      </c>
    </row>
    <row r="993" spans="2:21" ht="15" customHeight="1">
      <c r="B993" s="7" t="s">
        <v>1672</v>
      </c>
      <c r="C993" t="s">
        <v>29</v>
      </c>
      <c r="D993">
        <f t="shared" si="37"/>
        <v>12</v>
      </c>
      <c r="U993" t="s">
        <v>1673</v>
      </c>
    </row>
    <row r="994" spans="2:21" ht="15" customHeight="1">
      <c r="B994" s="7" t="s">
        <v>1674</v>
      </c>
      <c r="C994" t="s">
        <v>29</v>
      </c>
      <c r="D994">
        <f t="shared" si="37"/>
        <v>15</v>
      </c>
      <c r="U994" t="s">
        <v>1675</v>
      </c>
    </row>
    <row r="995" spans="2:21" ht="15" customHeight="1">
      <c r="B995" s="7" t="s">
        <v>1676</v>
      </c>
      <c r="C995" t="s">
        <v>29</v>
      </c>
      <c r="D995">
        <f t="shared" si="37"/>
        <v>15</v>
      </c>
      <c r="U995" t="s">
        <v>1677</v>
      </c>
    </row>
    <row r="996" spans="2:21" ht="15" customHeight="1">
      <c r="B996" s="7" t="s">
        <v>1678</v>
      </c>
      <c r="C996" t="s">
        <v>29</v>
      </c>
      <c r="D996">
        <f t="shared" si="37"/>
        <v>13</v>
      </c>
      <c r="U996" t="s">
        <v>1679</v>
      </c>
    </row>
    <row r="997" spans="2:21" ht="15" customHeight="1">
      <c r="B997" s="7" t="s">
        <v>1680</v>
      </c>
      <c r="C997" t="s">
        <v>29</v>
      </c>
      <c r="D997">
        <f t="shared" si="37"/>
        <v>14</v>
      </c>
      <c r="U997" t="s">
        <v>1681</v>
      </c>
    </row>
    <row r="998" spans="2:21" ht="15" customHeight="1">
      <c r="B998" s="7" t="s">
        <v>1682</v>
      </c>
      <c r="C998" t="s">
        <v>29</v>
      </c>
      <c r="D998">
        <f t="shared" si="37"/>
        <v>17</v>
      </c>
      <c r="U998" t="s">
        <v>1683</v>
      </c>
    </row>
    <row r="999" spans="2:21" ht="15" customHeight="1">
      <c r="B999" s="7" t="s">
        <v>1684</v>
      </c>
      <c r="C999" t="s">
        <v>29</v>
      </c>
      <c r="D999">
        <f t="shared" si="37"/>
        <v>10</v>
      </c>
      <c r="U999" t="s">
        <v>1685</v>
      </c>
    </row>
    <row r="1000" spans="2:21" ht="15" customHeight="1">
      <c r="B1000" s="7" t="s">
        <v>1686</v>
      </c>
      <c r="C1000" t="s">
        <v>29</v>
      </c>
      <c r="D1000">
        <f t="shared" si="37"/>
        <v>12</v>
      </c>
      <c r="U1000" t="s">
        <v>1687</v>
      </c>
    </row>
    <row r="1001" spans="2:21" ht="15" customHeight="1">
      <c r="B1001" s="7" t="s">
        <v>1688</v>
      </c>
      <c r="C1001" t="s">
        <v>29</v>
      </c>
      <c r="D1001">
        <f t="shared" si="37"/>
        <v>13</v>
      </c>
      <c r="U1001" t="s">
        <v>1689</v>
      </c>
    </row>
    <row r="1002" spans="2:21" ht="15" customHeight="1">
      <c r="B1002" s="7" t="s">
        <v>1690</v>
      </c>
      <c r="C1002" t="s">
        <v>29</v>
      </c>
      <c r="D1002">
        <f t="shared" si="37"/>
        <v>16</v>
      </c>
      <c r="U1002" t="s">
        <v>1691</v>
      </c>
    </row>
    <row r="1003" spans="2:21" ht="15" customHeight="1">
      <c r="B1003" s="7" t="s">
        <v>1692</v>
      </c>
      <c r="C1003" t="s">
        <v>29</v>
      </c>
      <c r="D1003">
        <f t="shared" si="37"/>
        <v>16</v>
      </c>
      <c r="U1003" t="s">
        <v>1693</v>
      </c>
    </row>
    <row r="1004" spans="2:21" ht="15" customHeight="1">
      <c r="B1004" s="7" t="s">
        <v>1694</v>
      </c>
      <c r="C1004" t="s">
        <v>29</v>
      </c>
      <c r="D1004">
        <f t="shared" si="37"/>
        <v>21</v>
      </c>
      <c r="U1004" t="s">
        <v>1695</v>
      </c>
    </row>
    <row r="1005" spans="2:21" ht="15" customHeight="1">
      <c r="B1005" s="7" t="s">
        <v>1696</v>
      </c>
      <c r="C1005" t="s">
        <v>29</v>
      </c>
      <c r="D1005">
        <f t="shared" si="37"/>
        <v>17</v>
      </c>
      <c r="U1005" t="s">
        <v>1697</v>
      </c>
    </row>
    <row r="1006" spans="2:21" ht="15" customHeight="1">
      <c r="B1006" s="7" t="s">
        <v>1698</v>
      </c>
      <c r="C1006" t="s">
        <v>29</v>
      </c>
      <c r="D1006">
        <f t="shared" si="37"/>
        <v>18</v>
      </c>
      <c r="U1006" t="s">
        <v>1699</v>
      </c>
    </row>
    <row r="1007" spans="2:21" ht="15" customHeight="1">
      <c r="B1007" s="7" t="s">
        <v>1700</v>
      </c>
      <c r="C1007" t="s">
        <v>29</v>
      </c>
      <c r="D1007">
        <f t="shared" si="37"/>
        <v>19</v>
      </c>
      <c r="U1007" t="s">
        <v>1701</v>
      </c>
    </row>
    <row r="1008" spans="2:21" ht="15" customHeight="1">
      <c r="B1008" s="7" t="s">
        <v>1702</v>
      </c>
      <c r="C1008" t="s">
        <v>29</v>
      </c>
      <c r="D1008">
        <f t="shared" si="37"/>
        <v>16</v>
      </c>
      <c r="U1008" t="s">
        <v>1703</v>
      </c>
    </row>
    <row r="1009" spans="2:21" ht="15" customHeight="1">
      <c r="B1009" s="7" t="s">
        <v>1704</v>
      </c>
      <c r="C1009" t="s">
        <v>29</v>
      </c>
      <c r="D1009">
        <f t="shared" si="37"/>
        <v>20</v>
      </c>
      <c r="U1009" t="s">
        <v>1705</v>
      </c>
    </row>
    <row r="1010" spans="2:21" ht="15" customHeight="1">
      <c r="B1010" s="7" t="s">
        <v>1706</v>
      </c>
      <c r="C1010" t="s">
        <v>29</v>
      </c>
      <c r="D1010">
        <f t="shared" si="37"/>
        <v>19</v>
      </c>
      <c r="U1010" t="s">
        <v>1707</v>
      </c>
    </row>
    <row r="1011" spans="2:21" ht="15" customHeight="1">
      <c r="B1011" s="7" t="s">
        <v>1708</v>
      </c>
      <c r="C1011" t="s">
        <v>29</v>
      </c>
      <c r="D1011">
        <f t="shared" si="37"/>
        <v>20</v>
      </c>
      <c r="U1011" t="s">
        <v>1709</v>
      </c>
    </row>
    <row r="1012" spans="2:21" ht="15" customHeight="1">
      <c r="B1012" s="7" t="s">
        <v>1710</v>
      </c>
      <c r="C1012" t="s">
        <v>29</v>
      </c>
      <c r="D1012">
        <f t="shared" si="37"/>
        <v>17</v>
      </c>
      <c r="U1012" t="s">
        <v>1711</v>
      </c>
    </row>
    <row r="1013" spans="2:21" ht="15" customHeight="1">
      <c r="B1013" s="7" t="s">
        <v>1712</v>
      </c>
      <c r="C1013" t="s">
        <v>29</v>
      </c>
      <c r="D1013">
        <f t="shared" si="37"/>
        <v>18</v>
      </c>
      <c r="U1013" t="s">
        <v>1713</v>
      </c>
    </row>
    <row r="1014" spans="2:21" ht="15" customHeight="1">
      <c r="B1014" s="7" t="s">
        <v>1714</v>
      </c>
      <c r="C1014" t="s">
        <v>29</v>
      </c>
      <c r="D1014">
        <f t="shared" si="37"/>
        <v>16</v>
      </c>
      <c r="U1014" t="s">
        <v>1715</v>
      </c>
    </row>
    <row r="1015" spans="2:21" ht="15" customHeight="1">
      <c r="B1015" s="7" t="s">
        <v>1716</v>
      </c>
      <c r="C1015" t="s">
        <v>29</v>
      </c>
      <c r="D1015">
        <f t="shared" si="37"/>
        <v>15</v>
      </c>
      <c r="U1015" t="s">
        <v>1717</v>
      </c>
    </row>
    <row r="1016" spans="2:21" ht="15" customHeight="1">
      <c r="B1016" s="7" t="s">
        <v>1718</v>
      </c>
      <c r="C1016" t="s">
        <v>29</v>
      </c>
      <c r="D1016">
        <f t="shared" si="37"/>
        <v>20</v>
      </c>
      <c r="U1016" t="s">
        <v>1719</v>
      </c>
    </row>
    <row r="1017" spans="2:21" ht="15" customHeight="1">
      <c r="B1017" s="7" t="s">
        <v>1720</v>
      </c>
      <c r="C1017" t="s">
        <v>29</v>
      </c>
      <c r="D1017">
        <f t="shared" si="37"/>
        <v>17</v>
      </c>
      <c r="U1017" t="s">
        <v>1721</v>
      </c>
    </row>
    <row r="1018" spans="2:21" ht="15" customHeight="1">
      <c r="B1018" s="7" t="s">
        <v>1722</v>
      </c>
      <c r="C1018" t="s">
        <v>29</v>
      </c>
      <c r="D1018">
        <f t="shared" si="37"/>
        <v>17</v>
      </c>
      <c r="U1018" t="s">
        <v>1723</v>
      </c>
    </row>
    <row r="1019" spans="2:21" ht="15" customHeight="1">
      <c r="B1019" s="7" t="s">
        <v>1724</v>
      </c>
      <c r="C1019" t="s">
        <v>29</v>
      </c>
      <c r="D1019">
        <f t="shared" si="37"/>
        <v>16</v>
      </c>
      <c r="U1019" t="s">
        <v>1725</v>
      </c>
    </row>
    <row r="1020" spans="2:21" ht="15" customHeight="1">
      <c r="B1020" s="7" t="s">
        <v>1726</v>
      </c>
      <c r="C1020" t="s">
        <v>29</v>
      </c>
      <c r="D1020">
        <f t="shared" si="37"/>
        <v>17</v>
      </c>
      <c r="U1020" t="s">
        <v>1727</v>
      </c>
    </row>
    <row r="1021" spans="2:21" ht="15" customHeight="1">
      <c r="B1021" s="7" t="s">
        <v>1728</v>
      </c>
      <c r="C1021" t="s">
        <v>29</v>
      </c>
      <c r="D1021">
        <f t="shared" si="37"/>
        <v>15</v>
      </c>
      <c r="U1021" t="s">
        <v>1729</v>
      </c>
    </row>
    <row r="1022" spans="2:21" ht="15" customHeight="1">
      <c r="B1022" s="7" t="s">
        <v>1730</v>
      </c>
      <c r="C1022" t="s">
        <v>29</v>
      </c>
      <c r="D1022">
        <f t="shared" si="37"/>
        <v>16</v>
      </c>
      <c r="U1022" t="s">
        <v>1731</v>
      </c>
    </row>
    <row r="1023" spans="2:21" ht="15" customHeight="1">
      <c r="B1023" s="7" t="s">
        <v>1732</v>
      </c>
      <c r="C1023" t="s">
        <v>29</v>
      </c>
      <c r="D1023">
        <f t="shared" si="37"/>
        <v>17</v>
      </c>
      <c r="U1023" t="s">
        <v>1733</v>
      </c>
    </row>
    <row r="1024" spans="2:21" ht="15" customHeight="1">
      <c r="B1024" s="7" t="s">
        <v>1734</v>
      </c>
      <c r="C1024" t="s">
        <v>29</v>
      </c>
      <c r="D1024">
        <f t="shared" si="37"/>
        <v>14</v>
      </c>
      <c r="U1024" t="s">
        <v>1735</v>
      </c>
    </row>
    <row r="1025" spans="2:21" ht="15" customHeight="1">
      <c r="B1025" s="7" t="s">
        <v>1736</v>
      </c>
      <c r="C1025" t="s">
        <v>29</v>
      </c>
      <c r="D1025">
        <f t="shared" si="37"/>
        <v>17</v>
      </c>
      <c r="U1025" t="s">
        <v>1737</v>
      </c>
    </row>
    <row r="1026" spans="2:21" ht="15" customHeight="1">
      <c r="B1026" s="7" t="s">
        <v>1738</v>
      </c>
      <c r="C1026" t="s">
        <v>29</v>
      </c>
      <c r="D1026">
        <f t="shared" si="37"/>
        <v>15</v>
      </c>
      <c r="U1026" t="s">
        <v>1739</v>
      </c>
    </row>
    <row r="1027" spans="2:21" ht="15" customHeight="1">
      <c r="B1027" s="7" t="s">
        <v>1740</v>
      </c>
      <c r="C1027" t="s">
        <v>29</v>
      </c>
      <c r="D1027">
        <f t="shared" si="37"/>
        <v>17</v>
      </c>
      <c r="U1027" t="s">
        <v>1741</v>
      </c>
    </row>
    <row r="1028" spans="2:21" ht="15" customHeight="1">
      <c r="B1028" s="7" t="s">
        <v>1742</v>
      </c>
      <c r="C1028" t="s">
        <v>29</v>
      </c>
      <c r="D1028">
        <f t="shared" si="37"/>
        <v>11</v>
      </c>
      <c r="U1028" t="s">
        <v>1743</v>
      </c>
    </row>
    <row r="1029" spans="2:21" ht="15" customHeight="1">
      <c r="B1029" s="7" t="s">
        <v>1744</v>
      </c>
      <c r="C1029" t="s">
        <v>29</v>
      </c>
      <c r="D1029">
        <f t="shared" si="37"/>
        <v>16</v>
      </c>
      <c r="U1029" t="s">
        <v>1745</v>
      </c>
    </row>
    <row r="1030" spans="2:21" ht="15" customHeight="1">
      <c r="B1030" s="7" t="s">
        <v>1746</v>
      </c>
      <c r="C1030" t="s">
        <v>29</v>
      </c>
      <c r="D1030">
        <f t="shared" si="37"/>
        <v>18</v>
      </c>
      <c r="U1030" t="s">
        <v>1747</v>
      </c>
    </row>
    <row r="1031" spans="2:21" ht="15" customHeight="1">
      <c r="B1031" s="7" t="s">
        <v>1748</v>
      </c>
      <c r="C1031" t="s">
        <v>29</v>
      </c>
      <c r="D1031">
        <f t="shared" si="37"/>
        <v>15</v>
      </c>
      <c r="U1031" t="s">
        <v>1749</v>
      </c>
    </row>
    <row r="1032" spans="2:21" ht="15" customHeight="1">
      <c r="B1032" s="7" t="s">
        <v>1750</v>
      </c>
      <c r="C1032" t="s">
        <v>29</v>
      </c>
      <c r="D1032">
        <f t="shared" si="37"/>
        <v>12</v>
      </c>
      <c r="U1032" t="s">
        <v>1751</v>
      </c>
    </row>
    <row r="1033" spans="2:21" ht="15" customHeight="1">
      <c r="B1033" s="7" t="s">
        <v>1752</v>
      </c>
      <c r="C1033" t="s">
        <v>29</v>
      </c>
      <c r="D1033">
        <f t="shared" si="37"/>
        <v>17</v>
      </c>
      <c r="U1033" t="s">
        <v>1753</v>
      </c>
    </row>
    <row r="1034" spans="2:21" ht="15" customHeight="1">
      <c r="B1034" s="7" t="s">
        <v>1754</v>
      </c>
      <c r="C1034" t="s">
        <v>29</v>
      </c>
      <c r="D1034">
        <f t="shared" si="37"/>
        <v>16</v>
      </c>
      <c r="U1034" t="s">
        <v>1755</v>
      </c>
    </row>
    <row r="1035" spans="2:21" ht="15" customHeight="1">
      <c r="B1035" s="7" t="s">
        <v>1756</v>
      </c>
      <c r="C1035" t="s">
        <v>29</v>
      </c>
      <c r="D1035">
        <f t="shared" si="37"/>
        <v>14</v>
      </c>
      <c r="U1035" t="s">
        <v>1757</v>
      </c>
    </row>
    <row r="1036" spans="2:21" ht="15" customHeight="1">
      <c r="B1036" s="7" t="s">
        <v>1758</v>
      </c>
      <c r="C1036" t="s">
        <v>29</v>
      </c>
      <c r="D1036">
        <f t="shared" si="37"/>
        <v>16</v>
      </c>
      <c r="U1036" t="s">
        <v>1759</v>
      </c>
    </row>
    <row r="1037" spans="2:21" ht="15" customHeight="1">
      <c r="B1037" s="7" t="s">
        <v>1760</v>
      </c>
      <c r="C1037" t="s">
        <v>29</v>
      </c>
      <c r="D1037">
        <f t="shared" si="37"/>
        <v>15</v>
      </c>
      <c r="U1037" t="s">
        <v>1761</v>
      </c>
    </row>
    <row r="1038" spans="2:21" ht="15" customHeight="1">
      <c r="B1038" s="7" t="s">
        <v>1762</v>
      </c>
      <c r="C1038" t="s">
        <v>29</v>
      </c>
      <c r="D1038">
        <f t="shared" ref="D1038:D1101" si="38">LEN(B1038)</f>
        <v>17</v>
      </c>
      <c r="U1038" t="s">
        <v>1763</v>
      </c>
    </row>
    <row r="1039" spans="2:21" ht="15" customHeight="1">
      <c r="B1039" s="7" t="s">
        <v>1764</v>
      </c>
      <c r="C1039" t="s">
        <v>29</v>
      </c>
      <c r="D1039">
        <f t="shared" si="38"/>
        <v>19</v>
      </c>
      <c r="U1039" t="s">
        <v>1765</v>
      </c>
    </row>
    <row r="1040" spans="2:21" ht="15" customHeight="1">
      <c r="B1040" s="7" t="s">
        <v>1766</v>
      </c>
      <c r="C1040" t="s">
        <v>29</v>
      </c>
      <c r="D1040">
        <f t="shared" si="38"/>
        <v>16</v>
      </c>
      <c r="U1040" t="s">
        <v>1767</v>
      </c>
    </row>
    <row r="1041" spans="2:21" ht="15" customHeight="1">
      <c r="B1041" s="7" t="s">
        <v>1768</v>
      </c>
      <c r="C1041" t="s">
        <v>29</v>
      </c>
      <c r="D1041">
        <f t="shared" si="38"/>
        <v>19</v>
      </c>
      <c r="U1041" t="s">
        <v>1769</v>
      </c>
    </row>
    <row r="1042" spans="2:21" ht="15" customHeight="1">
      <c r="B1042" s="7" t="s">
        <v>1770</v>
      </c>
      <c r="C1042" t="s">
        <v>29</v>
      </c>
      <c r="D1042">
        <f t="shared" si="38"/>
        <v>15</v>
      </c>
      <c r="U1042" t="s">
        <v>1771</v>
      </c>
    </row>
    <row r="1043" spans="2:21" ht="15" customHeight="1">
      <c r="B1043" s="7" t="s">
        <v>1772</v>
      </c>
      <c r="C1043" t="s">
        <v>29</v>
      </c>
      <c r="D1043">
        <f t="shared" si="38"/>
        <v>14</v>
      </c>
      <c r="U1043" t="s">
        <v>1773</v>
      </c>
    </row>
    <row r="1044" spans="2:21" ht="15" customHeight="1">
      <c r="B1044" s="7" t="s">
        <v>1186</v>
      </c>
      <c r="C1044" t="s">
        <v>29</v>
      </c>
      <c r="D1044">
        <f t="shared" si="38"/>
        <v>12</v>
      </c>
      <c r="U1044" t="s">
        <v>1187</v>
      </c>
    </row>
    <row r="1045" spans="2:21" ht="15" customHeight="1">
      <c r="B1045" s="7" t="s">
        <v>1774</v>
      </c>
      <c r="C1045" t="s">
        <v>29</v>
      </c>
      <c r="D1045">
        <f t="shared" si="38"/>
        <v>16</v>
      </c>
      <c r="U1045" t="s">
        <v>1775</v>
      </c>
    </row>
    <row r="1046" spans="2:21" ht="15" customHeight="1">
      <c r="B1046" s="7" t="s">
        <v>1776</v>
      </c>
      <c r="C1046" t="s">
        <v>29</v>
      </c>
      <c r="D1046">
        <f t="shared" si="38"/>
        <v>16</v>
      </c>
      <c r="U1046" t="s">
        <v>1777</v>
      </c>
    </row>
    <row r="1047" spans="2:21" ht="15" customHeight="1">
      <c r="B1047" s="7" t="s">
        <v>1778</v>
      </c>
      <c r="C1047" t="s">
        <v>29</v>
      </c>
      <c r="D1047">
        <f t="shared" si="38"/>
        <v>16</v>
      </c>
      <c r="U1047" t="s">
        <v>1779</v>
      </c>
    </row>
    <row r="1048" spans="2:21" ht="15" customHeight="1">
      <c r="B1048" s="7" t="s">
        <v>1780</v>
      </c>
      <c r="C1048" t="s">
        <v>29</v>
      </c>
      <c r="D1048">
        <f t="shared" si="38"/>
        <v>16</v>
      </c>
      <c r="U1048" t="s">
        <v>1781</v>
      </c>
    </row>
    <row r="1049" spans="2:21" ht="15" customHeight="1">
      <c r="B1049" s="7" t="s">
        <v>1782</v>
      </c>
      <c r="C1049" t="s">
        <v>29</v>
      </c>
      <c r="D1049">
        <f t="shared" si="38"/>
        <v>16</v>
      </c>
      <c r="U1049" t="s">
        <v>1783</v>
      </c>
    </row>
    <row r="1050" spans="2:21" ht="15" customHeight="1">
      <c r="B1050" s="7" t="s">
        <v>1192</v>
      </c>
      <c r="C1050" t="s">
        <v>29</v>
      </c>
      <c r="D1050">
        <f t="shared" si="38"/>
        <v>16</v>
      </c>
      <c r="U1050" t="s">
        <v>1193</v>
      </c>
    </row>
    <row r="1051" spans="2:21" ht="15" customHeight="1">
      <c r="B1051" s="7" t="s">
        <v>1784</v>
      </c>
      <c r="C1051" t="s">
        <v>29</v>
      </c>
      <c r="D1051">
        <f t="shared" si="38"/>
        <v>12</v>
      </c>
      <c r="U1051" t="s">
        <v>1785</v>
      </c>
    </row>
    <row r="1052" spans="2:21" ht="15" customHeight="1">
      <c r="B1052" s="7" t="s">
        <v>1786</v>
      </c>
      <c r="C1052" t="s">
        <v>29</v>
      </c>
      <c r="D1052">
        <f t="shared" si="38"/>
        <v>14</v>
      </c>
      <c r="U1052" t="s">
        <v>1787</v>
      </c>
    </row>
    <row r="1053" spans="2:21" ht="15" customHeight="1">
      <c r="B1053" s="7" t="s">
        <v>1788</v>
      </c>
      <c r="C1053" t="s">
        <v>29</v>
      </c>
      <c r="D1053">
        <f t="shared" si="38"/>
        <v>12</v>
      </c>
      <c r="U1053" t="s">
        <v>1789</v>
      </c>
    </row>
    <row r="1054" spans="2:21" ht="15" customHeight="1">
      <c r="B1054" s="7" t="s">
        <v>1790</v>
      </c>
      <c r="C1054" t="s">
        <v>29</v>
      </c>
      <c r="D1054">
        <f t="shared" si="38"/>
        <v>16</v>
      </c>
      <c r="U1054" t="s">
        <v>1791</v>
      </c>
    </row>
    <row r="1055" spans="2:21" ht="15" customHeight="1">
      <c r="B1055" s="7" t="s">
        <v>1792</v>
      </c>
      <c r="C1055" t="s">
        <v>29</v>
      </c>
      <c r="D1055">
        <f t="shared" si="38"/>
        <v>15</v>
      </c>
      <c r="U1055" t="s">
        <v>1793</v>
      </c>
    </row>
    <row r="1056" spans="2:21" ht="15" customHeight="1">
      <c r="B1056" s="7" t="s">
        <v>1794</v>
      </c>
      <c r="C1056" t="s">
        <v>29</v>
      </c>
      <c r="D1056">
        <f t="shared" si="38"/>
        <v>14</v>
      </c>
      <c r="U1056" t="s">
        <v>1795</v>
      </c>
    </row>
    <row r="1057" spans="2:21" ht="15" customHeight="1">
      <c r="B1057" s="7" t="s">
        <v>1796</v>
      </c>
      <c r="C1057" t="s">
        <v>29</v>
      </c>
      <c r="D1057">
        <f t="shared" si="38"/>
        <v>14</v>
      </c>
      <c r="U1057" t="s">
        <v>1797</v>
      </c>
    </row>
    <row r="1058" spans="2:21" ht="15" customHeight="1">
      <c r="B1058" s="7" t="s">
        <v>916</v>
      </c>
      <c r="C1058" t="s">
        <v>29</v>
      </c>
      <c r="D1058">
        <f t="shared" si="38"/>
        <v>12</v>
      </c>
      <c r="U1058" t="s">
        <v>917</v>
      </c>
    </row>
    <row r="1059" spans="2:21" ht="15" customHeight="1">
      <c r="B1059" s="7" t="s">
        <v>1798</v>
      </c>
      <c r="C1059" t="s">
        <v>29</v>
      </c>
      <c r="D1059">
        <f t="shared" si="38"/>
        <v>17</v>
      </c>
      <c r="U1059" t="s">
        <v>1799</v>
      </c>
    </row>
    <row r="1060" spans="2:21" ht="15" customHeight="1">
      <c r="B1060" s="7" t="s">
        <v>1800</v>
      </c>
      <c r="C1060" t="s">
        <v>29</v>
      </c>
      <c r="D1060">
        <f t="shared" si="38"/>
        <v>10</v>
      </c>
      <c r="U1060" t="s">
        <v>1801</v>
      </c>
    </row>
    <row r="1061" spans="2:21" ht="15" customHeight="1">
      <c r="B1061" s="7" t="s">
        <v>1802</v>
      </c>
      <c r="C1061" t="s">
        <v>29</v>
      </c>
      <c r="D1061">
        <f t="shared" si="38"/>
        <v>15</v>
      </c>
      <c r="U1061" t="s">
        <v>1803</v>
      </c>
    </row>
    <row r="1062" spans="2:21" ht="15" customHeight="1">
      <c r="B1062" s="7" t="s">
        <v>1804</v>
      </c>
      <c r="C1062" t="s">
        <v>29</v>
      </c>
      <c r="D1062">
        <f t="shared" si="38"/>
        <v>12</v>
      </c>
      <c r="U1062" t="s">
        <v>1805</v>
      </c>
    </row>
    <row r="1063" spans="2:21" ht="15" customHeight="1">
      <c r="B1063" s="7" t="s">
        <v>1806</v>
      </c>
      <c r="C1063" t="s">
        <v>29</v>
      </c>
      <c r="D1063">
        <f t="shared" si="38"/>
        <v>13</v>
      </c>
      <c r="U1063" t="s">
        <v>1807</v>
      </c>
    </row>
    <row r="1064" spans="2:21" ht="15" customHeight="1">
      <c r="B1064" s="7" t="s">
        <v>1808</v>
      </c>
      <c r="C1064" t="s">
        <v>29</v>
      </c>
      <c r="D1064">
        <f t="shared" si="38"/>
        <v>13</v>
      </c>
      <c r="U1064" t="s">
        <v>1809</v>
      </c>
    </row>
    <row r="1065" spans="2:21" ht="15" customHeight="1">
      <c r="B1065" s="7" t="s">
        <v>1810</v>
      </c>
      <c r="C1065" t="s">
        <v>29</v>
      </c>
      <c r="D1065">
        <f t="shared" si="38"/>
        <v>16</v>
      </c>
      <c r="U1065" t="s">
        <v>1811</v>
      </c>
    </row>
    <row r="1066" spans="2:21" ht="15" customHeight="1">
      <c r="B1066" s="7" t="s">
        <v>974</v>
      </c>
      <c r="C1066" t="s">
        <v>29</v>
      </c>
      <c r="D1066">
        <f t="shared" si="38"/>
        <v>16</v>
      </c>
      <c r="U1066" t="s">
        <v>975</v>
      </c>
    </row>
    <row r="1067" spans="2:21" ht="15" customHeight="1">
      <c r="B1067" s="7" t="s">
        <v>1812</v>
      </c>
      <c r="C1067" t="s">
        <v>29</v>
      </c>
      <c r="D1067">
        <f t="shared" si="38"/>
        <v>14</v>
      </c>
      <c r="U1067" t="s">
        <v>1813</v>
      </c>
    </row>
    <row r="1068" spans="2:21" ht="15" customHeight="1">
      <c r="B1068" s="7" t="s">
        <v>1814</v>
      </c>
      <c r="C1068" t="s">
        <v>29</v>
      </c>
      <c r="D1068">
        <f t="shared" si="38"/>
        <v>17</v>
      </c>
      <c r="U1068" t="s">
        <v>1815</v>
      </c>
    </row>
    <row r="1069" spans="2:21" ht="15" customHeight="1">
      <c r="B1069" s="7" t="s">
        <v>1816</v>
      </c>
      <c r="C1069" t="s">
        <v>29</v>
      </c>
      <c r="D1069">
        <f t="shared" si="38"/>
        <v>18</v>
      </c>
      <c r="U1069" t="s">
        <v>1817</v>
      </c>
    </row>
    <row r="1070" spans="2:21" ht="15" customHeight="1">
      <c r="B1070" s="7" t="s">
        <v>1110</v>
      </c>
      <c r="C1070" t="s">
        <v>29</v>
      </c>
      <c r="D1070">
        <f t="shared" si="38"/>
        <v>16</v>
      </c>
      <c r="U1070" t="s">
        <v>1111</v>
      </c>
    </row>
    <row r="1071" spans="2:21" ht="15" customHeight="1">
      <c r="B1071" s="7" t="s">
        <v>1818</v>
      </c>
      <c r="C1071" t="s">
        <v>29</v>
      </c>
      <c r="D1071">
        <f t="shared" si="38"/>
        <v>13</v>
      </c>
      <c r="U1071" t="s">
        <v>1819</v>
      </c>
    </row>
    <row r="1072" spans="2:21" ht="15" customHeight="1">
      <c r="B1072" s="7" t="s">
        <v>1820</v>
      </c>
      <c r="C1072" t="s">
        <v>29</v>
      </c>
      <c r="D1072">
        <f t="shared" si="38"/>
        <v>13</v>
      </c>
      <c r="U1072" t="s">
        <v>1821</v>
      </c>
    </row>
    <row r="1073" spans="2:21" ht="15" customHeight="1">
      <c r="B1073" s="7" t="s">
        <v>1822</v>
      </c>
      <c r="C1073" t="s">
        <v>29</v>
      </c>
      <c r="D1073">
        <f t="shared" si="38"/>
        <v>14</v>
      </c>
      <c r="U1073" t="s">
        <v>1823</v>
      </c>
    </row>
    <row r="1074" spans="2:21" ht="15" customHeight="1">
      <c r="B1074" s="7" t="s">
        <v>1824</v>
      </c>
      <c r="C1074" t="s">
        <v>29</v>
      </c>
      <c r="D1074">
        <f t="shared" si="38"/>
        <v>13</v>
      </c>
      <c r="U1074" t="s">
        <v>1825</v>
      </c>
    </row>
    <row r="1075" spans="2:21" ht="15" customHeight="1">
      <c r="B1075" s="7" t="s">
        <v>1826</v>
      </c>
      <c r="C1075" t="s">
        <v>29</v>
      </c>
      <c r="D1075">
        <f t="shared" si="38"/>
        <v>14</v>
      </c>
      <c r="U1075" t="s">
        <v>1827</v>
      </c>
    </row>
    <row r="1076" spans="2:21" ht="15" customHeight="1">
      <c r="B1076" s="7" t="s">
        <v>1706</v>
      </c>
      <c r="C1076" t="s">
        <v>29</v>
      </c>
      <c r="D1076">
        <f t="shared" si="38"/>
        <v>19</v>
      </c>
      <c r="U1076" t="s">
        <v>1707</v>
      </c>
    </row>
    <row r="1077" spans="2:21" ht="15" customHeight="1">
      <c r="B1077" s="7" t="s">
        <v>982</v>
      </c>
      <c r="C1077" t="s">
        <v>29</v>
      </c>
      <c r="D1077">
        <f t="shared" si="38"/>
        <v>12</v>
      </c>
      <c r="U1077" t="s">
        <v>983</v>
      </c>
    </row>
    <row r="1078" spans="2:21" ht="15" customHeight="1">
      <c r="B1078" s="7" t="s">
        <v>1128</v>
      </c>
      <c r="C1078" t="s">
        <v>29</v>
      </c>
      <c r="D1078">
        <f t="shared" si="38"/>
        <v>14</v>
      </c>
      <c r="U1078" t="s">
        <v>1129</v>
      </c>
    </row>
    <row r="1079" spans="2:21" ht="15" customHeight="1">
      <c r="B1079" s="7" t="s">
        <v>942</v>
      </c>
      <c r="C1079" t="s">
        <v>29</v>
      </c>
      <c r="D1079">
        <f t="shared" si="38"/>
        <v>12</v>
      </c>
      <c r="U1079" t="s">
        <v>943</v>
      </c>
    </row>
    <row r="1080" spans="2:21" ht="15" customHeight="1">
      <c r="B1080" s="7" t="s">
        <v>1736</v>
      </c>
      <c r="C1080" t="s">
        <v>29</v>
      </c>
      <c r="D1080">
        <f t="shared" si="38"/>
        <v>17</v>
      </c>
      <c r="U1080" t="s">
        <v>1737</v>
      </c>
    </row>
    <row r="1081" spans="2:21" ht="15" customHeight="1">
      <c r="B1081" s="7" t="s">
        <v>1148</v>
      </c>
      <c r="C1081" t="s">
        <v>29</v>
      </c>
      <c r="D1081">
        <f t="shared" si="38"/>
        <v>12</v>
      </c>
      <c r="U1081" t="s">
        <v>1149</v>
      </c>
    </row>
    <row r="1082" spans="2:21" ht="15" customHeight="1">
      <c r="B1082" s="7" t="s">
        <v>1828</v>
      </c>
      <c r="C1082" t="s">
        <v>29</v>
      </c>
      <c r="D1082">
        <f t="shared" si="38"/>
        <v>16</v>
      </c>
      <c r="U1082" t="s">
        <v>1829</v>
      </c>
    </row>
    <row r="1083" spans="2:21" ht="15" customHeight="1">
      <c r="B1083" s="7" t="s">
        <v>1830</v>
      </c>
      <c r="C1083" t="s">
        <v>29</v>
      </c>
      <c r="D1083">
        <f t="shared" si="38"/>
        <v>19</v>
      </c>
      <c r="U1083" t="s">
        <v>1831</v>
      </c>
    </row>
    <row r="1084" spans="2:21" ht="15" customHeight="1">
      <c r="B1084" s="7" t="s">
        <v>992</v>
      </c>
      <c r="C1084" t="s">
        <v>29</v>
      </c>
      <c r="D1084">
        <f t="shared" si="38"/>
        <v>12</v>
      </c>
      <c r="U1084" t="s">
        <v>993</v>
      </c>
    </row>
    <row r="1085" spans="2:21" ht="15" customHeight="1">
      <c r="B1085" s="7" t="s">
        <v>1116</v>
      </c>
      <c r="C1085" t="s">
        <v>29</v>
      </c>
      <c r="D1085">
        <f t="shared" si="38"/>
        <v>14</v>
      </c>
      <c r="U1085" t="s">
        <v>1117</v>
      </c>
    </row>
    <row r="1086" spans="2:21" ht="15" customHeight="1">
      <c r="B1086" s="7" t="s">
        <v>1164</v>
      </c>
      <c r="C1086" t="s">
        <v>29</v>
      </c>
      <c r="D1086">
        <f t="shared" si="38"/>
        <v>15</v>
      </c>
      <c r="U1086" t="s">
        <v>1165</v>
      </c>
    </row>
    <row r="1087" spans="2:21" ht="15" customHeight="1">
      <c r="B1087" s="7" t="s">
        <v>1184</v>
      </c>
      <c r="C1087" t="s">
        <v>29</v>
      </c>
      <c r="D1087">
        <f t="shared" si="38"/>
        <v>13</v>
      </c>
      <c r="U1087" t="s">
        <v>1185</v>
      </c>
    </row>
    <row r="1088" spans="2:21" ht="15" customHeight="1">
      <c r="B1088" s="7" t="s">
        <v>1832</v>
      </c>
      <c r="C1088" t="s">
        <v>29</v>
      </c>
      <c r="D1088">
        <f t="shared" si="38"/>
        <v>10</v>
      </c>
      <c r="U1088" t="s">
        <v>1833</v>
      </c>
    </row>
    <row r="1089" spans="2:21" ht="15" customHeight="1">
      <c r="B1089" s="7" t="s">
        <v>1834</v>
      </c>
      <c r="C1089" t="s">
        <v>29</v>
      </c>
      <c r="D1089">
        <f t="shared" si="38"/>
        <v>13</v>
      </c>
      <c r="U1089" t="s">
        <v>1835</v>
      </c>
    </row>
    <row r="1090" spans="2:21" ht="15" customHeight="1">
      <c r="B1090" s="7" t="s">
        <v>1746</v>
      </c>
      <c r="C1090" t="s">
        <v>29</v>
      </c>
      <c r="D1090">
        <f t="shared" si="38"/>
        <v>18</v>
      </c>
      <c r="U1090" t="s">
        <v>1747</v>
      </c>
    </row>
    <row r="1091" spans="2:21" ht="15" customHeight="1">
      <c r="B1091" s="7" t="s">
        <v>1134</v>
      </c>
      <c r="C1091" t="s">
        <v>29</v>
      </c>
      <c r="D1091">
        <f t="shared" si="38"/>
        <v>14</v>
      </c>
      <c r="U1091" t="s">
        <v>1135</v>
      </c>
    </row>
    <row r="1092" spans="2:21" ht="15" customHeight="1">
      <c r="B1092" s="7" t="s">
        <v>1836</v>
      </c>
      <c r="C1092" t="s">
        <v>29</v>
      </c>
      <c r="D1092">
        <f t="shared" si="38"/>
        <v>12</v>
      </c>
      <c r="U1092" t="s">
        <v>1837</v>
      </c>
    </row>
    <row r="1093" spans="2:21" ht="15" customHeight="1">
      <c r="B1093" s="7" t="s">
        <v>1838</v>
      </c>
      <c r="C1093" t="s">
        <v>29</v>
      </c>
      <c r="D1093">
        <f t="shared" si="38"/>
        <v>16</v>
      </c>
      <c r="U1093" t="s">
        <v>1839</v>
      </c>
    </row>
    <row r="1094" spans="2:21" ht="15" customHeight="1">
      <c r="B1094" s="7" t="s">
        <v>1840</v>
      </c>
      <c r="C1094" t="s">
        <v>29</v>
      </c>
      <c r="D1094">
        <f t="shared" si="38"/>
        <v>19</v>
      </c>
      <c r="U1094" t="s">
        <v>1841</v>
      </c>
    </row>
    <row r="1095" spans="2:21" ht="15" customHeight="1">
      <c r="B1095" s="7" t="s">
        <v>1842</v>
      </c>
      <c r="C1095" t="s">
        <v>29</v>
      </c>
      <c r="D1095">
        <f t="shared" si="38"/>
        <v>13</v>
      </c>
      <c r="U1095" t="s">
        <v>1843</v>
      </c>
    </row>
    <row r="1096" spans="2:21" ht="15" customHeight="1">
      <c r="B1096" s="7" t="s">
        <v>1844</v>
      </c>
      <c r="C1096" t="s">
        <v>29</v>
      </c>
      <c r="D1096">
        <f t="shared" si="38"/>
        <v>17</v>
      </c>
      <c r="U1096" t="s">
        <v>1845</v>
      </c>
    </row>
    <row r="1097" spans="2:21" ht="15" customHeight="1">
      <c r="B1097" s="7" t="s">
        <v>1846</v>
      </c>
      <c r="C1097" t="s">
        <v>29</v>
      </c>
      <c r="D1097">
        <f t="shared" si="38"/>
        <v>18</v>
      </c>
      <c r="U1097" t="s">
        <v>1847</v>
      </c>
    </row>
    <row r="1098" spans="2:21" ht="15" customHeight="1">
      <c r="B1098" s="7" t="s">
        <v>1178</v>
      </c>
      <c r="C1098" t="s">
        <v>29</v>
      </c>
      <c r="D1098">
        <f t="shared" si="38"/>
        <v>14</v>
      </c>
      <c r="U1098" t="s">
        <v>1179</v>
      </c>
    </row>
    <row r="1099" spans="2:21" ht="15" customHeight="1">
      <c r="B1099" s="7" t="s">
        <v>1848</v>
      </c>
      <c r="C1099" t="s">
        <v>29</v>
      </c>
      <c r="D1099">
        <f t="shared" si="38"/>
        <v>15</v>
      </c>
      <c r="U1099" t="s">
        <v>1849</v>
      </c>
    </row>
    <row r="1100" spans="2:21" ht="15" customHeight="1">
      <c r="B1100" s="7" t="s">
        <v>1188</v>
      </c>
      <c r="C1100" t="s">
        <v>29</v>
      </c>
      <c r="D1100">
        <f t="shared" si="38"/>
        <v>12</v>
      </c>
      <c r="U1100" t="s">
        <v>1189</v>
      </c>
    </row>
    <row r="1101" spans="2:21" ht="15" customHeight="1">
      <c r="B1101" s="7" t="s">
        <v>1174</v>
      </c>
      <c r="C1101" t="s">
        <v>29</v>
      </c>
      <c r="D1101">
        <f t="shared" si="38"/>
        <v>15</v>
      </c>
      <c r="U1101" t="s">
        <v>1175</v>
      </c>
    </row>
    <row r="1102" spans="2:21" ht="15" customHeight="1">
      <c r="B1102" s="7" t="s">
        <v>1850</v>
      </c>
      <c r="C1102" t="s">
        <v>29</v>
      </c>
      <c r="D1102">
        <f t="shared" ref="D1102:D1165" si="39">LEN(B1102)</f>
        <v>11</v>
      </c>
      <c r="U1102" t="s">
        <v>1851</v>
      </c>
    </row>
    <row r="1103" spans="2:21" ht="15" customHeight="1">
      <c r="B1103" s="7" t="s">
        <v>1852</v>
      </c>
      <c r="C1103" t="s">
        <v>29</v>
      </c>
      <c r="D1103">
        <f t="shared" si="39"/>
        <v>18</v>
      </c>
      <c r="U1103" t="s">
        <v>1853</v>
      </c>
    </row>
    <row r="1104" spans="2:21" ht="15" customHeight="1">
      <c r="B1104" s="7" t="s">
        <v>1854</v>
      </c>
      <c r="C1104" t="s">
        <v>29</v>
      </c>
      <c r="D1104">
        <f t="shared" si="39"/>
        <v>15</v>
      </c>
      <c r="U1104" t="s">
        <v>1855</v>
      </c>
    </row>
    <row r="1105" spans="2:21" ht="15" customHeight="1">
      <c r="B1105" s="7" t="s">
        <v>1856</v>
      </c>
      <c r="C1105" t="s">
        <v>29</v>
      </c>
      <c r="D1105">
        <f t="shared" si="39"/>
        <v>11</v>
      </c>
      <c r="U1105" t="s">
        <v>1857</v>
      </c>
    </row>
    <row r="1106" spans="2:21" ht="15" customHeight="1">
      <c r="B1106" s="7" t="s">
        <v>1858</v>
      </c>
      <c r="C1106" t="s">
        <v>29</v>
      </c>
      <c r="D1106">
        <f t="shared" si="39"/>
        <v>13</v>
      </c>
      <c r="U1106" t="s">
        <v>1859</v>
      </c>
    </row>
    <row r="1107" spans="2:21" ht="15" customHeight="1">
      <c r="B1107" s="7" t="s">
        <v>1860</v>
      </c>
      <c r="C1107" t="s">
        <v>29</v>
      </c>
      <c r="D1107">
        <f t="shared" si="39"/>
        <v>13</v>
      </c>
      <c r="U1107" t="s">
        <v>1861</v>
      </c>
    </row>
    <row r="1108" spans="2:21" ht="15" customHeight="1">
      <c r="B1108" s="7" t="s">
        <v>1862</v>
      </c>
      <c r="C1108" t="s">
        <v>29</v>
      </c>
      <c r="D1108">
        <f t="shared" si="39"/>
        <v>14</v>
      </c>
      <c r="U1108" t="s">
        <v>1863</v>
      </c>
    </row>
    <row r="1109" spans="2:21" ht="15" customHeight="1">
      <c r="B1109" s="7" t="s">
        <v>1864</v>
      </c>
      <c r="C1109" t="s">
        <v>29</v>
      </c>
      <c r="D1109">
        <f t="shared" si="39"/>
        <v>13</v>
      </c>
      <c r="U1109" t="s">
        <v>1865</v>
      </c>
    </row>
    <row r="1110" spans="2:21" ht="15" customHeight="1">
      <c r="B1110" s="7" t="s">
        <v>1866</v>
      </c>
      <c r="C1110" t="s">
        <v>29</v>
      </c>
      <c r="D1110">
        <f t="shared" si="39"/>
        <v>13</v>
      </c>
      <c r="U1110" t="s">
        <v>1867</v>
      </c>
    </row>
    <row r="1111" spans="2:21" ht="15" customHeight="1">
      <c r="B1111" s="7" t="s">
        <v>1868</v>
      </c>
      <c r="C1111" t="s">
        <v>29</v>
      </c>
      <c r="D1111">
        <f t="shared" si="39"/>
        <v>12</v>
      </c>
      <c r="U1111" t="s">
        <v>1869</v>
      </c>
    </row>
    <row r="1112" spans="2:21" ht="15" customHeight="1">
      <c r="B1112" s="7" t="s">
        <v>1870</v>
      </c>
      <c r="C1112" t="s">
        <v>29</v>
      </c>
      <c r="D1112">
        <f t="shared" si="39"/>
        <v>15</v>
      </c>
      <c r="U1112" t="s">
        <v>1871</v>
      </c>
    </row>
    <row r="1113" spans="2:21" ht="15" customHeight="1">
      <c r="B1113" s="7" t="s">
        <v>1872</v>
      </c>
      <c r="C1113" t="s">
        <v>29</v>
      </c>
      <c r="D1113">
        <f t="shared" si="39"/>
        <v>13</v>
      </c>
      <c r="U1113" t="s">
        <v>1873</v>
      </c>
    </row>
    <row r="1114" spans="2:21" ht="15" customHeight="1">
      <c r="B1114" s="7" t="s">
        <v>1874</v>
      </c>
      <c r="C1114" t="s">
        <v>29</v>
      </c>
      <c r="D1114">
        <f t="shared" si="39"/>
        <v>11</v>
      </c>
      <c r="U1114" t="s">
        <v>1875</v>
      </c>
    </row>
    <row r="1115" spans="2:21" ht="15" customHeight="1">
      <c r="B1115" s="7" t="s">
        <v>1876</v>
      </c>
      <c r="C1115" t="s">
        <v>29</v>
      </c>
      <c r="D1115">
        <f t="shared" si="39"/>
        <v>12</v>
      </c>
      <c r="U1115" t="s">
        <v>1877</v>
      </c>
    </row>
    <row r="1116" spans="2:21" ht="15" customHeight="1">
      <c r="B1116" s="7" t="s">
        <v>1878</v>
      </c>
      <c r="C1116" t="s">
        <v>29</v>
      </c>
      <c r="D1116">
        <f t="shared" si="39"/>
        <v>11</v>
      </c>
      <c r="U1116" t="s">
        <v>1879</v>
      </c>
    </row>
    <row r="1117" spans="2:21" ht="15" customHeight="1">
      <c r="B1117" s="7" t="s">
        <v>1880</v>
      </c>
      <c r="C1117" t="s">
        <v>29</v>
      </c>
      <c r="D1117">
        <f t="shared" si="39"/>
        <v>9</v>
      </c>
      <c r="U1117" t="s">
        <v>1881</v>
      </c>
    </row>
    <row r="1118" spans="2:21" ht="15" customHeight="1">
      <c r="B1118" s="7" t="s">
        <v>1882</v>
      </c>
      <c r="C1118" t="s">
        <v>29</v>
      </c>
      <c r="D1118">
        <f t="shared" si="39"/>
        <v>10</v>
      </c>
      <c r="U1118" t="s">
        <v>1883</v>
      </c>
    </row>
    <row r="1119" spans="2:21" ht="15" customHeight="1">
      <c r="B1119" s="7" t="s">
        <v>1884</v>
      </c>
      <c r="C1119" t="s">
        <v>29</v>
      </c>
      <c r="D1119">
        <f t="shared" si="39"/>
        <v>9</v>
      </c>
      <c r="U1119" t="s">
        <v>1885</v>
      </c>
    </row>
    <row r="1120" spans="2:21" ht="15" customHeight="1">
      <c r="B1120" s="7" t="s">
        <v>1886</v>
      </c>
      <c r="C1120" t="s">
        <v>29</v>
      </c>
      <c r="D1120">
        <f t="shared" si="39"/>
        <v>11</v>
      </c>
      <c r="U1120" t="s">
        <v>1887</v>
      </c>
    </row>
    <row r="1121" spans="2:21" ht="15" customHeight="1">
      <c r="B1121" s="7" t="s">
        <v>1888</v>
      </c>
      <c r="C1121" t="s">
        <v>29</v>
      </c>
      <c r="D1121">
        <f t="shared" si="39"/>
        <v>11</v>
      </c>
      <c r="U1121" t="s">
        <v>1889</v>
      </c>
    </row>
    <row r="1122" spans="2:21" ht="15" customHeight="1">
      <c r="B1122" s="7" t="s">
        <v>1890</v>
      </c>
      <c r="C1122" t="s">
        <v>29</v>
      </c>
      <c r="D1122">
        <f t="shared" si="39"/>
        <v>9</v>
      </c>
      <c r="U1122" t="s">
        <v>1891</v>
      </c>
    </row>
    <row r="1123" spans="2:21" ht="15" customHeight="1">
      <c r="B1123" s="7" t="s">
        <v>1892</v>
      </c>
      <c r="C1123" t="s">
        <v>29</v>
      </c>
      <c r="D1123">
        <f t="shared" si="39"/>
        <v>11</v>
      </c>
      <c r="U1123" t="s">
        <v>1893</v>
      </c>
    </row>
    <row r="1124" spans="2:21" ht="15" customHeight="1">
      <c r="B1124" s="7" t="s">
        <v>1894</v>
      </c>
      <c r="C1124" t="s">
        <v>29</v>
      </c>
      <c r="D1124">
        <f t="shared" si="39"/>
        <v>19</v>
      </c>
      <c r="U1124" t="s">
        <v>1895</v>
      </c>
    </row>
    <row r="1125" spans="2:21" ht="15" customHeight="1">
      <c r="B1125" s="7" t="s">
        <v>1896</v>
      </c>
      <c r="C1125" t="s">
        <v>29</v>
      </c>
      <c r="D1125">
        <f t="shared" si="39"/>
        <v>9</v>
      </c>
      <c r="U1125" t="s">
        <v>1897</v>
      </c>
    </row>
    <row r="1126" spans="2:21" ht="15" customHeight="1">
      <c r="B1126" s="7" t="s">
        <v>1898</v>
      </c>
      <c r="C1126" t="s">
        <v>29</v>
      </c>
      <c r="D1126">
        <f t="shared" si="39"/>
        <v>11</v>
      </c>
      <c r="U1126" t="s">
        <v>1899</v>
      </c>
    </row>
    <row r="1127" spans="2:21" ht="15" customHeight="1">
      <c r="B1127" s="7" t="s">
        <v>1900</v>
      </c>
      <c r="C1127" t="s">
        <v>29</v>
      </c>
      <c r="D1127">
        <f t="shared" si="39"/>
        <v>13</v>
      </c>
      <c r="U1127" t="s">
        <v>1901</v>
      </c>
    </row>
    <row r="1128" spans="2:21" ht="15" customHeight="1">
      <c r="B1128" s="7" t="s">
        <v>438</v>
      </c>
      <c r="C1128" t="s">
        <v>29</v>
      </c>
      <c r="D1128">
        <f t="shared" si="39"/>
        <v>14</v>
      </c>
      <c r="U1128" t="s">
        <v>332</v>
      </c>
    </row>
    <row r="1129" spans="2:21" ht="15" customHeight="1">
      <c r="B1129" s="7" t="s">
        <v>1902</v>
      </c>
      <c r="C1129" t="s">
        <v>29</v>
      </c>
      <c r="D1129">
        <f t="shared" si="39"/>
        <v>10</v>
      </c>
      <c r="U1129" t="s">
        <v>1903</v>
      </c>
    </row>
    <row r="1130" spans="2:21" ht="15" customHeight="1">
      <c r="B1130" s="7" t="s">
        <v>1904</v>
      </c>
      <c r="C1130" t="s">
        <v>29</v>
      </c>
      <c r="D1130">
        <f t="shared" si="39"/>
        <v>12</v>
      </c>
      <c r="U1130" t="s">
        <v>1905</v>
      </c>
    </row>
    <row r="1131" spans="2:21" ht="15" customHeight="1">
      <c r="B1131" s="7" t="s">
        <v>1906</v>
      </c>
      <c r="C1131" t="s">
        <v>29</v>
      </c>
      <c r="D1131">
        <f t="shared" si="39"/>
        <v>12</v>
      </c>
      <c r="U1131" t="s">
        <v>1907</v>
      </c>
    </row>
    <row r="1132" spans="2:21" ht="15" customHeight="1">
      <c r="B1132" s="7" t="s">
        <v>1908</v>
      </c>
      <c r="C1132" t="s">
        <v>29</v>
      </c>
      <c r="D1132">
        <f t="shared" si="39"/>
        <v>11</v>
      </c>
      <c r="U1132" t="s">
        <v>1909</v>
      </c>
    </row>
    <row r="1133" spans="2:21" ht="15" customHeight="1">
      <c r="B1133" s="7" t="s">
        <v>1910</v>
      </c>
      <c r="C1133" t="s">
        <v>29</v>
      </c>
      <c r="D1133">
        <f t="shared" si="39"/>
        <v>9</v>
      </c>
      <c r="U1133" t="s">
        <v>1911</v>
      </c>
    </row>
    <row r="1134" spans="2:21" ht="15" customHeight="1">
      <c r="B1134" s="7" t="s">
        <v>1912</v>
      </c>
      <c r="C1134" t="s">
        <v>29</v>
      </c>
      <c r="D1134">
        <f t="shared" si="39"/>
        <v>9</v>
      </c>
      <c r="U1134" t="s">
        <v>1913</v>
      </c>
    </row>
    <row r="1135" spans="2:21" ht="15" customHeight="1">
      <c r="B1135" s="7" t="s">
        <v>1914</v>
      </c>
      <c r="C1135" t="s">
        <v>29</v>
      </c>
      <c r="D1135">
        <f t="shared" si="39"/>
        <v>16</v>
      </c>
      <c r="U1135" t="s">
        <v>1915</v>
      </c>
    </row>
    <row r="1136" spans="2:21" ht="15" customHeight="1">
      <c r="B1136" s="7" t="s">
        <v>1916</v>
      </c>
      <c r="C1136" t="s">
        <v>29</v>
      </c>
      <c r="D1136">
        <f t="shared" si="39"/>
        <v>13</v>
      </c>
      <c r="U1136" t="s">
        <v>1917</v>
      </c>
    </row>
    <row r="1137" spans="2:21" ht="15" customHeight="1">
      <c r="B1137" s="7" t="s">
        <v>1918</v>
      </c>
      <c r="C1137" t="s">
        <v>29</v>
      </c>
      <c r="D1137">
        <f t="shared" si="39"/>
        <v>10</v>
      </c>
      <c r="U1137" t="s">
        <v>1919</v>
      </c>
    </row>
    <row r="1138" spans="2:21" ht="15" customHeight="1">
      <c r="B1138" s="7" t="s">
        <v>1920</v>
      </c>
      <c r="C1138" t="s">
        <v>29</v>
      </c>
      <c r="D1138">
        <f t="shared" si="39"/>
        <v>16</v>
      </c>
      <c r="U1138" t="s">
        <v>1921</v>
      </c>
    </row>
    <row r="1139" spans="2:21" ht="15" customHeight="1">
      <c r="B1139" s="7" t="s">
        <v>1922</v>
      </c>
      <c r="C1139" t="s">
        <v>29</v>
      </c>
      <c r="D1139">
        <f t="shared" si="39"/>
        <v>10</v>
      </c>
      <c r="U1139" t="s">
        <v>1923</v>
      </c>
    </row>
    <row r="1140" spans="2:21" ht="15" customHeight="1">
      <c r="B1140" s="7" t="s">
        <v>1924</v>
      </c>
      <c r="C1140" t="s">
        <v>29</v>
      </c>
      <c r="D1140">
        <f t="shared" si="39"/>
        <v>15</v>
      </c>
      <c r="U1140" t="s">
        <v>1925</v>
      </c>
    </row>
    <row r="1141" spans="2:21" ht="15" customHeight="1">
      <c r="B1141" s="7" t="s">
        <v>1926</v>
      </c>
      <c r="C1141" t="s">
        <v>29</v>
      </c>
      <c r="D1141">
        <f t="shared" si="39"/>
        <v>12</v>
      </c>
      <c r="U1141" t="s">
        <v>1927</v>
      </c>
    </row>
    <row r="1142" spans="2:21" ht="15" customHeight="1">
      <c r="B1142" s="7" t="s">
        <v>1928</v>
      </c>
      <c r="C1142" t="s">
        <v>29</v>
      </c>
      <c r="D1142">
        <f t="shared" si="39"/>
        <v>10</v>
      </c>
      <c r="U1142" t="s">
        <v>1929</v>
      </c>
    </row>
    <row r="1143" spans="2:21" ht="15" customHeight="1">
      <c r="B1143" s="7" t="s">
        <v>1930</v>
      </c>
      <c r="C1143" t="s">
        <v>29</v>
      </c>
      <c r="D1143">
        <f t="shared" si="39"/>
        <v>10</v>
      </c>
      <c r="U1143" t="s">
        <v>1931</v>
      </c>
    </row>
    <row r="1144" spans="2:21" ht="15" customHeight="1">
      <c r="B1144" s="7" t="s">
        <v>420</v>
      </c>
      <c r="C1144" t="s">
        <v>29</v>
      </c>
      <c r="D1144">
        <f t="shared" si="39"/>
        <v>14</v>
      </c>
      <c r="U1144" t="s">
        <v>41</v>
      </c>
    </row>
    <row r="1145" spans="2:21" ht="15" customHeight="1">
      <c r="B1145" s="7" t="s">
        <v>1932</v>
      </c>
      <c r="C1145" t="s">
        <v>29</v>
      </c>
      <c r="D1145">
        <f t="shared" si="39"/>
        <v>9</v>
      </c>
      <c r="U1145" t="s">
        <v>1933</v>
      </c>
    </row>
    <row r="1146" spans="2:21" ht="15" customHeight="1">
      <c r="B1146" s="7" t="s">
        <v>1934</v>
      </c>
      <c r="C1146" t="s">
        <v>29</v>
      </c>
      <c r="D1146">
        <f t="shared" si="39"/>
        <v>11</v>
      </c>
      <c r="U1146" t="s">
        <v>1935</v>
      </c>
    </row>
    <row r="1147" spans="2:21" ht="15" customHeight="1">
      <c r="B1147" s="7" t="s">
        <v>1936</v>
      </c>
      <c r="C1147" t="s">
        <v>29</v>
      </c>
      <c r="D1147">
        <f t="shared" si="39"/>
        <v>12</v>
      </c>
      <c r="U1147" t="s">
        <v>90</v>
      </c>
    </row>
    <row r="1148" spans="2:21" ht="15" customHeight="1">
      <c r="B1148" s="7" t="s">
        <v>422</v>
      </c>
      <c r="C1148" t="s">
        <v>29</v>
      </c>
      <c r="D1148">
        <f t="shared" si="39"/>
        <v>13</v>
      </c>
      <c r="U1148" t="s">
        <v>74</v>
      </c>
    </row>
    <row r="1149" spans="2:21" ht="15" customHeight="1">
      <c r="B1149" s="7" t="s">
        <v>1937</v>
      </c>
      <c r="C1149" t="s">
        <v>29</v>
      </c>
      <c r="D1149">
        <f t="shared" si="39"/>
        <v>9</v>
      </c>
      <c r="U1149" t="s">
        <v>1938</v>
      </c>
    </row>
    <row r="1150" spans="2:21" ht="15" customHeight="1">
      <c r="B1150" s="7" t="s">
        <v>1939</v>
      </c>
      <c r="C1150" t="s">
        <v>29</v>
      </c>
      <c r="D1150">
        <f t="shared" si="39"/>
        <v>7</v>
      </c>
      <c r="U1150" t="s">
        <v>1940</v>
      </c>
    </row>
    <row r="1151" spans="2:21" ht="15" customHeight="1">
      <c r="B1151" s="7" t="s">
        <v>1941</v>
      </c>
      <c r="C1151" t="s">
        <v>29</v>
      </c>
      <c r="D1151">
        <f t="shared" si="39"/>
        <v>12</v>
      </c>
      <c r="U1151" t="s">
        <v>1942</v>
      </c>
    </row>
    <row r="1152" spans="2:21" ht="15" customHeight="1">
      <c r="B1152" s="7" t="s">
        <v>1943</v>
      </c>
      <c r="C1152" t="s">
        <v>29</v>
      </c>
      <c r="D1152">
        <f t="shared" si="39"/>
        <v>10</v>
      </c>
      <c r="U1152" t="s">
        <v>1944</v>
      </c>
    </row>
    <row r="1153" spans="2:21" ht="15" customHeight="1">
      <c r="B1153" s="7" t="s">
        <v>1945</v>
      </c>
      <c r="C1153" t="s">
        <v>29</v>
      </c>
      <c r="D1153">
        <f t="shared" si="39"/>
        <v>12</v>
      </c>
      <c r="U1153" t="s">
        <v>1946</v>
      </c>
    </row>
    <row r="1154" spans="2:21" ht="15" customHeight="1">
      <c r="B1154" s="7" t="s">
        <v>1947</v>
      </c>
      <c r="C1154" t="s">
        <v>29</v>
      </c>
      <c r="D1154">
        <f t="shared" si="39"/>
        <v>10</v>
      </c>
      <c r="U1154" t="s">
        <v>1948</v>
      </c>
    </row>
    <row r="1155" spans="2:21" ht="15" customHeight="1">
      <c r="B1155" s="7" t="s">
        <v>1949</v>
      </c>
      <c r="C1155" t="s">
        <v>29</v>
      </c>
      <c r="D1155">
        <f t="shared" si="39"/>
        <v>12</v>
      </c>
      <c r="U1155" t="s">
        <v>1950</v>
      </c>
    </row>
    <row r="1156" spans="2:21" ht="15" customHeight="1">
      <c r="B1156" s="7" t="s">
        <v>1951</v>
      </c>
      <c r="C1156" t="s">
        <v>29</v>
      </c>
      <c r="D1156">
        <f t="shared" si="39"/>
        <v>11</v>
      </c>
      <c r="U1156" t="s">
        <v>1952</v>
      </c>
    </row>
    <row r="1157" spans="2:21" ht="15" customHeight="1">
      <c r="B1157" s="7" t="s">
        <v>1953</v>
      </c>
      <c r="C1157" t="s">
        <v>29</v>
      </c>
      <c r="D1157">
        <f t="shared" si="39"/>
        <v>13</v>
      </c>
      <c r="U1157" t="s">
        <v>1954</v>
      </c>
    </row>
    <row r="1158" spans="2:21" ht="15" customHeight="1">
      <c r="B1158" s="7" t="s">
        <v>1955</v>
      </c>
      <c r="C1158" t="s">
        <v>29</v>
      </c>
      <c r="D1158">
        <f t="shared" si="39"/>
        <v>11</v>
      </c>
      <c r="U1158" t="s">
        <v>1956</v>
      </c>
    </row>
    <row r="1159" spans="2:21" ht="15" customHeight="1">
      <c r="B1159" s="7" t="s">
        <v>1957</v>
      </c>
      <c r="C1159" t="s">
        <v>29</v>
      </c>
      <c r="D1159">
        <f t="shared" si="39"/>
        <v>12</v>
      </c>
      <c r="U1159" t="s">
        <v>1958</v>
      </c>
    </row>
    <row r="1160" spans="2:21" ht="15" customHeight="1">
      <c r="B1160" s="7" t="s">
        <v>1959</v>
      </c>
      <c r="C1160" t="s">
        <v>29</v>
      </c>
      <c r="D1160">
        <f t="shared" si="39"/>
        <v>11</v>
      </c>
      <c r="U1160" t="s">
        <v>1960</v>
      </c>
    </row>
    <row r="1161" spans="2:21" ht="15" customHeight="1">
      <c r="B1161" s="7" t="s">
        <v>1961</v>
      </c>
      <c r="C1161" t="s">
        <v>29</v>
      </c>
      <c r="D1161">
        <f t="shared" si="39"/>
        <v>10</v>
      </c>
      <c r="U1161" t="s">
        <v>1962</v>
      </c>
    </row>
    <row r="1162" spans="2:21" ht="15" customHeight="1">
      <c r="B1162" s="7" t="s">
        <v>1963</v>
      </c>
      <c r="C1162" t="s">
        <v>29</v>
      </c>
      <c r="D1162">
        <f t="shared" si="39"/>
        <v>8</v>
      </c>
      <c r="U1162" t="s">
        <v>1964</v>
      </c>
    </row>
    <row r="1163" spans="2:21" ht="15" customHeight="1">
      <c r="B1163" s="7" t="s">
        <v>1965</v>
      </c>
      <c r="C1163" t="s">
        <v>29</v>
      </c>
      <c r="D1163">
        <f t="shared" si="39"/>
        <v>8</v>
      </c>
      <c r="U1163" t="s">
        <v>1966</v>
      </c>
    </row>
    <row r="1164" spans="2:21" ht="15" customHeight="1">
      <c r="B1164" s="7" t="s">
        <v>425</v>
      </c>
      <c r="C1164" t="s">
        <v>29</v>
      </c>
      <c r="D1164">
        <f t="shared" si="39"/>
        <v>9</v>
      </c>
      <c r="U1164" t="s">
        <v>123</v>
      </c>
    </row>
    <row r="1165" spans="2:21" ht="15" customHeight="1">
      <c r="B1165" s="7" t="s">
        <v>1967</v>
      </c>
      <c r="C1165" t="s">
        <v>29</v>
      </c>
      <c r="D1165">
        <f t="shared" si="39"/>
        <v>15</v>
      </c>
      <c r="U1165" t="s">
        <v>1968</v>
      </c>
    </row>
    <row r="1166" spans="2:21" ht="15" customHeight="1">
      <c r="B1166" s="7" t="s">
        <v>1969</v>
      </c>
      <c r="C1166" t="s">
        <v>29</v>
      </c>
      <c r="D1166">
        <f t="shared" ref="D1166:D1229" si="40">LEN(B1166)</f>
        <v>11</v>
      </c>
      <c r="U1166" t="s">
        <v>1970</v>
      </c>
    </row>
    <row r="1167" spans="2:21" ht="15" customHeight="1">
      <c r="B1167" s="7" t="s">
        <v>1971</v>
      </c>
      <c r="C1167" t="s">
        <v>29</v>
      </c>
      <c r="D1167">
        <f t="shared" si="40"/>
        <v>12</v>
      </c>
      <c r="U1167" t="s">
        <v>1972</v>
      </c>
    </row>
    <row r="1168" spans="2:21" ht="15" customHeight="1">
      <c r="B1168" s="7" t="s">
        <v>429</v>
      </c>
      <c r="C1168" t="s">
        <v>29</v>
      </c>
      <c r="D1168">
        <f t="shared" si="40"/>
        <v>10</v>
      </c>
      <c r="U1168" t="s">
        <v>188</v>
      </c>
    </row>
    <row r="1169" spans="2:21" ht="15" customHeight="1">
      <c r="B1169" s="7" t="s">
        <v>1973</v>
      </c>
      <c r="C1169" t="s">
        <v>29</v>
      </c>
      <c r="D1169">
        <f t="shared" si="40"/>
        <v>12</v>
      </c>
      <c r="U1169" t="s">
        <v>1974</v>
      </c>
    </row>
    <row r="1170" spans="2:21" ht="15" customHeight="1">
      <c r="B1170" s="7" t="s">
        <v>1975</v>
      </c>
      <c r="C1170" t="s">
        <v>29</v>
      </c>
      <c r="D1170">
        <f t="shared" si="40"/>
        <v>19</v>
      </c>
      <c r="U1170" t="s">
        <v>1976</v>
      </c>
    </row>
    <row r="1171" spans="2:21" ht="15" customHeight="1">
      <c r="B1171" s="7" t="s">
        <v>1977</v>
      </c>
      <c r="C1171" t="s">
        <v>29</v>
      </c>
      <c r="D1171">
        <f t="shared" si="40"/>
        <v>10</v>
      </c>
      <c r="U1171" t="s">
        <v>1978</v>
      </c>
    </row>
    <row r="1172" spans="2:21" ht="15" customHeight="1">
      <c r="B1172" s="7" t="s">
        <v>1979</v>
      </c>
      <c r="C1172" t="s">
        <v>29</v>
      </c>
      <c r="D1172">
        <f t="shared" si="40"/>
        <v>9</v>
      </c>
      <c r="U1172" t="s">
        <v>1980</v>
      </c>
    </row>
    <row r="1173" spans="2:21" ht="15" customHeight="1">
      <c r="B1173" s="7" t="s">
        <v>1981</v>
      </c>
      <c r="C1173" t="s">
        <v>29</v>
      </c>
      <c r="D1173">
        <f t="shared" si="40"/>
        <v>13</v>
      </c>
      <c r="U1173" t="s">
        <v>1982</v>
      </c>
    </row>
    <row r="1174" spans="2:21" ht="15" customHeight="1">
      <c r="B1174" s="7" t="s">
        <v>1983</v>
      </c>
      <c r="C1174" t="s">
        <v>29</v>
      </c>
      <c r="D1174">
        <f t="shared" si="40"/>
        <v>9</v>
      </c>
      <c r="U1174" t="s">
        <v>1984</v>
      </c>
    </row>
    <row r="1175" spans="2:21" ht="15" customHeight="1">
      <c r="B1175" s="7" t="s">
        <v>1985</v>
      </c>
      <c r="C1175" t="s">
        <v>29</v>
      </c>
      <c r="D1175">
        <f t="shared" si="40"/>
        <v>11</v>
      </c>
      <c r="U1175" t="s">
        <v>1986</v>
      </c>
    </row>
    <row r="1176" spans="2:21" ht="15" customHeight="1">
      <c r="B1176" s="7" t="s">
        <v>1987</v>
      </c>
      <c r="C1176" t="s">
        <v>29</v>
      </c>
      <c r="D1176">
        <f t="shared" si="40"/>
        <v>13</v>
      </c>
      <c r="U1176" t="s">
        <v>1988</v>
      </c>
    </row>
    <row r="1177" spans="2:21" ht="15" customHeight="1">
      <c r="B1177" s="7" t="s">
        <v>1989</v>
      </c>
      <c r="C1177" t="s">
        <v>29</v>
      </c>
      <c r="D1177">
        <f t="shared" si="40"/>
        <v>13</v>
      </c>
      <c r="U1177" t="s">
        <v>1990</v>
      </c>
    </row>
    <row r="1178" spans="2:21" ht="15" customHeight="1">
      <c r="B1178" s="7" t="s">
        <v>1991</v>
      </c>
      <c r="C1178" t="s">
        <v>29</v>
      </c>
      <c r="D1178">
        <f t="shared" si="40"/>
        <v>12</v>
      </c>
      <c r="U1178" t="s">
        <v>1992</v>
      </c>
    </row>
    <row r="1179" spans="2:21" ht="15" customHeight="1">
      <c r="B1179" s="7" t="s">
        <v>1993</v>
      </c>
      <c r="C1179" t="s">
        <v>29</v>
      </c>
      <c r="D1179">
        <f t="shared" si="40"/>
        <v>11</v>
      </c>
      <c r="U1179" t="s">
        <v>1994</v>
      </c>
    </row>
    <row r="1180" spans="2:21" ht="15" customHeight="1">
      <c r="B1180" s="7" t="s">
        <v>1995</v>
      </c>
      <c r="C1180" t="s">
        <v>29</v>
      </c>
      <c r="D1180">
        <f t="shared" si="40"/>
        <v>10</v>
      </c>
      <c r="U1180" t="s">
        <v>1996</v>
      </c>
    </row>
    <row r="1181" spans="2:21" ht="15" customHeight="1">
      <c r="B1181" s="7" t="s">
        <v>1997</v>
      </c>
      <c r="C1181" t="s">
        <v>29</v>
      </c>
      <c r="D1181">
        <f t="shared" si="40"/>
        <v>14</v>
      </c>
      <c r="U1181" t="s">
        <v>1998</v>
      </c>
    </row>
    <row r="1182" spans="2:21" ht="15" customHeight="1">
      <c r="B1182" s="7" t="s">
        <v>1999</v>
      </c>
      <c r="C1182" t="s">
        <v>29</v>
      </c>
      <c r="D1182">
        <f t="shared" si="40"/>
        <v>12</v>
      </c>
      <c r="U1182" t="s">
        <v>2000</v>
      </c>
    </row>
    <row r="1183" spans="2:21" ht="15" customHeight="1">
      <c r="B1183" s="7" t="s">
        <v>2001</v>
      </c>
      <c r="C1183" t="s">
        <v>29</v>
      </c>
      <c r="D1183">
        <f t="shared" si="40"/>
        <v>9</v>
      </c>
      <c r="U1183" t="s">
        <v>2002</v>
      </c>
    </row>
    <row r="1184" spans="2:21" ht="15" customHeight="1">
      <c r="B1184" s="7" t="s">
        <v>2003</v>
      </c>
      <c r="C1184" t="s">
        <v>29</v>
      </c>
      <c r="D1184">
        <f t="shared" si="40"/>
        <v>12</v>
      </c>
      <c r="U1184" t="s">
        <v>2004</v>
      </c>
    </row>
    <row r="1185" spans="2:21" ht="15" customHeight="1">
      <c r="B1185" s="7" t="s">
        <v>2005</v>
      </c>
      <c r="C1185" t="s">
        <v>29</v>
      </c>
      <c r="D1185">
        <f t="shared" si="40"/>
        <v>11</v>
      </c>
      <c r="U1185" t="s">
        <v>2006</v>
      </c>
    </row>
    <row r="1186" spans="2:21" ht="15" customHeight="1">
      <c r="B1186" s="7" t="s">
        <v>2007</v>
      </c>
      <c r="C1186" t="s">
        <v>29</v>
      </c>
      <c r="D1186">
        <f t="shared" si="40"/>
        <v>18</v>
      </c>
      <c r="U1186" t="s">
        <v>2008</v>
      </c>
    </row>
    <row r="1187" spans="2:21" ht="15" customHeight="1">
      <c r="B1187" s="7" t="s">
        <v>432</v>
      </c>
      <c r="C1187" t="s">
        <v>29</v>
      </c>
      <c r="D1187">
        <f t="shared" si="40"/>
        <v>10</v>
      </c>
      <c r="U1187" t="s">
        <v>236</v>
      </c>
    </row>
    <row r="1188" spans="2:21" ht="15" customHeight="1">
      <c r="B1188" s="7" t="s">
        <v>2009</v>
      </c>
      <c r="C1188" t="s">
        <v>29</v>
      </c>
      <c r="D1188">
        <f t="shared" si="40"/>
        <v>15</v>
      </c>
      <c r="U1188" t="s">
        <v>2010</v>
      </c>
    </row>
    <row r="1189" spans="2:21" ht="15" customHeight="1">
      <c r="B1189" s="7" t="s">
        <v>2011</v>
      </c>
      <c r="C1189" t="s">
        <v>29</v>
      </c>
      <c r="D1189">
        <f t="shared" si="40"/>
        <v>16</v>
      </c>
      <c r="U1189" t="s">
        <v>2012</v>
      </c>
    </row>
    <row r="1190" spans="2:21" ht="15" customHeight="1">
      <c r="B1190" s="7" t="s">
        <v>2013</v>
      </c>
      <c r="C1190" t="s">
        <v>29</v>
      </c>
      <c r="D1190">
        <f t="shared" si="40"/>
        <v>12</v>
      </c>
      <c r="U1190" t="s">
        <v>2014</v>
      </c>
    </row>
    <row r="1191" spans="2:21" ht="15" customHeight="1">
      <c r="B1191" s="7" t="s">
        <v>2015</v>
      </c>
      <c r="C1191" t="s">
        <v>29</v>
      </c>
      <c r="D1191">
        <f t="shared" si="40"/>
        <v>12</v>
      </c>
      <c r="U1191" t="s">
        <v>2016</v>
      </c>
    </row>
    <row r="1192" spans="2:21" ht="15" customHeight="1">
      <c r="B1192" s="7" t="s">
        <v>2017</v>
      </c>
      <c r="C1192" t="s">
        <v>29</v>
      </c>
      <c r="D1192">
        <f t="shared" si="40"/>
        <v>13</v>
      </c>
      <c r="U1192" t="s">
        <v>2018</v>
      </c>
    </row>
    <row r="1193" spans="2:21" ht="15" customHeight="1">
      <c r="B1193" s="7" t="s">
        <v>2019</v>
      </c>
      <c r="C1193" t="s">
        <v>29</v>
      </c>
      <c r="D1193">
        <f t="shared" si="40"/>
        <v>10</v>
      </c>
      <c r="U1193" t="s">
        <v>2020</v>
      </c>
    </row>
    <row r="1194" spans="2:21" ht="15" customHeight="1">
      <c r="B1194" s="7" t="s">
        <v>2021</v>
      </c>
      <c r="C1194" t="s">
        <v>29</v>
      </c>
      <c r="D1194">
        <f t="shared" si="40"/>
        <v>11</v>
      </c>
      <c r="U1194" t="s">
        <v>2022</v>
      </c>
    </row>
    <row r="1195" spans="2:21" ht="15" customHeight="1">
      <c r="B1195" s="7" t="s">
        <v>2023</v>
      </c>
      <c r="C1195" t="s">
        <v>29</v>
      </c>
      <c r="D1195">
        <f t="shared" si="40"/>
        <v>9</v>
      </c>
      <c r="U1195" t="s">
        <v>2024</v>
      </c>
    </row>
    <row r="1196" spans="2:21" ht="15" customHeight="1">
      <c r="B1196" s="7" t="s">
        <v>2025</v>
      </c>
      <c r="C1196" t="s">
        <v>29</v>
      </c>
      <c r="D1196">
        <f t="shared" si="40"/>
        <v>12</v>
      </c>
      <c r="U1196" t="s">
        <v>2026</v>
      </c>
    </row>
    <row r="1197" spans="2:21" ht="15" customHeight="1">
      <c r="B1197" s="7" t="s">
        <v>2027</v>
      </c>
      <c r="C1197" t="s">
        <v>29</v>
      </c>
      <c r="D1197">
        <f t="shared" si="40"/>
        <v>8</v>
      </c>
      <c r="U1197" t="s">
        <v>2028</v>
      </c>
    </row>
    <row r="1198" spans="2:21" ht="15" customHeight="1">
      <c r="B1198" s="7" t="s">
        <v>2029</v>
      </c>
      <c r="C1198" t="s">
        <v>29</v>
      </c>
      <c r="D1198">
        <f t="shared" si="40"/>
        <v>10</v>
      </c>
      <c r="U1198" t="s">
        <v>2030</v>
      </c>
    </row>
    <row r="1199" spans="2:21" ht="15" customHeight="1">
      <c r="B1199" s="7" t="s">
        <v>2031</v>
      </c>
      <c r="C1199" t="s">
        <v>29</v>
      </c>
      <c r="D1199">
        <f t="shared" si="40"/>
        <v>9</v>
      </c>
      <c r="U1199" t="s">
        <v>2032</v>
      </c>
    </row>
    <row r="1200" spans="2:21" ht="15" customHeight="1">
      <c r="B1200" s="7" t="s">
        <v>2033</v>
      </c>
      <c r="C1200" t="s">
        <v>29</v>
      </c>
      <c r="D1200">
        <f t="shared" si="40"/>
        <v>13</v>
      </c>
      <c r="U1200" t="s">
        <v>2034</v>
      </c>
    </row>
    <row r="1201" spans="2:21" ht="15" customHeight="1">
      <c r="B1201" s="7" t="s">
        <v>2035</v>
      </c>
      <c r="C1201" t="s">
        <v>29</v>
      </c>
      <c r="D1201">
        <f t="shared" si="40"/>
        <v>9</v>
      </c>
      <c r="U1201" t="s">
        <v>2036</v>
      </c>
    </row>
    <row r="1202" spans="2:21" ht="15" customHeight="1">
      <c r="B1202" s="7" t="s">
        <v>2037</v>
      </c>
      <c r="C1202" t="s">
        <v>29</v>
      </c>
      <c r="D1202">
        <f t="shared" si="40"/>
        <v>12</v>
      </c>
      <c r="U1202" t="s">
        <v>2038</v>
      </c>
    </row>
    <row r="1203" spans="2:21" ht="15" customHeight="1">
      <c r="B1203" s="7" t="s">
        <v>2039</v>
      </c>
      <c r="C1203" t="s">
        <v>29</v>
      </c>
      <c r="D1203">
        <f t="shared" si="40"/>
        <v>14</v>
      </c>
      <c r="U1203" t="s">
        <v>2040</v>
      </c>
    </row>
    <row r="1204" spans="2:21" ht="15" customHeight="1">
      <c r="B1204" s="7" t="s">
        <v>2041</v>
      </c>
      <c r="C1204" t="s">
        <v>29</v>
      </c>
      <c r="D1204">
        <f t="shared" si="40"/>
        <v>11</v>
      </c>
      <c r="U1204" s="2" t="s">
        <v>2042</v>
      </c>
    </row>
    <row r="1205" spans="2:21" ht="15" customHeight="1">
      <c r="B1205" s="7" t="s">
        <v>2043</v>
      </c>
      <c r="C1205" t="s">
        <v>29</v>
      </c>
      <c r="D1205">
        <f t="shared" si="40"/>
        <v>10</v>
      </c>
      <c r="U1205" t="s">
        <v>2044</v>
      </c>
    </row>
    <row r="1206" spans="2:21" ht="15" customHeight="1">
      <c r="B1206" s="7" t="s">
        <v>2045</v>
      </c>
      <c r="C1206" t="s">
        <v>29</v>
      </c>
      <c r="D1206">
        <f t="shared" si="40"/>
        <v>14</v>
      </c>
      <c r="U1206" t="s">
        <v>2046</v>
      </c>
    </row>
    <row r="1207" spans="2:21" ht="15" customHeight="1">
      <c r="B1207" s="7" t="s">
        <v>2047</v>
      </c>
      <c r="C1207" t="s">
        <v>29</v>
      </c>
      <c r="D1207">
        <f t="shared" si="40"/>
        <v>12</v>
      </c>
      <c r="U1207" t="s">
        <v>2048</v>
      </c>
    </row>
    <row r="1208" spans="2:21" ht="15" customHeight="1">
      <c r="B1208" s="7" t="s">
        <v>2049</v>
      </c>
      <c r="C1208" t="s">
        <v>29</v>
      </c>
      <c r="D1208">
        <f t="shared" si="40"/>
        <v>19</v>
      </c>
      <c r="U1208" t="s">
        <v>2050</v>
      </c>
    </row>
    <row r="1209" spans="2:21" ht="15" customHeight="1">
      <c r="B1209" s="7" t="s">
        <v>2051</v>
      </c>
      <c r="C1209" t="s">
        <v>29</v>
      </c>
      <c r="D1209">
        <f t="shared" si="40"/>
        <v>10</v>
      </c>
      <c r="U1209" t="s">
        <v>2052</v>
      </c>
    </row>
    <row r="1210" spans="2:21" ht="15" customHeight="1">
      <c r="B1210" s="7" t="s">
        <v>2053</v>
      </c>
      <c r="C1210" t="s">
        <v>29</v>
      </c>
      <c r="D1210">
        <f t="shared" si="40"/>
        <v>14</v>
      </c>
      <c r="U1210" t="s">
        <v>2054</v>
      </c>
    </row>
    <row r="1211" spans="2:21" ht="15" customHeight="1">
      <c r="B1211" s="7" t="s">
        <v>2055</v>
      </c>
      <c r="C1211" t="s">
        <v>29</v>
      </c>
      <c r="D1211">
        <f t="shared" si="40"/>
        <v>13</v>
      </c>
      <c r="U1211" t="s">
        <v>2056</v>
      </c>
    </row>
    <row r="1212" spans="2:21" ht="15" customHeight="1">
      <c r="B1212" s="7" t="s">
        <v>2057</v>
      </c>
      <c r="C1212" t="s">
        <v>29</v>
      </c>
      <c r="D1212">
        <f t="shared" si="40"/>
        <v>10</v>
      </c>
      <c r="U1212" t="s">
        <v>2058</v>
      </c>
    </row>
    <row r="1213" spans="2:21" ht="15" customHeight="1">
      <c r="B1213" s="7" t="s">
        <v>2059</v>
      </c>
      <c r="C1213" t="s">
        <v>29</v>
      </c>
      <c r="D1213">
        <f t="shared" si="40"/>
        <v>14</v>
      </c>
      <c r="U1213" t="s">
        <v>2060</v>
      </c>
    </row>
    <row r="1214" spans="2:21" ht="15" customHeight="1">
      <c r="B1214" s="7" t="s">
        <v>2061</v>
      </c>
      <c r="C1214" t="s">
        <v>29</v>
      </c>
      <c r="D1214">
        <f t="shared" si="40"/>
        <v>13</v>
      </c>
      <c r="U1214" t="s">
        <v>2062</v>
      </c>
    </row>
    <row r="1215" spans="2:21" ht="15" customHeight="1">
      <c r="B1215" s="7" t="s">
        <v>2063</v>
      </c>
      <c r="C1215" t="s">
        <v>29</v>
      </c>
      <c r="D1215">
        <f t="shared" si="40"/>
        <v>13</v>
      </c>
      <c r="U1215" t="s">
        <v>2064</v>
      </c>
    </row>
    <row r="1216" spans="2:21" ht="15" customHeight="1">
      <c r="B1216" s="7" t="s">
        <v>2065</v>
      </c>
      <c r="C1216" t="s">
        <v>29</v>
      </c>
      <c r="D1216">
        <f t="shared" si="40"/>
        <v>16</v>
      </c>
      <c r="U1216" t="s">
        <v>2066</v>
      </c>
    </row>
    <row r="1217" spans="2:21" ht="15" customHeight="1">
      <c r="B1217" s="7" t="s">
        <v>2067</v>
      </c>
      <c r="C1217" t="s">
        <v>29</v>
      </c>
      <c r="D1217">
        <f t="shared" si="40"/>
        <v>21</v>
      </c>
      <c r="U1217" t="s">
        <v>2068</v>
      </c>
    </row>
    <row r="1218" spans="2:21" ht="15" customHeight="1">
      <c r="B1218" s="7" t="s">
        <v>2069</v>
      </c>
      <c r="C1218" t="s">
        <v>29</v>
      </c>
      <c r="D1218">
        <f t="shared" si="40"/>
        <v>16</v>
      </c>
      <c r="U1218" t="s">
        <v>2070</v>
      </c>
    </row>
    <row r="1219" spans="2:21" ht="15" customHeight="1">
      <c r="B1219" s="7" t="s">
        <v>2071</v>
      </c>
      <c r="C1219" t="s">
        <v>29</v>
      </c>
      <c r="D1219">
        <f t="shared" si="40"/>
        <v>19</v>
      </c>
      <c r="U1219" t="s">
        <v>2072</v>
      </c>
    </row>
    <row r="1220" spans="2:21" ht="15" customHeight="1">
      <c r="B1220" s="7" t="s">
        <v>2073</v>
      </c>
      <c r="C1220" t="s">
        <v>29</v>
      </c>
      <c r="D1220">
        <f t="shared" si="40"/>
        <v>16</v>
      </c>
      <c r="U1220" t="s">
        <v>2074</v>
      </c>
    </row>
    <row r="1221" spans="2:21" ht="15" customHeight="1">
      <c r="B1221" s="7" t="s">
        <v>2075</v>
      </c>
      <c r="C1221" t="s">
        <v>29</v>
      </c>
      <c r="D1221">
        <f t="shared" si="40"/>
        <v>23</v>
      </c>
      <c r="U1221" t="s">
        <v>2076</v>
      </c>
    </row>
    <row r="1222" spans="2:21" ht="15" customHeight="1">
      <c r="B1222" s="7" t="s">
        <v>2077</v>
      </c>
      <c r="C1222" t="s">
        <v>29</v>
      </c>
      <c r="D1222">
        <f t="shared" si="40"/>
        <v>27</v>
      </c>
      <c r="U1222" t="s">
        <v>2078</v>
      </c>
    </row>
    <row r="1223" spans="2:21" ht="15" customHeight="1">
      <c r="B1223" s="7" t="s">
        <v>2079</v>
      </c>
      <c r="C1223" t="s">
        <v>29</v>
      </c>
      <c r="D1223">
        <f t="shared" si="40"/>
        <v>18</v>
      </c>
      <c r="U1223" t="s">
        <v>2080</v>
      </c>
    </row>
    <row r="1224" spans="2:21" ht="15" customHeight="1">
      <c r="B1224" s="7" t="s">
        <v>2081</v>
      </c>
      <c r="C1224" t="s">
        <v>29</v>
      </c>
      <c r="D1224">
        <f t="shared" si="40"/>
        <v>13</v>
      </c>
      <c r="U1224" t="s">
        <v>2082</v>
      </c>
    </row>
    <row r="1225" spans="2:21" ht="15" customHeight="1">
      <c r="B1225" s="7" t="s">
        <v>2083</v>
      </c>
      <c r="C1225" t="s">
        <v>29</v>
      </c>
      <c r="D1225">
        <f t="shared" si="40"/>
        <v>16</v>
      </c>
      <c r="U1225" t="s">
        <v>2084</v>
      </c>
    </row>
    <row r="1226" spans="2:21" ht="15" customHeight="1">
      <c r="B1226" s="7" t="s">
        <v>2085</v>
      </c>
      <c r="C1226" t="s">
        <v>29</v>
      </c>
      <c r="D1226">
        <f t="shared" si="40"/>
        <v>19</v>
      </c>
      <c r="U1226" t="s">
        <v>2086</v>
      </c>
    </row>
    <row r="1227" spans="2:21" ht="15" customHeight="1">
      <c r="B1227" s="7" t="s">
        <v>2087</v>
      </c>
      <c r="C1227" t="s">
        <v>29</v>
      </c>
      <c r="D1227">
        <f t="shared" si="40"/>
        <v>28</v>
      </c>
      <c r="U1227" t="s">
        <v>2088</v>
      </c>
    </row>
    <row r="1228" spans="2:21" ht="15" customHeight="1">
      <c r="B1228" s="7" t="s">
        <v>2089</v>
      </c>
      <c r="C1228" t="s">
        <v>29</v>
      </c>
      <c r="D1228">
        <f t="shared" si="40"/>
        <v>10</v>
      </c>
      <c r="U1228" t="s">
        <v>2090</v>
      </c>
    </row>
    <row r="1229" spans="2:21" ht="15" customHeight="1">
      <c r="B1229" s="7" t="s">
        <v>2091</v>
      </c>
      <c r="C1229" t="s">
        <v>29</v>
      </c>
      <c r="D1229">
        <f t="shared" si="40"/>
        <v>14</v>
      </c>
      <c r="U1229" t="s">
        <v>2092</v>
      </c>
    </row>
    <row r="1230" spans="2:21" ht="15" customHeight="1">
      <c r="B1230" s="7" t="s">
        <v>2093</v>
      </c>
      <c r="C1230" t="s">
        <v>29</v>
      </c>
      <c r="D1230">
        <f t="shared" ref="D1230:D1293" si="41">LEN(B1230)</f>
        <v>11</v>
      </c>
      <c r="U1230" t="s">
        <v>2094</v>
      </c>
    </row>
    <row r="1231" spans="2:21" ht="15" customHeight="1">
      <c r="B1231" s="7" t="s">
        <v>2095</v>
      </c>
      <c r="C1231" t="s">
        <v>29</v>
      </c>
      <c r="D1231">
        <f t="shared" si="41"/>
        <v>11</v>
      </c>
      <c r="U1231" t="s">
        <v>2096</v>
      </c>
    </row>
    <row r="1232" spans="2:21" ht="15" customHeight="1">
      <c r="B1232" s="7" t="s">
        <v>2097</v>
      </c>
      <c r="C1232" t="s">
        <v>29</v>
      </c>
      <c r="D1232">
        <f t="shared" si="41"/>
        <v>14</v>
      </c>
      <c r="U1232" t="s">
        <v>2098</v>
      </c>
    </row>
    <row r="1233" spans="2:21" ht="15" customHeight="1">
      <c r="B1233" s="7" t="s">
        <v>2099</v>
      </c>
      <c r="C1233" t="s">
        <v>29</v>
      </c>
      <c r="D1233">
        <f t="shared" si="41"/>
        <v>12</v>
      </c>
      <c r="U1233" t="s">
        <v>2100</v>
      </c>
    </row>
    <row r="1234" spans="2:21" ht="15" customHeight="1">
      <c r="B1234" s="7" t="s">
        <v>2101</v>
      </c>
      <c r="C1234" t="s">
        <v>29</v>
      </c>
      <c r="D1234">
        <f t="shared" si="41"/>
        <v>18</v>
      </c>
      <c r="U1234" t="s">
        <v>2102</v>
      </c>
    </row>
    <row r="1235" spans="2:21" ht="15" customHeight="1">
      <c r="B1235" s="7" t="s">
        <v>2103</v>
      </c>
      <c r="C1235" t="s">
        <v>29</v>
      </c>
      <c r="D1235">
        <f t="shared" si="41"/>
        <v>11</v>
      </c>
      <c r="U1235" t="s">
        <v>2104</v>
      </c>
    </row>
    <row r="1236" spans="2:21" ht="15" customHeight="1">
      <c r="B1236" s="7" t="s">
        <v>2105</v>
      </c>
      <c r="C1236" t="s">
        <v>29</v>
      </c>
      <c r="D1236">
        <f t="shared" si="41"/>
        <v>13</v>
      </c>
      <c r="U1236" t="s">
        <v>2106</v>
      </c>
    </row>
    <row r="1237" spans="2:21" ht="15" customHeight="1">
      <c r="B1237" s="7" t="s">
        <v>2107</v>
      </c>
      <c r="C1237" t="s">
        <v>29</v>
      </c>
      <c r="D1237">
        <f t="shared" si="41"/>
        <v>11</v>
      </c>
      <c r="U1237" t="s">
        <v>2108</v>
      </c>
    </row>
    <row r="1238" spans="2:21" ht="15" customHeight="1">
      <c r="B1238" s="7" t="s">
        <v>2109</v>
      </c>
      <c r="C1238" t="s">
        <v>29</v>
      </c>
      <c r="D1238">
        <f t="shared" si="41"/>
        <v>19</v>
      </c>
      <c r="U1238" t="s">
        <v>2110</v>
      </c>
    </row>
    <row r="1239" spans="2:21" ht="15" customHeight="1">
      <c r="B1239" s="7" t="s">
        <v>2111</v>
      </c>
      <c r="C1239" t="s">
        <v>29</v>
      </c>
      <c r="D1239">
        <f t="shared" si="41"/>
        <v>14</v>
      </c>
      <c r="U1239" t="s">
        <v>2112</v>
      </c>
    </row>
    <row r="1240" spans="2:21" ht="15" customHeight="1">
      <c r="B1240" s="7" t="s">
        <v>2113</v>
      </c>
      <c r="C1240" t="s">
        <v>29</v>
      </c>
      <c r="D1240">
        <f t="shared" si="41"/>
        <v>22</v>
      </c>
      <c r="U1240" t="s">
        <v>2114</v>
      </c>
    </row>
    <row r="1241" spans="2:21" ht="15" customHeight="1">
      <c r="B1241" s="7" t="s">
        <v>2115</v>
      </c>
      <c r="C1241" t="s">
        <v>29</v>
      </c>
      <c r="D1241">
        <f t="shared" si="41"/>
        <v>13</v>
      </c>
      <c r="U1241" t="s">
        <v>2116</v>
      </c>
    </row>
    <row r="1242" spans="2:21" ht="15" customHeight="1">
      <c r="B1242" s="7" t="s">
        <v>2117</v>
      </c>
      <c r="C1242" t="s">
        <v>29</v>
      </c>
      <c r="D1242">
        <f t="shared" si="41"/>
        <v>15</v>
      </c>
      <c r="U1242" t="s">
        <v>2118</v>
      </c>
    </row>
    <row r="1243" spans="2:21" ht="15" customHeight="1">
      <c r="B1243" s="7" t="s">
        <v>2119</v>
      </c>
      <c r="C1243" t="s">
        <v>29</v>
      </c>
      <c r="D1243">
        <f t="shared" si="41"/>
        <v>9</v>
      </c>
      <c r="U1243" t="s">
        <v>2120</v>
      </c>
    </row>
    <row r="1244" spans="2:21" ht="15" customHeight="1">
      <c r="B1244" s="7" t="s">
        <v>2121</v>
      </c>
      <c r="C1244" t="s">
        <v>29</v>
      </c>
      <c r="D1244">
        <f t="shared" si="41"/>
        <v>10</v>
      </c>
      <c r="U1244" t="s">
        <v>2122</v>
      </c>
    </row>
    <row r="1245" spans="2:21" ht="15" customHeight="1">
      <c r="B1245" s="7" t="s">
        <v>2123</v>
      </c>
      <c r="C1245" t="s">
        <v>29</v>
      </c>
      <c r="D1245">
        <f t="shared" si="41"/>
        <v>14</v>
      </c>
      <c r="U1245" t="s">
        <v>2124</v>
      </c>
    </row>
    <row r="1246" spans="2:21" ht="15" customHeight="1">
      <c r="B1246" s="7" t="s">
        <v>2125</v>
      </c>
      <c r="C1246" t="s">
        <v>29</v>
      </c>
      <c r="D1246">
        <f t="shared" si="41"/>
        <v>24</v>
      </c>
      <c r="U1246" t="s">
        <v>2126</v>
      </c>
    </row>
    <row r="1247" spans="2:21" ht="15" customHeight="1">
      <c r="B1247" s="7" t="s">
        <v>2127</v>
      </c>
      <c r="C1247" t="s">
        <v>29</v>
      </c>
      <c r="D1247">
        <f t="shared" si="41"/>
        <v>17</v>
      </c>
      <c r="U1247" t="s">
        <v>2128</v>
      </c>
    </row>
    <row r="1248" spans="2:21" ht="15" customHeight="1">
      <c r="B1248" s="7" t="s">
        <v>2129</v>
      </c>
      <c r="C1248" t="s">
        <v>29</v>
      </c>
      <c r="D1248">
        <f t="shared" si="41"/>
        <v>20</v>
      </c>
      <c r="U1248" t="s">
        <v>2130</v>
      </c>
    </row>
    <row r="1249" spans="2:21" ht="15" customHeight="1">
      <c r="B1249" s="7" t="s">
        <v>2131</v>
      </c>
      <c r="C1249" t="s">
        <v>29</v>
      </c>
      <c r="D1249">
        <f t="shared" si="41"/>
        <v>15</v>
      </c>
      <c r="U1249" t="s">
        <v>2132</v>
      </c>
    </row>
    <row r="1250" spans="2:21" ht="15" customHeight="1">
      <c r="B1250" s="7" t="s">
        <v>2133</v>
      </c>
      <c r="C1250" t="s">
        <v>29</v>
      </c>
      <c r="D1250">
        <f t="shared" si="41"/>
        <v>15</v>
      </c>
      <c r="U1250" t="s">
        <v>2134</v>
      </c>
    </row>
    <row r="1251" spans="2:21" ht="15" customHeight="1">
      <c r="B1251" s="7" t="s">
        <v>2135</v>
      </c>
      <c r="C1251" t="s">
        <v>29</v>
      </c>
      <c r="D1251">
        <f t="shared" si="41"/>
        <v>13</v>
      </c>
      <c r="U1251" t="s">
        <v>2136</v>
      </c>
    </row>
    <row r="1252" spans="2:21" ht="15" customHeight="1">
      <c r="B1252" s="7" t="s">
        <v>2137</v>
      </c>
      <c r="C1252" t="s">
        <v>29</v>
      </c>
      <c r="D1252">
        <f t="shared" si="41"/>
        <v>18</v>
      </c>
      <c r="U1252" t="s">
        <v>2138</v>
      </c>
    </row>
    <row r="1253" spans="2:21" ht="15" customHeight="1">
      <c r="B1253" s="7" t="s">
        <v>2139</v>
      </c>
      <c r="C1253" t="s">
        <v>29</v>
      </c>
      <c r="D1253">
        <f t="shared" si="41"/>
        <v>16</v>
      </c>
      <c r="U1253" t="s">
        <v>2140</v>
      </c>
    </row>
    <row r="1254" spans="2:21" ht="15" customHeight="1">
      <c r="B1254" s="7" t="s">
        <v>2141</v>
      </c>
      <c r="C1254" t="s">
        <v>29</v>
      </c>
      <c r="D1254">
        <f t="shared" si="41"/>
        <v>17</v>
      </c>
      <c r="U1254" t="s">
        <v>2142</v>
      </c>
    </row>
    <row r="1255" spans="2:21" ht="15" customHeight="1">
      <c r="B1255" s="7" t="s">
        <v>2143</v>
      </c>
      <c r="C1255" t="s">
        <v>29</v>
      </c>
      <c r="D1255">
        <f t="shared" si="41"/>
        <v>11</v>
      </c>
      <c r="U1255" t="s">
        <v>2144</v>
      </c>
    </row>
    <row r="1256" spans="2:21" ht="15" customHeight="1">
      <c r="B1256" s="7" t="s">
        <v>2145</v>
      </c>
      <c r="C1256" t="s">
        <v>29</v>
      </c>
      <c r="D1256">
        <f t="shared" si="41"/>
        <v>13</v>
      </c>
      <c r="U1256" t="s">
        <v>2146</v>
      </c>
    </row>
    <row r="1257" spans="2:21" ht="15" customHeight="1">
      <c r="B1257" s="7" t="s">
        <v>2147</v>
      </c>
      <c r="C1257" t="s">
        <v>29</v>
      </c>
      <c r="D1257">
        <f t="shared" si="41"/>
        <v>13</v>
      </c>
      <c r="U1257" t="s">
        <v>2148</v>
      </c>
    </row>
    <row r="1258" spans="2:21" ht="15" customHeight="1">
      <c r="B1258" s="7" t="s">
        <v>2149</v>
      </c>
      <c r="C1258" t="s">
        <v>29</v>
      </c>
      <c r="D1258">
        <f t="shared" si="41"/>
        <v>14</v>
      </c>
      <c r="U1258" t="s">
        <v>2150</v>
      </c>
    </row>
    <row r="1259" spans="2:21" ht="15" customHeight="1">
      <c r="B1259" s="7" t="s">
        <v>2151</v>
      </c>
      <c r="C1259" t="s">
        <v>29</v>
      </c>
      <c r="D1259">
        <f t="shared" si="41"/>
        <v>10</v>
      </c>
      <c r="U1259" t="s">
        <v>2152</v>
      </c>
    </row>
    <row r="1260" spans="2:21" ht="15" customHeight="1">
      <c r="B1260" s="7" t="s">
        <v>2153</v>
      </c>
      <c r="C1260" t="s">
        <v>29</v>
      </c>
      <c r="D1260">
        <f t="shared" si="41"/>
        <v>8</v>
      </c>
      <c r="U1260" t="s">
        <v>2154</v>
      </c>
    </row>
    <row r="1261" spans="2:21" ht="15" customHeight="1">
      <c r="B1261" s="7" t="s">
        <v>2155</v>
      </c>
      <c r="C1261" t="s">
        <v>29</v>
      </c>
      <c r="D1261">
        <f t="shared" si="41"/>
        <v>14</v>
      </c>
      <c r="U1261" t="s">
        <v>2156</v>
      </c>
    </row>
    <row r="1262" spans="2:21" ht="15" customHeight="1">
      <c r="B1262" s="7" t="s">
        <v>2157</v>
      </c>
      <c r="C1262" t="s">
        <v>29</v>
      </c>
      <c r="D1262">
        <f t="shared" si="41"/>
        <v>15</v>
      </c>
      <c r="U1262" t="s">
        <v>2158</v>
      </c>
    </row>
    <row r="1263" spans="2:21" ht="15" customHeight="1">
      <c r="B1263" s="7" t="s">
        <v>2159</v>
      </c>
      <c r="C1263" t="s">
        <v>29</v>
      </c>
      <c r="D1263">
        <f t="shared" si="41"/>
        <v>11</v>
      </c>
      <c r="U1263" t="s">
        <v>2160</v>
      </c>
    </row>
    <row r="1264" spans="2:21" ht="15" customHeight="1">
      <c r="B1264" s="7" t="s">
        <v>2161</v>
      </c>
      <c r="C1264" t="s">
        <v>29</v>
      </c>
      <c r="D1264">
        <f t="shared" si="41"/>
        <v>13</v>
      </c>
      <c r="U1264" t="s">
        <v>2162</v>
      </c>
    </row>
    <row r="1265" spans="2:21" ht="15" customHeight="1">
      <c r="B1265" s="7" t="s">
        <v>2163</v>
      </c>
      <c r="C1265" t="s">
        <v>29</v>
      </c>
      <c r="D1265">
        <f t="shared" si="41"/>
        <v>14</v>
      </c>
      <c r="U1265" t="s">
        <v>2164</v>
      </c>
    </row>
    <row r="1266" spans="2:21" ht="15" customHeight="1">
      <c r="B1266" s="7" t="s">
        <v>2165</v>
      </c>
      <c r="C1266" t="s">
        <v>29</v>
      </c>
      <c r="D1266">
        <f t="shared" si="41"/>
        <v>13</v>
      </c>
      <c r="U1266" t="s">
        <v>2166</v>
      </c>
    </row>
    <row r="1267" spans="2:21" ht="15" customHeight="1">
      <c r="B1267" s="7" t="s">
        <v>2167</v>
      </c>
      <c r="C1267" t="s">
        <v>29</v>
      </c>
      <c r="D1267">
        <f t="shared" si="41"/>
        <v>16</v>
      </c>
      <c r="U1267" t="s">
        <v>2168</v>
      </c>
    </row>
    <row r="1268" spans="2:21" ht="15" customHeight="1">
      <c r="B1268" s="7" t="s">
        <v>2169</v>
      </c>
      <c r="C1268" t="s">
        <v>29</v>
      </c>
      <c r="D1268">
        <f t="shared" si="41"/>
        <v>13</v>
      </c>
      <c r="U1268" t="s">
        <v>2170</v>
      </c>
    </row>
    <row r="1269" spans="2:21" ht="15" customHeight="1">
      <c r="B1269" s="7" t="s">
        <v>2171</v>
      </c>
      <c r="C1269" t="s">
        <v>29</v>
      </c>
      <c r="D1269">
        <f t="shared" si="41"/>
        <v>16</v>
      </c>
      <c r="U1269" t="s">
        <v>2172</v>
      </c>
    </row>
    <row r="1270" spans="2:21" ht="15" customHeight="1">
      <c r="B1270" s="7" t="s">
        <v>2173</v>
      </c>
      <c r="C1270" t="s">
        <v>29</v>
      </c>
      <c r="D1270">
        <f t="shared" si="41"/>
        <v>14</v>
      </c>
      <c r="U1270" t="s">
        <v>2174</v>
      </c>
    </row>
    <row r="1271" spans="2:21" ht="15" customHeight="1">
      <c r="B1271" s="7" t="s">
        <v>2175</v>
      </c>
      <c r="C1271" t="s">
        <v>29</v>
      </c>
      <c r="D1271">
        <f t="shared" si="41"/>
        <v>16</v>
      </c>
      <c r="U1271" t="s">
        <v>2176</v>
      </c>
    </row>
    <row r="1272" spans="2:21" ht="15" customHeight="1">
      <c r="B1272" s="7" t="s">
        <v>2177</v>
      </c>
      <c r="C1272" t="s">
        <v>29</v>
      </c>
      <c r="D1272">
        <f t="shared" si="41"/>
        <v>12</v>
      </c>
      <c r="U1272" t="s">
        <v>2178</v>
      </c>
    </row>
    <row r="1273" spans="2:21" ht="15" customHeight="1">
      <c r="B1273" s="7" t="s">
        <v>2179</v>
      </c>
      <c r="C1273" t="s">
        <v>29</v>
      </c>
      <c r="D1273">
        <f t="shared" si="41"/>
        <v>20</v>
      </c>
      <c r="U1273" t="s">
        <v>2180</v>
      </c>
    </row>
    <row r="1274" spans="2:21" ht="15" customHeight="1">
      <c r="B1274" s="7" t="s">
        <v>2181</v>
      </c>
      <c r="C1274" t="s">
        <v>29</v>
      </c>
      <c r="D1274">
        <f t="shared" si="41"/>
        <v>17</v>
      </c>
      <c r="U1274" t="s">
        <v>2182</v>
      </c>
    </row>
    <row r="1275" spans="2:21" ht="15" customHeight="1">
      <c r="B1275" s="7" t="s">
        <v>2183</v>
      </c>
      <c r="C1275" t="s">
        <v>29</v>
      </c>
      <c r="D1275">
        <f t="shared" si="41"/>
        <v>13</v>
      </c>
      <c r="U1275" t="s">
        <v>2184</v>
      </c>
    </row>
    <row r="1276" spans="2:21" ht="15" customHeight="1">
      <c r="B1276" s="7" t="s">
        <v>2185</v>
      </c>
      <c r="C1276" t="s">
        <v>29</v>
      </c>
      <c r="D1276">
        <f t="shared" si="41"/>
        <v>23</v>
      </c>
      <c r="U1276" t="s">
        <v>2186</v>
      </c>
    </row>
    <row r="1277" spans="2:21" ht="15" customHeight="1">
      <c r="B1277" s="9" t="s">
        <v>2187</v>
      </c>
      <c r="C1277" t="s">
        <v>29</v>
      </c>
      <c r="D1277">
        <f t="shared" si="41"/>
        <v>11</v>
      </c>
      <c r="U1277" t="s">
        <v>2188</v>
      </c>
    </row>
    <row r="1278" spans="2:21" ht="15" customHeight="1">
      <c r="B1278" s="7" t="s">
        <v>2189</v>
      </c>
      <c r="C1278" t="s">
        <v>29</v>
      </c>
      <c r="D1278">
        <f t="shared" si="41"/>
        <v>15</v>
      </c>
      <c r="U1278" t="s">
        <v>2190</v>
      </c>
    </row>
    <row r="1279" spans="2:21" ht="15" customHeight="1">
      <c r="B1279" s="7" t="s">
        <v>2191</v>
      </c>
      <c r="C1279" t="s">
        <v>29</v>
      </c>
      <c r="D1279">
        <f t="shared" si="41"/>
        <v>15</v>
      </c>
      <c r="U1279" t="s">
        <v>2192</v>
      </c>
    </row>
    <row r="1280" spans="2:21" ht="15" customHeight="1">
      <c r="B1280" s="7" t="s">
        <v>2193</v>
      </c>
      <c r="C1280" t="s">
        <v>29</v>
      </c>
      <c r="D1280">
        <f t="shared" si="41"/>
        <v>15</v>
      </c>
      <c r="U1280" t="s">
        <v>2194</v>
      </c>
    </row>
    <row r="1281" spans="2:21" ht="15" customHeight="1">
      <c r="B1281" s="7" t="s">
        <v>2195</v>
      </c>
      <c r="C1281" t="s">
        <v>29</v>
      </c>
      <c r="D1281">
        <f t="shared" si="41"/>
        <v>17</v>
      </c>
      <c r="U1281" t="s">
        <v>2196</v>
      </c>
    </row>
    <row r="1282" spans="2:21" ht="15" customHeight="1">
      <c r="B1282" s="7" t="s">
        <v>2197</v>
      </c>
      <c r="C1282" t="s">
        <v>29</v>
      </c>
      <c r="D1282">
        <f t="shared" si="41"/>
        <v>17</v>
      </c>
      <c r="U1282" t="s">
        <v>2198</v>
      </c>
    </row>
    <row r="1283" spans="2:21" ht="15" customHeight="1">
      <c r="B1283" s="7" t="s">
        <v>2199</v>
      </c>
      <c r="C1283" t="s">
        <v>29</v>
      </c>
      <c r="D1283">
        <f t="shared" si="41"/>
        <v>11</v>
      </c>
      <c r="U1283" t="s">
        <v>2200</v>
      </c>
    </row>
    <row r="1284" spans="2:21" ht="15" customHeight="1">
      <c r="B1284" s="7" t="s">
        <v>2201</v>
      </c>
      <c r="C1284" t="s">
        <v>29</v>
      </c>
      <c r="D1284">
        <f t="shared" si="41"/>
        <v>10</v>
      </c>
      <c r="U1284" t="s">
        <v>2202</v>
      </c>
    </row>
    <row r="1285" spans="2:21" ht="15" customHeight="1">
      <c r="B1285" s="7" t="s">
        <v>2203</v>
      </c>
      <c r="C1285" t="s">
        <v>29</v>
      </c>
      <c r="D1285">
        <f t="shared" si="41"/>
        <v>13</v>
      </c>
      <c r="U1285" t="s">
        <v>2204</v>
      </c>
    </row>
    <row r="1286" spans="2:21" ht="15" customHeight="1">
      <c r="B1286" s="7" t="s">
        <v>2205</v>
      </c>
      <c r="C1286" t="s">
        <v>29</v>
      </c>
      <c r="D1286">
        <f t="shared" si="41"/>
        <v>12</v>
      </c>
      <c r="U1286" t="s">
        <v>2206</v>
      </c>
    </row>
    <row r="1287" spans="2:21" ht="15" customHeight="1">
      <c r="B1287" s="7" t="s">
        <v>2207</v>
      </c>
      <c r="C1287" t="s">
        <v>29</v>
      </c>
      <c r="D1287">
        <f t="shared" si="41"/>
        <v>16</v>
      </c>
      <c r="U1287" t="s">
        <v>2208</v>
      </c>
    </row>
    <row r="1288" spans="2:21" ht="15" customHeight="1">
      <c r="B1288" s="7" t="s">
        <v>2209</v>
      </c>
      <c r="C1288" t="s">
        <v>29</v>
      </c>
      <c r="D1288">
        <f t="shared" si="41"/>
        <v>15</v>
      </c>
      <c r="U1288" t="s">
        <v>2210</v>
      </c>
    </row>
    <row r="1289" spans="2:21" ht="15" customHeight="1">
      <c r="B1289" s="7" t="s">
        <v>2211</v>
      </c>
      <c r="C1289" t="s">
        <v>29</v>
      </c>
      <c r="D1289">
        <f t="shared" si="41"/>
        <v>11</v>
      </c>
      <c r="U1289" t="s">
        <v>2212</v>
      </c>
    </row>
    <row r="1290" spans="2:21" ht="15" customHeight="1">
      <c r="B1290" s="7" t="s">
        <v>2213</v>
      </c>
      <c r="C1290" t="s">
        <v>29</v>
      </c>
      <c r="D1290">
        <f t="shared" si="41"/>
        <v>8</v>
      </c>
      <c r="U1290" t="s">
        <v>2214</v>
      </c>
    </row>
    <row r="1291" spans="2:21" ht="15" customHeight="1">
      <c r="B1291" s="7" t="s">
        <v>2215</v>
      </c>
      <c r="C1291" t="s">
        <v>29</v>
      </c>
      <c r="D1291">
        <f t="shared" si="41"/>
        <v>14</v>
      </c>
      <c r="U1291" t="s">
        <v>2216</v>
      </c>
    </row>
    <row r="1292" spans="2:21" ht="15" customHeight="1">
      <c r="B1292" s="7" t="s">
        <v>2217</v>
      </c>
      <c r="C1292" t="s">
        <v>29</v>
      </c>
      <c r="D1292">
        <f t="shared" si="41"/>
        <v>15</v>
      </c>
      <c r="U1292" t="s">
        <v>2218</v>
      </c>
    </row>
    <row r="1293" spans="2:21" ht="15" customHeight="1">
      <c r="B1293" s="7" t="s">
        <v>2219</v>
      </c>
      <c r="C1293" t="s">
        <v>29</v>
      </c>
      <c r="D1293">
        <f t="shared" si="41"/>
        <v>13</v>
      </c>
      <c r="U1293" t="s">
        <v>2220</v>
      </c>
    </row>
    <row r="1294" spans="2:21" ht="15" customHeight="1">
      <c r="B1294" s="7" t="s">
        <v>2221</v>
      </c>
      <c r="C1294" t="s">
        <v>29</v>
      </c>
      <c r="D1294">
        <f t="shared" ref="D1294:D1297" si="42">LEN(B1294)</f>
        <v>16</v>
      </c>
      <c r="U1294" t="s">
        <v>2222</v>
      </c>
    </row>
    <row r="1295" spans="2:21" ht="15" customHeight="1">
      <c r="B1295" s="7" t="s">
        <v>2223</v>
      </c>
      <c r="C1295" t="s">
        <v>29</v>
      </c>
      <c r="D1295">
        <f t="shared" si="42"/>
        <v>12</v>
      </c>
      <c r="U1295" t="s">
        <v>2224</v>
      </c>
    </row>
    <row r="1296" spans="2:21" ht="15" customHeight="1">
      <c r="B1296" s="7" t="s">
        <v>2225</v>
      </c>
      <c r="C1296" t="s">
        <v>29</v>
      </c>
      <c r="D1296">
        <f t="shared" si="42"/>
        <v>10</v>
      </c>
      <c r="U1296" t="s">
        <v>2226</v>
      </c>
    </row>
    <row r="1297" spans="2:21" ht="15" customHeight="1">
      <c r="B1297" s="7" t="s">
        <v>2227</v>
      </c>
      <c r="C1297" t="s">
        <v>29</v>
      </c>
      <c r="D1297">
        <f t="shared" si="42"/>
        <v>16</v>
      </c>
      <c r="U1297" t="s">
        <v>2228</v>
      </c>
    </row>
    <row r="1298" spans="2:21" ht="15" customHeight="1">
      <c r="B1298" s="7" t="s">
        <v>2229</v>
      </c>
      <c r="C1298" t="s">
        <v>29</v>
      </c>
      <c r="D1298">
        <f t="shared" ref="D1298:D1304" si="43">LEN(B1298)</f>
        <v>13</v>
      </c>
      <c r="U1298" t="s">
        <v>2230</v>
      </c>
    </row>
    <row r="1299" spans="2:21" ht="15" customHeight="1">
      <c r="B1299" s="7" t="s">
        <v>2231</v>
      </c>
      <c r="C1299" t="s">
        <v>29</v>
      </c>
      <c r="D1299">
        <f t="shared" si="43"/>
        <v>12</v>
      </c>
      <c r="U1299" t="s">
        <v>2232</v>
      </c>
    </row>
    <row r="1300" spans="2:21" ht="15" customHeight="1">
      <c r="B1300" s="7" t="s">
        <v>2233</v>
      </c>
      <c r="C1300" t="s">
        <v>29</v>
      </c>
      <c r="D1300">
        <f t="shared" si="43"/>
        <v>14</v>
      </c>
      <c r="U1300" t="s">
        <v>2234</v>
      </c>
    </row>
    <row r="1301" spans="2:21" ht="15" customHeight="1">
      <c r="B1301" s="7" t="s">
        <v>1949</v>
      </c>
      <c r="C1301" t="s">
        <v>29</v>
      </c>
      <c r="D1301">
        <f t="shared" si="43"/>
        <v>12</v>
      </c>
      <c r="U1301" t="s">
        <v>1950</v>
      </c>
    </row>
    <row r="1302" spans="2:21" ht="15" customHeight="1">
      <c r="B1302" s="7" t="s">
        <v>2235</v>
      </c>
      <c r="C1302" t="s">
        <v>29</v>
      </c>
      <c r="D1302">
        <f t="shared" si="43"/>
        <v>14</v>
      </c>
      <c r="U1302" t="s">
        <v>2236</v>
      </c>
    </row>
    <row r="1303" spans="2:21" ht="15" customHeight="1">
      <c r="B1303" s="7" t="s">
        <v>2237</v>
      </c>
      <c r="C1303" t="s">
        <v>29</v>
      </c>
      <c r="D1303">
        <f t="shared" si="43"/>
        <v>14</v>
      </c>
      <c r="U1303" t="s">
        <v>2238</v>
      </c>
    </row>
    <row r="1304" spans="2:21" ht="15" customHeight="1">
      <c r="B1304" s="7" t="s">
        <v>2239</v>
      </c>
      <c r="C1304" t="s">
        <v>29</v>
      </c>
      <c r="D1304">
        <f t="shared" si="43"/>
        <v>16</v>
      </c>
      <c r="U1304" t="s">
        <v>2240</v>
      </c>
    </row>
    <row r="1305" spans="2:21" ht="15" customHeight="1">
      <c r="U1305" t="s">
        <v>2241</v>
      </c>
    </row>
    <row r="1306" spans="2:21" ht="15" customHeight="1">
      <c r="U1306" t="s">
        <v>2242</v>
      </c>
    </row>
    <row r="1307" spans="2:21" ht="15" customHeight="1">
      <c r="U1307" t="s">
        <v>2243</v>
      </c>
    </row>
    <row r="1308" spans="2:21" ht="15" customHeight="1">
      <c r="U1308" t="s">
        <v>2244</v>
      </c>
    </row>
    <row r="1309" spans="2:21" ht="15" customHeight="1">
      <c r="U1309" t="s">
        <v>2245</v>
      </c>
    </row>
    <row r="1310" spans="2:21" ht="15" customHeight="1">
      <c r="U1310" t="s">
        <v>2246</v>
      </c>
    </row>
    <row r="1311" spans="2:21" ht="15" customHeight="1">
      <c r="U1311" t="s">
        <v>2247</v>
      </c>
    </row>
    <row r="1312" spans="2:21" ht="15" customHeight="1">
      <c r="U1312" t="s">
        <v>2248</v>
      </c>
    </row>
    <row r="1313" spans="21:21" ht="15" customHeight="1">
      <c r="U1313" t="s">
        <v>2249</v>
      </c>
    </row>
    <row r="1314" spans="21:21" ht="15" customHeight="1">
      <c r="U1314" t="s">
        <v>2250</v>
      </c>
    </row>
    <row r="1315" spans="21:21" ht="15" customHeight="1">
      <c r="U1315" s="57" t="s">
        <v>2251</v>
      </c>
    </row>
    <row r="1316" spans="21:21" ht="15" customHeight="1">
      <c r="U1316" s="57" t="s">
        <v>2252</v>
      </c>
    </row>
    <row r="1317" spans="21:21" ht="15" customHeight="1">
      <c r="U1317" t="s">
        <v>2253</v>
      </c>
    </row>
    <row r="1318" spans="21:21" ht="15" customHeight="1">
      <c r="U1318" t="s">
        <v>2254</v>
      </c>
    </row>
    <row r="1319" spans="21:21" ht="15" customHeight="1">
      <c r="U1319" t="s">
        <v>2255</v>
      </c>
    </row>
    <row r="1320" spans="21:21" ht="15" customHeight="1">
      <c r="U1320" t="s">
        <v>2256</v>
      </c>
    </row>
    <row r="1321" spans="21:21" ht="15" customHeight="1">
      <c r="U1321" t="s">
        <v>2257</v>
      </c>
    </row>
    <row r="1322" spans="21:21" ht="15" customHeight="1">
      <c r="U1322" t="s">
        <v>2258</v>
      </c>
    </row>
    <row r="1323" spans="21:21" ht="15" customHeight="1">
      <c r="U1323" t="s">
        <v>2259</v>
      </c>
    </row>
    <row r="1324" spans="21:21" ht="15" customHeight="1">
      <c r="U1324" t="s">
        <v>2260</v>
      </c>
    </row>
    <row r="1325" spans="21:21" ht="15" customHeight="1">
      <c r="U1325" s="57" t="s">
        <v>2261</v>
      </c>
    </row>
    <row r="1326" spans="21:21" ht="15" customHeight="1">
      <c r="U1326" s="57" t="s">
        <v>2262</v>
      </c>
    </row>
    <row r="1327" spans="21:21" ht="15" customHeight="1">
      <c r="U1327" t="s">
        <v>2263</v>
      </c>
    </row>
    <row r="1328" spans="21:21" ht="15" customHeight="1">
      <c r="U1328" s="57" t="s">
        <v>2264</v>
      </c>
    </row>
    <row r="1329" spans="21:21" ht="15" customHeight="1">
      <c r="U1329" t="s">
        <v>2265</v>
      </c>
    </row>
    <row r="1330" spans="21:21" ht="15" customHeight="1">
      <c r="U1330" t="s">
        <v>2266</v>
      </c>
    </row>
    <row r="1331" spans="21:21" ht="15" customHeight="1">
      <c r="U1331" t="s">
        <v>2267</v>
      </c>
    </row>
    <row r="1332" spans="21:21" ht="15" customHeight="1">
      <c r="U1332" t="s">
        <v>2268</v>
      </c>
    </row>
    <row r="1333" spans="21:21" ht="15" customHeight="1">
      <c r="U1333" t="s">
        <v>2269</v>
      </c>
    </row>
    <row r="1334" spans="21:21" ht="15" customHeight="1">
      <c r="U1334" t="s">
        <v>2270</v>
      </c>
    </row>
    <row r="1335" spans="21:21" ht="15" customHeight="1">
      <c r="U1335" t="s">
        <v>2271</v>
      </c>
    </row>
  </sheetData>
  <conditionalFormatting sqref="B2:B48">
    <cfRule type="duplicateValues" dxfId="20" priority="5"/>
  </conditionalFormatting>
  <conditionalFormatting sqref="U1:U1324 U1336:U1048576">
    <cfRule type="duplicateValues" dxfId="19" priority="2"/>
  </conditionalFormatting>
  <conditionalFormatting sqref="U1:U1048576">
    <cfRule type="duplicateValues" dxfId="18" priority="1"/>
  </conditionalFormatting>
  <conditionalFormatting sqref="Y4:AM23">
    <cfRule type="duplicateValues" dxfId="17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D3E6-3505-47F8-BC7E-F6ADB9BB44D3}">
  <dimension ref="A1:V1038"/>
  <sheetViews>
    <sheetView zoomScale="85" zoomScaleNormal="85" workbookViewId="0">
      <selection activeCell="V1" sqref="V1"/>
    </sheetView>
  </sheetViews>
  <sheetFormatPr defaultRowHeight="14.45"/>
  <cols>
    <col min="1" max="1" width="9.85546875" customWidth="1"/>
    <col min="2" max="2" width="23.28515625" customWidth="1"/>
    <col min="3" max="3" width="21.85546875" customWidth="1"/>
    <col min="6" max="6" width="50.5703125" style="30" customWidth="1"/>
    <col min="9" max="9" width="8.85546875" customWidth="1"/>
    <col min="10" max="10" width="9.5703125" customWidth="1"/>
    <col min="11" max="11" width="16.42578125" customWidth="1"/>
    <col min="12" max="12" width="13.140625" customWidth="1"/>
    <col min="14" max="14" width="45.28515625" customWidth="1"/>
    <col min="18" max="18" width="9.42578125" customWidth="1"/>
    <col min="19" max="19" width="27.5703125" customWidth="1"/>
    <col min="22" max="22" width="51.140625" customWidth="1"/>
  </cols>
  <sheetData>
    <row r="1" spans="1:22">
      <c r="A1" s="23" t="s">
        <v>2272</v>
      </c>
      <c r="B1" s="23" t="s">
        <v>2273</v>
      </c>
      <c r="C1" s="23" t="s">
        <v>1</v>
      </c>
      <c r="D1" s="23" t="s">
        <v>2274</v>
      </c>
      <c r="E1" s="23" t="s">
        <v>3</v>
      </c>
      <c r="F1" s="30" t="s">
        <v>2275</v>
      </c>
      <c r="J1" s="47" t="s">
        <v>2272</v>
      </c>
      <c r="K1" s="47" t="s">
        <v>1</v>
      </c>
      <c r="L1" s="47" t="s">
        <v>2274</v>
      </c>
      <c r="M1" s="47" t="s">
        <v>3</v>
      </c>
      <c r="N1" s="30" t="s">
        <v>2275</v>
      </c>
      <c r="R1" s="48" t="s">
        <v>2272</v>
      </c>
      <c r="S1" s="48" t="s">
        <v>1</v>
      </c>
      <c r="T1" s="48" t="s">
        <v>2274</v>
      </c>
      <c r="U1" s="48" t="s">
        <v>3</v>
      </c>
      <c r="V1" s="30" t="s">
        <v>2275</v>
      </c>
    </row>
    <row r="2" spans="1:22">
      <c r="A2">
        <v>1</v>
      </c>
      <c r="C2" s="18" t="s">
        <v>36</v>
      </c>
      <c r="D2" t="s">
        <v>29</v>
      </c>
      <c r="E2" t="e">
        <f>LEN(#REF!)</f>
        <v>#REF!</v>
      </c>
      <c r="F2" s="49" t="s">
        <v>2276</v>
      </c>
      <c r="J2">
        <v>1</v>
      </c>
      <c r="K2" s="55">
        <v>123456</v>
      </c>
      <c r="L2" t="s">
        <v>643</v>
      </c>
      <c r="M2">
        <f>LEN(K2)</f>
        <v>6</v>
      </c>
      <c r="N2" s="30" t="s">
        <v>2277</v>
      </c>
      <c r="R2">
        <v>1</v>
      </c>
      <c r="S2" t="s">
        <v>2278</v>
      </c>
      <c r="T2" t="s">
        <v>2279</v>
      </c>
      <c r="U2">
        <f>LEN(S2)</f>
        <v>10</v>
      </c>
      <c r="V2" s="30" t="s">
        <v>2280</v>
      </c>
    </row>
    <row r="3" spans="1:22">
      <c r="A3">
        <v>2</v>
      </c>
      <c r="C3" s="7" t="s">
        <v>52</v>
      </c>
      <c r="D3" t="s">
        <v>29</v>
      </c>
      <c r="E3" t="e">
        <f>LEN(#REF!)</f>
        <v>#REF!</v>
      </c>
      <c r="F3" s="49" t="s">
        <v>2281</v>
      </c>
      <c r="J3">
        <v>2</v>
      </c>
      <c r="K3" s="55">
        <v>12345</v>
      </c>
      <c r="L3" t="s">
        <v>643</v>
      </c>
      <c r="M3">
        <f t="shared" ref="M3:M66" si="0">LEN(K3)</f>
        <v>5</v>
      </c>
      <c r="N3" s="30" t="s">
        <v>2282</v>
      </c>
      <c r="R3">
        <v>2</v>
      </c>
      <c r="S3" t="s">
        <v>2283</v>
      </c>
      <c r="T3" t="s">
        <v>2279</v>
      </c>
      <c r="U3">
        <f t="shared" ref="U3:U66" si="1">LEN(S3)</f>
        <v>8</v>
      </c>
      <c r="V3" s="30" t="s">
        <v>2284</v>
      </c>
    </row>
    <row r="4" spans="1:22">
      <c r="A4">
        <v>3</v>
      </c>
      <c r="C4" s="7" t="s">
        <v>69</v>
      </c>
      <c r="D4" t="s">
        <v>29</v>
      </c>
      <c r="E4" t="e">
        <f>LEN(#REF!)</f>
        <v>#REF!</v>
      </c>
      <c r="F4" s="49" t="s">
        <v>2285</v>
      </c>
      <c r="J4">
        <v>3</v>
      </c>
      <c r="K4" s="55">
        <v>123456789</v>
      </c>
      <c r="L4" t="s">
        <v>643</v>
      </c>
      <c r="M4">
        <f t="shared" si="0"/>
        <v>9</v>
      </c>
      <c r="N4" s="30" t="s">
        <v>2286</v>
      </c>
      <c r="R4">
        <v>3</v>
      </c>
      <c r="S4" t="s">
        <v>2287</v>
      </c>
      <c r="T4" t="s">
        <v>2279</v>
      </c>
      <c r="U4">
        <f t="shared" si="1"/>
        <v>8</v>
      </c>
      <c r="V4" s="30" t="s">
        <v>2288</v>
      </c>
    </row>
    <row r="5" spans="1:22">
      <c r="A5">
        <v>4</v>
      </c>
      <c r="C5" s="7" t="s">
        <v>85</v>
      </c>
      <c r="D5" t="s">
        <v>29</v>
      </c>
      <c r="E5" t="e">
        <f>LEN(#REF!)</f>
        <v>#REF!</v>
      </c>
      <c r="F5" s="50" t="s">
        <v>2289</v>
      </c>
      <c r="J5">
        <v>4</v>
      </c>
      <c r="K5" s="55" t="s">
        <v>1</v>
      </c>
      <c r="L5" t="s">
        <v>643</v>
      </c>
      <c r="M5">
        <f t="shared" si="0"/>
        <v>8</v>
      </c>
      <c r="N5" s="30" t="s">
        <v>2290</v>
      </c>
      <c r="R5">
        <v>4</v>
      </c>
      <c r="S5" t="s">
        <v>2291</v>
      </c>
      <c r="T5" t="s">
        <v>2279</v>
      </c>
      <c r="U5">
        <f t="shared" si="1"/>
        <v>15</v>
      </c>
      <c r="V5" s="30" t="s">
        <v>2292</v>
      </c>
    </row>
    <row r="6" spans="1:22">
      <c r="A6">
        <v>5</v>
      </c>
      <c r="C6" s="4" t="s">
        <v>101</v>
      </c>
      <c r="D6" t="s">
        <v>29</v>
      </c>
      <c r="E6" t="e">
        <f>LEN(#REF!)</f>
        <v>#REF!</v>
      </c>
      <c r="F6" s="49" t="s">
        <v>2293</v>
      </c>
      <c r="J6">
        <v>5</v>
      </c>
      <c r="K6" s="55" t="s">
        <v>641</v>
      </c>
      <c r="L6" t="s">
        <v>643</v>
      </c>
      <c r="M6">
        <f t="shared" si="0"/>
        <v>8</v>
      </c>
      <c r="N6" s="30" t="s">
        <v>2294</v>
      </c>
      <c r="R6">
        <v>5</v>
      </c>
      <c r="S6" t="s">
        <v>2295</v>
      </c>
      <c r="T6" t="s">
        <v>2279</v>
      </c>
      <c r="U6">
        <f t="shared" si="1"/>
        <v>9</v>
      </c>
      <c r="V6" s="30" t="s">
        <v>2296</v>
      </c>
    </row>
    <row r="7" spans="1:22">
      <c r="A7">
        <v>6</v>
      </c>
      <c r="C7" s="7" t="s">
        <v>117</v>
      </c>
      <c r="D7" t="s">
        <v>29</v>
      </c>
      <c r="E7" t="e">
        <f>LEN(#REF!)</f>
        <v>#REF!</v>
      </c>
      <c r="F7" s="49" t="s">
        <v>2297</v>
      </c>
      <c r="J7">
        <v>6</v>
      </c>
      <c r="K7" s="55" t="s">
        <v>642</v>
      </c>
      <c r="L7" t="s">
        <v>643</v>
      </c>
      <c r="M7">
        <f t="shared" si="0"/>
        <v>8</v>
      </c>
      <c r="N7" s="30" t="s">
        <v>2298</v>
      </c>
      <c r="R7">
        <v>6</v>
      </c>
      <c r="S7" t="s">
        <v>2299</v>
      </c>
      <c r="T7" t="s">
        <v>2279</v>
      </c>
      <c r="U7">
        <f t="shared" si="1"/>
        <v>13</v>
      </c>
      <c r="V7" s="30" t="s">
        <v>2300</v>
      </c>
    </row>
    <row r="8" spans="1:22">
      <c r="A8">
        <v>7</v>
      </c>
      <c r="C8" s="7" t="s">
        <v>134</v>
      </c>
      <c r="D8" t="s">
        <v>29</v>
      </c>
      <c r="E8" t="e">
        <f>LEN(#REF!)</f>
        <v>#REF!</v>
      </c>
      <c r="F8" s="49" t="s">
        <v>2301</v>
      </c>
      <c r="J8">
        <v>7</v>
      </c>
      <c r="K8" s="55">
        <v>1234567</v>
      </c>
      <c r="L8" t="s">
        <v>643</v>
      </c>
      <c r="M8">
        <f t="shared" si="0"/>
        <v>7</v>
      </c>
      <c r="N8" s="30" t="s">
        <v>2302</v>
      </c>
      <c r="R8">
        <v>7</v>
      </c>
      <c r="S8" t="s">
        <v>2303</v>
      </c>
      <c r="T8" t="s">
        <v>2279</v>
      </c>
      <c r="U8">
        <f t="shared" si="1"/>
        <v>9</v>
      </c>
      <c r="V8" s="30" t="s">
        <v>2304</v>
      </c>
    </row>
    <row r="9" spans="1:22">
      <c r="A9">
        <v>8</v>
      </c>
      <c r="C9" s="7" t="s">
        <v>150</v>
      </c>
      <c r="D9" t="s">
        <v>29</v>
      </c>
      <c r="E9" t="e">
        <f>LEN(#REF!)</f>
        <v>#REF!</v>
      </c>
      <c r="F9" s="51" t="s">
        <v>2305</v>
      </c>
      <c r="J9">
        <v>8</v>
      </c>
      <c r="K9" s="55" t="s">
        <v>643</v>
      </c>
      <c r="L9" t="s">
        <v>643</v>
      </c>
      <c r="M9">
        <f t="shared" si="0"/>
        <v>7</v>
      </c>
      <c r="N9" s="30" t="s">
        <v>2306</v>
      </c>
      <c r="R9">
        <v>8</v>
      </c>
      <c r="S9" t="s">
        <v>2307</v>
      </c>
      <c r="T9" t="s">
        <v>2279</v>
      </c>
      <c r="U9">
        <f t="shared" si="1"/>
        <v>11</v>
      </c>
      <c r="V9" s="30" t="s">
        <v>2308</v>
      </c>
    </row>
    <row r="10" spans="1:22">
      <c r="A10">
        <v>9</v>
      </c>
      <c r="C10" s="9" t="s">
        <v>166</v>
      </c>
      <c r="D10" t="s">
        <v>29</v>
      </c>
      <c r="E10" t="e">
        <f>LEN(#REF!)</f>
        <v>#REF!</v>
      </c>
      <c r="F10" s="49" t="s">
        <v>2309</v>
      </c>
      <c r="J10">
        <v>9</v>
      </c>
      <c r="K10" s="55">
        <v>12345678</v>
      </c>
      <c r="L10" t="s">
        <v>643</v>
      </c>
      <c r="M10">
        <f t="shared" si="0"/>
        <v>8</v>
      </c>
      <c r="N10" s="30" t="s">
        <v>2310</v>
      </c>
      <c r="R10">
        <v>9</v>
      </c>
      <c r="S10" t="s">
        <v>2311</v>
      </c>
      <c r="T10" t="s">
        <v>2279</v>
      </c>
      <c r="U10">
        <f t="shared" si="1"/>
        <v>9</v>
      </c>
      <c r="V10" s="30" t="s">
        <v>2312</v>
      </c>
    </row>
    <row r="11" spans="1:22">
      <c r="A11">
        <v>10</v>
      </c>
      <c r="C11" s="7" t="s">
        <v>182</v>
      </c>
      <c r="D11" t="s">
        <v>29</v>
      </c>
      <c r="E11" t="e">
        <f>LEN(#REF!)</f>
        <v>#REF!</v>
      </c>
      <c r="F11" s="49" t="s">
        <v>2313</v>
      </c>
      <c r="J11">
        <v>10</v>
      </c>
      <c r="K11" s="55" t="s">
        <v>644</v>
      </c>
      <c r="L11" t="s">
        <v>643</v>
      </c>
      <c r="M11">
        <f t="shared" si="0"/>
        <v>6</v>
      </c>
      <c r="N11" s="30" t="s">
        <v>2314</v>
      </c>
      <c r="R11">
        <v>10</v>
      </c>
      <c r="S11" t="s">
        <v>2315</v>
      </c>
      <c r="T11" t="s">
        <v>2279</v>
      </c>
      <c r="U11">
        <f t="shared" si="1"/>
        <v>8</v>
      </c>
      <c r="V11" s="30" t="s">
        <v>2316</v>
      </c>
    </row>
    <row r="12" spans="1:22">
      <c r="A12">
        <v>11</v>
      </c>
      <c r="C12" s="7" t="s">
        <v>199</v>
      </c>
      <c r="D12" t="s">
        <v>29</v>
      </c>
      <c r="E12" t="e">
        <f>LEN(#REF!)</f>
        <v>#REF!</v>
      </c>
      <c r="F12" s="49" t="s">
        <v>2317</v>
      </c>
      <c r="J12">
        <v>11</v>
      </c>
      <c r="K12" s="55" t="s">
        <v>645</v>
      </c>
      <c r="L12" t="s">
        <v>643</v>
      </c>
      <c r="M12">
        <f t="shared" si="0"/>
        <v>6</v>
      </c>
      <c r="N12" s="30" t="s">
        <v>2318</v>
      </c>
      <c r="R12">
        <v>11</v>
      </c>
      <c r="S12" t="s">
        <v>2319</v>
      </c>
      <c r="T12" t="s">
        <v>2279</v>
      </c>
      <c r="U12">
        <f t="shared" si="1"/>
        <v>8</v>
      </c>
      <c r="V12" s="30" t="s">
        <v>2320</v>
      </c>
    </row>
    <row r="13" spans="1:22">
      <c r="A13">
        <v>12</v>
      </c>
      <c r="C13" s="7" t="s">
        <v>215</v>
      </c>
      <c r="D13" t="s">
        <v>29</v>
      </c>
      <c r="E13" t="e">
        <f>LEN(#REF!)</f>
        <v>#REF!</v>
      </c>
      <c r="F13" s="49" t="s">
        <v>2321</v>
      </c>
      <c r="J13">
        <v>12</v>
      </c>
      <c r="K13" s="55" t="s">
        <v>646</v>
      </c>
      <c r="L13" t="s">
        <v>643</v>
      </c>
      <c r="M13">
        <f t="shared" si="0"/>
        <v>6</v>
      </c>
      <c r="N13" s="30" t="s">
        <v>2322</v>
      </c>
      <c r="R13">
        <v>12</v>
      </c>
      <c r="S13" t="s">
        <v>2323</v>
      </c>
      <c r="T13" t="s">
        <v>2279</v>
      </c>
      <c r="U13">
        <f t="shared" si="1"/>
        <v>11</v>
      </c>
      <c r="V13" s="30" t="s">
        <v>2324</v>
      </c>
    </row>
    <row r="14" spans="1:22">
      <c r="A14">
        <v>13</v>
      </c>
      <c r="C14" s="7" t="s">
        <v>231</v>
      </c>
      <c r="D14" t="s">
        <v>29</v>
      </c>
      <c r="E14" t="e">
        <f>LEN(#REF!)</f>
        <v>#REF!</v>
      </c>
      <c r="F14" s="49" t="s">
        <v>2325</v>
      </c>
      <c r="J14">
        <v>13</v>
      </c>
      <c r="K14" s="55" t="s">
        <v>647</v>
      </c>
      <c r="L14" t="s">
        <v>643</v>
      </c>
      <c r="M14">
        <f t="shared" si="0"/>
        <v>8</v>
      </c>
      <c r="N14" s="30" t="s">
        <v>2326</v>
      </c>
      <c r="R14">
        <v>13</v>
      </c>
      <c r="S14" t="s">
        <v>2327</v>
      </c>
      <c r="T14" t="s">
        <v>2279</v>
      </c>
      <c r="U14">
        <f t="shared" si="1"/>
        <v>9</v>
      </c>
      <c r="V14" s="30" t="s">
        <v>2328</v>
      </c>
    </row>
    <row r="15" spans="1:22">
      <c r="A15">
        <v>14</v>
      </c>
      <c r="C15" s="7" t="s">
        <v>247</v>
      </c>
      <c r="D15" t="s">
        <v>29</v>
      </c>
      <c r="E15" t="e">
        <f>LEN(#REF!)</f>
        <v>#REF!</v>
      </c>
      <c r="F15" s="49" t="s">
        <v>2329</v>
      </c>
      <c r="J15">
        <v>14</v>
      </c>
      <c r="K15" s="55" t="s">
        <v>648</v>
      </c>
      <c r="L15" t="s">
        <v>643</v>
      </c>
      <c r="M15">
        <f t="shared" si="0"/>
        <v>6</v>
      </c>
      <c r="N15" s="30" t="s">
        <v>2330</v>
      </c>
      <c r="R15">
        <v>14</v>
      </c>
      <c r="S15" t="s">
        <v>2331</v>
      </c>
      <c r="T15" t="s">
        <v>2279</v>
      </c>
      <c r="U15">
        <f t="shared" si="1"/>
        <v>8</v>
      </c>
      <c r="V15" s="30" t="s">
        <v>2332</v>
      </c>
    </row>
    <row r="16" spans="1:22">
      <c r="A16">
        <v>15</v>
      </c>
      <c r="C16" s="7" t="s">
        <v>263</v>
      </c>
      <c r="D16" t="s">
        <v>29</v>
      </c>
      <c r="E16" t="e">
        <f>LEN(#REF!)</f>
        <v>#REF!</v>
      </c>
      <c r="F16" s="49" t="s">
        <v>2333</v>
      </c>
      <c r="J16">
        <v>15</v>
      </c>
      <c r="K16" s="55" t="s">
        <v>649</v>
      </c>
      <c r="L16" t="s">
        <v>643</v>
      </c>
      <c r="M16">
        <f t="shared" si="0"/>
        <v>6</v>
      </c>
      <c r="N16" s="30" t="s">
        <v>2334</v>
      </c>
      <c r="R16">
        <v>15</v>
      </c>
      <c r="S16" t="s">
        <v>2335</v>
      </c>
      <c r="T16" t="s">
        <v>2279</v>
      </c>
      <c r="U16">
        <f t="shared" si="1"/>
        <v>9</v>
      </c>
      <c r="V16" s="30" t="s">
        <v>2336</v>
      </c>
    </row>
    <row r="17" spans="1:22">
      <c r="A17">
        <v>16</v>
      </c>
      <c r="C17" s="7" t="s">
        <v>279</v>
      </c>
      <c r="D17" t="s">
        <v>29</v>
      </c>
      <c r="E17" t="e">
        <f>LEN(#REF!)</f>
        <v>#REF!</v>
      </c>
      <c r="F17" s="49" t="s">
        <v>2337</v>
      </c>
      <c r="J17">
        <v>16</v>
      </c>
      <c r="K17" s="55" t="s">
        <v>650</v>
      </c>
      <c r="L17" t="s">
        <v>643</v>
      </c>
      <c r="M17">
        <f t="shared" si="0"/>
        <v>7</v>
      </c>
      <c r="N17" s="30" t="s">
        <v>2338</v>
      </c>
      <c r="R17">
        <v>16</v>
      </c>
      <c r="S17" t="s">
        <v>2339</v>
      </c>
      <c r="T17" t="s">
        <v>2279</v>
      </c>
      <c r="U17">
        <f t="shared" si="1"/>
        <v>9</v>
      </c>
      <c r="V17" s="30" t="s">
        <v>2340</v>
      </c>
    </row>
    <row r="18" spans="1:22">
      <c r="A18">
        <v>17</v>
      </c>
      <c r="C18" s="7" t="s">
        <v>295</v>
      </c>
      <c r="D18" t="s">
        <v>29</v>
      </c>
      <c r="E18" t="e">
        <f>LEN(#REF!)</f>
        <v>#REF!</v>
      </c>
      <c r="F18" s="49" t="s">
        <v>2341</v>
      </c>
      <c r="J18">
        <v>17</v>
      </c>
      <c r="K18" s="55">
        <v>654321</v>
      </c>
      <c r="L18" t="s">
        <v>643</v>
      </c>
      <c r="M18">
        <f t="shared" si="0"/>
        <v>6</v>
      </c>
      <c r="N18" s="30" t="s">
        <v>2342</v>
      </c>
      <c r="R18">
        <v>17</v>
      </c>
      <c r="S18" t="s">
        <v>2343</v>
      </c>
      <c r="T18" t="s">
        <v>2279</v>
      </c>
      <c r="U18">
        <f t="shared" si="1"/>
        <v>11</v>
      </c>
      <c r="V18" s="30" t="s">
        <v>2344</v>
      </c>
    </row>
    <row r="19" spans="1:22">
      <c r="A19">
        <v>18</v>
      </c>
      <c r="C19" s="7" t="s">
        <v>312</v>
      </c>
      <c r="D19" t="s">
        <v>29</v>
      </c>
      <c r="E19" t="e">
        <f>LEN(#REF!)</f>
        <v>#REF!</v>
      </c>
      <c r="F19" s="51" t="s">
        <v>2345</v>
      </c>
      <c r="J19">
        <v>18</v>
      </c>
      <c r="K19" s="55" t="s">
        <v>651</v>
      </c>
      <c r="L19" t="s">
        <v>643</v>
      </c>
      <c r="M19">
        <f t="shared" si="0"/>
        <v>7</v>
      </c>
      <c r="N19" s="30" t="s">
        <v>2346</v>
      </c>
      <c r="R19">
        <v>18</v>
      </c>
      <c r="S19" t="s">
        <v>2347</v>
      </c>
      <c r="T19" t="s">
        <v>2279</v>
      </c>
      <c r="U19">
        <f t="shared" si="1"/>
        <v>16</v>
      </c>
      <c r="V19" s="30" t="s">
        <v>2348</v>
      </c>
    </row>
    <row r="20" spans="1:22">
      <c r="A20">
        <v>19</v>
      </c>
      <c r="C20" s="9" t="s">
        <v>328</v>
      </c>
      <c r="D20" t="s">
        <v>29</v>
      </c>
      <c r="E20" t="e">
        <f>LEN(#REF!)</f>
        <v>#REF!</v>
      </c>
      <c r="F20" s="49" t="s">
        <v>2349</v>
      </c>
      <c r="J20">
        <v>19</v>
      </c>
      <c r="K20" s="55" t="s">
        <v>652</v>
      </c>
      <c r="L20" t="s">
        <v>643</v>
      </c>
      <c r="M20">
        <f t="shared" si="0"/>
        <v>6</v>
      </c>
      <c r="N20" s="30" t="s">
        <v>2350</v>
      </c>
      <c r="R20">
        <v>19</v>
      </c>
      <c r="S20" t="s">
        <v>2351</v>
      </c>
      <c r="T20" t="s">
        <v>2279</v>
      </c>
      <c r="U20">
        <f t="shared" si="1"/>
        <v>8</v>
      </c>
      <c r="V20" s="30" t="s">
        <v>2352</v>
      </c>
    </row>
    <row r="21" spans="1:22">
      <c r="A21">
        <v>20</v>
      </c>
      <c r="C21" s="7" t="s">
        <v>343</v>
      </c>
      <c r="D21" t="s">
        <v>29</v>
      </c>
      <c r="E21" t="e">
        <f>LEN(#REF!)</f>
        <v>#REF!</v>
      </c>
      <c r="F21" s="51" t="s">
        <v>2353</v>
      </c>
      <c r="J21">
        <v>20</v>
      </c>
      <c r="K21" s="55" t="s">
        <v>653</v>
      </c>
      <c r="L21" t="s">
        <v>643</v>
      </c>
      <c r="M21">
        <f t="shared" si="0"/>
        <v>6</v>
      </c>
      <c r="N21" s="30" t="s">
        <v>2354</v>
      </c>
      <c r="R21">
        <v>20</v>
      </c>
      <c r="S21" t="s">
        <v>2355</v>
      </c>
      <c r="T21" t="s">
        <v>2279</v>
      </c>
      <c r="U21">
        <f t="shared" si="1"/>
        <v>10</v>
      </c>
      <c r="V21" s="30" t="s">
        <v>2356</v>
      </c>
    </row>
    <row r="22" spans="1:22">
      <c r="A22">
        <v>21</v>
      </c>
      <c r="C22" s="9" t="s">
        <v>33</v>
      </c>
      <c r="D22" t="s">
        <v>29</v>
      </c>
      <c r="E22" t="e">
        <f>LEN(#REF!)</f>
        <v>#REF!</v>
      </c>
      <c r="F22" s="49" t="s">
        <v>2357</v>
      </c>
      <c r="J22">
        <v>21</v>
      </c>
      <c r="K22" s="55">
        <v>111111</v>
      </c>
      <c r="L22" t="s">
        <v>643</v>
      </c>
      <c r="M22">
        <f t="shared" si="0"/>
        <v>6</v>
      </c>
      <c r="N22" s="31" t="s">
        <v>2358</v>
      </c>
      <c r="R22">
        <v>21</v>
      </c>
      <c r="S22" t="s">
        <v>2359</v>
      </c>
      <c r="T22" t="s">
        <v>2279</v>
      </c>
      <c r="U22">
        <f t="shared" si="1"/>
        <v>8</v>
      </c>
      <c r="V22" s="30" t="s">
        <v>2360</v>
      </c>
    </row>
    <row r="23" spans="1:22">
      <c r="A23">
        <v>22</v>
      </c>
      <c r="C23" s="7" t="s">
        <v>359</v>
      </c>
      <c r="D23" t="s">
        <v>29</v>
      </c>
      <c r="E23" t="e">
        <f>LEN(#REF!)</f>
        <v>#REF!</v>
      </c>
      <c r="F23" s="49" t="s">
        <v>2361</v>
      </c>
      <c r="J23">
        <v>22</v>
      </c>
      <c r="K23" s="55" t="s">
        <v>654</v>
      </c>
      <c r="L23" t="s">
        <v>643</v>
      </c>
      <c r="M23">
        <f t="shared" si="0"/>
        <v>6</v>
      </c>
      <c r="N23" s="30" t="s">
        <v>2362</v>
      </c>
      <c r="R23">
        <v>22</v>
      </c>
      <c r="S23" t="s">
        <v>2363</v>
      </c>
      <c r="T23" t="s">
        <v>2279</v>
      </c>
      <c r="U23">
        <f t="shared" si="1"/>
        <v>8</v>
      </c>
      <c r="V23" s="30" t="s">
        <v>2364</v>
      </c>
    </row>
    <row r="24" spans="1:22">
      <c r="A24">
        <v>23</v>
      </c>
      <c r="C24" s="7" t="s">
        <v>360</v>
      </c>
      <c r="D24" t="s">
        <v>29</v>
      </c>
      <c r="E24" t="e">
        <f>LEN(#REF!)</f>
        <v>#REF!</v>
      </c>
      <c r="F24" s="49" t="s">
        <v>2365</v>
      </c>
      <c r="J24">
        <v>23</v>
      </c>
      <c r="K24" s="55">
        <v>0</v>
      </c>
      <c r="L24" t="s">
        <v>643</v>
      </c>
      <c r="M24">
        <f t="shared" si="0"/>
        <v>1</v>
      </c>
      <c r="N24" s="30" t="s">
        <v>2366</v>
      </c>
      <c r="R24">
        <v>23</v>
      </c>
      <c r="S24" t="s">
        <v>2367</v>
      </c>
      <c r="T24" t="s">
        <v>2279</v>
      </c>
      <c r="U24">
        <f t="shared" si="1"/>
        <v>8</v>
      </c>
      <c r="V24" s="30" t="s">
        <v>2368</v>
      </c>
    </row>
    <row r="25" spans="1:22">
      <c r="A25">
        <v>24</v>
      </c>
      <c r="C25" s="7" t="s">
        <v>362</v>
      </c>
      <c r="D25" t="s">
        <v>29</v>
      </c>
      <c r="E25" t="e">
        <f>LEN(#REF!)</f>
        <v>#REF!</v>
      </c>
      <c r="F25" s="49" t="s">
        <v>2369</v>
      </c>
      <c r="J25">
        <v>24</v>
      </c>
      <c r="K25" s="55" t="s">
        <v>656</v>
      </c>
      <c r="L25" t="s">
        <v>643</v>
      </c>
      <c r="M25">
        <f t="shared" si="0"/>
        <v>8</v>
      </c>
      <c r="N25" s="30" t="s">
        <v>2370</v>
      </c>
      <c r="R25">
        <v>24</v>
      </c>
      <c r="S25" t="s">
        <v>2371</v>
      </c>
      <c r="T25" t="s">
        <v>2279</v>
      </c>
      <c r="U25">
        <f t="shared" si="1"/>
        <v>8</v>
      </c>
      <c r="V25" s="30" t="s">
        <v>2372</v>
      </c>
    </row>
    <row r="26" spans="1:22">
      <c r="A26">
        <v>25</v>
      </c>
      <c r="C26" s="7" t="s">
        <v>363</v>
      </c>
      <c r="D26" t="s">
        <v>29</v>
      </c>
      <c r="E26" t="e">
        <f>LEN(#REF!)</f>
        <v>#REF!</v>
      </c>
      <c r="F26" s="49" t="s">
        <v>2373</v>
      </c>
      <c r="J26">
        <v>25</v>
      </c>
      <c r="K26" s="55" t="s">
        <v>657</v>
      </c>
      <c r="L26" t="s">
        <v>643</v>
      </c>
      <c r="M26">
        <f t="shared" si="0"/>
        <v>6</v>
      </c>
      <c r="N26" s="30" t="s">
        <v>2374</v>
      </c>
      <c r="R26">
        <v>25</v>
      </c>
      <c r="S26" t="s">
        <v>2375</v>
      </c>
      <c r="T26" t="s">
        <v>2279</v>
      </c>
      <c r="U26">
        <f t="shared" si="1"/>
        <v>8</v>
      </c>
      <c r="V26" s="30" t="s">
        <v>2376</v>
      </c>
    </row>
    <row r="27" spans="1:22">
      <c r="A27">
        <v>26</v>
      </c>
      <c r="C27" s="7" t="s">
        <v>364</v>
      </c>
      <c r="D27" t="s">
        <v>29</v>
      </c>
      <c r="E27" t="e">
        <f>LEN(#REF!)</f>
        <v>#REF!</v>
      </c>
      <c r="F27" s="49" t="s">
        <v>2377</v>
      </c>
      <c r="J27">
        <v>26</v>
      </c>
      <c r="K27" s="55" t="s">
        <v>658</v>
      </c>
      <c r="L27" t="s">
        <v>643</v>
      </c>
      <c r="M27">
        <f t="shared" si="0"/>
        <v>8</v>
      </c>
      <c r="N27" s="30" t="s">
        <v>2378</v>
      </c>
      <c r="R27">
        <v>26</v>
      </c>
      <c r="S27" t="s">
        <v>2379</v>
      </c>
      <c r="T27" t="s">
        <v>2279</v>
      </c>
      <c r="U27">
        <f t="shared" si="1"/>
        <v>8</v>
      </c>
      <c r="V27" s="30" t="s">
        <v>2380</v>
      </c>
    </row>
    <row r="28" spans="1:22">
      <c r="A28">
        <v>27</v>
      </c>
      <c r="C28" s="7" t="s">
        <v>366</v>
      </c>
      <c r="D28" t="s">
        <v>29</v>
      </c>
      <c r="E28" t="e">
        <f>LEN(#REF!)</f>
        <v>#REF!</v>
      </c>
      <c r="F28" s="49" t="s">
        <v>2381</v>
      </c>
      <c r="J28">
        <v>27</v>
      </c>
      <c r="K28" s="55" t="s">
        <v>659</v>
      </c>
      <c r="L28" t="s">
        <v>643</v>
      </c>
      <c r="M28">
        <f t="shared" si="0"/>
        <v>9</v>
      </c>
      <c r="N28" s="30" t="s">
        <v>2382</v>
      </c>
      <c r="R28">
        <v>27</v>
      </c>
      <c r="S28" t="s">
        <v>2383</v>
      </c>
      <c r="T28" t="s">
        <v>2279</v>
      </c>
      <c r="U28">
        <f t="shared" si="1"/>
        <v>15</v>
      </c>
      <c r="V28" s="30" t="s">
        <v>2384</v>
      </c>
    </row>
    <row r="29" spans="1:22">
      <c r="A29">
        <v>28</v>
      </c>
      <c r="C29" s="7" t="s">
        <v>367</v>
      </c>
      <c r="D29" t="s">
        <v>29</v>
      </c>
      <c r="E29" t="e">
        <f>LEN(#REF!)</f>
        <v>#REF!</v>
      </c>
      <c r="F29" s="49" t="s">
        <v>2385</v>
      </c>
      <c r="J29">
        <v>28</v>
      </c>
      <c r="K29" s="55" t="s">
        <v>660</v>
      </c>
      <c r="L29" t="s">
        <v>643</v>
      </c>
      <c r="M29">
        <f t="shared" si="0"/>
        <v>9</v>
      </c>
      <c r="N29" s="30" t="s">
        <v>2386</v>
      </c>
      <c r="R29">
        <v>28</v>
      </c>
      <c r="S29" t="s">
        <v>2387</v>
      </c>
      <c r="T29" t="s">
        <v>2279</v>
      </c>
      <c r="U29">
        <f t="shared" si="1"/>
        <v>11</v>
      </c>
      <c r="V29" s="30" t="s">
        <v>2388</v>
      </c>
    </row>
    <row r="30" spans="1:22">
      <c r="A30">
        <v>29</v>
      </c>
      <c r="C30" s="7" t="s">
        <v>368</v>
      </c>
      <c r="D30" t="s">
        <v>29</v>
      </c>
      <c r="E30" t="e">
        <f>LEN(#REF!)</f>
        <v>#REF!</v>
      </c>
      <c r="F30" s="49" t="s">
        <v>2389</v>
      </c>
      <c r="J30">
        <v>29</v>
      </c>
      <c r="K30" s="55" t="s">
        <v>661</v>
      </c>
      <c r="L30" t="s">
        <v>643</v>
      </c>
      <c r="M30">
        <f t="shared" si="0"/>
        <v>6</v>
      </c>
      <c r="N30" s="30" t="s">
        <v>2390</v>
      </c>
      <c r="R30">
        <v>29</v>
      </c>
      <c r="S30" t="s">
        <v>2391</v>
      </c>
      <c r="T30" t="s">
        <v>2279</v>
      </c>
      <c r="U30">
        <f t="shared" si="1"/>
        <v>8</v>
      </c>
      <c r="V30" s="30" t="s">
        <v>2392</v>
      </c>
    </row>
    <row r="31" spans="1:22">
      <c r="A31">
        <v>30</v>
      </c>
      <c r="C31" s="7" t="s">
        <v>369</v>
      </c>
      <c r="D31" t="s">
        <v>29</v>
      </c>
      <c r="E31" t="e">
        <f>LEN(#REF!)</f>
        <v>#REF!</v>
      </c>
      <c r="F31" s="49" t="s">
        <v>2393</v>
      </c>
      <c r="J31">
        <v>30</v>
      </c>
      <c r="K31" s="55" t="s">
        <v>662</v>
      </c>
      <c r="L31" t="s">
        <v>643</v>
      </c>
      <c r="M31">
        <f t="shared" si="0"/>
        <v>7</v>
      </c>
      <c r="N31" s="30" t="s">
        <v>2394</v>
      </c>
      <c r="R31">
        <v>30</v>
      </c>
      <c r="S31" t="s">
        <v>2395</v>
      </c>
      <c r="T31" t="s">
        <v>2279</v>
      </c>
      <c r="U31">
        <f t="shared" si="1"/>
        <v>8</v>
      </c>
      <c r="V31" s="30" t="s">
        <v>2396</v>
      </c>
    </row>
    <row r="32" spans="1:22">
      <c r="A32">
        <v>31</v>
      </c>
      <c r="C32" s="7" t="s">
        <v>370</v>
      </c>
      <c r="D32" t="s">
        <v>29</v>
      </c>
      <c r="E32" t="e">
        <f>LEN(#REF!)</f>
        <v>#REF!</v>
      </c>
      <c r="F32" s="49" t="s">
        <v>2397</v>
      </c>
      <c r="J32">
        <v>31</v>
      </c>
      <c r="K32" s="55" t="s">
        <v>663</v>
      </c>
      <c r="L32" t="s">
        <v>643</v>
      </c>
      <c r="M32">
        <f t="shared" si="0"/>
        <v>7</v>
      </c>
      <c r="N32" s="30" t="s">
        <v>2398</v>
      </c>
      <c r="R32">
        <v>31</v>
      </c>
      <c r="S32" t="s">
        <v>2399</v>
      </c>
      <c r="T32" t="s">
        <v>2279</v>
      </c>
      <c r="U32">
        <f t="shared" si="1"/>
        <v>14</v>
      </c>
      <c r="V32" s="30" t="s">
        <v>2400</v>
      </c>
    </row>
    <row r="33" spans="1:22">
      <c r="A33">
        <v>32</v>
      </c>
      <c r="C33" s="7" t="s">
        <v>371</v>
      </c>
      <c r="D33" t="s">
        <v>29</v>
      </c>
      <c r="E33" t="e">
        <f>LEN(#REF!)</f>
        <v>#REF!</v>
      </c>
      <c r="F33" s="49" t="s">
        <v>2401</v>
      </c>
      <c r="J33">
        <v>32</v>
      </c>
      <c r="K33" s="55" t="s">
        <v>664</v>
      </c>
      <c r="L33" t="s">
        <v>643</v>
      </c>
      <c r="M33">
        <f t="shared" si="0"/>
        <v>9</v>
      </c>
      <c r="N33" s="30" t="s">
        <v>2402</v>
      </c>
      <c r="R33">
        <v>32</v>
      </c>
      <c r="S33" t="s">
        <v>2403</v>
      </c>
      <c r="T33" t="s">
        <v>2279</v>
      </c>
      <c r="U33">
        <f t="shared" si="1"/>
        <v>8</v>
      </c>
      <c r="V33" s="30" t="s">
        <v>2404</v>
      </c>
    </row>
    <row r="34" spans="1:22">
      <c r="A34">
        <v>33</v>
      </c>
      <c r="C34" s="7" t="s">
        <v>372</v>
      </c>
      <c r="D34" t="s">
        <v>29</v>
      </c>
      <c r="E34" t="e">
        <f>LEN(#REF!)</f>
        <v>#REF!</v>
      </c>
      <c r="F34" s="49" t="s">
        <v>2405</v>
      </c>
      <c r="J34">
        <v>33</v>
      </c>
      <c r="K34" s="55" t="s">
        <v>665</v>
      </c>
      <c r="L34" t="s">
        <v>643</v>
      </c>
      <c r="M34">
        <f t="shared" si="0"/>
        <v>6</v>
      </c>
      <c r="N34" s="30" t="s">
        <v>2406</v>
      </c>
      <c r="R34">
        <v>33</v>
      </c>
      <c r="S34" t="s">
        <v>2407</v>
      </c>
      <c r="T34" t="s">
        <v>2279</v>
      </c>
      <c r="U34">
        <f t="shared" si="1"/>
        <v>8</v>
      </c>
      <c r="V34" s="31" t="s">
        <v>2408</v>
      </c>
    </row>
    <row r="35" spans="1:22">
      <c r="A35">
        <v>34</v>
      </c>
      <c r="C35" s="7" t="s">
        <v>373</v>
      </c>
      <c r="D35" t="s">
        <v>29</v>
      </c>
      <c r="E35" t="e">
        <f>LEN(#REF!)</f>
        <v>#REF!</v>
      </c>
      <c r="F35" s="49" t="s">
        <v>2409</v>
      </c>
      <c r="J35">
        <v>34</v>
      </c>
      <c r="K35" s="55" t="s">
        <v>666</v>
      </c>
      <c r="L35" t="s">
        <v>643</v>
      </c>
      <c r="M35">
        <f t="shared" si="0"/>
        <v>5</v>
      </c>
      <c r="N35" s="30" t="s">
        <v>2410</v>
      </c>
      <c r="R35">
        <v>34</v>
      </c>
      <c r="S35" t="s">
        <v>2411</v>
      </c>
      <c r="T35" t="s">
        <v>2279</v>
      </c>
      <c r="U35">
        <f t="shared" si="1"/>
        <v>15</v>
      </c>
      <c r="V35" s="30" t="s">
        <v>2412</v>
      </c>
    </row>
    <row r="36" spans="1:22">
      <c r="A36">
        <v>35</v>
      </c>
      <c r="C36" s="7" t="s">
        <v>374</v>
      </c>
      <c r="D36" t="s">
        <v>29</v>
      </c>
      <c r="E36" t="e">
        <f>LEN(#REF!)</f>
        <v>#REF!</v>
      </c>
      <c r="F36" s="51" t="s">
        <v>2413</v>
      </c>
      <c r="J36">
        <v>35</v>
      </c>
      <c r="K36" s="55" t="s">
        <v>667</v>
      </c>
      <c r="L36" t="s">
        <v>643</v>
      </c>
      <c r="M36">
        <f t="shared" si="0"/>
        <v>6</v>
      </c>
      <c r="N36" s="30" t="s">
        <v>2414</v>
      </c>
      <c r="R36">
        <v>35</v>
      </c>
      <c r="S36" t="s">
        <v>2415</v>
      </c>
      <c r="T36" t="s">
        <v>2279</v>
      </c>
      <c r="U36">
        <f t="shared" si="1"/>
        <v>8</v>
      </c>
      <c r="V36" s="30" t="s">
        <v>2416</v>
      </c>
    </row>
    <row r="37" spans="1:22">
      <c r="A37">
        <v>36</v>
      </c>
      <c r="C37" s="9" t="s">
        <v>375</v>
      </c>
      <c r="D37" t="s">
        <v>29</v>
      </c>
      <c r="E37" t="e">
        <f>LEN(#REF!)</f>
        <v>#REF!</v>
      </c>
      <c r="F37" s="49" t="s">
        <v>2417</v>
      </c>
      <c r="J37">
        <v>36</v>
      </c>
      <c r="K37" s="55" t="s">
        <v>668</v>
      </c>
      <c r="L37" t="s">
        <v>643</v>
      </c>
      <c r="M37">
        <f t="shared" si="0"/>
        <v>9</v>
      </c>
      <c r="N37" s="30" t="s">
        <v>2418</v>
      </c>
      <c r="R37">
        <v>36</v>
      </c>
      <c r="S37" t="s">
        <v>2419</v>
      </c>
      <c r="T37" t="s">
        <v>2279</v>
      </c>
      <c r="U37">
        <f t="shared" si="1"/>
        <v>10</v>
      </c>
      <c r="V37" s="30" t="s">
        <v>2420</v>
      </c>
    </row>
    <row r="38" spans="1:22">
      <c r="A38">
        <v>37</v>
      </c>
      <c r="C38" s="7" t="s">
        <v>376</v>
      </c>
      <c r="D38" t="s">
        <v>29</v>
      </c>
      <c r="E38" t="e">
        <f>LEN(#REF!)</f>
        <v>#REF!</v>
      </c>
      <c r="F38" s="49" t="s">
        <v>2421</v>
      </c>
      <c r="J38">
        <v>37</v>
      </c>
      <c r="K38" s="55" t="s">
        <v>669</v>
      </c>
      <c r="L38" t="s">
        <v>643</v>
      </c>
      <c r="M38">
        <f t="shared" si="0"/>
        <v>6</v>
      </c>
      <c r="N38" s="30" t="s">
        <v>2422</v>
      </c>
      <c r="R38">
        <v>37</v>
      </c>
      <c r="S38" t="s">
        <v>2423</v>
      </c>
      <c r="T38" t="s">
        <v>2279</v>
      </c>
      <c r="U38">
        <f t="shared" si="1"/>
        <v>9</v>
      </c>
      <c r="V38" s="30" t="s">
        <v>2424</v>
      </c>
    </row>
    <row r="39" spans="1:22">
      <c r="A39">
        <v>38</v>
      </c>
      <c r="C39" s="7" t="s">
        <v>377</v>
      </c>
      <c r="D39" t="s">
        <v>29</v>
      </c>
      <c r="E39" t="e">
        <f>LEN(#REF!)</f>
        <v>#REF!</v>
      </c>
      <c r="F39" s="49" t="s">
        <v>2425</v>
      </c>
      <c r="J39">
        <v>38</v>
      </c>
      <c r="K39" s="55" t="s">
        <v>670</v>
      </c>
      <c r="L39" t="s">
        <v>643</v>
      </c>
      <c r="M39">
        <f t="shared" si="0"/>
        <v>6</v>
      </c>
      <c r="N39" s="30" t="s">
        <v>2426</v>
      </c>
      <c r="R39">
        <v>38</v>
      </c>
      <c r="S39" t="s">
        <v>2427</v>
      </c>
      <c r="T39" t="s">
        <v>2279</v>
      </c>
      <c r="U39">
        <f t="shared" si="1"/>
        <v>14</v>
      </c>
      <c r="V39" s="30" t="s">
        <v>2428</v>
      </c>
    </row>
    <row r="40" spans="1:22">
      <c r="A40">
        <v>39</v>
      </c>
      <c r="C40" s="7" t="s">
        <v>378</v>
      </c>
      <c r="D40" t="s">
        <v>29</v>
      </c>
      <c r="E40" t="e">
        <f>LEN(#REF!)</f>
        <v>#REF!</v>
      </c>
      <c r="F40" s="49" t="s">
        <v>2429</v>
      </c>
      <c r="J40">
        <v>39</v>
      </c>
      <c r="K40" s="55" t="s">
        <v>671</v>
      </c>
      <c r="L40" t="s">
        <v>643</v>
      </c>
      <c r="M40">
        <f t="shared" si="0"/>
        <v>7</v>
      </c>
      <c r="N40" s="30" t="s">
        <v>2430</v>
      </c>
      <c r="R40">
        <v>39</v>
      </c>
      <c r="S40" t="s">
        <v>2431</v>
      </c>
      <c r="T40" t="s">
        <v>2279</v>
      </c>
      <c r="U40">
        <f t="shared" si="1"/>
        <v>10</v>
      </c>
      <c r="V40" s="30" t="s">
        <v>2432</v>
      </c>
    </row>
    <row r="41" spans="1:22">
      <c r="A41">
        <v>40</v>
      </c>
      <c r="C41" s="7" t="s">
        <v>379</v>
      </c>
      <c r="D41" t="s">
        <v>29</v>
      </c>
      <c r="E41" t="e">
        <f>LEN(#REF!)</f>
        <v>#REF!</v>
      </c>
      <c r="F41" s="49" t="s">
        <v>2433</v>
      </c>
      <c r="J41">
        <v>40</v>
      </c>
      <c r="K41" s="55">
        <v>123123</v>
      </c>
      <c r="L41" t="s">
        <v>643</v>
      </c>
      <c r="M41">
        <f t="shared" si="0"/>
        <v>6</v>
      </c>
      <c r="N41" s="30" t="s">
        <v>2434</v>
      </c>
      <c r="R41">
        <v>40</v>
      </c>
      <c r="S41" t="s">
        <v>2435</v>
      </c>
      <c r="T41" t="s">
        <v>2279</v>
      </c>
      <c r="U41">
        <f t="shared" si="1"/>
        <v>8</v>
      </c>
      <c r="V41" s="30" t="s">
        <v>2436</v>
      </c>
    </row>
    <row r="42" spans="1:22">
      <c r="A42">
        <v>41</v>
      </c>
      <c r="C42" s="7" t="s">
        <v>380</v>
      </c>
      <c r="D42" t="s">
        <v>29</v>
      </c>
      <c r="E42" t="e">
        <f>LEN(#REF!)</f>
        <v>#REF!</v>
      </c>
      <c r="F42" s="49" t="s">
        <v>2437</v>
      </c>
      <c r="J42">
        <v>41</v>
      </c>
      <c r="K42" s="55" t="s">
        <v>672</v>
      </c>
      <c r="L42" t="s">
        <v>643</v>
      </c>
      <c r="M42">
        <f t="shared" si="0"/>
        <v>8</v>
      </c>
      <c r="N42" s="30" t="s">
        <v>2438</v>
      </c>
      <c r="R42">
        <v>41</v>
      </c>
      <c r="S42" t="s">
        <v>2439</v>
      </c>
      <c r="T42" t="s">
        <v>2279</v>
      </c>
      <c r="U42">
        <f t="shared" si="1"/>
        <v>9</v>
      </c>
      <c r="V42" s="30" t="s">
        <v>2440</v>
      </c>
    </row>
    <row r="43" spans="1:22">
      <c r="A43">
        <v>42</v>
      </c>
      <c r="C43" s="7" t="s">
        <v>381</v>
      </c>
      <c r="D43" t="s">
        <v>29</v>
      </c>
      <c r="E43" t="e">
        <f>LEN(#REF!)</f>
        <v>#REF!</v>
      </c>
      <c r="F43" s="49" t="s">
        <v>2441</v>
      </c>
      <c r="J43">
        <v>42</v>
      </c>
      <c r="K43" s="55" t="s">
        <v>673</v>
      </c>
      <c r="L43" t="s">
        <v>643</v>
      </c>
      <c r="M43">
        <f t="shared" si="0"/>
        <v>6</v>
      </c>
      <c r="N43" s="30" t="s">
        <v>2442</v>
      </c>
      <c r="R43">
        <v>42</v>
      </c>
      <c r="S43" t="s">
        <v>2443</v>
      </c>
      <c r="T43" t="s">
        <v>2279</v>
      </c>
      <c r="U43">
        <f t="shared" si="1"/>
        <v>9</v>
      </c>
      <c r="V43" s="30" t="s">
        <v>2444</v>
      </c>
    </row>
    <row r="44" spans="1:22">
      <c r="A44">
        <v>43</v>
      </c>
      <c r="C44" s="7" t="s">
        <v>382</v>
      </c>
      <c r="D44" t="s">
        <v>29</v>
      </c>
      <c r="E44" t="e">
        <f>LEN(#REF!)</f>
        <v>#REF!</v>
      </c>
      <c r="F44" s="49" t="s">
        <v>2445</v>
      </c>
      <c r="J44">
        <v>43</v>
      </c>
      <c r="K44" s="55" t="s">
        <v>674</v>
      </c>
      <c r="L44" t="s">
        <v>643</v>
      </c>
      <c r="M44">
        <f t="shared" si="0"/>
        <v>6</v>
      </c>
      <c r="N44" s="30" t="s">
        <v>2446</v>
      </c>
      <c r="R44">
        <v>43</v>
      </c>
      <c r="S44" t="s">
        <v>2447</v>
      </c>
      <c r="T44" t="s">
        <v>2279</v>
      </c>
      <c r="U44">
        <f t="shared" si="1"/>
        <v>8</v>
      </c>
      <c r="V44" s="30" t="s">
        <v>2448</v>
      </c>
    </row>
    <row r="45" spans="1:22">
      <c r="A45">
        <v>44</v>
      </c>
      <c r="C45" s="7" t="s">
        <v>383</v>
      </c>
      <c r="D45" t="s">
        <v>29</v>
      </c>
      <c r="E45" t="e">
        <f>LEN(#REF!)</f>
        <v>#REF!</v>
      </c>
      <c r="F45" s="49" t="s">
        <v>2449</v>
      </c>
      <c r="J45">
        <v>44</v>
      </c>
      <c r="K45" s="55" t="s">
        <v>675</v>
      </c>
      <c r="L45" t="s">
        <v>643</v>
      </c>
      <c r="M45">
        <f t="shared" si="0"/>
        <v>6</v>
      </c>
      <c r="N45" s="30" t="s">
        <v>2450</v>
      </c>
      <c r="R45">
        <v>44</v>
      </c>
      <c r="S45" t="s">
        <v>2451</v>
      </c>
      <c r="T45" t="s">
        <v>2279</v>
      </c>
      <c r="U45">
        <f t="shared" si="1"/>
        <v>14</v>
      </c>
      <c r="V45" s="30" t="s">
        <v>2452</v>
      </c>
    </row>
    <row r="46" spans="1:22">
      <c r="A46">
        <v>45</v>
      </c>
      <c r="C46" s="7" t="s">
        <v>384</v>
      </c>
      <c r="D46" t="s">
        <v>29</v>
      </c>
      <c r="E46" t="e">
        <f>LEN(#REF!)</f>
        <v>#REF!</v>
      </c>
      <c r="F46" s="51" t="s">
        <v>2453</v>
      </c>
      <c r="J46">
        <v>45</v>
      </c>
      <c r="K46" s="55" t="s">
        <v>676</v>
      </c>
      <c r="L46" t="s">
        <v>643</v>
      </c>
      <c r="M46">
        <f t="shared" si="0"/>
        <v>8</v>
      </c>
      <c r="N46" s="30" t="s">
        <v>2454</v>
      </c>
      <c r="R46">
        <v>45</v>
      </c>
      <c r="S46" t="s">
        <v>2455</v>
      </c>
      <c r="T46" t="s">
        <v>2279</v>
      </c>
      <c r="U46">
        <f t="shared" si="1"/>
        <v>10</v>
      </c>
      <c r="V46" s="30" t="s">
        <v>2456</v>
      </c>
    </row>
    <row r="47" spans="1:22">
      <c r="A47">
        <v>46</v>
      </c>
      <c r="C47" s="9" t="s">
        <v>385</v>
      </c>
      <c r="D47" t="s">
        <v>29</v>
      </c>
      <c r="E47" t="e">
        <f>LEN(#REF!)</f>
        <v>#REF!</v>
      </c>
      <c r="F47" s="49" t="s">
        <v>2457</v>
      </c>
      <c r="J47">
        <v>46</v>
      </c>
      <c r="K47" s="55" t="s">
        <v>677</v>
      </c>
      <c r="L47" t="s">
        <v>643</v>
      </c>
      <c r="M47">
        <f t="shared" si="0"/>
        <v>6</v>
      </c>
      <c r="N47" s="30" t="s">
        <v>2458</v>
      </c>
      <c r="R47">
        <v>46</v>
      </c>
      <c r="S47" t="s">
        <v>2459</v>
      </c>
      <c r="T47" t="s">
        <v>2279</v>
      </c>
      <c r="U47">
        <f t="shared" si="1"/>
        <v>9</v>
      </c>
      <c r="V47" s="30" t="s">
        <v>2460</v>
      </c>
    </row>
    <row r="48" spans="1:22">
      <c r="A48">
        <v>47</v>
      </c>
      <c r="C48" s="7" t="s">
        <v>386</v>
      </c>
      <c r="D48" t="s">
        <v>29</v>
      </c>
      <c r="E48" t="e">
        <f>LEN(#REF!)</f>
        <v>#REF!</v>
      </c>
      <c r="F48" s="49" t="s">
        <v>2461</v>
      </c>
      <c r="J48">
        <v>47</v>
      </c>
      <c r="K48" s="55" t="s">
        <v>678</v>
      </c>
      <c r="L48" t="s">
        <v>643</v>
      </c>
      <c r="M48">
        <f t="shared" si="0"/>
        <v>7</v>
      </c>
      <c r="N48" s="30" t="s">
        <v>2462</v>
      </c>
      <c r="R48">
        <v>47</v>
      </c>
      <c r="S48" t="s">
        <v>2463</v>
      </c>
      <c r="T48" t="s">
        <v>2279</v>
      </c>
      <c r="U48">
        <f t="shared" si="1"/>
        <v>8</v>
      </c>
      <c r="V48" s="30" t="s">
        <v>2464</v>
      </c>
    </row>
    <row r="49" spans="1:22">
      <c r="A49">
        <v>48</v>
      </c>
      <c r="C49" s="7" t="s">
        <v>387</v>
      </c>
      <c r="D49" t="s">
        <v>29</v>
      </c>
      <c r="E49" t="e">
        <f>LEN(#REF!)</f>
        <v>#REF!</v>
      </c>
      <c r="F49" s="49" t="s">
        <v>2465</v>
      </c>
      <c r="J49">
        <v>48</v>
      </c>
      <c r="K49" s="55">
        <v>1234567890</v>
      </c>
      <c r="L49" t="s">
        <v>643</v>
      </c>
      <c r="M49">
        <f t="shared" si="0"/>
        <v>10</v>
      </c>
      <c r="N49" s="30" t="s">
        <v>2466</v>
      </c>
      <c r="R49">
        <v>48</v>
      </c>
      <c r="S49" t="s">
        <v>2467</v>
      </c>
      <c r="T49" t="s">
        <v>2279</v>
      </c>
      <c r="U49">
        <f t="shared" si="1"/>
        <v>10</v>
      </c>
      <c r="V49" s="30" t="s">
        <v>2468</v>
      </c>
    </row>
    <row r="50" spans="1:22">
      <c r="A50">
        <v>49</v>
      </c>
      <c r="C50" s="7" t="s">
        <v>388</v>
      </c>
      <c r="D50" t="s">
        <v>29</v>
      </c>
      <c r="E50" t="e">
        <f>LEN(#REF!)</f>
        <v>#REF!</v>
      </c>
      <c r="F50" s="49" t="s">
        <v>2469</v>
      </c>
      <c r="J50">
        <v>49</v>
      </c>
      <c r="K50" s="55" t="s">
        <v>679</v>
      </c>
      <c r="L50" t="s">
        <v>643</v>
      </c>
      <c r="M50">
        <f t="shared" si="0"/>
        <v>8</v>
      </c>
      <c r="N50" s="30" t="s">
        <v>2470</v>
      </c>
      <c r="R50">
        <v>49</v>
      </c>
      <c r="S50" t="s">
        <v>2471</v>
      </c>
      <c r="T50" t="s">
        <v>2279</v>
      </c>
      <c r="U50">
        <f t="shared" si="1"/>
        <v>9</v>
      </c>
      <c r="V50" s="30" t="s">
        <v>2472</v>
      </c>
    </row>
    <row r="51" spans="1:22">
      <c r="A51">
        <v>50</v>
      </c>
      <c r="C51" s="7" t="s">
        <v>389</v>
      </c>
      <c r="D51" t="s">
        <v>29</v>
      </c>
      <c r="E51" t="e">
        <f>LEN(#REF!)</f>
        <v>#REF!</v>
      </c>
      <c r="F51" s="49" t="s">
        <v>2473</v>
      </c>
      <c r="J51">
        <v>50</v>
      </c>
      <c r="K51" s="55" t="s">
        <v>680</v>
      </c>
      <c r="L51" t="s">
        <v>643</v>
      </c>
      <c r="M51">
        <f t="shared" si="0"/>
        <v>6</v>
      </c>
      <c r="N51" s="30" t="s">
        <v>2474</v>
      </c>
      <c r="R51">
        <v>50</v>
      </c>
      <c r="S51" t="s">
        <v>2475</v>
      </c>
      <c r="T51" t="s">
        <v>2279</v>
      </c>
      <c r="U51">
        <f t="shared" si="1"/>
        <v>8</v>
      </c>
      <c r="V51" s="30" t="s">
        <v>2476</v>
      </c>
    </row>
    <row r="52" spans="1:22">
      <c r="A52">
        <v>51</v>
      </c>
      <c r="C52" s="7" t="s">
        <v>390</v>
      </c>
      <c r="D52" t="s">
        <v>29</v>
      </c>
      <c r="E52" t="e">
        <f>LEN(#REF!)</f>
        <v>#REF!</v>
      </c>
      <c r="F52" s="49" t="s">
        <v>2477</v>
      </c>
      <c r="J52">
        <v>51</v>
      </c>
      <c r="K52" s="55" t="s">
        <v>681</v>
      </c>
      <c r="L52" t="s">
        <v>643</v>
      </c>
      <c r="M52">
        <f t="shared" si="0"/>
        <v>6</v>
      </c>
      <c r="N52" s="30" t="s">
        <v>2478</v>
      </c>
      <c r="R52">
        <v>51</v>
      </c>
      <c r="S52" t="s">
        <v>2479</v>
      </c>
      <c r="T52" t="s">
        <v>2279</v>
      </c>
      <c r="U52">
        <f t="shared" si="1"/>
        <v>9</v>
      </c>
      <c r="V52" s="30" t="s">
        <v>2480</v>
      </c>
    </row>
    <row r="53" spans="1:22">
      <c r="A53">
        <v>52</v>
      </c>
      <c r="C53" s="7" t="s">
        <v>391</v>
      </c>
      <c r="D53" t="s">
        <v>29</v>
      </c>
      <c r="E53" t="e">
        <f>LEN(#REF!)</f>
        <v>#REF!</v>
      </c>
      <c r="F53" s="49" t="s">
        <v>2481</v>
      </c>
      <c r="J53">
        <v>52</v>
      </c>
      <c r="K53" s="55" t="s">
        <v>682</v>
      </c>
      <c r="L53" t="s">
        <v>643</v>
      </c>
      <c r="M53">
        <f t="shared" si="0"/>
        <v>7</v>
      </c>
      <c r="N53" s="30" t="s">
        <v>2482</v>
      </c>
      <c r="R53">
        <v>52</v>
      </c>
      <c r="S53" t="s">
        <v>2483</v>
      </c>
      <c r="T53" t="s">
        <v>2279</v>
      </c>
      <c r="U53">
        <f t="shared" si="1"/>
        <v>8</v>
      </c>
      <c r="V53" s="30" t="s">
        <v>2484</v>
      </c>
    </row>
    <row r="54" spans="1:22">
      <c r="A54">
        <v>53</v>
      </c>
      <c r="C54" s="7" t="s">
        <v>392</v>
      </c>
      <c r="D54" t="s">
        <v>29</v>
      </c>
      <c r="E54" t="e">
        <f>LEN(#REF!)</f>
        <v>#REF!</v>
      </c>
      <c r="F54" s="51" t="s">
        <v>2485</v>
      </c>
      <c r="J54">
        <v>53</v>
      </c>
      <c r="K54" s="55" t="s">
        <v>683</v>
      </c>
      <c r="L54" t="s">
        <v>643</v>
      </c>
      <c r="M54">
        <f t="shared" si="0"/>
        <v>6</v>
      </c>
      <c r="N54" s="30" t="s">
        <v>2486</v>
      </c>
      <c r="R54">
        <v>53</v>
      </c>
      <c r="S54" t="s">
        <v>2487</v>
      </c>
      <c r="T54" t="s">
        <v>2279</v>
      </c>
      <c r="U54">
        <f t="shared" si="1"/>
        <v>8</v>
      </c>
      <c r="V54" s="30" t="s">
        <v>2488</v>
      </c>
    </row>
    <row r="55" spans="1:22">
      <c r="A55">
        <v>54</v>
      </c>
      <c r="C55" s="9" t="s">
        <v>393</v>
      </c>
      <c r="D55" t="s">
        <v>29</v>
      </c>
      <c r="E55" t="e">
        <f>LEN(#REF!)</f>
        <v>#REF!</v>
      </c>
      <c r="F55" s="49" t="s">
        <v>2489</v>
      </c>
      <c r="J55">
        <v>54</v>
      </c>
      <c r="K55" s="55" t="s">
        <v>684</v>
      </c>
      <c r="L55" t="s">
        <v>643</v>
      </c>
      <c r="M55">
        <f t="shared" si="0"/>
        <v>10</v>
      </c>
      <c r="N55" s="30" t="s">
        <v>2490</v>
      </c>
      <c r="R55">
        <v>54</v>
      </c>
      <c r="S55" t="s">
        <v>2491</v>
      </c>
      <c r="T55" t="s">
        <v>2279</v>
      </c>
      <c r="U55">
        <f t="shared" si="1"/>
        <v>8</v>
      </c>
      <c r="V55" s="30" t="s">
        <v>2492</v>
      </c>
    </row>
    <row r="56" spans="1:22">
      <c r="A56">
        <v>55</v>
      </c>
      <c r="C56" s="7" t="s">
        <v>394</v>
      </c>
      <c r="D56" t="s">
        <v>29</v>
      </c>
      <c r="E56" t="e">
        <f>LEN(#REF!)</f>
        <v>#REF!</v>
      </c>
      <c r="F56" s="49" t="s">
        <v>2493</v>
      </c>
      <c r="J56">
        <v>55</v>
      </c>
      <c r="K56" s="55" t="s">
        <v>685</v>
      </c>
      <c r="L56" t="s">
        <v>643</v>
      </c>
      <c r="M56">
        <f t="shared" si="0"/>
        <v>6</v>
      </c>
      <c r="N56" s="30" t="s">
        <v>2494</v>
      </c>
      <c r="R56">
        <v>55</v>
      </c>
      <c r="S56" t="s">
        <v>2495</v>
      </c>
      <c r="T56" t="s">
        <v>2279</v>
      </c>
      <c r="U56">
        <f t="shared" si="1"/>
        <v>8</v>
      </c>
      <c r="V56" s="30" t="s">
        <v>2496</v>
      </c>
    </row>
    <row r="57" spans="1:22">
      <c r="A57">
        <v>56</v>
      </c>
      <c r="C57" s="7" t="s">
        <v>395</v>
      </c>
      <c r="D57" t="s">
        <v>29</v>
      </c>
      <c r="E57" t="e">
        <f>LEN(#REF!)</f>
        <v>#REF!</v>
      </c>
      <c r="F57" s="49" t="s">
        <v>2497</v>
      </c>
      <c r="J57">
        <v>56</v>
      </c>
      <c r="K57" s="55" t="s">
        <v>686</v>
      </c>
      <c r="L57" t="s">
        <v>643</v>
      </c>
      <c r="M57">
        <f t="shared" si="0"/>
        <v>6</v>
      </c>
      <c r="N57" s="30" t="s">
        <v>2498</v>
      </c>
      <c r="R57">
        <v>56</v>
      </c>
      <c r="S57" t="s">
        <v>2499</v>
      </c>
      <c r="T57" t="s">
        <v>2279</v>
      </c>
      <c r="U57">
        <f t="shared" si="1"/>
        <v>8</v>
      </c>
      <c r="V57" s="30" t="s">
        <v>2500</v>
      </c>
    </row>
    <row r="58" spans="1:22">
      <c r="A58">
        <v>57</v>
      </c>
      <c r="C58" s="7" t="s">
        <v>396</v>
      </c>
      <c r="D58" t="s">
        <v>29</v>
      </c>
      <c r="E58" t="e">
        <f>LEN(#REF!)</f>
        <v>#REF!</v>
      </c>
      <c r="F58" s="49" t="s">
        <v>2501</v>
      </c>
      <c r="J58">
        <v>57</v>
      </c>
      <c r="K58" s="55" t="s">
        <v>687</v>
      </c>
      <c r="L58" t="s">
        <v>643</v>
      </c>
      <c r="M58">
        <f t="shared" si="0"/>
        <v>6</v>
      </c>
      <c r="N58" s="30" t="s">
        <v>2502</v>
      </c>
      <c r="R58">
        <v>57</v>
      </c>
      <c r="S58" t="s">
        <v>2503</v>
      </c>
      <c r="T58" t="s">
        <v>2279</v>
      </c>
      <c r="U58">
        <f t="shared" si="1"/>
        <v>8</v>
      </c>
      <c r="V58" s="30" t="s">
        <v>2504</v>
      </c>
    </row>
    <row r="59" spans="1:22">
      <c r="A59">
        <v>58</v>
      </c>
      <c r="C59" s="7" t="s">
        <v>397</v>
      </c>
      <c r="D59" t="s">
        <v>29</v>
      </c>
      <c r="E59" t="e">
        <f>LEN(#REF!)</f>
        <v>#REF!</v>
      </c>
      <c r="F59" s="49" t="s">
        <v>2505</v>
      </c>
      <c r="J59">
        <v>58</v>
      </c>
      <c r="K59" s="55" t="s">
        <v>688</v>
      </c>
      <c r="L59" t="s">
        <v>643</v>
      </c>
      <c r="M59">
        <f t="shared" si="0"/>
        <v>6</v>
      </c>
      <c r="N59" s="30" t="s">
        <v>2506</v>
      </c>
      <c r="R59">
        <v>58</v>
      </c>
      <c r="S59" t="s">
        <v>2507</v>
      </c>
      <c r="T59" t="s">
        <v>2279</v>
      </c>
      <c r="U59">
        <f t="shared" si="1"/>
        <v>11</v>
      </c>
      <c r="V59" s="30" t="s">
        <v>2508</v>
      </c>
    </row>
    <row r="60" spans="1:22">
      <c r="A60">
        <v>59</v>
      </c>
      <c r="C60" s="7" t="s">
        <v>398</v>
      </c>
      <c r="D60" t="s">
        <v>29</v>
      </c>
      <c r="E60" t="e">
        <f>LEN(#REF!)</f>
        <v>#REF!</v>
      </c>
      <c r="F60" s="49" t="s">
        <v>2509</v>
      </c>
      <c r="J60">
        <v>59</v>
      </c>
      <c r="K60" s="55" t="s">
        <v>689</v>
      </c>
      <c r="L60" t="s">
        <v>643</v>
      </c>
      <c r="M60">
        <f t="shared" si="0"/>
        <v>7</v>
      </c>
      <c r="N60" s="30" t="s">
        <v>2510</v>
      </c>
      <c r="R60">
        <v>59</v>
      </c>
      <c r="S60" t="s">
        <v>2511</v>
      </c>
      <c r="T60" t="s">
        <v>2279</v>
      </c>
      <c r="U60">
        <f t="shared" si="1"/>
        <v>9</v>
      </c>
      <c r="V60" s="30" t="s">
        <v>2512</v>
      </c>
    </row>
    <row r="61" spans="1:22">
      <c r="A61">
        <v>60</v>
      </c>
      <c r="C61" s="7" t="s">
        <v>399</v>
      </c>
      <c r="D61" t="s">
        <v>29</v>
      </c>
      <c r="E61" t="e">
        <f>LEN(#REF!)</f>
        <v>#REF!</v>
      </c>
      <c r="F61" s="49" t="s">
        <v>2513</v>
      </c>
      <c r="J61">
        <v>60</v>
      </c>
      <c r="K61" s="55" t="s">
        <v>690</v>
      </c>
      <c r="L61" t="s">
        <v>643</v>
      </c>
      <c r="M61">
        <f t="shared" si="0"/>
        <v>5</v>
      </c>
      <c r="N61" s="30" t="s">
        <v>2514</v>
      </c>
      <c r="R61">
        <v>60</v>
      </c>
      <c r="S61" t="s">
        <v>2515</v>
      </c>
      <c r="T61" t="s">
        <v>2279</v>
      </c>
      <c r="U61">
        <f t="shared" si="1"/>
        <v>9</v>
      </c>
      <c r="V61" s="30" t="s">
        <v>2516</v>
      </c>
    </row>
    <row r="62" spans="1:22">
      <c r="A62">
        <v>61</v>
      </c>
      <c r="C62" s="7" t="s">
        <v>400</v>
      </c>
      <c r="D62" t="s">
        <v>29</v>
      </c>
      <c r="E62" t="e">
        <f>LEN(#REF!)</f>
        <v>#REF!</v>
      </c>
      <c r="F62" s="49" t="s">
        <v>2517</v>
      </c>
      <c r="J62">
        <v>61</v>
      </c>
      <c r="K62" s="55" t="s">
        <v>691</v>
      </c>
      <c r="L62" t="s">
        <v>643</v>
      </c>
      <c r="M62">
        <f t="shared" si="0"/>
        <v>9</v>
      </c>
      <c r="N62" s="30" t="s">
        <v>2518</v>
      </c>
      <c r="R62">
        <v>61</v>
      </c>
      <c r="S62" t="s">
        <v>2519</v>
      </c>
      <c r="T62" t="s">
        <v>2279</v>
      </c>
      <c r="U62">
        <f t="shared" si="1"/>
        <v>8</v>
      </c>
      <c r="V62" s="30" t="s">
        <v>2520</v>
      </c>
    </row>
    <row r="63" spans="1:22">
      <c r="A63">
        <v>62</v>
      </c>
      <c r="C63" s="7" t="s">
        <v>401</v>
      </c>
      <c r="D63" t="s">
        <v>29</v>
      </c>
      <c r="E63" t="e">
        <f>LEN(#REF!)</f>
        <v>#REF!</v>
      </c>
      <c r="F63" s="49" t="s">
        <v>2521</v>
      </c>
      <c r="J63">
        <v>62</v>
      </c>
      <c r="K63" s="55" t="s">
        <v>692</v>
      </c>
      <c r="L63" t="s">
        <v>643</v>
      </c>
      <c r="M63">
        <f t="shared" si="0"/>
        <v>6</v>
      </c>
      <c r="N63" s="30" t="s">
        <v>2522</v>
      </c>
      <c r="R63">
        <v>62</v>
      </c>
      <c r="S63" t="s">
        <v>2523</v>
      </c>
      <c r="T63" t="s">
        <v>2279</v>
      </c>
      <c r="U63">
        <f t="shared" si="1"/>
        <v>12</v>
      </c>
      <c r="V63" s="30" t="s">
        <v>2524</v>
      </c>
    </row>
    <row r="64" spans="1:22">
      <c r="A64">
        <v>63</v>
      </c>
      <c r="C64" s="7" t="s">
        <v>402</v>
      </c>
      <c r="D64" t="s">
        <v>29</v>
      </c>
      <c r="E64" t="e">
        <f>LEN(#REF!)</f>
        <v>#REF!</v>
      </c>
      <c r="F64" s="49" t="s">
        <v>2525</v>
      </c>
      <c r="J64">
        <v>63</v>
      </c>
      <c r="K64" s="55" t="s">
        <v>693</v>
      </c>
      <c r="L64" t="s">
        <v>643</v>
      </c>
      <c r="M64">
        <f t="shared" si="0"/>
        <v>10</v>
      </c>
      <c r="N64" s="30" t="s">
        <v>2526</v>
      </c>
      <c r="R64">
        <v>63</v>
      </c>
      <c r="S64" t="s">
        <v>2527</v>
      </c>
      <c r="T64" t="s">
        <v>2279</v>
      </c>
      <c r="U64">
        <f t="shared" si="1"/>
        <v>8</v>
      </c>
      <c r="V64" s="30" t="s">
        <v>2528</v>
      </c>
    </row>
    <row r="65" spans="1:22">
      <c r="A65">
        <v>64</v>
      </c>
      <c r="C65" s="7" t="s">
        <v>403</v>
      </c>
      <c r="D65" t="s">
        <v>29</v>
      </c>
      <c r="E65" t="e">
        <f>LEN(#REF!)</f>
        <v>#REF!</v>
      </c>
      <c r="F65" s="49" t="s">
        <v>2529</v>
      </c>
      <c r="J65">
        <v>64</v>
      </c>
      <c r="K65" s="55" t="s">
        <v>694</v>
      </c>
      <c r="L65" t="s">
        <v>643</v>
      </c>
      <c r="M65">
        <f t="shared" si="0"/>
        <v>7</v>
      </c>
      <c r="N65" s="30" t="s">
        <v>2530</v>
      </c>
      <c r="R65">
        <v>64</v>
      </c>
      <c r="S65" t="s">
        <v>2531</v>
      </c>
      <c r="T65" t="s">
        <v>2279</v>
      </c>
      <c r="U65">
        <f t="shared" si="1"/>
        <v>10</v>
      </c>
      <c r="V65" s="30" t="s">
        <v>2532</v>
      </c>
    </row>
    <row r="66" spans="1:22">
      <c r="A66">
        <v>65</v>
      </c>
      <c r="C66" s="7" t="s">
        <v>404</v>
      </c>
      <c r="D66" t="s">
        <v>29</v>
      </c>
      <c r="E66" t="e">
        <f>LEN(#REF!)</f>
        <v>#REF!</v>
      </c>
      <c r="F66" s="49" t="s">
        <v>2533</v>
      </c>
      <c r="J66">
        <v>65</v>
      </c>
      <c r="K66" s="55" t="s">
        <v>695</v>
      </c>
      <c r="L66" t="s">
        <v>643</v>
      </c>
      <c r="M66">
        <f t="shared" si="0"/>
        <v>8</v>
      </c>
      <c r="N66" s="30" t="s">
        <v>2534</v>
      </c>
      <c r="R66">
        <v>65</v>
      </c>
      <c r="S66" t="s">
        <v>2535</v>
      </c>
      <c r="T66" t="s">
        <v>2279</v>
      </c>
      <c r="U66">
        <f t="shared" si="1"/>
        <v>12</v>
      </c>
      <c r="V66" s="30" t="s">
        <v>2536</v>
      </c>
    </row>
    <row r="67" spans="1:22">
      <c r="A67">
        <v>66</v>
      </c>
      <c r="C67" s="7" t="s">
        <v>405</v>
      </c>
      <c r="D67" t="s">
        <v>29</v>
      </c>
      <c r="E67" t="e">
        <f>LEN(#REF!)</f>
        <v>#REF!</v>
      </c>
      <c r="F67" s="49" t="s">
        <v>2537</v>
      </c>
      <c r="J67">
        <v>66</v>
      </c>
      <c r="K67" s="55" t="s">
        <v>696</v>
      </c>
      <c r="L67" t="s">
        <v>643</v>
      </c>
      <c r="M67">
        <f t="shared" ref="M67:M130" si="2">LEN(K67)</f>
        <v>6</v>
      </c>
      <c r="N67" s="30" t="s">
        <v>2538</v>
      </c>
      <c r="R67">
        <v>66</v>
      </c>
      <c r="S67" t="s">
        <v>2539</v>
      </c>
      <c r="T67" t="s">
        <v>2279</v>
      </c>
      <c r="U67">
        <f t="shared" ref="U67:U130" si="3">LEN(S67)</f>
        <v>10</v>
      </c>
      <c r="V67" s="30" t="s">
        <v>2540</v>
      </c>
    </row>
    <row r="68" spans="1:22">
      <c r="A68">
        <v>67</v>
      </c>
      <c r="C68" s="7" t="s">
        <v>406</v>
      </c>
      <c r="D68" t="s">
        <v>29</v>
      </c>
      <c r="E68" t="e">
        <f>LEN(#REF!)</f>
        <v>#REF!</v>
      </c>
      <c r="F68" s="49" t="s">
        <v>2541</v>
      </c>
      <c r="J68">
        <v>67</v>
      </c>
      <c r="K68" s="55" t="s">
        <v>697</v>
      </c>
      <c r="L68" t="s">
        <v>643</v>
      </c>
      <c r="M68">
        <f t="shared" si="2"/>
        <v>7</v>
      </c>
      <c r="N68" s="30" t="s">
        <v>2542</v>
      </c>
      <c r="R68">
        <v>67</v>
      </c>
      <c r="S68" t="s">
        <v>2543</v>
      </c>
      <c r="T68" t="s">
        <v>2279</v>
      </c>
      <c r="U68">
        <f t="shared" si="3"/>
        <v>16</v>
      </c>
      <c r="V68" s="30" t="s">
        <v>2544</v>
      </c>
    </row>
    <row r="69" spans="1:22">
      <c r="A69">
        <v>68</v>
      </c>
      <c r="C69" s="7" t="s">
        <v>407</v>
      </c>
      <c r="D69" t="s">
        <v>29</v>
      </c>
      <c r="E69" t="e">
        <f>LEN(#REF!)</f>
        <v>#REF!</v>
      </c>
      <c r="F69" s="49" t="s">
        <v>2545</v>
      </c>
      <c r="J69">
        <v>68</v>
      </c>
      <c r="K69" s="55" t="s">
        <v>698</v>
      </c>
      <c r="L69" t="s">
        <v>643</v>
      </c>
      <c r="M69">
        <f t="shared" si="2"/>
        <v>6</v>
      </c>
      <c r="N69" s="30" t="s">
        <v>2546</v>
      </c>
      <c r="R69">
        <v>68</v>
      </c>
      <c r="S69" t="s">
        <v>2547</v>
      </c>
      <c r="T69" t="s">
        <v>2279</v>
      </c>
      <c r="U69">
        <f t="shared" si="3"/>
        <v>8</v>
      </c>
      <c r="V69" s="30" t="s">
        <v>2548</v>
      </c>
    </row>
    <row r="70" spans="1:22">
      <c r="A70">
        <v>69</v>
      </c>
      <c r="C70" s="7" t="s">
        <v>408</v>
      </c>
      <c r="D70" t="s">
        <v>29</v>
      </c>
      <c r="E70" t="e">
        <f>LEN(#REF!)</f>
        <v>#REF!</v>
      </c>
      <c r="F70" s="52" t="s">
        <v>2549</v>
      </c>
      <c r="J70">
        <v>69</v>
      </c>
      <c r="K70" s="55" t="s">
        <v>699</v>
      </c>
      <c r="L70" t="s">
        <v>643</v>
      </c>
      <c r="M70">
        <f t="shared" si="2"/>
        <v>5</v>
      </c>
      <c r="N70" s="30" t="s">
        <v>2550</v>
      </c>
      <c r="R70">
        <v>69</v>
      </c>
      <c r="S70" t="s">
        <v>2551</v>
      </c>
      <c r="T70" t="s">
        <v>2279</v>
      </c>
      <c r="U70">
        <f t="shared" si="3"/>
        <v>11</v>
      </c>
      <c r="V70" s="30" t="s">
        <v>2552</v>
      </c>
    </row>
    <row r="71" spans="1:22">
      <c r="A71">
        <v>70</v>
      </c>
      <c r="C71" s="7" t="s">
        <v>409</v>
      </c>
      <c r="D71" t="s">
        <v>29</v>
      </c>
      <c r="E71" t="e">
        <f>LEN(#REF!)</f>
        <v>#REF!</v>
      </c>
      <c r="F71" s="49" t="s">
        <v>2553</v>
      </c>
      <c r="J71">
        <v>70</v>
      </c>
      <c r="K71" s="55" t="s">
        <v>700</v>
      </c>
      <c r="L71" t="s">
        <v>643</v>
      </c>
      <c r="M71">
        <f t="shared" si="2"/>
        <v>7</v>
      </c>
      <c r="N71" s="30" t="s">
        <v>2554</v>
      </c>
      <c r="R71">
        <v>70</v>
      </c>
      <c r="S71" t="s">
        <v>2555</v>
      </c>
      <c r="T71" t="s">
        <v>2279</v>
      </c>
      <c r="U71">
        <f t="shared" si="3"/>
        <v>8</v>
      </c>
      <c r="V71" s="30" t="s">
        <v>2556</v>
      </c>
    </row>
    <row r="72" spans="1:22">
      <c r="A72">
        <v>71</v>
      </c>
      <c r="C72" s="7" t="s">
        <v>410</v>
      </c>
      <c r="D72" t="s">
        <v>29</v>
      </c>
      <c r="E72" t="e">
        <f>LEN(#REF!)</f>
        <v>#REF!</v>
      </c>
      <c r="F72" s="49" t="s">
        <v>2557</v>
      </c>
      <c r="J72">
        <v>71</v>
      </c>
      <c r="K72" s="55" t="s">
        <v>701</v>
      </c>
      <c r="L72" t="s">
        <v>643</v>
      </c>
      <c r="M72">
        <f t="shared" si="2"/>
        <v>7</v>
      </c>
      <c r="N72" s="30" t="s">
        <v>2558</v>
      </c>
      <c r="R72">
        <v>71</v>
      </c>
      <c r="S72" t="s">
        <v>2559</v>
      </c>
      <c r="T72" t="s">
        <v>2279</v>
      </c>
      <c r="U72">
        <f t="shared" si="3"/>
        <v>8</v>
      </c>
      <c r="V72" s="30" t="s">
        <v>2560</v>
      </c>
    </row>
    <row r="73" spans="1:22">
      <c r="A73">
        <v>72</v>
      </c>
      <c r="C73" s="7" t="s">
        <v>411</v>
      </c>
      <c r="D73" t="s">
        <v>29</v>
      </c>
      <c r="E73" t="e">
        <f>LEN(#REF!)</f>
        <v>#REF!</v>
      </c>
      <c r="F73" s="49" t="s">
        <v>2561</v>
      </c>
      <c r="J73">
        <v>72</v>
      </c>
      <c r="K73" s="55">
        <v>666666</v>
      </c>
      <c r="L73" t="s">
        <v>643</v>
      </c>
      <c r="M73">
        <f t="shared" si="2"/>
        <v>6</v>
      </c>
      <c r="N73" s="30" t="s">
        <v>2562</v>
      </c>
      <c r="R73">
        <v>72</v>
      </c>
      <c r="S73" t="s">
        <v>2563</v>
      </c>
      <c r="T73" t="s">
        <v>2279</v>
      </c>
      <c r="U73">
        <f t="shared" si="3"/>
        <v>8</v>
      </c>
      <c r="V73" s="30" t="s">
        <v>2564</v>
      </c>
    </row>
    <row r="74" spans="1:22">
      <c r="A74">
        <v>73</v>
      </c>
      <c r="C74" s="7" t="s">
        <v>412</v>
      </c>
      <c r="D74" t="s">
        <v>29</v>
      </c>
      <c r="E74" t="e">
        <f>LEN(#REF!)</f>
        <v>#REF!</v>
      </c>
      <c r="F74" s="49" t="s">
        <v>2565</v>
      </c>
      <c r="J74">
        <v>73</v>
      </c>
      <c r="K74" s="55" t="s">
        <v>702</v>
      </c>
      <c r="L74" t="s">
        <v>643</v>
      </c>
      <c r="M74">
        <f t="shared" si="2"/>
        <v>6</v>
      </c>
      <c r="N74" s="30" t="s">
        <v>2566</v>
      </c>
      <c r="R74">
        <v>73</v>
      </c>
      <c r="S74" t="s">
        <v>2567</v>
      </c>
      <c r="T74" t="s">
        <v>2279</v>
      </c>
      <c r="U74">
        <f t="shared" si="3"/>
        <v>14</v>
      </c>
      <c r="V74" s="30" t="s">
        <v>2568</v>
      </c>
    </row>
    <row r="75" spans="1:22">
      <c r="A75">
        <v>74</v>
      </c>
      <c r="C75" s="7" t="s">
        <v>413</v>
      </c>
      <c r="D75" t="s">
        <v>29</v>
      </c>
      <c r="E75" t="e">
        <f>LEN(#REF!)</f>
        <v>#REF!</v>
      </c>
      <c r="F75" s="49" t="s">
        <v>2569</v>
      </c>
      <c r="J75">
        <v>74</v>
      </c>
      <c r="K75" s="55" t="s">
        <v>703</v>
      </c>
      <c r="L75" t="s">
        <v>643</v>
      </c>
      <c r="M75">
        <f t="shared" si="2"/>
        <v>7</v>
      </c>
      <c r="N75" s="30" t="s">
        <v>2570</v>
      </c>
      <c r="R75">
        <v>74</v>
      </c>
      <c r="S75" t="s">
        <v>2571</v>
      </c>
      <c r="T75" t="s">
        <v>2279</v>
      </c>
      <c r="U75">
        <f t="shared" si="3"/>
        <v>10</v>
      </c>
      <c r="V75" s="30" t="s">
        <v>2572</v>
      </c>
    </row>
    <row r="76" spans="1:22">
      <c r="A76">
        <v>75</v>
      </c>
      <c r="C76" s="7" t="s">
        <v>414</v>
      </c>
      <c r="D76" t="s">
        <v>29</v>
      </c>
      <c r="E76" t="e">
        <f>LEN(#REF!)</f>
        <v>#REF!</v>
      </c>
      <c r="F76" s="49" t="s">
        <v>2573</v>
      </c>
      <c r="J76">
        <v>75</v>
      </c>
      <c r="K76" s="55" t="s">
        <v>704</v>
      </c>
      <c r="L76" t="s">
        <v>643</v>
      </c>
      <c r="M76">
        <f t="shared" si="2"/>
        <v>6</v>
      </c>
      <c r="N76" s="30" t="s">
        <v>2574</v>
      </c>
      <c r="R76">
        <v>75</v>
      </c>
      <c r="S76" t="s">
        <v>2575</v>
      </c>
      <c r="T76" t="s">
        <v>2279</v>
      </c>
      <c r="U76">
        <f t="shared" si="3"/>
        <v>9</v>
      </c>
      <c r="V76" s="30" t="s">
        <v>2576</v>
      </c>
    </row>
    <row r="77" spans="1:22">
      <c r="A77">
        <v>76</v>
      </c>
      <c r="C77" s="7" t="s">
        <v>415</v>
      </c>
      <c r="D77" t="s">
        <v>29</v>
      </c>
      <c r="E77" t="e">
        <f>LEN(#REF!)</f>
        <v>#REF!</v>
      </c>
      <c r="F77" s="49" t="s">
        <v>2577</v>
      </c>
      <c r="J77">
        <v>76</v>
      </c>
      <c r="K77" s="55" t="s">
        <v>705</v>
      </c>
      <c r="L77" t="s">
        <v>643</v>
      </c>
      <c r="M77">
        <f t="shared" si="2"/>
        <v>7</v>
      </c>
      <c r="N77" s="30" t="s">
        <v>2578</v>
      </c>
      <c r="R77">
        <v>76</v>
      </c>
      <c r="S77" t="s">
        <v>2579</v>
      </c>
      <c r="T77" t="s">
        <v>2279</v>
      </c>
      <c r="U77">
        <f t="shared" si="3"/>
        <v>8</v>
      </c>
      <c r="V77" s="30" t="s">
        <v>2580</v>
      </c>
    </row>
    <row r="78" spans="1:22">
      <c r="A78">
        <v>77</v>
      </c>
      <c r="C78" s="7" t="s">
        <v>416</v>
      </c>
      <c r="D78" t="s">
        <v>29</v>
      </c>
      <c r="E78" t="e">
        <f>LEN(#REF!)</f>
        <v>#REF!</v>
      </c>
      <c r="F78" s="49" t="s">
        <v>2581</v>
      </c>
      <c r="J78">
        <v>77</v>
      </c>
      <c r="K78" s="55" t="s">
        <v>706</v>
      </c>
      <c r="L78" t="s">
        <v>643</v>
      </c>
      <c r="M78">
        <f t="shared" si="2"/>
        <v>6</v>
      </c>
      <c r="N78" s="30" t="s">
        <v>2582</v>
      </c>
      <c r="R78">
        <v>77</v>
      </c>
      <c r="S78" t="s">
        <v>2583</v>
      </c>
      <c r="T78" t="s">
        <v>2279</v>
      </c>
      <c r="U78">
        <f t="shared" si="3"/>
        <v>8</v>
      </c>
      <c r="V78" s="30" t="s">
        <v>2584</v>
      </c>
    </row>
    <row r="79" spans="1:22">
      <c r="A79">
        <v>78</v>
      </c>
      <c r="C79" s="7" t="s">
        <v>417</v>
      </c>
      <c r="D79" t="s">
        <v>29</v>
      </c>
      <c r="E79" t="e">
        <f>LEN(#REF!)</f>
        <v>#REF!</v>
      </c>
      <c r="F79" s="49" t="s">
        <v>2585</v>
      </c>
      <c r="J79">
        <v>78</v>
      </c>
      <c r="K79" s="55" t="s">
        <v>707</v>
      </c>
      <c r="L79" t="s">
        <v>643</v>
      </c>
      <c r="M79">
        <f t="shared" si="2"/>
        <v>8</v>
      </c>
      <c r="N79" s="30" t="s">
        <v>2586</v>
      </c>
      <c r="R79">
        <v>78</v>
      </c>
      <c r="S79" t="s">
        <v>2587</v>
      </c>
      <c r="T79" t="s">
        <v>2279</v>
      </c>
      <c r="U79">
        <f t="shared" si="3"/>
        <v>8</v>
      </c>
      <c r="V79" s="30" t="s">
        <v>2588</v>
      </c>
    </row>
    <row r="80" spans="1:22">
      <c r="A80">
        <v>79</v>
      </c>
      <c r="C80" s="7" t="s">
        <v>418</v>
      </c>
      <c r="D80" t="s">
        <v>29</v>
      </c>
      <c r="E80" t="e">
        <f>LEN(#REF!)</f>
        <v>#REF!</v>
      </c>
      <c r="F80" s="49" t="s">
        <v>2589</v>
      </c>
      <c r="J80">
        <v>79</v>
      </c>
      <c r="K80" s="55" t="s">
        <v>708</v>
      </c>
      <c r="L80" t="s">
        <v>643</v>
      </c>
      <c r="M80">
        <f t="shared" si="2"/>
        <v>7</v>
      </c>
      <c r="N80" s="30" t="s">
        <v>2590</v>
      </c>
      <c r="R80">
        <v>79</v>
      </c>
      <c r="S80" t="s">
        <v>2591</v>
      </c>
      <c r="T80" t="s">
        <v>2279</v>
      </c>
      <c r="U80">
        <f t="shared" si="3"/>
        <v>9</v>
      </c>
      <c r="V80" s="30" t="s">
        <v>2592</v>
      </c>
    </row>
    <row r="81" spans="1:22">
      <c r="A81">
        <v>80</v>
      </c>
      <c r="C81" s="7" t="s">
        <v>419</v>
      </c>
      <c r="D81" t="s">
        <v>29</v>
      </c>
      <c r="E81" t="e">
        <f>LEN(#REF!)</f>
        <v>#REF!</v>
      </c>
      <c r="F81" s="49" t="s">
        <v>2593</v>
      </c>
      <c r="J81">
        <v>80</v>
      </c>
      <c r="K81" s="55" t="s">
        <v>709</v>
      </c>
      <c r="L81" t="s">
        <v>643</v>
      </c>
      <c r="M81">
        <f t="shared" si="2"/>
        <v>6</v>
      </c>
      <c r="N81" s="30" t="s">
        <v>2594</v>
      </c>
      <c r="R81">
        <v>80</v>
      </c>
      <c r="S81" t="s">
        <v>2595</v>
      </c>
      <c r="T81" t="s">
        <v>2279</v>
      </c>
      <c r="U81">
        <f t="shared" si="3"/>
        <v>12</v>
      </c>
      <c r="V81" s="30" t="s">
        <v>2596</v>
      </c>
    </row>
    <row r="82" spans="1:22">
      <c r="A82">
        <v>81</v>
      </c>
      <c r="C82" s="7" t="s">
        <v>420</v>
      </c>
      <c r="D82" t="s">
        <v>29</v>
      </c>
      <c r="E82" t="e">
        <f>LEN(#REF!)</f>
        <v>#REF!</v>
      </c>
      <c r="F82" s="49" t="s">
        <v>2597</v>
      </c>
      <c r="J82">
        <v>81</v>
      </c>
      <c r="K82" s="55" t="s">
        <v>710</v>
      </c>
      <c r="L82" t="s">
        <v>643</v>
      </c>
      <c r="M82">
        <f t="shared" si="2"/>
        <v>8</v>
      </c>
      <c r="N82" s="30" t="s">
        <v>2598</v>
      </c>
      <c r="R82">
        <v>81</v>
      </c>
      <c r="S82" t="s">
        <v>2599</v>
      </c>
      <c r="T82" t="s">
        <v>2279</v>
      </c>
      <c r="U82">
        <f t="shared" si="3"/>
        <v>11</v>
      </c>
      <c r="V82" s="30" t="s">
        <v>2600</v>
      </c>
    </row>
    <row r="83" spans="1:22">
      <c r="A83">
        <v>82</v>
      </c>
      <c r="C83" s="7" t="s">
        <v>421</v>
      </c>
      <c r="D83" t="s">
        <v>29</v>
      </c>
      <c r="E83" t="e">
        <f>LEN(#REF!)</f>
        <v>#REF!</v>
      </c>
      <c r="F83" s="49" t="s">
        <v>2601</v>
      </c>
      <c r="J83">
        <v>82</v>
      </c>
      <c r="K83" s="55">
        <v>987654321</v>
      </c>
      <c r="L83" t="s">
        <v>643</v>
      </c>
      <c r="M83">
        <f t="shared" si="2"/>
        <v>9</v>
      </c>
      <c r="N83" s="30" t="s">
        <v>2602</v>
      </c>
      <c r="R83">
        <v>82</v>
      </c>
      <c r="S83" t="s">
        <v>2603</v>
      </c>
      <c r="T83" t="s">
        <v>2279</v>
      </c>
      <c r="U83">
        <f t="shared" si="3"/>
        <v>8</v>
      </c>
      <c r="V83" s="30" t="s">
        <v>2604</v>
      </c>
    </row>
    <row r="84" spans="1:22">
      <c r="A84">
        <v>83</v>
      </c>
      <c r="C84" s="7" t="s">
        <v>422</v>
      </c>
      <c r="D84" t="s">
        <v>29</v>
      </c>
      <c r="E84" t="e">
        <f>LEN(#REF!)</f>
        <v>#REF!</v>
      </c>
      <c r="F84" s="49" t="s">
        <v>2605</v>
      </c>
      <c r="J84">
        <v>83</v>
      </c>
      <c r="K84" s="55" t="s">
        <v>711</v>
      </c>
      <c r="L84" t="s">
        <v>643</v>
      </c>
      <c r="M84">
        <f t="shared" si="2"/>
        <v>8</v>
      </c>
      <c r="N84" s="30" t="s">
        <v>2606</v>
      </c>
      <c r="R84">
        <v>83</v>
      </c>
      <c r="S84" t="s">
        <v>2607</v>
      </c>
      <c r="T84" t="s">
        <v>2279</v>
      </c>
      <c r="U84">
        <f t="shared" si="3"/>
        <v>16</v>
      </c>
      <c r="V84" s="30" t="s">
        <v>2608</v>
      </c>
    </row>
    <row r="85" spans="1:22">
      <c r="A85">
        <v>84</v>
      </c>
      <c r="C85" s="7" t="s">
        <v>423</v>
      </c>
      <c r="D85" t="s">
        <v>29</v>
      </c>
      <c r="E85" t="e">
        <f>LEN(#REF!)</f>
        <v>#REF!</v>
      </c>
      <c r="F85" s="49" t="s">
        <v>2609</v>
      </c>
      <c r="J85">
        <v>84</v>
      </c>
      <c r="K85" s="55" t="s">
        <v>712</v>
      </c>
      <c r="L85" t="s">
        <v>643</v>
      </c>
      <c r="M85">
        <f t="shared" si="2"/>
        <v>8</v>
      </c>
      <c r="N85" s="30" t="s">
        <v>2610</v>
      </c>
      <c r="R85">
        <v>84</v>
      </c>
      <c r="S85" t="s">
        <v>2611</v>
      </c>
      <c r="T85" t="s">
        <v>2279</v>
      </c>
      <c r="U85">
        <f t="shared" si="3"/>
        <v>8</v>
      </c>
      <c r="V85" s="30" t="s">
        <v>2612</v>
      </c>
    </row>
    <row r="86" spans="1:22">
      <c r="A86">
        <v>85</v>
      </c>
      <c r="C86" s="7" t="s">
        <v>424</v>
      </c>
      <c r="D86" t="s">
        <v>29</v>
      </c>
      <c r="E86" t="e">
        <f>LEN(#REF!)</f>
        <v>#REF!</v>
      </c>
      <c r="F86" s="49" t="s">
        <v>2613</v>
      </c>
      <c r="J86">
        <v>85</v>
      </c>
      <c r="K86" s="55" t="s">
        <v>713</v>
      </c>
      <c r="L86" t="s">
        <v>643</v>
      </c>
      <c r="M86">
        <f t="shared" si="2"/>
        <v>6</v>
      </c>
      <c r="N86" s="30" t="s">
        <v>2614</v>
      </c>
      <c r="R86">
        <v>85</v>
      </c>
      <c r="S86" t="s">
        <v>2615</v>
      </c>
      <c r="T86" t="s">
        <v>2279</v>
      </c>
      <c r="U86">
        <f t="shared" si="3"/>
        <v>9</v>
      </c>
      <c r="V86" s="30" t="s">
        <v>2616</v>
      </c>
    </row>
    <row r="87" spans="1:22">
      <c r="A87">
        <v>86</v>
      </c>
      <c r="C87" s="7" t="s">
        <v>425</v>
      </c>
      <c r="D87" t="s">
        <v>29</v>
      </c>
      <c r="E87" t="e">
        <f>LEN(#REF!)</f>
        <v>#REF!</v>
      </c>
      <c r="F87" s="49" t="s">
        <v>2617</v>
      </c>
      <c r="J87">
        <v>86</v>
      </c>
      <c r="K87" s="55" t="s">
        <v>714</v>
      </c>
      <c r="L87" t="s">
        <v>643</v>
      </c>
      <c r="M87">
        <f t="shared" si="2"/>
        <v>7</v>
      </c>
      <c r="N87" s="30" t="s">
        <v>2618</v>
      </c>
      <c r="R87">
        <v>86</v>
      </c>
      <c r="S87" t="s">
        <v>2619</v>
      </c>
      <c r="T87" t="s">
        <v>2279</v>
      </c>
      <c r="U87">
        <f t="shared" si="3"/>
        <v>8</v>
      </c>
      <c r="V87" s="30" t="s">
        <v>2620</v>
      </c>
    </row>
    <row r="88" spans="1:22">
      <c r="A88">
        <v>87</v>
      </c>
      <c r="C88" s="7" t="s">
        <v>426</v>
      </c>
      <c r="D88" t="s">
        <v>29</v>
      </c>
      <c r="E88" t="e">
        <f>LEN(#REF!)</f>
        <v>#REF!</v>
      </c>
      <c r="F88" s="49" t="s">
        <v>2621</v>
      </c>
      <c r="J88">
        <v>87</v>
      </c>
      <c r="K88" s="55" t="s">
        <v>715</v>
      </c>
      <c r="L88" t="s">
        <v>643</v>
      </c>
      <c r="M88">
        <f t="shared" si="2"/>
        <v>6</v>
      </c>
      <c r="N88" s="30" t="s">
        <v>2622</v>
      </c>
      <c r="R88">
        <v>87</v>
      </c>
      <c r="S88" t="s">
        <v>2623</v>
      </c>
      <c r="T88" t="s">
        <v>2279</v>
      </c>
      <c r="U88">
        <f t="shared" si="3"/>
        <v>8</v>
      </c>
      <c r="V88" s="30" t="s">
        <v>2624</v>
      </c>
    </row>
    <row r="89" spans="1:22">
      <c r="A89">
        <v>88</v>
      </c>
      <c r="C89" s="7" t="s">
        <v>427</v>
      </c>
      <c r="D89" t="s">
        <v>29</v>
      </c>
      <c r="E89" t="e">
        <f>LEN(#REF!)</f>
        <v>#REF!</v>
      </c>
      <c r="F89" s="49" t="s">
        <v>2625</v>
      </c>
      <c r="J89">
        <v>88</v>
      </c>
      <c r="K89" s="55" t="s">
        <v>716</v>
      </c>
      <c r="L89" t="s">
        <v>643</v>
      </c>
      <c r="M89">
        <f t="shared" si="2"/>
        <v>6</v>
      </c>
      <c r="N89" s="30" t="s">
        <v>2626</v>
      </c>
      <c r="R89">
        <v>88</v>
      </c>
      <c r="S89" t="s">
        <v>2627</v>
      </c>
      <c r="T89" t="s">
        <v>2279</v>
      </c>
      <c r="U89">
        <f t="shared" si="3"/>
        <v>9</v>
      </c>
      <c r="V89" s="30" t="s">
        <v>2628</v>
      </c>
    </row>
    <row r="90" spans="1:22">
      <c r="A90">
        <v>89</v>
      </c>
      <c r="C90" s="7" t="s">
        <v>428</v>
      </c>
      <c r="D90" t="s">
        <v>29</v>
      </c>
      <c r="E90" t="e">
        <f>LEN(#REF!)</f>
        <v>#REF!</v>
      </c>
      <c r="F90" s="49" t="s">
        <v>2629</v>
      </c>
      <c r="J90">
        <v>89</v>
      </c>
      <c r="K90" s="55" t="s">
        <v>717</v>
      </c>
      <c r="L90" t="s">
        <v>643</v>
      </c>
      <c r="M90">
        <f t="shared" si="2"/>
        <v>6</v>
      </c>
      <c r="N90" s="30" t="s">
        <v>2630</v>
      </c>
      <c r="R90">
        <v>89</v>
      </c>
      <c r="S90" t="s">
        <v>2631</v>
      </c>
      <c r="T90" t="s">
        <v>2279</v>
      </c>
      <c r="U90">
        <f t="shared" si="3"/>
        <v>8</v>
      </c>
      <c r="V90" s="30" t="s">
        <v>2632</v>
      </c>
    </row>
    <row r="91" spans="1:22">
      <c r="A91">
        <v>90</v>
      </c>
      <c r="C91" s="7" t="s">
        <v>429</v>
      </c>
      <c r="D91" t="s">
        <v>29</v>
      </c>
      <c r="E91" t="e">
        <f>LEN(#REF!)</f>
        <v>#REF!</v>
      </c>
      <c r="F91" s="49" t="s">
        <v>2633</v>
      </c>
      <c r="J91">
        <v>90</v>
      </c>
      <c r="K91" s="55" t="s">
        <v>718</v>
      </c>
      <c r="L91" t="s">
        <v>643</v>
      </c>
      <c r="M91">
        <f t="shared" si="2"/>
        <v>6</v>
      </c>
      <c r="N91" s="30" t="s">
        <v>2634</v>
      </c>
      <c r="R91">
        <v>90</v>
      </c>
      <c r="S91" t="s">
        <v>2635</v>
      </c>
      <c r="T91" t="s">
        <v>2279</v>
      </c>
      <c r="U91">
        <f t="shared" si="3"/>
        <v>11</v>
      </c>
      <c r="V91" s="30" t="s">
        <v>2636</v>
      </c>
    </row>
    <row r="92" spans="1:22">
      <c r="A92">
        <v>91</v>
      </c>
      <c r="C92" s="7" t="s">
        <v>430</v>
      </c>
      <c r="D92" t="s">
        <v>29</v>
      </c>
      <c r="E92" t="e">
        <f>LEN(#REF!)</f>
        <v>#REF!</v>
      </c>
      <c r="F92" s="49" t="s">
        <v>2637</v>
      </c>
      <c r="J92">
        <v>91</v>
      </c>
      <c r="K92" s="55" t="s">
        <v>719</v>
      </c>
      <c r="L92" t="s">
        <v>643</v>
      </c>
      <c r="M92">
        <f t="shared" si="2"/>
        <v>9</v>
      </c>
      <c r="N92" s="30" t="s">
        <v>2638</v>
      </c>
      <c r="R92">
        <v>91</v>
      </c>
      <c r="S92" t="s">
        <v>2639</v>
      </c>
      <c r="T92" t="s">
        <v>2279</v>
      </c>
      <c r="U92">
        <f t="shared" si="3"/>
        <v>8</v>
      </c>
      <c r="V92" s="30" t="s">
        <v>2640</v>
      </c>
    </row>
    <row r="93" spans="1:22">
      <c r="A93">
        <v>92</v>
      </c>
      <c r="C93" s="7" t="s">
        <v>431</v>
      </c>
      <c r="D93" t="s">
        <v>29</v>
      </c>
      <c r="E93" t="e">
        <f>LEN(#REF!)</f>
        <v>#REF!</v>
      </c>
      <c r="F93" s="49" t="s">
        <v>2641</v>
      </c>
      <c r="J93">
        <v>92</v>
      </c>
      <c r="K93" s="55" t="s">
        <v>720</v>
      </c>
      <c r="L93" t="s">
        <v>643</v>
      </c>
      <c r="M93">
        <f t="shared" si="2"/>
        <v>6</v>
      </c>
      <c r="N93" s="30" t="s">
        <v>2642</v>
      </c>
      <c r="R93">
        <v>92</v>
      </c>
      <c r="S93" t="s">
        <v>2643</v>
      </c>
      <c r="T93" t="s">
        <v>2279</v>
      </c>
      <c r="U93">
        <f t="shared" si="3"/>
        <v>12</v>
      </c>
      <c r="V93" s="30" t="s">
        <v>2644</v>
      </c>
    </row>
    <row r="94" spans="1:22">
      <c r="A94">
        <v>93</v>
      </c>
      <c r="C94" s="7" t="s">
        <v>432</v>
      </c>
      <c r="D94" t="s">
        <v>29</v>
      </c>
      <c r="E94" t="e">
        <f>LEN(#REF!)</f>
        <v>#REF!</v>
      </c>
      <c r="F94" s="49" t="s">
        <v>2645</v>
      </c>
      <c r="J94">
        <v>93</v>
      </c>
      <c r="K94" s="55" t="s">
        <v>721</v>
      </c>
      <c r="L94" t="s">
        <v>643</v>
      </c>
      <c r="M94">
        <f t="shared" si="2"/>
        <v>6</v>
      </c>
      <c r="N94" s="30" t="s">
        <v>2646</v>
      </c>
      <c r="R94">
        <v>93</v>
      </c>
      <c r="S94" t="s">
        <v>2647</v>
      </c>
      <c r="T94" t="s">
        <v>2279</v>
      </c>
      <c r="U94">
        <f t="shared" si="3"/>
        <v>9</v>
      </c>
      <c r="V94" s="30" t="s">
        <v>2648</v>
      </c>
    </row>
    <row r="95" spans="1:22">
      <c r="A95">
        <v>94</v>
      </c>
      <c r="C95" s="7" t="s">
        <v>433</v>
      </c>
      <c r="D95" t="s">
        <v>29</v>
      </c>
      <c r="E95" t="e">
        <f>LEN(#REF!)</f>
        <v>#REF!</v>
      </c>
      <c r="F95" s="49" t="s">
        <v>2649</v>
      </c>
      <c r="J95">
        <v>94</v>
      </c>
      <c r="K95" s="55" t="s">
        <v>722</v>
      </c>
      <c r="L95" t="s">
        <v>643</v>
      </c>
      <c r="M95">
        <f t="shared" si="2"/>
        <v>8</v>
      </c>
      <c r="N95" s="30" t="s">
        <v>2650</v>
      </c>
      <c r="R95">
        <v>94</v>
      </c>
      <c r="S95" t="s">
        <v>2651</v>
      </c>
      <c r="T95" t="s">
        <v>2279</v>
      </c>
      <c r="U95">
        <f t="shared" si="3"/>
        <v>15</v>
      </c>
      <c r="V95" s="30" t="s">
        <v>2652</v>
      </c>
    </row>
    <row r="96" spans="1:22">
      <c r="A96">
        <v>95</v>
      </c>
      <c r="C96" s="7" t="s">
        <v>434</v>
      </c>
      <c r="D96" t="s">
        <v>29</v>
      </c>
      <c r="E96" t="e">
        <f>LEN(#REF!)</f>
        <v>#REF!</v>
      </c>
      <c r="F96" s="51" t="s">
        <v>2653</v>
      </c>
      <c r="J96">
        <v>95</v>
      </c>
      <c r="K96" s="55" t="s">
        <v>723</v>
      </c>
      <c r="L96" t="s">
        <v>643</v>
      </c>
      <c r="M96">
        <f t="shared" si="2"/>
        <v>6</v>
      </c>
      <c r="N96" s="30" t="s">
        <v>2654</v>
      </c>
      <c r="R96">
        <v>95</v>
      </c>
      <c r="S96" t="s">
        <v>2655</v>
      </c>
      <c r="T96" t="s">
        <v>2279</v>
      </c>
      <c r="U96">
        <f t="shared" si="3"/>
        <v>13</v>
      </c>
      <c r="V96" s="30" t="s">
        <v>2656</v>
      </c>
    </row>
    <row r="97" spans="1:22">
      <c r="A97">
        <v>96</v>
      </c>
      <c r="C97" s="9" t="s">
        <v>435</v>
      </c>
      <c r="D97" t="s">
        <v>29</v>
      </c>
      <c r="E97" t="e">
        <f>LEN(#REF!)</f>
        <v>#REF!</v>
      </c>
      <c r="F97" s="49" t="s">
        <v>2657</v>
      </c>
      <c r="J97">
        <v>96</v>
      </c>
      <c r="K97" s="55" t="s">
        <v>724</v>
      </c>
      <c r="L97" t="s">
        <v>643</v>
      </c>
      <c r="M97">
        <f t="shared" si="2"/>
        <v>6</v>
      </c>
      <c r="N97" s="30" t="s">
        <v>2658</v>
      </c>
      <c r="R97">
        <v>96</v>
      </c>
      <c r="S97" t="s">
        <v>2659</v>
      </c>
      <c r="T97" t="s">
        <v>2279</v>
      </c>
      <c r="U97">
        <f t="shared" si="3"/>
        <v>10</v>
      </c>
      <c r="V97" s="30" t="s">
        <v>2660</v>
      </c>
    </row>
    <row r="98" spans="1:22">
      <c r="A98">
        <v>97</v>
      </c>
      <c r="C98" s="7" t="s">
        <v>436</v>
      </c>
      <c r="D98" t="s">
        <v>29</v>
      </c>
      <c r="E98" t="e">
        <f>LEN(#REF!)</f>
        <v>#REF!</v>
      </c>
      <c r="F98" s="49" t="s">
        <v>2661</v>
      </c>
      <c r="J98">
        <v>97</v>
      </c>
      <c r="K98" s="55" t="s">
        <v>725</v>
      </c>
      <c r="L98" t="s">
        <v>643</v>
      </c>
      <c r="M98">
        <f t="shared" si="2"/>
        <v>7</v>
      </c>
      <c r="N98" s="30" t="s">
        <v>2662</v>
      </c>
      <c r="R98">
        <v>97</v>
      </c>
      <c r="S98" t="s">
        <v>2663</v>
      </c>
      <c r="T98" t="s">
        <v>2279</v>
      </c>
      <c r="U98">
        <f t="shared" si="3"/>
        <v>8</v>
      </c>
      <c r="V98" s="30" t="s">
        <v>2664</v>
      </c>
    </row>
    <row r="99" spans="1:22">
      <c r="A99">
        <v>98</v>
      </c>
      <c r="C99" s="7" t="s">
        <v>437</v>
      </c>
      <c r="D99" t="s">
        <v>29</v>
      </c>
      <c r="E99" t="e">
        <f>LEN(#REF!)</f>
        <v>#REF!</v>
      </c>
      <c r="F99" s="49" t="s">
        <v>2665</v>
      </c>
      <c r="J99">
        <v>98</v>
      </c>
      <c r="K99" s="55" t="s">
        <v>726</v>
      </c>
      <c r="L99" t="s">
        <v>643</v>
      </c>
      <c r="M99">
        <f t="shared" si="2"/>
        <v>6</v>
      </c>
      <c r="N99" s="30" t="s">
        <v>2666</v>
      </c>
      <c r="R99">
        <v>98</v>
      </c>
      <c r="S99" t="s">
        <v>2667</v>
      </c>
      <c r="T99" t="s">
        <v>2279</v>
      </c>
      <c r="U99">
        <f t="shared" si="3"/>
        <v>10</v>
      </c>
      <c r="V99" s="30" t="s">
        <v>2668</v>
      </c>
    </row>
    <row r="100" spans="1:22">
      <c r="A100">
        <v>99</v>
      </c>
      <c r="C100" s="7" t="s">
        <v>438</v>
      </c>
      <c r="D100" t="s">
        <v>29</v>
      </c>
      <c r="E100" t="e">
        <f>LEN(#REF!)</f>
        <v>#REF!</v>
      </c>
      <c r="F100" s="49" t="s">
        <v>2669</v>
      </c>
      <c r="J100">
        <v>99</v>
      </c>
      <c r="K100" s="55" t="s">
        <v>727</v>
      </c>
      <c r="L100" t="s">
        <v>643</v>
      </c>
      <c r="M100">
        <f t="shared" si="2"/>
        <v>6</v>
      </c>
      <c r="N100" s="30" t="s">
        <v>2670</v>
      </c>
      <c r="R100">
        <v>99</v>
      </c>
      <c r="S100" t="s">
        <v>2671</v>
      </c>
      <c r="T100" t="s">
        <v>2279</v>
      </c>
      <c r="U100">
        <f t="shared" si="3"/>
        <v>8</v>
      </c>
      <c r="V100" s="30" t="s">
        <v>2672</v>
      </c>
    </row>
    <row r="101" spans="1:22">
      <c r="A101">
        <v>100</v>
      </c>
      <c r="C101" s="7" t="s">
        <v>439</v>
      </c>
      <c r="D101" t="s">
        <v>29</v>
      </c>
      <c r="E101" t="e">
        <f>LEN(#REF!)</f>
        <v>#REF!</v>
      </c>
      <c r="F101" s="49" t="s">
        <v>2673</v>
      </c>
      <c r="J101">
        <v>100</v>
      </c>
      <c r="K101" s="55" t="s">
        <v>728</v>
      </c>
      <c r="L101" t="s">
        <v>643</v>
      </c>
      <c r="M101">
        <f t="shared" si="2"/>
        <v>8</v>
      </c>
      <c r="N101" s="30" t="s">
        <v>2674</v>
      </c>
      <c r="R101">
        <v>100</v>
      </c>
      <c r="S101" t="s">
        <v>2675</v>
      </c>
      <c r="T101" t="s">
        <v>2279</v>
      </c>
      <c r="U101">
        <f t="shared" si="3"/>
        <v>8</v>
      </c>
      <c r="V101" s="30" t="s">
        <v>2676</v>
      </c>
    </row>
    <row r="102" spans="1:22">
      <c r="A102">
        <v>101</v>
      </c>
      <c r="C102" s="7" t="s">
        <v>440</v>
      </c>
      <c r="D102" t="s">
        <v>29</v>
      </c>
      <c r="E102" t="e">
        <f>LEN(#REF!)</f>
        <v>#REF!</v>
      </c>
      <c r="F102" s="49" t="s">
        <v>2677</v>
      </c>
      <c r="J102">
        <v>101</v>
      </c>
      <c r="K102" s="55" t="s">
        <v>729</v>
      </c>
      <c r="L102" t="s">
        <v>643</v>
      </c>
      <c r="M102">
        <f t="shared" si="2"/>
        <v>9</v>
      </c>
      <c r="N102" s="30" t="s">
        <v>2678</v>
      </c>
      <c r="R102">
        <v>101</v>
      </c>
      <c r="S102" t="s">
        <v>2679</v>
      </c>
      <c r="T102" t="s">
        <v>2279</v>
      </c>
      <c r="U102">
        <f t="shared" si="3"/>
        <v>8</v>
      </c>
      <c r="V102" s="30" t="s">
        <v>2680</v>
      </c>
    </row>
    <row r="103" spans="1:22">
      <c r="A103">
        <v>102</v>
      </c>
      <c r="C103" s="7" t="s">
        <v>441</v>
      </c>
      <c r="D103" t="s">
        <v>29</v>
      </c>
      <c r="E103" t="e">
        <f>LEN(#REF!)</f>
        <v>#REF!</v>
      </c>
      <c r="F103" s="49" t="s">
        <v>2681</v>
      </c>
      <c r="J103">
        <v>102</v>
      </c>
      <c r="K103" s="55" t="s">
        <v>730</v>
      </c>
      <c r="L103" t="s">
        <v>643</v>
      </c>
      <c r="M103">
        <f t="shared" si="2"/>
        <v>6</v>
      </c>
      <c r="N103" s="30" t="s">
        <v>2682</v>
      </c>
      <c r="R103">
        <v>102</v>
      </c>
      <c r="S103" t="s">
        <v>2683</v>
      </c>
      <c r="T103" t="s">
        <v>2279</v>
      </c>
      <c r="U103">
        <f t="shared" si="3"/>
        <v>8</v>
      </c>
      <c r="V103" s="30" t="s">
        <v>2684</v>
      </c>
    </row>
    <row r="104" spans="1:22">
      <c r="A104">
        <v>103</v>
      </c>
      <c r="C104" s="7" t="s">
        <v>442</v>
      </c>
      <c r="D104" t="s">
        <v>29</v>
      </c>
      <c r="E104" t="e">
        <f>LEN(#REF!)</f>
        <v>#REF!</v>
      </c>
      <c r="F104" s="49" t="s">
        <v>2685</v>
      </c>
      <c r="J104">
        <v>103</v>
      </c>
      <c r="K104" s="55" t="s">
        <v>731</v>
      </c>
      <c r="L104" t="s">
        <v>643</v>
      </c>
      <c r="M104">
        <f t="shared" si="2"/>
        <v>5</v>
      </c>
      <c r="N104" s="30" t="s">
        <v>2686</v>
      </c>
      <c r="R104">
        <v>103</v>
      </c>
      <c r="S104" t="s">
        <v>2687</v>
      </c>
      <c r="T104" t="s">
        <v>2279</v>
      </c>
      <c r="U104">
        <f t="shared" si="3"/>
        <v>12</v>
      </c>
      <c r="V104" s="30" t="s">
        <v>2688</v>
      </c>
    </row>
    <row r="105" spans="1:22">
      <c r="A105">
        <v>104</v>
      </c>
      <c r="C105" s="7" t="s">
        <v>443</v>
      </c>
      <c r="D105" t="s">
        <v>29</v>
      </c>
      <c r="E105" t="e">
        <f>LEN(#REF!)</f>
        <v>#REF!</v>
      </c>
      <c r="F105" s="49" t="s">
        <v>2689</v>
      </c>
      <c r="J105">
        <v>104</v>
      </c>
      <c r="K105" s="55" t="s">
        <v>732</v>
      </c>
      <c r="L105" t="s">
        <v>643</v>
      </c>
      <c r="M105">
        <f t="shared" si="2"/>
        <v>8</v>
      </c>
      <c r="N105" s="30" t="s">
        <v>2690</v>
      </c>
      <c r="R105">
        <v>104</v>
      </c>
      <c r="S105" t="s">
        <v>2691</v>
      </c>
      <c r="T105" t="s">
        <v>2279</v>
      </c>
      <c r="U105">
        <f t="shared" si="3"/>
        <v>8</v>
      </c>
      <c r="V105" s="30" t="s">
        <v>2692</v>
      </c>
    </row>
    <row r="106" spans="1:22">
      <c r="A106">
        <v>105</v>
      </c>
      <c r="C106" s="7" t="s">
        <v>444</v>
      </c>
      <c r="D106" t="s">
        <v>29</v>
      </c>
      <c r="E106" t="e">
        <f>LEN(#REF!)</f>
        <v>#REF!</v>
      </c>
      <c r="F106" s="49" t="s">
        <v>2693</v>
      </c>
      <c r="J106">
        <v>105</v>
      </c>
      <c r="K106" s="55" t="s">
        <v>733</v>
      </c>
      <c r="L106" t="s">
        <v>643</v>
      </c>
      <c r="M106">
        <f t="shared" si="2"/>
        <v>6</v>
      </c>
      <c r="N106" s="30" t="s">
        <v>2694</v>
      </c>
      <c r="R106">
        <v>105</v>
      </c>
      <c r="S106" t="s">
        <v>2695</v>
      </c>
      <c r="T106" t="s">
        <v>2279</v>
      </c>
      <c r="U106">
        <f t="shared" si="3"/>
        <v>9</v>
      </c>
      <c r="V106" s="30" t="s">
        <v>2696</v>
      </c>
    </row>
    <row r="107" spans="1:22">
      <c r="A107">
        <v>106</v>
      </c>
      <c r="C107" s="7" t="s">
        <v>445</v>
      </c>
      <c r="D107" t="s">
        <v>29</v>
      </c>
      <c r="E107" t="e">
        <f>LEN(#REF!)</f>
        <v>#REF!</v>
      </c>
      <c r="F107" s="49" t="s">
        <v>2697</v>
      </c>
      <c r="J107">
        <v>106</v>
      </c>
      <c r="K107" s="55" t="s">
        <v>734</v>
      </c>
      <c r="L107" t="s">
        <v>643</v>
      </c>
      <c r="M107">
        <f t="shared" si="2"/>
        <v>7</v>
      </c>
      <c r="N107" s="30" t="s">
        <v>2698</v>
      </c>
      <c r="R107">
        <v>106</v>
      </c>
      <c r="S107" t="s">
        <v>2699</v>
      </c>
      <c r="T107" t="s">
        <v>2279</v>
      </c>
      <c r="U107">
        <f t="shared" si="3"/>
        <v>9</v>
      </c>
      <c r="V107" s="30" t="s">
        <v>2700</v>
      </c>
    </row>
    <row r="108" spans="1:22">
      <c r="A108">
        <v>107</v>
      </c>
      <c r="C108" s="7" t="s">
        <v>446</v>
      </c>
      <c r="D108" t="s">
        <v>29</v>
      </c>
      <c r="E108" t="e">
        <f>LEN(#REF!)</f>
        <v>#REF!</v>
      </c>
      <c r="F108" s="49" t="s">
        <v>2701</v>
      </c>
      <c r="J108">
        <v>107</v>
      </c>
      <c r="K108" s="55" t="s">
        <v>735</v>
      </c>
      <c r="L108" t="s">
        <v>643</v>
      </c>
      <c r="M108">
        <f t="shared" si="2"/>
        <v>6</v>
      </c>
      <c r="N108" s="30" t="s">
        <v>2702</v>
      </c>
      <c r="R108">
        <v>107</v>
      </c>
      <c r="S108" t="s">
        <v>2703</v>
      </c>
      <c r="T108" t="s">
        <v>2279</v>
      </c>
      <c r="U108">
        <f t="shared" si="3"/>
        <v>8</v>
      </c>
      <c r="V108" s="30" t="s">
        <v>2704</v>
      </c>
    </row>
    <row r="109" spans="1:22">
      <c r="A109">
        <v>108</v>
      </c>
      <c r="C109" s="7" t="s">
        <v>447</v>
      </c>
      <c r="D109" t="s">
        <v>29</v>
      </c>
      <c r="E109" t="e">
        <f>LEN(#REF!)</f>
        <v>#REF!</v>
      </c>
      <c r="F109" s="49" t="s">
        <v>2705</v>
      </c>
      <c r="J109">
        <v>108</v>
      </c>
      <c r="K109" s="55" t="s">
        <v>736</v>
      </c>
      <c r="L109" t="s">
        <v>643</v>
      </c>
      <c r="M109">
        <f t="shared" si="2"/>
        <v>9</v>
      </c>
      <c r="N109" s="30" t="s">
        <v>2706</v>
      </c>
      <c r="R109">
        <v>108</v>
      </c>
      <c r="S109" t="s">
        <v>2707</v>
      </c>
      <c r="T109" t="s">
        <v>2279</v>
      </c>
      <c r="U109">
        <f t="shared" si="3"/>
        <v>10</v>
      </c>
      <c r="V109" s="30" t="s">
        <v>2708</v>
      </c>
    </row>
    <row r="110" spans="1:22">
      <c r="A110">
        <v>109</v>
      </c>
      <c r="C110" s="7" t="s">
        <v>448</v>
      </c>
      <c r="D110" t="s">
        <v>29</v>
      </c>
      <c r="E110" t="e">
        <f>LEN(#REF!)</f>
        <v>#REF!</v>
      </c>
      <c r="F110" s="49" t="s">
        <v>2709</v>
      </c>
      <c r="J110">
        <v>109</v>
      </c>
      <c r="K110" s="55" t="s">
        <v>737</v>
      </c>
      <c r="L110" t="s">
        <v>643</v>
      </c>
      <c r="M110">
        <f t="shared" si="2"/>
        <v>6</v>
      </c>
      <c r="N110" s="30" t="s">
        <v>2710</v>
      </c>
      <c r="R110">
        <v>109</v>
      </c>
      <c r="S110" t="s">
        <v>2711</v>
      </c>
      <c r="T110" t="s">
        <v>2279</v>
      </c>
      <c r="U110">
        <f t="shared" si="3"/>
        <v>8</v>
      </c>
      <c r="V110" s="30" t="s">
        <v>2712</v>
      </c>
    </row>
    <row r="111" spans="1:22">
      <c r="A111">
        <v>110</v>
      </c>
      <c r="C111" s="7" t="s">
        <v>449</v>
      </c>
      <c r="D111" t="s">
        <v>29</v>
      </c>
      <c r="E111" t="e">
        <f>LEN(#REF!)</f>
        <v>#REF!</v>
      </c>
      <c r="F111" s="49" t="s">
        <v>2713</v>
      </c>
      <c r="J111">
        <v>110</v>
      </c>
      <c r="K111" s="55" t="s">
        <v>738</v>
      </c>
      <c r="L111" t="s">
        <v>643</v>
      </c>
      <c r="M111">
        <f t="shared" si="2"/>
        <v>6</v>
      </c>
      <c r="N111" s="30" t="s">
        <v>2714</v>
      </c>
      <c r="R111">
        <v>110</v>
      </c>
      <c r="S111" t="s">
        <v>2715</v>
      </c>
      <c r="T111" t="s">
        <v>2279</v>
      </c>
      <c r="U111">
        <f t="shared" si="3"/>
        <v>9</v>
      </c>
      <c r="V111" s="30" t="s">
        <v>2716</v>
      </c>
    </row>
    <row r="112" spans="1:22">
      <c r="A112">
        <v>111</v>
      </c>
      <c r="C112" s="7" t="s">
        <v>450</v>
      </c>
      <c r="D112" t="s">
        <v>29</v>
      </c>
      <c r="E112" t="e">
        <f>LEN(#REF!)</f>
        <v>#REF!</v>
      </c>
      <c r="F112" s="49" t="s">
        <v>2717</v>
      </c>
      <c r="J112">
        <v>111</v>
      </c>
      <c r="K112" s="55" t="s">
        <v>739</v>
      </c>
      <c r="L112" t="s">
        <v>643</v>
      </c>
      <c r="M112">
        <f t="shared" si="2"/>
        <v>8</v>
      </c>
      <c r="N112" s="30" t="s">
        <v>2718</v>
      </c>
      <c r="R112">
        <v>111</v>
      </c>
      <c r="S112" t="s">
        <v>2719</v>
      </c>
      <c r="T112" t="s">
        <v>2279</v>
      </c>
      <c r="U112">
        <f t="shared" si="3"/>
        <v>15</v>
      </c>
      <c r="V112" s="30" t="s">
        <v>2720</v>
      </c>
    </row>
    <row r="113" spans="1:22">
      <c r="A113">
        <v>112</v>
      </c>
      <c r="C113" s="7" t="s">
        <v>451</v>
      </c>
      <c r="D113" t="s">
        <v>29</v>
      </c>
      <c r="E113" t="e">
        <f>LEN(#REF!)</f>
        <v>#REF!</v>
      </c>
      <c r="F113" s="49" t="s">
        <v>2721</v>
      </c>
      <c r="J113">
        <v>112</v>
      </c>
      <c r="K113" s="55" t="s">
        <v>740</v>
      </c>
      <c r="L113" t="s">
        <v>643</v>
      </c>
      <c r="M113">
        <f t="shared" si="2"/>
        <v>7</v>
      </c>
      <c r="N113" s="30" t="s">
        <v>2722</v>
      </c>
      <c r="R113">
        <v>112</v>
      </c>
      <c r="S113" t="s">
        <v>2723</v>
      </c>
      <c r="T113" t="s">
        <v>2279</v>
      </c>
      <c r="U113">
        <f t="shared" si="3"/>
        <v>9</v>
      </c>
      <c r="V113" s="30" t="s">
        <v>2724</v>
      </c>
    </row>
    <row r="114" spans="1:22">
      <c r="A114">
        <v>113</v>
      </c>
      <c r="C114" s="7" t="s">
        <v>452</v>
      </c>
      <c r="D114" t="s">
        <v>29</v>
      </c>
      <c r="E114" t="e">
        <f>LEN(#REF!)</f>
        <v>#REF!</v>
      </c>
      <c r="F114" s="49" t="s">
        <v>2725</v>
      </c>
      <c r="J114">
        <v>113</v>
      </c>
      <c r="K114" s="55" t="s">
        <v>741</v>
      </c>
      <c r="L114" t="s">
        <v>643</v>
      </c>
      <c r="M114">
        <f t="shared" si="2"/>
        <v>7</v>
      </c>
      <c r="N114" s="30" t="s">
        <v>2726</v>
      </c>
      <c r="R114">
        <v>113</v>
      </c>
      <c r="S114" t="s">
        <v>2727</v>
      </c>
      <c r="T114" t="s">
        <v>2279</v>
      </c>
      <c r="U114">
        <f t="shared" si="3"/>
        <v>11</v>
      </c>
      <c r="V114" s="30" t="s">
        <v>2728</v>
      </c>
    </row>
    <row r="115" spans="1:22">
      <c r="A115">
        <v>114</v>
      </c>
      <c r="C115" s="7" t="s">
        <v>453</v>
      </c>
      <c r="D115" t="s">
        <v>29</v>
      </c>
      <c r="E115" t="e">
        <f>LEN(#REF!)</f>
        <v>#REF!</v>
      </c>
      <c r="F115" s="49" t="s">
        <v>2729</v>
      </c>
      <c r="J115">
        <v>114</v>
      </c>
      <c r="K115" s="55" t="s">
        <v>742</v>
      </c>
      <c r="L115" t="s">
        <v>643</v>
      </c>
      <c r="M115">
        <f t="shared" si="2"/>
        <v>6</v>
      </c>
      <c r="N115" s="30" t="s">
        <v>2730</v>
      </c>
      <c r="R115">
        <v>114</v>
      </c>
      <c r="S115" t="s">
        <v>2731</v>
      </c>
      <c r="T115" t="s">
        <v>2279</v>
      </c>
      <c r="U115">
        <f t="shared" si="3"/>
        <v>8</v>
      </c>
      <c r="V115" s="30" t="s">
        <v>2732</v>
      </c>
    </row>
    <row r="116" spans="1:22">
      <c r="A116">
        <v>115</v>
      </c>
      <c r="C116" s="7" t="s">
        <v>454</v>
      </c>
      <c r="D116" t="s">
        <v>29</v>
      </c>
      <c r="E116" t="e">
        <f>LEN(#REF!)</f>
        <v>#REF!</v>
      </c>
      <c r="F116" s="49" t="s">
        <v>2733</v>
      </c>
      <c r="J116">
        <v>115</v>
      </c>
      <c r="K116" s="55" t="s">
        <v>743</v>
      </c>
      <c r="L116" t="s">
        <v>643</v>
      </c>
      <c r="M116">
        <f t="shared" si="2"/>
        <v>6</v>
      </c>
      <c r="N116" s="30" t="s">
        <v>2734</v>
      </c>
      <c r="R116">
        <v>115</v>
      </c>
      <c r="S116" t="s">
        <v>2735</v>
      </c>
      <c r="T116" t="s">
        <v>2279</v>
      </c>
      <c r="U116">
        <f t="shared" si="3"/>
        <v>10</v>
      </c>
      <c r="V116" s="31" t="s">
        <v>2736</v>
      </c>
    </row>
    <row r="117" spans="1:22">
      <c r="A117">
        <v>116</v>
      </c>
      <c r="C117" s="7" t="s">
        <v>455</v>
      </c>
      <c r="D117" t="s">
        <v>29</v>
      </c>
      <c r="E117" t="e">
        <f>LEN(#REF!)</f>
        <v>#REF!</v>
      </c>
      <c r="F117" s="49" t="s">
        <v>2737</v>
      </c>
      <c r="J117">
        <v>116</v>
      </c>
      <c r="K117" s="55" t="s">
        <v>744</v>
      </c>
      <c r="L117" t="s">
        <v>643</v>
      </c>
      <c r="M117">
        <f t="shared" si="2"/>
        <v>9</v>
      </c>
      <c r="N117" s="30" t="s">
        <v>2738</v>
      </c>
      <c r="R117">
        <v>116</v>
      </c>
      <c r="S117" t="s">
        <v>2739</v>
      </c>
      <c r="T117" t="s">
        <v>2279</v>
      </c>
      <c r="U117">
        <f t="shared" si="3"/>
        <v>9</v>
      </c>
      <c r="V117" s="30" t="s">
        <v>2740</v>
      </c>
    </row>
    <row r="118" spans="1:22">
      <c r="A118">
        <v>117</v>
      </c>
      <c r="C118" s="7" t="s">
        <v>456</v>
      </c>
      <c r="D118" t="s">
        <v>29</v>
      </c>
      <c r="E118" t="e">
        <f>LEN(#REF!)</f>
        <v>#REF!</v>
      </c>
      <c r="F118" s="49" t="s">
        <v>2741</v>
      </c>
      <c r="J118">
        <v>117</v>
      </c>
      <c r="K118" s="55" t="s">
        <v>745</v>
      </c>
      <c r="L118" t="s">
        <v>643</v>
      </c>
      <c r="M118">
        <f t="shared" si="2"/>
        <v>7</v>
      </c>
      <c r="N118" s="30" t="s">
        <v>2742</v>
      </c>
      <c r="R118">
        <v>117</v>
      </c>
      <c r="S118" t="s">
        <v>2743</v>
      </c>
      <c r="T118" t="s">
        <v>2279</v>
      </c>
      <c r="U118">
        <f t="shared" si="3"/>
        <v>10</v>
      </c>
      <c r="V118" s="30" t="s">
        <v>2744</v>
      </c>
    </row>
    <row r="119" spans="1:22">
      <c r="A119">
        <v>118</v>
      </c>
      <c r="C119" s="7" t="s">
        <v>457</v>
      </c>
      <c r="D119" t="s">
        <v>29</v>
      </c>
      <c r="E119" t="e">
        <f>LEN(#REF!)</f>
        <v>#REF!</v>
      </c>
      <c r="F119" s="49" t="s">
        <v>2745</v>
      </c>
      <c r="J119">
        <v>118</v>
      </c>
      <c r="K119" s="55" t="s">
        <v>746</v>
      </c>
      <c r="L119" t="s">
        <v>643</v>
      </c>
      <c r="M119">
        <f t="shared" si="2"/>
        <v>9</v>
      </c>
      <c r="N119" s="30" t="s">
        <v>2746</v>
      </c>
      <c r="R119">
        <v>118</v>
      </c>
      <c r="S119" t="s">
        <v>2747</v>
      </c>
      <c r="T119" t="s">
        <v>2279</v>
      </c>
      <c r="U119">
        <f t="shared" si="3"/>
        <v>8</v>
      </c>
      <c r="V119" s="30" t="s">
        <v>2748</v>
      </c>
    </row>
    <row r="120" spans="1:22">
      <c r="A120">
        <v>119</v>
      </c>
      <c r="C120" s="7" t="s">
        <v>458</v>
      </c>
      <c r="D120" t="s">
        <v>29</v>
      </c>
      <c r="E120" t="e">
        <f>LEN(#REF!)</f>
        <v>#REF!</v>
      </c>
      <c r="F120" s="49" t="s">
        <v>2749</v>
      </c>
      <c r="J120">
        <v>119</v>
      </c>
      <c r="K120" s="55">
        <v>121212</v>
      </c>
      <c r="L120" t="s">
        <v>643</v>
      </c>
      <c r="M120">
        <f t="shared" si="2"/>
        <v>6</v>
      </c>
      <c r="N120" s="31" t="s">
        <v>2750</v>
      </c>
      <c r="R120">
        <v>119</v>
      </c>
      <c r="S120" t="s">
        <v>2751</v>
      </c>
      <c r="T120" t="s">
        <v>2279</v>
      </c>
      <c r="U120">
        <f t="shared" si="3"/>
        <v>10</v>
      </c>
      <c r="V120" s="30" t="s">
        <v>2752</v>
      </c>
    </row>
    <row r="121" spans="1:22">
      <c r="A121">
        <v>120</v>
      </c>
      <c r="C121" s="7" t="s">
        <v>459</v>
      </c>
      <c r="D121" t="s">
        <v>29</v>
      </c>
      <c r="E121" t="e">
        <f>LEN(#REF!)</f>
        <v>#REF!</v>
      </c>
      <c r="F121" s="49" t="s">
        <v>2753</v>
      </c>
      <c r="J121">
        <v>120</v>
      </c>
      <c r="K121" s="55" t="s">
        <v>747</v>
      </c>
      <c r="L121" t="s">
        <v>643</v>
      </c>
      <c r="M121">
        <f t="shared" si="2"/>
        <v>6</v>
      </c>
      <c r="N121" s="30" t="s">
        <v>2754</v>
      </c>
      <c r="R121">
        <v>120</v>
      </c>
      <c r="S121" t="s">
        <v>2755</v>
      </c>
      <c r="T121" t="s">
        <v>2279</v>
      </c>
      <c r="U121">
        <f t="shared" si="3"/>
        <v>13</v>
      </c>
      <c r="V121" s="30" t="s">
        <v>2756</v>
      </c>
    </row>
    <row r="122" spans="1:22">
      <c r="A122">
        <v>121</v>
      </c>
      <c r="C122" s="7" t="s">
        <v>460</v>
      </c>
      <c r="D122" t="s">
        <v>29</v>
      </c>
      <c r="E122" t="e">
        <f>LEN(#REF!)</f>
        <v>#REF!</v>
      </c>
      <c r="F122" s="49" t="s">
        <v>2757</v>
      </c>
      <c r="J122">
        <v>121</v>
      </c>
      <c r="K122" s="55" t="s">
        <v>748</v>
      </c>
      <c r="L122" t="s">
        <v>643</v>
      </c>
      <c r="M122">
        <f t="shared" si="2"/>
        <v>7</v>
      </c>
      <c r="N122" s="30" t="s">
        <v>2758</v>
      </c>
      <c r="R122">
        <v>121</v>
      </c>
      <c r="S122" t="s">
        <v>2759</v>
      </c>
      <c r="T122" t="s">
        <v>2279</v>
      </c>
      <c r="U122">
        <f t="shared" si="3"/>
        <v>10</v>
      </c>
      <c r="V122" s="30" t="s">
        <v>2760</v>
      </c>
    </row>
    <row r="123" spans="1:22">
      <c r="A123">
        <v>122</v>
      </c>
      <c r="C123" s="7" t="s">
        <v>461</v>
      </c>
      <c r="D123" t="s">
        <v>29</v>
      </c>
      <c r="E123" t="e">
        <f>LEN(#REF!)</f>
        <v>#REF!</v>
      </c>
      <c r="F123" s="49" t="s">
        <v>2761</v>
      </c>
      <c r="J123">
        <v>122</v>
      </c>
      <c r="K123" s="55" t="s">
        <v>749</v>
      </c>
      <c r="L123" t="s">
        <v>643</v>
      </c>
      <c r="M123">
        <f t="shared" si="2"/>
        <v>6</v>
      </c>
      <c r="N123" s="30" t="s">
        <v>2762</v>
      </c>
      <c r="R123">
        <v>122</v>
      </c>
      <c r="S123" t="s">
        <v>2763</v>
      </c>
      <c r="T123" t="s">
        <v>2279</v>
      </c>
      <c r="U123">
        <f t="shared" si="3"/>
        <v>10</v>
      </c>
      <c r="V123" s="30" t="s">
        <v>2764</v>
      </c>
    </row>
    <row r="124" spans="1:22">
      <c r="A124">
        <v>123</v>
      </c>
      <c r="C124" s="7" t="s">
        <v>462</v>
      </c>
      <c r="D124" t="s">
        <v>29</v>
      </c>
      <c r="E124" t="e">
        <f>LEN(#REF!)</f>
        <v>#REF!</v>
      </c>
      <c r="F124" s="49" t="s">
        <v>2765</v>
      </c>
      <c r="J124">
        <v>123</v>
      </c>
      <c r="K124" s="55" t="s">
        <v>750</v>
      </c>
      <c r="L124" t="s">
        <v>643</v>
      </c>
      <c r="M124">
        <f t="shared" si="2"/>
        <v>6</v>
      </c>
      <c r="N124" s="30" t="s">
        <v>2766</v>
      </c>
      <c r="R124">
        <v>123</v>
      </c>
      <c r="S124" t="s">
        <v>2767</v>
      </c>
      <c r="T124" t="s">
        <v>2279</v>
      </c>
      <c r="U124">
        <f t="shared" si="3"/>
        <v>10</v>
      </c>
      <c r="V124" s="30" t="s">
        <v>2768</v>
      </c>
    </row>
    <row r="125" spans="1:22">
      <c r="A125">
        <v>124</v>
      </c>
      <c r="C125" s="7" t="s">
        <v>463</v>
      </c>
      <c r="D125" t="s">
        <v>29</v>
      </c>
      <c r="E125" t="e">
        <f>LEN(#REF!)</f>
        <v>#REF!</v>
      </c>
      <c r="F125" s="49" t="s">
        <v>2769</v>
      </c>
      <c r="J125">
        <v>124</v>
      </c>
      <c r="K125" s="55" t="s">
        <v>751</v>
      </c>
      <c r="L125" t="s">
        <v>643</v>
      </c>
      <c r="M125">
        <f t="shared" si="2"/>
        <v>7</v>
      </c>
      <c r="N125" s="30" t="s">
        <v>2770</v>
      </c>
      <c r="R125">
        <v>124</v>
      </c>
      <c r="S125" t="s">
        <v>2771</v>
      </c>
      <c r="T125" t="s">
        <v>2279</v>
      </c>
      <c r="U125">
        <f t="shared" si="3"/>
        <v>15</v>
      </c>
      <c r="V125" s="30" t="s">
        <v>2772</v>
      </c>
    </row>
    <row r="126" spans="1:22">
      <c r="A126">
        <v>125</v>
      </c>
      <c r="C126" s="7" t="s">
        <v>464</v>
      </c>
      <c r="D126" t="s">
        <v>29</v>
      </c>
      <c r="E126" t="e">
        <f>LEN(#REF!)</f>
        <v>#REF!</v>
      </c>
      <c r="F126" s="49" t="s">
        <v>2773</v>
      </c>
      <c r="J126">
        <v>125</v>
      </c>
      <c r="K126" s="55">
        <v>112233</v>
      </c>
      <c r="L126" t="s">
        <v>643</v>
      </c>
      <c r="M126">
        <f t="shared" si="2"/>
        <v>6</v>
      </c>
      <c r="N126" s="30" t="s">
        <v>2774</v>
      </c>
      <c r="R126">
        <v>125</v>
      </c>
      <c r="S126" t="s">
        <v>2775</v>
      </c>
      <c r="T126" t="s">
        <v>2279</v>
      </c>
      <c r="U126">
        <f t="shared" si="3"/>
        <v>8</v>
      </c>
      <c r="V126" s="30" t="s">
        <v>2776</v>
      </c>
    </row>
    <row r="127" spans="1:22">
      <c r="A127">
        <v>126</v>
      </c>
      <c r="C127" s="7" t="s">
        <v>465</v>
      </c>
      <c r="D127" t="s">
        <v>29</v>
      </c>
      <c r="E127" t="e">
        <f>LEN(#REF!)</f>
        <v>#REF!</v>
      </c>
      <c r="F127" s="49" t="s">
        <v>2777</v>
      </c>
      <c r="J127">
        <v>126</v>
      </c>
      <c r="K127" s="55" t="s">
        <v>752</v>
      </c>
      <c r="L127" t="s">
        <v>643</v>
      </c>
      <c r="M127">
        <f t="shared" si="2"/>
        <v>9</v>
      </c>
      <c r="N127" s="30" t="s">
        <v>2778</v>
      </c>
      <c r="R127">
        <v>126</v>
      </c>
      <c r="S127" t="s">
        <v>2779</v>
      </c>
      <c r="T127" t="s">
        <v>2279</v>
      </c>
      <c r="U127">
        <f t="shared" si="3"/>
        <v>10</v>
      </c>
      <c r="V127" s="30" t="s">
        <v>2780</v>
      </c>
    </row>
    <row r="128" spans="1:22">
      <c r="A128">
        <v>127</v>
      </c>
      <c r="C128" s="7" t="s">
        <v>466</v>
      </c>
      <c r="D128" t="s">
        <v>29</v>
      </c>
      <c r="E128" t="e">
        <f>LEN(#REF!)</f>
        <v>#REF!</v>
      </c>
      <c r="F128" s="49" t="s">
        <v>2781</v>
      </c>
      <c r="J128">
        <v>127</v>
      </c>
      <c r="K128" s="55">
        <v>555555</v>
      </c>
      <c r="L128" t="s">
        <v>643</v>
      </c>
      <c r="M128">
        <f t="shared" si="2"/>
        <v>6</v>
      </c>
      <c r="N128" s="30" t="s">
        <v>2782</v>
      </c>
      <c r="R128">
        <v>127</v>
      </c>
      <c r="S128" t="s">
        <v>2783</v>
      </c>
      <c r="T128" t="s">
        <v>2279</v>
      </c>
      <c r="U128">
        <f t="shared" si="3"/>
        <v>8</v>
      </c>
      <c r="V128" s="30" t="s">
        <v>2784</v>
      </c>
    </row>
    <row r="129" spans="1:22">
      <c r="A129">
        <v>128</v>
      </c>
      <c r="C129" s="7" t="s">
        <v>467</v>
      </c>
      <c r="D129" t="s">
        <v>29</v>
      </c>
      <c r="E129" t="e">
        <f>LEN(#REF!)</f>
        <v>#REF!</v>
      </c>
      <c r="F129" s="49" t="s">
        <v>2785</v>
      </c>
      <c r="J129">
        <v>128</v>
      </c>
      <c r="K129" s="55" t="s">
        <v>753</v>
      </c>
      <c r="L129" t="s">
        <v>643</v>
      </c>
      <c r="M129">
        <f t="shared" si="2"/>
        <v>7</v>
      </c>
      <c r="N129" s="30" t="s">
        <v>2786</v>
      </c>
      <c r="R129">
        <v>128</v>
      </c>
      <c r="S129" t="s">
        <v>2787</v>
      </c>
      <c r="T129" t="s">
        <v>2279</v>
      </c>
      <c r="U129">
        <f t="shared" si="3"/>
        <v>11</v>
      </c>
      <c r="V129" s="30" t="s">
        <v>2788</v>
      </c>
    </row>
    <row r="130" spans="1:22">
      <c r="A130">
        <v>129</v>
      </c>
      <c r="C130" s="7" t="s">
        <v>468</v>
      </c>
      <c r="D130" t="s">
        <v>29</v>
      </c>
      <c r="E130" t="e">
        <f>LEN(#REF!)</f>
        <v>#REF!</v>
      </c>
      <c r="F130" s="53" t="s">
        <v>2789</v>
      </c>
      <c r="J130">
        <v>129</v>
      </c>
      <c r="K130" s="55" t="s">
        <v>754</v>
      </c>
      <c r="L130" t="s">
        <v>643</v>
      </c>
      <c r="M130">
        <f t="shared" si="2"/>
        <v>8</v>
      </c>
      <c r="N130" s="30" t="s">
        <v>2790</v>
      </c>
      <c r="R130">
        <v>129</v>
      </c>
      <c r="S130" t="s">
        <v>2791</v>
      </c>
      <c r="T130" t="s">
        <v>2279</v>
      </c>
      <c r="U130">
        <f t="shared" si="3"/>
        <v>10</v>
      </c>
      <c r="V130" s="30" t="s">
        <v>2792</v>
      </c>
    </row>
    <row r="131" spans="1:22">
      <c r="A131">
        <v>130</v>
      </c>
      <c r="C131" s="9" t="s">
        <v>469</v>
      </c>
      <c r="D131" t="s">
        <v>29</v>
      </c>
      <c r="E131" t="e">
        <f>LEN(#REF!)</f>
        <v>#REF!</v>
      </c>
      <c r="F131" s="49" t="s">
        <v>2793</v>
      </c>
      <c r="J131">
        <v>130</v>
      </c>
      <c r="K131" s="55" t="s">
        <v>755</v>
      </c>
      <c r="L131" t="s">
        <v>643</v>
      </c>
      <c r="M131">
        <f t="shared" ref="M131:M194" si="4">LEN(K131)</f>
        <v>6</v>
      </c>
      <c r="N131" s="30" t="s">
        <v>2794</v>
      </c>
      <c r="R131">
        <v>130</v>
      </c>
      <c r="S131" t="s">
        <v>2795</v>
      </c>
      <c r="T131" t="s">
        <v>2279</v>
      </c>
      <c r="U131">
        <f t="shared" ref="U131:U194" si="5">LEN(S131)</f>
        <v>8</v>
      </c>
      <c r="V131" s="30" t="s">
        <v>2796</v>
      </c>
    </row>
    <row r="132" spans="1:22">
      <c r="A132">
        <v>131</v>
      </c>
      <c r="C132" s="7" t="s">
        <v>470</v>
      </c>
      <c r="D132" t="s">
        <v>29</v>
      </c>
      <c r="E132" t="e">
        <f>LEN(#REF!)</f>
        <v>#REF!</v>
      </c>
      <c r="F132" s="49" t="s">
        <v>2797</v>
      </c>
      <c r="J132">
        <v>131</v>
      </c>
      <c r="K132" s="55" t="s">
        <v>756</v>
      </c>
      <c r="L132" t="s">
        <v>643</v>
      </c>
      <c r="M132">
        <f t="shared" si="4"/>
        <v>7</v>
      </c>
      <c r="N132" s="30" t="s">
        <v>2798</v>
      </c>
      <c r="R132">
        <v>131</v>
      </c>
      <c r="S132" t="s">
        <v>2799</v>
      </c>
      <c r="T132" t="s">
        <v>2279</v>
      </c>
      <c r="U132">
        <f t="shared" si="5"/>
        <v>8</v>
      </c>
      <c r="V132" s="30" t="s">
        <v>2800</v>
      </c>
    </row>
    <row r="133" spans="1:22">
      <c r="A133">
        <v>132</v>
      </c>
      <c r="C133" s="7" t="s">
        <v>471</v>
      </c>
      <c r="D133" t="s">
        <v>29</v>
      </c>
      <c r="E133" t="e">
        <f>LEN(#REF!)</f>
        <v>#REF!</v>
      </c>
      <c r="F133" s="49" t="s">
        <v>2801</v>
      </c>
      <c r="J133">
        <v>132</v>
      </c>
      <c r="K133" s="55" t="s">
        <v>757</v>
      </c>
      <c r="L133" t="s">
        <v>643</v>
      </c>
      <c r="M133">
        <f t="shared" si="4"/>
        <v>6</v>
      </c>
      <c r="N133" s="30" t="s">
        <v>2802</v>
      </c>
      <c r="R133">
        <v>132</v>
      </c>
      <c r="S133" t="s">
        <v>2803</v>
      </c>
      <c r="T133" t="s">
        <v>2279</v>
      </c>
      <c r="U133">
        <f t="shared" si="5"/>
        <v>10</v>
      </c>
      <c r="V133" s="30" t="s">
        <v>2804</v>
      </c>
    </row>
    <row r="134" spans="1:22">
      <c r="A134">
        <v>133</v>
      </c>
      <c r="C134" s="7" t="s">
        <v>472</v>
      </c>
      <c r="D134" t="s">
        <v>29</v>
      </c>
      <c r="E134" t="e">
        <f>LEN(#REF!)</f>
        <v>#REF!</v>
      </c>
      <c r="F134" s="49" t="s">
        <v>2805</v>
      </c>
      <c r="J134">
        <v>133</v>
      </c>
      <c r="K134" s="55" t="s">
        <v>758</v>
      </c>
      <c r="L134" t="s">
        <v>643</v>
      </c>
      <c r="M134">
        <f t="shared" si="4"/>
        <v>6</v>
      </c>
      <c r="N134" s="30" t="s">
        <v>2806</v>
      </c>
      <c r="R134">
        <v>133</v>
      </c>
      <c r="S134" t="s">
        <v>2807</v>
      </c>
      <c r="T134" t="s">
        <v>2279</v>
      </c>
      <c r="U134">
        <f t="shared" si="5"/>
        <v>9</v>
      </c>
      <c r="V134" s="30" t="s">
        <v>2808</v>
      </c>
    </row>
    <row r="135" spans="1:22">
      <c r="A135">
        <v>134</v>
      </c>
      <c r="C135" s="7" t="s">
        <v>473</v>
      </c>
      <c r="D135" t="s">
        <v>29</v>
      </c>
      <c r="E135" t="e">
        <f>LEN(#REF!)</f>
        <v>#REF!</v>
      </c>
      <c r="F135" s="49" t="s">
        <v>2809</v>
      </c>
      <c r="J135">
        <v>134</v>
      </c>
      <c r="K135" s="55">
        <v>789456</v>
      </c>
      <c r="L135" t="s">
        <v>643</v>
      </c>
      <c r="M135">
        <f t="shared" si="4"/>
        <v>6</v>
      </c>
      <c r="N135" s="30" t="s">
        <v>2810</v>
      </c>
      <c r="R135">
        <v>134</v>
      </c>
      <c r="S135" t="s">
        <v>2811</v>
      </c>
      <c r="T135" t="s">
        <v>2279</v>
      </c>
      <c r="U135">
        <f t="shared" si="5"/>
        <v>8</v>
      </c>
      <c r="V135" s="30" t="s">
        <v>2812</v>
      </c>
    </row>
    <row r="136" spans="1:22">
      <c r="A136">
        <v>135</v>
      </c>
      <c r="C136" s="7" t="s">
        <v>474</v>
      </c>
      <c r="D136" t="s">
        <v>29</v>
      </c>
      <c r="E136" t="e">
        <f>LEN(#REF!)</f>
        <v>#REF!</v>
      </c>
      <c r="F136" s="49" t="s">
        <v>2813</v>
      </c>
      <c r="J136">
        <v>135</v>
      </c>
      <c r="K136" s="55">
        <v>999999</v>
      </c>
      <c r="L136" t="s">
        <v>643</v>
      </c>
      <c r="M136">
        <f t="shared" si="4"/>
        <v>6</v>
      </c>
      <c r="N136" s="30" t="s">
        <v>2814</v>
      </c>
      <c r="R136">
        <v>135</v>
      </c>
      <c r="S136" t="s">
        <v>2815</v>
      </c>
      <c r="T136" t="s">
        <v>2279</v>
      </c>
      <c r="U136">
        <f t="shared" si="5"/>
        <v>10</v>
      </c>
      <c r="V136" s="30" t="s">
        <v>2816</v>
      </c>
    </row>
    <row r="137" spans="1:22">
      <c r="A137">
        <v>136</v>
      </c>
      <c r="C137" s="7" t="s">
        <v>475</v>
      </c>
      <c r="D137" t="s">
        <v>29</v>
      </c>
      <c r="E137" t="e">
        <f>LEN(#REF!)</f>
        <v>#REF!</v>
      </c>
      <c r="F137" s="49" t="s">
        <v>2817</v>
      </c>
      <c r="J137">
        <v>136</v>
      </c>
      <c r="K137" s="55" t="s">
        <v>759</v>
      </c>
      <c r="L137" t="s">
        <v>643</v>
      </c>
      <c r="M137">
        <f t="shared" si="4"/>
        <v>6</v>
      </c>
      <c r="N137" s="30" t="s">
        <v>2818</v>
      </c>
      <c r="R137">
        <v>136</v>
      </c>
      <c r="S137" t="s">
        <v>2819</v>
      </c>
      <c r="T137" t="s">
        <v>2279</v>
      </c>
      <c r="U137">
        <f t="shared" si="5"/>
        <v>11</v>
      </c>
      <c r="V137" s="30" t="s">
        <v>2820</v>
      </c>
    </row>
    <row r="138" spans="1:22">
      <c r="A138">
        <v>137</v>
      </c>
      <c r="C138" s="7" t="s">
        <v>476</v>
      </c>
      <c r="D138" t="s">
        <v>29</v>
      </c>
      <c r="E138" t="e">
        <f>LEN(#REF!)</f>
        <v>#REF!</v>
      </c>
      <c r="F138" s="49" t="s">
        <v>2821</v>
      </c>
      <c r="J138">
        <v>137</v>
      </c>
      <c r="K138" s="55">
        <v>11111</v>
      </c>
      <c r="L138" t="s">
        <v>643</v>
      </c>
      <c r="M138">
        <f t="shared" si="4"/>
        <v>5</v>
      </c>
      <c r="N138" s="30" t="s">
        <v>2822</v>
      </c>
      <c r="R138">
        <v>137</v>
      </c>
      <c r="S138" t="s">
        <v>2823</v>
      </c>
      <c r="T138" t="s">
        <v>2279</v>
      </c>
      <c r="U138">
        <f t="shared" si="5"/>
        <v>8</v>
      </c>
      <c r="V138" s="30" t="s">
        <v>2824</v>
      </c>
    </row>
    <row r="139" spans="1:22">
      <c r="A139">
        <v>138</v>
      </c>
      <c r="C139" s="7" t="s">
        <v>477</v>
      </c>
      <c r="D139" t="s">
        <v>29</v>
      </c>
      <c r="E139" t="e">
        <f>LEN(#REF!)</f>
        <v>#REF!</v>
      </c>
      <c r="F139" s="49" t="s">
        <v>2825</v>
      </c>
      <c r="J139">
        <v>138</v>
      </c>
      <c r="K139" s="55" t="s">
        <v>760</v>
      </c>
      <c r="L139" t="s">
        <v>643</v>
      </c>
      <c r="M139">
        <f t="shared" si="4"/>
        <v>6</v>
      </c>
      <c r="N139" s="30" t="s">
        <v>2826</v>
      </c>
      <c r="R139">
        <v>138</v>
      </c>
      <c r="S139" t="s">
        <v>2827</v>
      </c>
      <c r="T139" t="s">
        <v>2279</v>
      </c>
      <c r="U139">
        <f t="shared" si="5"/>
        <v>9</v>
      </c>
      <c r="V139" s="30" t="s">
        <v>2828</v>
      </c>
    </row>
    <row r="140" spans="1:22">
      <c r="A140">
        <v>139</v>
      </c>
      <c r="C140" s="7" t="s">
        <v>478</v>
      </c>
      <c r="D140" t="s">
        <v>29</v>
      </c>
      <c r="E140" t="e">
        <f>LEN(#REF!)</f>
        <v>#REF!</v>
      </c>
      <c r="F140" s="49" t="s">
        <v>2829</v>
      </c>
      <c r="J140">
        <v>139</v>
      </c>
      <c r="K140" s="55" t="s">
        <v>761</v>
      </c>
      <c r="L140" t="s">
        <v>643</v>
      </c>
      <c r="M140">
        <f t="shared" si="4"/>
        <v>6</v>
      </c>
      <c r="N140" s="30" t="s">
        <v>2830</v>
      </c>
      <c r="R140">
        <v>139</v>
      </c>
      <c r="S140" t="s">
        <v>2831</v>
      </c>
      <c r="T140" t="s">
        <v>2279</v>
      </c>
      <c r="U140">
        <f t="shared" si="5"/>
        <v>15</v>
      </c>
      <c r="V140" s="30" t="s">
        <v>2832</v>
      </c>
    </row>
    <row r="141" spans="1:22">
      <c r="A141">
        <v>140</v>
      </c>
      <c r="C141" s="7" t="s">
        <v>479</v>
      </c>
      <c r="D141" t="s">
        <v>29</v>
      </c>
      <c r="E141" t="e">
        <f>LEN(#REF!)</f>
        <v>#REF!</v>
      </c>
      <c r="F141" s="49" t="s">
        <v>2833</v>
      </c>
      <c r="J141">
        <v>140</v>
      </c>
      <c r="K141" s="55" t="s">
        <v>762</v>
      </c>
      <c r="L141" t="s">
        <v>643</v>
      </c>
      <c r="M141">
        <f t="shared" si="4"/>
        <v>7</v>
      </c>
      <c r="N141" s="30" t="s">
        <v>2834</v>
      </c>
      <c r="R141">
        <v>140</v>
      </c>
      <c r="S141" t="s">
        <v>2835</v>
      </c>
      <c r="T141" t="s">
        <v>2279</v>
      </c>
      <c r="U141">
        <f t="shared" si="5"/>
        <v>8</v>
      </c>
      <c r="V141" s="30" t="s">
        <v>2836</v>
      </c>
    </row>
    <row r="142" spans="1:22">
      <c r="A142">
        <v>141</v>
      </c>
      <c r="C142" s="7" t="s">
        <v>480</v>
      </c>
      <c r="D142" t="s">
        <v>29</v>
      </c>
      <c r="E142" t="e">
        <f>LEN(#REF!)</f>
        <v>#REF!</v>
      </c>
      <c r="F142" s="49" t="s">
        <v>2837</v>
      </c>
      <c r="J142">
        <v>141</v>
      </c>
      <c r="K142" s="55" t="s">
        <v>763</v>
      </c>
      <c r="L142" t="s">
        <v>643</v>
      </c>
      <c r="M142">
        <f t="shared" si="4"/>
        <v>6</v>
      </c>
      <c r="N142" s="30" t="s">
        <v>2838</v>
      </c>
      <c r="R142">
        <v>141</v>
      </c>
      <c r="S142" t="s">
        <v>2839</v>
      </c>
      <c r="T142" t="s">
        <v>2279</v>
      </c>
      <c r="U142">
        <f t="shared" si="5"/>
        <v>8</v>
      </c>
      <c r="V142" s="30" t="s">
        <v>2840</v>
      </c>
    </row>
    <row r="143" spans="1:22">
      <c r="A143">
        <v>142</v>
      </c>
      <c r="C143" s="7" t="s">
        <v>481</v>
      </c>
      <c r="D143" t="s">
        <v>29</v>
      </c>
      <c r="E143" t="e">
        <f>LEN(#REF!)</f>
        <v>#REF!</v>
      </c>
      <c r="F143" s="49" t="s">
        <v>2841</v>
      </c>
      <c r="J143">
        <v>142</v>
      </c>
      <c r="K143" s="55" t="s">
        <v>764</v>
      </c>
      <c r="L143" t="s">
        <v>643</v>
      </c>
      <c r="M143">
        <f t="shared" si="4"/>
        <v>6</v>
      </c>
      <c r="N143" s="30" t="s">
        <v>2842</v>
      </c>
      <c r="R143">
        <v>142</v>
      </c>
      <c r="S143" t="s">
        <v>2843</v>
      </c>
      <c r="T143" t="s">
        <v>2279</v>
      </c>
      <c r="U143">
        <f t="shared" si="5"/>
        <v>8</v>
      </c>
      <c r="V143" s="30" t="s">
        <v>2844</v>
      </c>
    </row>
    <row r="144" spans="1:22">
      <c r="A144">
        <v>143</v>
      </c>
      <c r="C144" s="7" t="s">
        <v>482</v>
      </c>
      <c r="D144" t="s">
        <v>29</v>
      </c>
      <c r="E144" t="e">
        <f>LEN(#REF!)</f>
        <v>#REF!</v>
      </c>
      <c r="F144" s="49" t="s">
        <v>2845</v>
      </c>
      <c r="J144">
        <v>143</v>
      </c>
      <c r="K144" s="55" t="s">
        <v>765</v>
      </c>
      <c r="L144" t="s">
        <v>643</v>
      </c>
      <c r="M144">
        <f t="shared" si="4"/>
        <v>6</v>
      </c>
      <c r="N144" s="30" t="s">
        <v>2846</v>
      </c>
      <c r="R144">
        <v>143</v>
      </c>
      <c r="S144" t="s">
        <v>2847</v>
      </c>
      <c r="T144" t="s">
        <v>2279</v>
      </c>
      <c r="U144">
        <f t="shared" si="5"/>
        <v>8</v>
      </c>
      <c r="V144" s="30" t="s">
        <v>2848</v>
      </c>
    </row>
    <row r="145" spans="1:22">
      <c r="A145">
        <v>144</v>
      </c>
      <c r="C145" s="7" t="s">
        <v>483</v>
      </c>
      <c r="D145" t="s">
        <v>29</v>
      </c>
      <c r="E145" t="e">
        <f>LEN(#REF!)</f>
        <v>#REF!</v>
      </c>
      <c r="F145" s="49" t="s">
        <v>2849</v>
      </c>
      <c r="J145">
        <v>144</v>
      </c>
      <c r="K145" s="55" t="s">
        <v>766</v>
      </c>
      <c r="L145" t="s">
        <v>643</v>
      </c>
      <c r="M145">
        <f t="shared" si="4"/>
        <v>6</v>
      </c>
      <c r="N145" s="30" t="s">
        <v>2850</v>
      </c>
      <c r="R145">
        <v>144</v>
      </c>
      <c r="S145" t="s">
        <v>2851</v>
      </c>
      <c r="T145" t="s">
        <v>2279</v>
      </c>
      <c r="U145">
        <f t="shared" si="5"/>
        <v>10</v>
      </c>
      <c r="V145" s="30" t="s">
        <v>2852</v>
      </c>
    </row>
    <row r="146" spans="1:22">
      <c r="A146">
        <v>145</v>
      </c>
      <c r="C146" s="7" t="s">
        <v>484</v>
      </c>
      <c r="D146" t="s">
        <v>29</v>
      </c>
      <c r="E146" t="e">
        <f>LEN(#REF!)</f>
        <v>#REF!</v>
      </c>
      <c r="F146" s="49" t="s">
        <v>2853</v>
      </c>
      <c r="J146">
        <v>145</v>
      </c>
      <c r="K146" s="55" t="s">
        <v>767</v>
      </c>
      <c r="L146" t="s">
        <v>643</v>
      </c>
      <c r="M146">
        <f t="shared" si="4"/>
        <v>9</v>
      </c>
      <c r="N146" s="30" t="s">
        <v>2854</v>
      </c>
      <c r="R146">
        <v>145</v>
      </c>
      <c r="S146" t="s">
        <v>2855</v>
      </c>
      <c r="T146" t="s">
        <v>2279</v>
      </c>
      <c r="U146">
        <f t="shared" si="5"/>
        <v>10</v>
      </c>
      <c r="V146" s="30" t="s">
        <v>2856</v>
      </c>
    </row>
    <row r="147" spans="1:22">
      <c r="A147">
        <v>146</v>
      </c>
      <c r="C147" s="7" t="s">
        <v>485</v>
      </c>
      <c r="D147" t="s">
        <v>29</v>
      </c>
      <c r="E147" t="e">
        <f>LEN(#REF!)</f>
        <v>#REF!</v>
      </c>
      <c r="F147" s="49" t="s">
        <v>2857</v>
      </c>
      <c r="J147">
        <v>146</v>
      </c>
      <c r="K147" s="55" t="s">
        <v>768</v>
      </c>
      <c r="L147" t="s">
        <v>643</v>
      </c>
      <c r="M147">
        <f t="shared" si="4"/>
        <v>6</v>
      </c>
      <c r="N147" s="30" t="s">
        <v>2858</v>
      </c>
      <c r="R147">
        <v>146</v>
      </c>
      <c r="S147" t="s">
        <v>2859</v>
      </c>
      <c r="T147" t="s">
        <v>2279</v>
      </c>
      <c r="U147">
        <f t="shared" si="5"/>
        <v>10</v>
      </c>
      <c r="V147" s="30" t="s">
        <v>2860</v>
      </c>
    </row>
    <row r="148" spans="1:22">
      <c r="A148">
        <v>147</v>
      </c>
      <c r="C148" s="7" t="s">
        <v>486</v>
      </c>
      <c r="D148" t="s">
        <v>29</v>
      </c>
      <c r="E148" t="e">
        <f>LEN(#REF!)</f>
        <v>#REF!</v>
      </c>
      <c r="F148" s="49" t="s">
        <v>2861</v>
      </c>
      <c r="J148">
        <v>147</v>
      </c>
      <c r="K148" s="55" t="s">
        <v>769</v>
      </c>
      <c r="L148" t="s">
        <v>643</v>
      </c>
      <c r="M148">
        <f t="shared" si="4"/>
        <v>6</v>
      </c>
      <c r="N148" s="30" t="s">
        <v>2862</v>
      </c>
      <c r="R148">
        <v>147</v>
      </c>
      <c r="S148" t="s">
        <v>2863</v>
      </c>
      <c r="T148" t="s">
        <v>2279</v>
      </c>
      <c r="U148">
        <f t="shared" si="5"/>
        <v>8</v>
      </c>
      <c r="V148" s="30" t="s">
        <v>2864</v>
      </c>
    </row>
    <row r="149" spans="1:22">
      <c r="A149">
        <v>148</v>
      </c>
      <c r="C149" s="7" t="s">
        <v>487</v>
      </c>
      <c r="D149" t="s">
        <v>29</v>
      </c>
      <c r="E149" t="e">
        <f>LEN(#REF!)</f>
        <v>#REF!</v>
      </c>
      <c r="F149" s="49" t="s">
        <v>2865</v>
      </c>
      <c r="J149">
        <v>148</v>
      </c>
      <c r="K149" s="55" t="s">
        <v>770</v>
      </c>
      <c r="L149" t="s">
        <v>643</v>
      </c>
      <c r="M149">
        <f t="shared" si="4"/>
        <v>8</v>
      </c>
      <c r="N149" s="30" t="s">
        <v>2866</v>
      </c>
      <c r="R149">
        <v>148</v>
      </c>
      <c r="S149" t="s">
        <v>2867</v>
      </c>
      <c r="T149" t="s">
        <v>2279</v>
      </c>
      <c r="U149">
        <f t="shared" si="5"/>
        <v>13</v>
      </c>
      <c r="V149" s="30" t="s">
        <v>2868</v>
      </c>
    </row>
    <row r="150" spans="1:22">
      <c r="A150">
        <v>149</v>
      </c>
      <c r="C150" s="7" t="s">
        <v>488</v>
      </c>
      <c r="D150" t="s">
        <v>29</v>
      </c>
      <c r="E150" t="e">
        <f>LEN(#REF!)</f>
        <v>#REF!</v>
      </c>
      <c r="F150" s="49" t="s">
        <v>2869</v>
      </c>
      <c r="J150">
        <v>149</v>
      </c>
      <c r="K150" s="55" t="s">
        <v>771</v>
      </c>
      <c r="L150" t="s">
        <v>643</v>
      </c>
      <c r="M150">
        <f t="shared" si="4"/>
        <v>9</v>
      </c>
      <c r="N150" s="30" t="s">
        <v>2870</v>
      </c>
      <c r="R150">
        <v>149</v>
      </c>
      <c r="S150" t="s">
        <v>2871</v>
      </c>
      <c r="T150" t="s">
        <v>2279</v>
      </c>
      <c r="U150">
        <f t="shared" si="5"/>
        <v>8</v>
      </c>
      <c r="V150" s="30" t="s">
        <v>2872</v>
      </c>
    </row>
    <row r="151" spans="1:22">
      <c r="A151">
        <v>150</v>
      </c>
      <c r="C151" s="7" t="s">
        <v>489</v>
      </c>
      <c r="D151" t="s">
        <v>29</v>
      </c>
      <c r="E151" t="e">
        <f>LEN(#REF!)</f>
        <v>#REF!</v>
      </c>
      <c r="F151" s="49" t="s">
        <v>2873</v>
      </c>
      <c r="J151">
        <v>150</v>
      </c>
      <c r="K151" s="55" t="s">
        <v>772</v>
      </c>
      <c r="L151" t="s">
        <v>643</v>
      </c>
      <c r="M151">
        <f t="shared" si="4"/>
        <v>8</v>
      </c>
      <c r="N151" s="30" t="s">
        <v>2874</v>
      </c>
      <c r="R151">
        <v>150</v>
      </c>
      <c r="S151" t="s">
        <v>2875</v>
      </c>
      <c r="T151" t="s">
        <v>2279</v>
      </c>
      <c r="U151">
        <f t="shared" si="5"/>
        <v>8</v>
      </c>
      <c r="V151" s="30" t="s">
        <v>2876</v>
      </c>
    </row>
    <row r="152" spans="1:22">
      <c r="A152">
        <v>151</v>
      </c>
      <c r="C152" s="7" t="s">
        <v>490</v>
      </c>
      <c r="D152" t="s">
        <v>29</v>
      </c>
      <c r="E152" t="e">
        <f>LEN(#REF!)</f>
        <v>#REF!</v>
      </c>
      <c r="F152" s="49" t="s">
        <v>2877</v>
      </c>
      <c r="J152">
        <v>151</v>
      </c>
      <c r="K152" s="55" t="s">
        <v>773</v>
      </c>
      <c r="L152" t="s">
        <v>643</v>
      </c>
      <c r="M152">
        <f t="shared" si="4"/>
        <v>6</v>
      </c>
      <c r="N152" s="30" t="s">
        <v>2878</v>
      </c>
      <c r="R152">
        <v>151</v>
      </c>
      <c r="S152" t="s">
        <v>2879</v>
      </c>
      <c r="T152" t="s">
        <v>2279</v>
      </c>
      <c r="U152">
        <f t="shared" si="5"/>
        <v>8</v>
      </c>
      <c r="V152" s="30" t="s">
        <v>2880</v>
      </c>
    </row>
    <row r="153" spans="1:22">
      <c r="A153">
        <v>152</v>
      </c>
      <c r="C153" s="7" t="s">
        <v>491</v>
      </c>
      <c r="D153" t="s">
        <v>29</v>
      </c>
      <c r="E153" t="e">
        <f>LEN(#REF!)</f>
        <v>#REF!</v>
      </c>
      <c r="F153" s="49" t="s">
        <v>2881</v>
      </c>
      <c r="J153">
        <v>152</v>
      </c>
      <c r="K153" s="55" t="s">
        <v>774</v>
      </c>
      <c r="L153" t="s">
        <v>643</v>
      </c>
      <c r="M153">
        <f t="shared" si="4"/>
        <v>8</v>
      </c>
      <c r="N153" s="30" t="s">
        <v>2882</v>
      </c>
      <c r="R153">
        <v>152</v>
      </c>
      <c r="S153" t="s">
        <v>2883</v>
      </c>
      <c r="T153" t="s">
        <v>2279</v>
      </c>
      <c r="U153">
        <f t="shared" si="5"/>
        <v>8</v>
      </c>
      <c r="V153" s="30" t="s">
        <v>2884</v>
      </c>
    </row>
    <row r="154" spans="1:22">
      <c r="A154">
        <v>153</v>
      </c>
      <c r="C154" s="7" t="s">
        <v>492</v>
      </c>
      <c r="D154" t="s">
        <v>29</v>
      </c>
      <c r="E154" t="e">
        <f>LEN(#REF!)</f>
        <v>#REF!</v>
      </c>
      <c r="F154" s="49" t="s">
        <v>2885</v>
      </c>
      <c r="J154">
        <v>153</v>
      </c>
      <c r="K154" s="55">
        <v>7777777</v>
      </c>
      <c r="L154" t="s">
        <v>643</v>
      </c>
      <c r="M154">
        <f t="shared" si="4"/>
        <v>7</v>
      </c>
      <c r="N154" s="30" t="s">
        <v>2886</v>
      </c>
      <c r="R154">
        <v>153</v>
      </c>
      <c r="S154" t="s">
        <v>2887</v>
      </c>
      <c r="T154" t="s">
        <v>2279</v>
      </c>
      <c r="U154">
        <f t="shared" si="5"/>
        <v>8</v>
      </c>
      <c r="V154" s="30" t="s">
        <v>2888</v>
      </c>
    </row>
    <row r="155" spans="1:22">
      <c r="A155">
        <v>154</v>
      </c>
      <c r="C155" s="7" t="s">
        <v>493</v>
      </c>
      <c r="D155" t="s">
        <v>29</v>
      </c>
      <c r="E155" t="e">
        <f>LEN(#REF!)</f>
        <v>#REF!</v>
      </c>
      <c r="F155" s="49" t="s">
        <v>2889</v>
      </c>
      <c r="J155">
        <v>154</v>
      </c>
      <c r="K155" s="55" t="s">
        <v>775</v>
      </c>
      <c r="L155" t="s">
        <v>643</v>
      </c>
      <c r="M155">
        <f t="shared" si="4"/>
        <v>6</v>
      </c>
      <c r="N155" s="30" t="s">
        <v>2890</v>
      </c>
      <c r="R155">
        <v>154</v>
      </c>
      <c r="S155" t="s">
        <v>2891</v>
      </c>
      <c r="T155" t="s">
        <v>2279</v>
      </c>
      <c r="U155">
        <f t="shared" si="5"/>
        <v>8</v>
      </c>
      <c r="V155" s="30" t="s">
        <v>2892</v>
      </c>
    </row>
    <row r="156" spans="1:22">
      <c r="A156">
        <v>155</v>
      </c>
      <c r="C156" s="7" t="s">
        <v>494</v>
      </c>
      <c r="D156" t="s">
        <v>29</v>
      </c>
      <c r="E156" t="e">
        <f>LEN(#REF!)</f>
        <v>#REF!</v>
      </c>
      <c r="F156" s="49" t="s">
        <v>2893</v>
      </c>
      <c r="J156">
        <v>155</v>
      </c>
      <c r="K156" s="55">
        <v>159753</v>
      </c>
      <c r="L156" t="s">
        <v>643</v>
      </c>
      <c r="M156">
        <f t="shared" si="4"/>
        <v>6</v>
      </c>
      <c r="N156" s="30" t="s">
        <v>2894</v>
      </c>
      <c r="R156">
        <v>155</v>
      </c>
      <c r="S156" t="s">
        <v>2895</v>
      </c>
      <c r="T156" t="s">
        <v>2279</v>
      </c>
      <c r="U156">
        <f t="shared" si="5"/>
        <v>14</v>
      </c>
      <c r="V156" s="30" t="s">
        <v>2896</v>
      </c>
    </row>
    <row r="157" spans="1:22">
      <c r="A157">
        <v>156</v>
      </c>
      <c r="C157" s="7" t="s">
        <v>495</v>
      </c>
      <c r="D157" t="s">
        <v>29</v>
      </c>
      <c r="E157" t="e">
        <f>LEN(#REF!)</f>
        <v>#REF!</v>
      </c>
      <c r="F157" s="49" t="s">
        <v>2897</v>
      </c>
      <c r="J157">
        <v>156</v>
      </c>
      <c r="K157" s="55" t="s">
        <v>776</v>
      </c>
      <c r="L157" t="s">
        <v>643</v>
      </c>
      <c r="M157">
        <f t="shared" si="4"/>
        <v>7</v>
      </c>
      <c r="N157" s="30" t="s">
        <v>2898</v>
      </c>
      <c r="R157">
        <v>156</v>
      </c>
      <c r="S157" t="s">
        <v>2899</v>
      </c>
      <c r="T157" t="s">
        <v>2279</v>
      </c>
      <c r="U157">
        <f t="shared" si="5"/>
        <v>12</v>
      </c>
      <c r="V157" s="30" t="s">
        <v>2900</v>
      </c>
    </row>
    <row r="158" spans="1:22">
      <c r="A158">
        <v>157</v>
      </c>
      <c r="C158" s="7" t="s">
        <v>496</v>
      </c>
      <c r="D158" t="s">
        <v>29</v>
      </c>
      <c r="E158" t="e">
        <f>LEN(#REF!)</f>
        <v>#REF!</v>
      </c>
      <c r="F158" s="49" t="s">
        <v>2901</v>
      </c>
      <c r="J158">
        <v>157</v>
      </c>
      <c r="K158" s="55" t="s">
        <v>777</v>
      </c>
      <c r="L158" t="s">
        <v>643</v>
      </c>
      <c r="M158">
        <f t="shared" si="4"/>
        <v>7</v>
      </c>
      <c r="N158" s="30" t="s">
        <v>2902</v>
      </c>
      <c r="R158">
        <v>157</v>
      </c>
      <c r="S158" t="s">
        <v>2903</v>
      </c>
      <c r="T158" t="s">
        <v>2279</v>
      </c>
      <c r="U158">
        <f t="shared" si="5"/>
        <v>8</v>
      </c>
      <c r="V158" s="30" t="s">
        <v>2904</v>
      </c>
    </row>
    <row r="159" spans="1:22">
      <c r="A159">
        <v>158</v>
      </c>
      <c r="C159" s="7" t="s">
        <v>497</v>
      </c>
      <c r="D159" t="s">
        <v>29</v>
      </c>
      <c r="E159" t="e">
        <f>LEN(#REF!)</f>
        <v>#REF!</v>
      </c>
      <c r="F159" s="49" t="s">
        <v>2905</v>
      </c>
      <c r="J159">
        <v>158</v>
      </c>
      <c r="K159" s="55" t="s">
        <v>778</v>
      </c>
      <c r="L159" t="s">
        <v>643</v>
      </c>
      <c r="M159">
        <f t="shared" si="4"/>
        <v>7</v>
      </c>
      <c r="N159" s="30" t="s">
        <v>2906</v>
      </c>
      <c r="R159">
        <v>158</v>
      </c>
      <c r="S159" t="s">
        <v>2907</v>
      </c>
      <c r="T159" t="s">
        <v>2279</v>
      </c>
      <c r="U159">
        <f t="shared" si="5"/>
        <v>8</v>
      </c>
      <c r="V159" s="30" t="s">
        <v>2908</v>
      </c>
    </row>
    <row r="160" spans="1:22">
      <c r="A160">
        <v>159</v>
      </c>
      <c r="C160" s="7" t="s">
        <v>498</v>
      </c>
      <c r="D160" t="s">
        <v>29</v>
      </c>
      <c r="E160" t="e">
        <f>LEN(#REF!)</f>
        <v>#REF!</v>
      </c>
      <c r="F160" s="49" t="s">
        <v>2909</v>
      </c>
      <c r="J160">
        <v>159</v>
      </c>
      <c r="K160" s="55" t="s">
        <v>779</v>
      </c>
      <c r="L160" t="s">
        <v>643</v>
      </c>
      <c r="M160">
        <f t="shared" si="4"/>
        <v>7</v>
      </c>
      <c r="N160" s="30" t="s">
        <v>2910</v>
      </c>
      <c r="R160">
        <v>159</v>
      </c>
      <c r="S160" t="s">
        <v>2911</v>
      </c>
      <c r="T160" t="s">
        <v>2279</v>
      </c>
      <c r="U160">
        <f t="shared" si="5"/>
        <v>8</v>
      </c>
      <c r="V160" s="30" t="s">
        <v>2912</v>
      </c>
    </row>
    <row r="161" spans="1:22">
      <c r="A161">
        <v>160</v>
      </c>
      <c r="C161" s="7" t="s">
        <v>499</v>
      </c>
      <c r="D161" t="s">
        <v>29</v>
      </c>
      <c r="E161" t="e">
        <f>LEN(#REF!)</f>
        <v>#REF!</v>
      </c>
      <c r="F161" s="49" t="s">
        <v>2913</v>
      </c>
      <c r="J161">
        <v>160</v>
      </c>
      <c r="K161" s="55" t="s">
        <v>780</v>
      </c>
      <c r="L161" t="s">
        <v>643</v>
      </c>
      <c r="M161">
        <f t="shared" si="4"/>
        <v>5</v>
      </c>
      <c r="N161" s="30" t="s">
        <v>2914</v>
      </c>
      <c r="R161">
        <v>160</v>
      </c>
      <c r="S161" t="s">
        <v>2915</v>
      </c>
      <c r="T161" t="s">
        <v>2279</v>
      </c>
      <c r="U161">
        <f t="shared" si="5"/>
        <v>9</v>
      </c>
      <c r="V161" s="30" t="s">
        <v>2916</v>
      </c>
    </row>
    <row r="162" spans="1:22">
      <c r="A162">
        <v>161</v>
      </c>
      <c r="C162" s="7" t="s">
        <v>500</v>
      </c>
      <c r="D162" t="s">
        <v>29</v>
      </c>
      <c r="E162" t="e">
        <f>LEN(#REF!)</f>
        <v>#REF!</v>
      </c>
      <c r="F162" s="49" t="s">
        <v>2917</v>
      </c>
      <c r="J162">
        <v>161</v>
      </c>
      <c r="K162" s="55" t="s">
        <v>781</v>
      </c>
      <c r="L162" t="s">
        <v>643</v>
      </c>
      <c r="M162">
        <f t="shared" si="4"/>
        <v>6</v>
      </c>
      <c r="N162" s="30" t="s">
        <v>2918</v>
      </c>
      <c r="R162">
        <v>161</v>
      </c>
      <c r="S162" t="s">
        <v>2919</v>
      </c>
      <c r="T162" t="s">
        <v>2279</v>
      </c>
      <c r="U162">
        <f t="shared" si="5"/>
        <v>10</v>
      </c>
      <c r="V162" s="30" t="s">
        <v>2920</v>
      </c>
    </row>
    <row r="163" spans="1:22">
      <c r="A163">
        <v>162</v>
      </c>
      <c r="C163" s="7" t="s">
        <v>501</v>
      </c>
      <c r="D163" t="s">
        <v>29</v>
      </c>
      <c r="E163" t="e">
        <f>LEN(#REF!)</f>
        <v>#REF!</v>
      </c>
      <c r="F163" s="49" t="s">
        <v>2921</v>
      </c>
      <c r="J163">
        <v>162</v>
      </c>
      <c r="K163" s="55" t="s">
        <v>782</v>
      </c>
      <c r="L163" t="s">
        <v>643</v>
      </c>
      <c r="M163">
        <f t="shared" si="4"/>
        <v>9</v>
      </c>
      <c r="N163" s="30" t="s">
        <v>2922</v>
      </c>
      <c r="R163">
        <v>162</v>
      </c>
      <c r="S163" t="s">
        <v>2923</v>
      </c>
      <c r="T163" t="s">
        <v>2279</v>
      </c>
      <c r="U163">
        <f t="shared" si="5"/>
        <v>10</v>
      </c>
      <c r="V163" s="30" t="s">
        <v>2924</v>
      </c>
    </row>
    <row r="164" spans="1:22">
      <c r="A164">
        <v>163</v>
      </c>
      <c r="C164" s="7" t="s">
        <v>502</v>
      </c>
      <c r="D164" t="s">
        <v>29</v>
      </c>
      <c r="E164" t="e">
        <f>LEN(#REF!)</f>
        <v>#REF!</v>
      </c>
      <c r="F164" s="49" t="s">
        <v>2925</v>
      </c>
      <c r="J164">
        <v>163</v>
      </c>
      <c r="K164" s="55" t="s">
        <v>783</v>
      </c>
      <c r="L164" t="s">
        <v>643</v>
      </c>
      <c r="M164">
        <f t="shared" si="4"/>
        <v>6</v>
      </c>
      <c r="N164" s="30" t="s">
        <v>2926</v>
      </c>
      <c r="R164">
        <v>163</v>
      </c>
      <c r="S164" t="s">
        <v>2927</v>
      </c>
      <c r="T164" t="s">
        <v>2279</v>
      </c>
      <c r="U164">
        <f t="shared" si="5"/>
        <v>9</v>
      </c>
      <c r="V164" s="30" t="s">
        <v>2928</v>
      </c>
    </row>
    <row r="165" spans="1:22">
      <c r="A165">
        <v>164</v>
      </c>
      <c r="C165" s="7" t="s">
        <v>503</v>
      </c>
      <c r="D165" t="s">
        <v>29</v>
      </c>
      <c r="E165" t="e">
        <f>LEN(#REF!)</f>
        <v>#REF!</v>
      </c>
      <c r="F165" s="49" t="s">
        <v>2929</v>
      </c>
      <c r="J165">
        <v>164</v>
      </c>
      <c r="K165" s="55" t="s">
        <v>784</v>
      </c>
      <c r="L165" t="s">
        <v>643</v>
      </c>
      <c r="M165">
        <f t="shared" si="4"/>
        <v>8</v>
      </c>
      <c r="N165" s="30" t="s">
        <v>2930</v>
      </c>
      <c r="R165">
        <v>164</v>
      </c>
      <c r="S165" t="s">
        <v>2931</v>
      </c>
      <c r="T165" t="s">
        <v>2279</v>
      </c>
      <c r="U165">
        <f t="shared" si="5"/>
        <v>9</v>
      </c>
      <c r="V165" s="30" t="s">
        <v>2932</v>
      </c>
    </row>
    <row r="166" spans="1:22">
      <c r="A166">
        <v>165</v>
      </c>
      <c r="C166" s="7" t="s">
        <v>504</v>
      </c>
      <c r="D166" t="s">
        <v>29</v>
      </c>
      <c r="E166" t="e">
        <f>LEN(#REF!)</f>
        <v>#REF!</v>
      </c>
      <c r="F166" s="49" t="s">
        <v>2933</v>
      </c>
      <c r="J166">
        <v>165</v>
      </c>
      <c r="K166" s="55" t="s">
        <v>785</v>
      </c>
      <c r="L166" t="s">
        <v>643</v>
      </c>
      <c r="M166">
        <f t="shared" si="4"/>
        <v>7</v>
      </c>
      <c r="N166" s="30" t="s">
        <v>2934</v>
      </c>
      <c r="R166">
        <v>165</v>
      </c>
      <c r="S166" t="s">
        <v>2935</v>
      </c>
      <c r="T166" t="s">
        <v>2279</v>
      </c>
      <c r="U166">
        <f t="shared" si="5"/>
        <v>11</v>
      </c>
      <c r="V166" s="30" t="s">
        <v>2936</v>
      </c>
    </row>
    <row r="167" spans="1:22">
      <c r="A167">
        <v>166</v>
      </c>
      <c r="C167" s="7" t="s">
        <v>505</v>
      </c>
      <c r="D167" t="s">
        <v>29</v>
      </c>
      <c r="E167" t="e">
        <f>LEN(#REF!)</f>
        <v>#REF!</v>
      </c>
      <c r="F167" s="49" t="s">
        <v>2937</v>
      </c>
      <c r="J167">
        <v>166</v>
      </c>
      <c r="K167" s="55">
        <v>222222</v>
      </c>
      <c r="L167" t="s">
        <v>643</v>
      </c>
      <c r="M167">
        <f t="shared" si="4"/>
        <v>6</v>
      </c>
      <c r="N167" s="30" t="s">
        <v>2938</v>
      </c>
      <c r="R167">
        <v>166</v>
      </c>
      <c r="S167" t="s">
        <v>2939</v>
      </c>
      <c r="T167" t="s">
        <v>2279</v>
      </c>
      <c r="U167">
        <f t="shared" si="5"/>
        <v>8</v>
      </c>
      <c r="V167" s="30" t="s">
        <v>2940</v>
      </c>
    </row>
    <row r="168" spans="1:22">
      <c r="A168">
        <v>167</v>
      </c>
      <c r="C168" s="7" t="s">
        <v>506</v>
      </c>
      <c r="D168" t="s">
        <v>29</v>
      </c>
      <c r="E168" t="e">
        <f>LEN(#REF!)</f>
        <v>#REF!</v>
      </c>
      <c r="F168" s="49" t="s">
        <v>2941</v>
      </c>
      <c r="J168">
        <v>167</v>
      </c>
      <c r="K168" s="55" t="s">
        <v>786</v>
      </c>
      <c r="L168" t="s">
        <v>643</v>
      </c>
      <c r="M168">
        <f t="shared" si="4"/>
        <v>6</v>
      </c>
      <c r="N168" s="30" t="s">
        <v>2942</v>
      </c>
      <c r="R168">
        <v>167</v>
      </c>
      <c r="S168" t="s">
        <v>2943</v>
      </c>
      <c r="T168" t="s">
        <v>2279</v>
      </c>
      <c r="U168">
        <f t="shared" si="5"/>
        <v>13</v>
      </c>
      <c r="V168" s="30" t="s">
        <v>2944</v>
      </c>
    </row>
    <row r="169" spans="1:22">
      <c r="A169">
        <v>168</v>
      </c>
      <c r="C169" s="7" t="s">
        <v>507</v>
      </c>
      <c r="D169" t="s">
        <v>29</v>
      </c>
      <c r="E169" t="e">
        <f>LEN(#REF!)</f>
        <v>#REF!</v>
      </c>
      <c r="F169" s="49" t="s">
        <v>2945</v>
      </c>
      <c r="J169">
        <v>168</v>
      </c>
      <c r="K169" s="55">
        <v>987654</v>
      </c>
      <c r="L169" t="s">
        <v>643</v>
      </c>
      <c r="M169">
        <f t="shared" si="4"/>
        <v>6</v>
      </c>
      <c r="N169" s="30" t="s">
        <v>2946</v>
      </c>
      <c r="R169">
        <v>168</v>
      </c>
      <c r="S169" t="s">
        <v>2947</v>
      </c>
      <c r="T169" t="s">
        <v>2279</v>
      </c>
      <c r="U169">
        <f t="shared" si="5"/>
        <v>8</v>
      </c>
      <c r="V169" s="30" t="s">
        <v>2948</v>
      </c>
    </row>
    <row r="170" spans="1:22">
      <c r="A170">
        <v>169</v>
      </c>
      <c r="C170" s="7" t="s">
        <v>508</v>
      </c>
      <c r="D170" t="s">
        <v>29</v>
      </c>
      <c r="E170" t="e">
        <f>LEN(#REF!)</f>
        <v>#REF!</v>
      </c>
      <c r="F170" s="51" t="s">
        <v>2949</v>
      </c>
      <c r="J170">
        <v>169</v>
      </c>
      <c r="K170" s="55" t="s">
        <v>787</v>
      </c>
      <c r="L170" t="s">
        <v>643</v>
      </c>
      <c r="M170">
        <f t="shared" si="4"/>
        <v>8</v>
      </c>
      <c r="N170" s="30" t="s">
        <v>2950</v>
      </c>
      <c r="R170">
        <v>169</v>
      </c>
      <c r="S170" t="s">
        <v>2951</v>
      </c>
      <c r="T170" t="s">
        <v>2279</v>
      </c>
      <c r="U170">
        <f t="shared" si="5"/>
        <v>9</v>
      </c>
      <c r="V170" s="30" t="s">
        <v>2952</v>
      </c>
    </row>
    <row r="171" spans="1:22">
      <c r="A171">
        <v>170</v>
      </c>
      <c r="C171" s="9" t="s">
        <v>509</v>
      </c>
      <c r="D171" t="s">
        <v>29</v>
      </c>
      <c r="E171" t="e">
        <f>LEN(#REF!)</f>
        <v>#REF!</v>
      </c>
      <c r="F171" s="49" t="s">
        <v>2953</v>
      </c>
      <c r="J171">
        <v>170</v>
      </c>
      <c r="K171" s="55" t="s">
        <v>788</v>
      </c>
      <c r="L171" t="s">
        <v>643</v>
      </c>
      <c r="M171">
        <f t="shared" si="4"/>
        <v>5</v>
      </c>
      <c r="N171" s="30" t="s">
        <v>2954</v>
      </c>
      <c r="R171">
        <v>170</v>
      </c>
      <c r="S171" t="s">
        <v>2955</v>
      </c>
      <c r="T171" t="s">
        <v>2279</v>
      </c>
      <c r="U171">
        <f t="shared" si="5"/>
        <v>9</v>
      </c>
      <c r="V171" s="30" t="s">
        <v>2956</v>
      </c>
    </row>
    <row r="172" spans="1:22">
      <c r="A172">
        <v>171</v>
      </c>
      <c r="C172" s="7" t="s">
        <v>510</v>
      </c>
      <c r="D172" t="s">
        <v>29</v>
      </c>
      <c r="E172" t="e">
        <f>LEN(#REF!)</f>
        <v>#REF!</v>
      </c>
      <c r="F172" s="49" t="s">
        <v>2957</v>
      </c>
      <c r="J172">
        <v>171</v>
      </c>
      <c r="K172" s="55">
        <v>0</v>
      </c>
      <c r="L172" t="s">
        <v>643</v>
      </c>
      <c r="M172">
        <f t="shared" si="4"/>
        <v>1</v>
      </c>
      <c r="N172" s="30" t="s">
        <v>2958</v>
      </c>
      <c r="R172">
        <v>171</v>
      </c>
      <c r="S172" t="s">
        <v>2959</v>
      </c>
      <c r="T172" t="s">
        <v>2279</v>
      </c>
      <c r="U172">
        <f t="shared" si="5"/>
        <v>9</v>
      </c>
      <c r="V172" s="30" t="s">
        <v>2960</v>
      </c>
    </row>
    <row r="173" spans="1:22">
      <c r="A173">
        <v>172</v>
      </c>
      <c r="C173" s="7" t="s">
        <v>511</v>
      </c>
      <c r="D173" t="s">
        <v>29</v>
      </c>
      <c r="E173" t="e">
        <f>LEN(#REF!)</f>
        <v>#REF!</v>
      </c>
      <c r="F173" s="49" t="s">
        <v>2961</v>
      </c>
      <c r="J173">
        <v>172</v>
      </c>
      <c r="K173" s="55" t="s">
        <v>790</v>
      </c>
      <c r="L173" t="s">
        <v>643</v>
      </c>
      <c r="M173">
        <f t="shared" si="4"/>
        <v>8</v>
      </c>
      <c r="N173" s="30" t="s">
        <v>2962</v>
      </c>
      <c r="R173">
        <v>172</v>
      </c>
      <c r="S173" t="s">
        <v>2963</v>
      </c>
      <c r="T173" t="s">
        <v>2279</v>
      </c>
      <c r="U173">
        <f t="shared" si="5"/>
        <v>8</v>
      </c>
      <c r="V173" s="30" t="s">
        <v>2964</v>
      </c>
    </row>
    <row r="174" spans="1:22">
      <c r="A174">
        <v>173</v>
      </c>
      <c r="C174" s="7" t="s">
        <v>512</v>
      </c>
      <c r="D174" t="s">
        <v>29</v>
      </c>
      <c r="E174" t="e">
        <f>LEN(#REF!)</f>
        <v>#REF!</v>
      </c>
      <c r="F174" s="49" t="s">
        <v>2965</v>
      </c>
      <c r="J174">
        <v>173</v>
      </c>
      <c r="K174" s="55" t="s">
        <v>791</v>
      </c>
      <c r="L174" t="s">
        <v>643</v>
      </c>
      <c r="M174">
        <f t="shared" si="4"/>
        <v>7</v>
      </c>
      <c r="N174" s="30" t="s">
        <v>2966</v>
      </c>
      <c r="R174">
        <v>173</v>
      </c>
      <c r="S174" t="s">
        <v>2967</v>
      </c>
      <c r="T174" t="s">
        <v>2279</v>
      </c>
      <c r="U174">
        <f t="shared" si="5"/>
        <v>9</v>
      </c>
      <c r="V174" s="30" t="s">
        <v>2968</v>
      </c>
    </row>
    <row r="175" spans="1:22">
      <c r="A175">
        <v>174</v>
      </c>
      <c r="C175" s="7" t="s">
        <v>513</v>
      </c>
      <c r="D175" t="s">
        <v>29</v>
      </c>
      <c r="E175" t="e">
        <f>LEN(#REF!)</f>
        <v>#REF!</v>
      </c>
      <c r="F175" s="49" t="s">
        <v>2969</v>
      </c>
      <c r="J175">
        <v>174</v>
      </c>
      <c r="K175" s="55" t="s">
        <v>792</v>
      </c>
      <c r="L175" t="s">
        <v>643</v>
      </c>
      <c r="M175">
        <f t="shared" si="4"/>
        <v>6</v>
      </c>
      <c r="N175" s="30" t="s">
        <v>2970</v>
      </c>
      <c r="R175">
        <v>174</v>
      </c>
      <c r="S175" t="s">
        <v>2971</v>
      </c>
      <c r="T175" t="s">
        <v>2279</v>
      </c>
      <c r="U175">
        <f t="shared" si="5"/>
        <v>9</v>
      </c>
      <c r="V175" s="30" t="s">
        <v>2972</v>
      </c>
    </row>
    <row r="176" spans="1:22">
      <c r="A176">
        <v>175</v>
      </c>
      <c r="C176" s="7" t="s">
        <v>514</v>
      </c>
      <c r="D176" t="s">
        <v>29</v>
      </c>
      <c r="E176" t="e">
        <f>LEN(#REF!)</f>
        <v>#REF!</v>
      </c>
      <c r="F176" s="49" t="s">
        <v>2973</v>
      </c>
      <c r="J176">
        <v>175</v>
      </c>
      <c r="K176" s="55" t="s">
        <v>793</v>
      </c>
      <c r="L176" t="s">
        <v>643</v>
      </c>
      <c r="M176">
        <f t="shared" si="4"/>
        <v>7</v>
      </c>
      <c r="N176" s="30" t="s">
        <v>2974</v>
      </c>
      <c r="R176">
        <v>175</v>
      </c>
      <c r="S176" t="s">
        <v>2975</v>
      </c>
      <c r="T176" t="s">
        <v>2279</v>
      </c>
      <c r="U176">
        <f t="shared" si="5"/>
        <v>8</v>
      </c>
      <c r="V176" s="30" t="s">
        <v>2976</v>
      </c>
    </row>
    <row r="177" spans="1:22">
      <c r="A177">
        <v>176</v>
      </c>
      <c r="C177" s="7" t="s">
        <v>515</v>
      </c>
      <c r="D177" t="s">
        <v>29</v>
      </c>
      <c r="E177" t="e">
        <f>LEN(#REF!)</f>
        <v>#REF!</v>
      </c>
      <c r="F177" s="49" t="s">
        <v>2977</v>
      </c>
      <c r="J177">
        <v>176</v>
      </c>
      <c r="K177" s="55" t="s">
        <v>794</v>
      </c>
      <c r="L177" t="s">
        <v>643</v>
      </c>
      <c r="M177">
        <f t="shared" si="4"/>
        <v>7</v>
      </c>
      <c r="N177" s="30" t="s">
        <v>2978</v>
      </c>
      <c r="R177">
        <v>176</v>
      </c>
      <c r="S177" t="s">
        <v>2979</v>
      </c>
      <c r="T177" t="s">
        <v>2279</v>
      </c>
      <c r="U177">
        <f t="shared" si="5"/>
        <v>8</v>
      </c>
      <c r="V177" s="30" t="s">
        <v>2980</v>
      </c>
    </row>
    <row r="178" spans="1:22">
      <c r="A178">
        <v>177</v>
      </c>
      <c r="C178" s="7" t="s">
        <v>516</v>
      </c>
      <c r="D178" t="s">
        <v>29</v>
      </c>
      <c r="E178" t="e">
        <f>LEN(#REF!)</f>
        <v>#REF!</v>
      </c>
      <c r="F178" s="49" t="s">
        <v>2981</v>
      </c>
      <c r="J178">
        <v>177</v>
      </c>
      <c r="K178" s="55" t="s">
        <v>795</v>
      </c>
      <c r="L178" t="s">
        <v>643</v>
      </c>
      <c r="M178">
        <f t="shared" si="4"/>
        <v>6</v>
      </c>
      <c r="N178" s="30" t="s">
        <v>2982</v>
      </c>
      <c r="R178">
        <v>177</v>
      </c>
      <c r="S178" t="s">
        <v>2983</v>
      </c>
      <c r="T178" t="s">
        <v>2279</v>
      </c>
      <c r="U178">
        <f t="shared" si="5"/>
        <v>12</v>
      </c>
      <c r="V178" s="30" t="s">
        <v>2984</v>
      </c>
    </row>
    <row r="179" spans="1:22">
      <c r="A179">
        <v>178</v>
      </c>
      <c r="C179" s="7" t="s">
        <v>517</v>
      </c>
      <c r="D179" t="s">
        <v>29</v>
      </c>
      <c r="E179" t="e">
        <f>LEN(#REF!)</f>
        <v>#REF!</v>
      </c>
      <c r="F179" s="49" t="s">
        <v>2985</v>
      </c>
      <c r="J179">
        <v>178</v>
      </c>
      <c r="K179" s="55" t="s">
        <v>796</v>
      </c>
      <c r="L179" t="s">
        <v>643</v>
      </c>
      <c r="M179">
        <f t="shared" si="4"/>
        <v>8</v>
      </c>
      <c r="N179" s="30" t="s">
        <v>2986</v>
      </c>
      <c r="R179">
        <v>178</v>
      </c>
      <c r="S179" t="s">
        <v>2987</v>
      </c>
      <c r="T179" t="s">
        <v>2279</v>
      </c>
      <c r="U179">
        <f t="shared" si="5"/>
        <v>9</v>
      </c>
      <c r="V179" s="30" t="s">
        <v>2988</v>
      </c>
    </row>
    <row r="180" spans="1:22">
      <c r="A180">
        <v>179</v>
      </c>
      <c r="C180" s="7" t="s">
        <v>518</v>
      </c>
      <c r="D180" t="s">
        <v>29</v>
      </c>
      <c r="E180" t="e">
        <f>LEN(#REF!)</f>
        <v>#REF!</v>
      </c>
      <c r="F180" s="49" t="s">
        <v>2989</v>
      </c>
      <c r="J180">
        <v>179</v>
      </c>
      <c r="K180" s="55" t="s">
        <v>797</v>
      </c>
      <c r="L180" t="s">
        <v>643</v>
      </c>
      <c r="M180">
        <f t="shared" si="4"/>
        <v>7</v>
      </c>
      <c r="N180" s="30" t="s">
        <v>2990</v>
      </c>
      <c r="R180">
        <v>179</v>
      </c>
      <c r="S180" t="s">
        <v>2991</v>
      </c>
      <c r="T180" t="s">
        <v>2279</v>
      </c>
      <c r="U180">
        <f t="shared" si="5"/>
        <v>8</v>
      </c>
      <c r="V180" s="30" t="s">
        <v>2992</v>
      </c>
    </row>
    <row r="181" spans="1:22">
      <c r="A181">
        <v>180</v>
      </c>
      <c r="C181" s="7" t="s">
        <v>519</v>
      </c>
      <c r="D181" t="s">
        <v>29</v>
      </c>
      <c r="E181" t="e">
        <f>LEN(#REF!)</f>
        <v>#REF!</v>
      </c>
      <c r="F181" s="49" t="s">
        <v>2993</v>
      </c>
      <c r="J181">
        <v>180</v>
      </c>
      <c r="K181" s="55" t="s">
        <v>798</v>
      </c>
      <c r="L181" t="s">
        <v>643</v>
      </c>
      <c r="M181">
        <f t="shared" si="4"/>
        <v>6</v>
      </c>
      <c r="N181" s="30" t="s">
        <v>2994</v>
      </c>
      <c r="R181">
        <v>180</v>
      </c>
      <c r="S181" t="s">
        <v>2995</v>
      </c>
      <c r="T181" t="s">
        <v>2279</v>
      </c>
      <c r="U181">
        <f t="shared" si="5"/>
        <v>8</v>
      </c>
      <c r="V181" s="30" t="s">
        <v>2996</v>
      </c>
    </row>
    <row r="182" spans="1:22">
      <c r="A182">
        <v>181</v>
      </c>
      <c r="C182" s="7" t="s">
        <v>520</v>
      </c>
      <c r="D182" t="s">
        <v>29</v>
      </c>
      <c r="E182" t="e">
        <f>LEN(#REF!)</f>
        <v>#REF!</v>
      </c>
      <c r="F182" s="49" t="s">
        <v>2997</v>
      </c>
      <c r="J182">
        <v>181</v>
      </c>
      <c r="K182" s="55" t="s">
        <v>799</v>
      </c>
      <c r="L182" t="s">
        <v>643</v>
      </c>
      <c r="M182">
        <f t="shared" si="4"/>
        <v>6</v>
      </c>
      <c r="N182" s="30" t="s">
        <v>2998</v>
      </c>
      <c r="R182">
        <v>181</v>
      </c>
      <c r="S182" t="s">
        <v>2999</v>
      </c>
      <c r="T182" t="s">
        <v>2279</v>
      </c>
      <c r="U182">
        <f t="shared" si="5"/>
        <v>11</v>
      </c>
      <c r="V182" s="30" t="s">
        <v>3000</v>
      </c>
    </row>
    <row r="183" spans="1:22">
      <c r="A183">
        <v>182</v>
      </c>
      <c r="C183" s="7" t="s">
        <v>521</v>
      </c>
      <c r="D183" t="s">
        <v>29</v>
      </c>
      <c r="E183" t="e">
        <f>LEN(#REF!)</f>
        <v>#REF!</v>
      </c>
      <c r="F183" s="49" t="s">
        <v>3001</v>
      </c>
      <c r="J183">
        <v>182</v>
      </c>
      <c r="K183" s="55" t="s">
        <v>800</v>
      </c>
      <c r="L183" t="s">
        <v>643</v>
      </c>
      <c r="M183">
        <f t="shared" si="4"/>
        <v>7</v>
      </c>
      <c r="N183" s="30" t="s">
        <v>3002</v>
      </c>
      <c r="R183">
        <v>182</v>
      </c>
      <c r="S183" t="s">
        <v>3003</v>
      </c>
      <c r="T183" t="s">
        <v>2279</v>
      </c>
      <c r="U183">
        <f t="shared" si="5"/>
        <v>8</v>
      </c>
      <c r="V183" s="30" t="s">
        <v>3004</v>
      </c>
    </row>
    <row r="184" spans="1:22">
      <c r="A184">
        <v>183</v>
      </c>
      <c r="C184" s="7" t="s">
        <v>522</v>
      </c>
      <c r="D184" t="s">
        <v>29</v>
      </c>
      <c r="E184" t="e">
        <f>LEN(#REF!)</f>
        <v>#REF!</v>
      </c>
      <c r="F184" s="49" t="s">
        <v>3005</v>
      </c>
      <c r="J184">
        <v>183</v>
      </c>
      <c r="K184" s="55" t="s">
        <v>801</v>
      </c>
      <c r="L184" t="s">
        <v>643</v>
      </c>
      <c r="M184">
        <f t="shared" si="4"/>
        <v>7</v>
      </c>
      <c r="N184" s="30" t="s">
        <v>3006</v>
      </c>
      <c r="R184">
        <v>183</v>
      </c>
      <c r="S184" t="s">
        <v>3007</v>
      </c>
      <c r="T184" t="s">
        <v>2279</v>
      </c>
      <c r="U184">
        <f t="shared" si="5"/>
        <v>8</v>
      </c>
      <c r="V184" s="30" t="s">
        <v>3008</v>
      </c>
    </row>
    <row r="185" spans="1:22">
      <c r="A185">
        <v>184</v>
      </c>
      <c r="C185" s="7" t="s">
        <v>523</v>
      </c>
      <c r="D185" t="s">
        <v>29</v>
      </c>
      <c r="E185" t="e">
        <f>LEN(#REF!)</f>
        <v>#REF!</v>
      </c>
      <c r="F185" s="49" t="s">
        <v>3009</v>
      </c>
      <c r="J185">
        <v>184</v>
      </c>
      <c r="K185" s="55" t="s">
        <v>802</v>
      </c>
      <c r="L185" t="s">
        <v>643</v>
      </c>
      <c r="M185">
        <f t="shared" si="4"/>
        <v>6</v>
      </c>
      <c r="N185" s="30" t="s">
        <v>3010</v>
      </c>
      <c r="R185">
        <v>184</v>
      </c>
      <c r="S185" t="s">
        <v>3011</v>
      </c>
      <c r="T185" t="s">
        <v>2279</v>
      </c>
      <c r="U185">
        <f t="shared" si="5"/>
        <v>10</v>
      </c>
      <c r="V185" s="30" t="s">
        <v>3012</v>
      </c>
    </row>
    <row r="186" spans="1:22">
      <c r="A186">
        <v>185</v>
      </c>
      <c r="C186" s="7" t="s">
        <v>524</v>
      </c>
      <c r="D186" t="s">
        <v>29</v>
      </c>
      <c r="E186" t="e">
        <f>LEN(#REF!)</f>
        <v>#REF!</v>
      </c>
      <c r="F186" s="49" t="s">
        <v>3013</v>
      </c>
      <c r="J186">
        <v>185</v>
      </c>
      <c r="K186" s="55" t="s">
        <v>803</v>
      </c>
      <c r="L186" t="s">
        <v>643</v>
      </c>
      <c r="M186">
        <f t="shared" si="4"/>
        <v>7</v>
      </c>
      <c r="N186" s="30" t="s">
        <v>3014</v>
      </c>
      <c r="R186">
        <v>185</v>
      </c>
      <c r="S186" t="s">
        <v>3015</v>
      </c>
      <c r="T186" t="s">
        <v>2279</v>
      </c>
      <c r="U186">
        <f t="shared" si="5"/>
        <v>8</v>
      </c>
      <c r="V186" s="30" t="s">
        <v>3016</v>
      </c>
    </row>
    <row r="187" spans="1:22">
      <c r="A187">
        <v>186</v>
      </c>
      <c r="C187" s="7" t="s">
        <v>525</v>
      </c>
      <c r="D187" t="s">
        <v>29</v>
      </c>
      <c r="E187" t="e">
        <f>LEN(#REF!)</f>
        <v>#REF!</v>
      </c>
      <c r="F187" s="49" t="s">
        <v>3017</v>
      </c>
      <c r="J187">
        <v>186</v>
      </c>
      <c r="K187" s="55" t="s">
        <v>804</v>
      </c>
      <c r="L187" t="s">
        <v>643</v>
      </c>
      <c r="M187">
        <f t="shared" si="4"/>
        <v>8</v>
      </c>
      <c r="N187" s="30" t="s">
        <v>3018</v>
      </c>
      <c r="R187">
        <v>186</v>
      </c>
      <c r="S187" t="s">
        <v>3019</v>
      </c>
      <c r="T187" t="s">
        <v>2279</v>
      </c>
      <c r="U187">
        <f t="shared" si="5"/>
        <v>8</v>
      </c>
      <c r="V187" s="30" t="s">
        <v>3020</v>
      </c>
    </row>
    <row r="188" spans="1:22">
      <c r="A188">
        <v>187</v>
      </c>
      <c r="C188" s="7" t="s">
        <v>526</v>
      </c>
      <c r="D188" t="s">
        <v>29</v>
      </c>
      <c r="E188" t="e">
        <f>LEN(#REF!)</f>
        <v>#REF!</v>
      </c>
      <c r="F188" s="49" t="s">
        <v>3021</v>
      </c>
      <c r="J188">
        <v>187</v>
      </c>
      <c r="K188" s="55" t="s">
        <v>805</v>
      </c>
      <c r="L188" t="s">
        <v>643</v>
      </c>
      <c r="M188">
        <f t="shared" si="4"/>
        <v>6</v>
      </c>
      <c r="N188" s="30" t="s">
        <v>3022</v>
      </c>
      <c r="R188">
        <v>187</v>
      </c>
      <c r="S188" t="s">
        <v>3023</v>
      </c>
      <c r="T188" t="s">
        <v>2279</v>
      </c>
      <c r="U188">
        <f t="shared" si="5"/>
        <v>8</v>
      </c>
      <c r="V188" s="30" t="s">
        <v>3024</v>
      </c>
    </row>
    <row r="189" spans="1:22">
      <c r="A189">
        <v>188</v>
      </c>
      <c r="C189" s="7" t="s">
        <v>527</v>
      </c>
      <c r="D189" t="s">
        <v>29</v>
      </c>
      <c r="E189" t="e">
        <f>LEN(#REF!)</f>
        <v>#REF!</v>
      </c>
      <c r="F189" s="49" t="s">
        <v>3025</v>
      </c>
      <c r="J189">
        <v>188</v>
      </c>
      <c r="K189" s="55">
        <v>55555</v>
      </c>
      <c r="L189" t="s">
        <v>643</v>
      </c>
      <c r="M189">
        <f t="shared" si="4"/>
        <v>5</v>
      </c>
      <c r="N189" s="30" t="s">
        <v>3026</v>
      </c>
      <c r="R189">
        <v>188</v>
      </c>
      <c r="S189" t="s">
        <v>3027</v>
      </c>
      <c r="T189" t="s">
        <v>2279</v>
      </c>
      <c r="U189">
        <f t="shared" si="5"/>
        <v>9</v>
      </c>
      <c r="V189" s="30" t="s">
        <v>3028</v>
      </c>
    </row>
    <row r="190" spans="1:22">
      <c r="A190">
        <v>189</v>
      </c>
      <c r="C190" s="7" t="s">
        <v>528</v>
      </c>
      <c r="D190" t="s">
        <v>29</v>
      </c>
      <c r="E190" t="e">
        <f>LEN(#REF!)</f>
        <v>#REF!</v>
      </c>
      <c r="F190" s="49" t="s">
        <v>3029</v>
      </c>
      <c r="J190">
        <v>189</v>
      </c>
      <c r="K190" s="55" t="s">
        <v>806</v>
      </c>
      <c r="L190" t="s">
        <v>643</v>
      </c>
      <c r="M190">
        <f t="shared" si="4"/>
        <v>8</v>
      </c>
      <c r="N190" s="30" t="s">
        <v>3030</v>
      </c>
      <c r="R190">
        <v>189</v>
      </c>
      <c r="S190" t="s">
        <v>3031</v>
      </c>
      <c r="T190" t="s">
        <v>2279</v>
      </c>
      <c r="U190">
        <f t="shared" si="5"/>
        <v>12</v>
      </c>
      <c r="V190" s="30" t="s">
        <v>3032</v>
      </c>
    </row>
    <row r="191" spans="1:22">
      <c r="A191">
        <v>190</v>
      </c>
      <c r="C191" s="7" t="s">
        <v>529</v>
      </c>
      <c r="D191" t="s">
        <v>29</v>
      </c>
      <c r="E191" t="e">
        <f>LEN(#REF!)</f>
        <v>#REF!</v>
      </c>
      <c r="F191" s="53" t="s">
        <v>3033</v>
      </c>
      <c r="J191">
        <v>190</v>
      </c>
      <c r="K191" s="55" t="s">
        <v>807</v>
      </c>
      <c r="L191" t="s">
        <v>643</v>
      </c>
      <c r="M191">
        <f t="shared" si="4"/>
        <v>6</v>
      </c>
      <c r="N191" s="30" t="s">
        <v>3034</v>
      </c>
      <c r="R191">
        <v>190</v>
      </c>
      <c r="S191" t="s">
        <v>3035</v>
      </c>
      <c r="T191" t="s">
        <v>2279</v>
      </c>
      <c r="U191">
        <f t="shared" si="5"/>
        <v>12</v>
      </c>
      <c r="V191" s="30" t="s">
        <v>3036</v>
      </c>
    </row>
    <row r="192" spans="1:22">
      <c r="A192">
        <v>191</v>
      </c>
      <c r="C192" s="9" t="s">
        <v>530</v>
      </c>
      <c r="D192" t="s">
        <v>29</v>
      </c>
      <c r="E192" t="e">
        <f>LEN(#REF!)</f>
        <v>#REF!</v>
      </c>
      <c r="F192" s="49" t="s">
        <v>3037</v>
      </c>
      <c r="J192">
        <v>191</v>
      </c>
      <c r="K192" s="55" t="s">
        <v>808</v>
      </c>
      <c r="L192" t="s">
        <v>643</v>
      </c>
      <c r="M192">
        <f t="shared" si="4"/>
        <v>8</v>
      </c>
      <c r="N192" s="30" t="s">
        <v>3038</v>
      </c>
      <c r="R192">
        <v>191</v>
      </c>
      <c r="S192" t="s">
        <v>3039</v>
      </c>
      <c r="T192" t="s">
        <v>2279</v>
      </c>
      <c r="U192">
        <f t="shared" si="5"/>
        <v>9</v>
      </c>
      <c r="V192" s="30" t="s">
        <v>3040</v>
      </c>
    </row>
    <row r="193" spans="1:22">
      <c r="A193">
        <v>192</v>
      </c>
      <c r="C193" s="7" t="s">
        <v>531</v>
      </c>
      <c r="D193" t="s">
        <v>29</v>
      </c>
      <c r="E193" t="e">
        <f>LEN(#REF!)</f>
        <v>#REF!</v>
      </c>
      <c r="F193" s="49" t="s">
        <v>3041</v>
      </c>
      <c r="J193">
        <v>192</v>
      </c>
      <c r="K193" s="55" t="s">
        <v>809</v>
      </c>
      <c r="L193" t="s">
        <v>643</v>
      </c>
      <c r="M193">
        <f t="shared" si="4"/>
        <v>8</v>
      </c>
      <c r="N193" s="30" t="s">
        <v>3042</v>
      </c>
      <c r="R193">
        <v>192</v>
      </c>
      <c r="S193" t="s">
        <v>3043</v>
      </c>
      <c r="T193" t="s">
        <v>2279</v>
      </c>
      <c r="U193">
        <f t="shared" si="5"/>
        <v>8</v>
      </c>
      <c r="V193" s="30" t="s">
        <v>3044</v>
      </c>
    </row>
    <row r="194" spans="1:22">
      <c r="A194">
        <v>193</v>
      </c>
      <c r="C194" s="7" t="s">
        <v>532</v>
      </c>
      <c r="D194" t="s">
        <v>29</v>
      </c>
      <c r="E194" t="e">
        <f>LEN(#REF!)</f>
        <v>#REF!</v>
      </c>
      <c r="F194" s="49" t="s">
        <v>3045</v>
      </c>
      <c r="J194">
        <v>193</v>
      </c>
      <c r="K194" s="55" t="s">
        <v>810</v>
      </c>
      <c r="L194" t="s">
        <v>643</v>
      </c>
      <c r="M194">
        <f t="shared" si="4"/>
        <v>6</v>
      </c>
      <c r="N194" s="30" t="s">
        <v>3046</v>
      </c>
      <c r="R194">
        <v>193</v>
      </c>
      <c r="S194" t="s">
        <v>3047</v>
      </c>
      <c r="T194" t="s">
        <v>2279</v>
      </c>
      <c r="U194">
        <f t="shared" si="5"/>
        <v>9</v>
      </c>
      <c r="V194" s="30" t="s">
        <v>3048</v>
      </c>
    </row>
    <row r="195" spans="1:22">
      <c r="A195">
        <v>194</v>
      </c>
      <c r="C195" s="7" t="s">
        <v>533</v>
      </c>
      <c r="D195" t="s">
        <v>29</v>
      </c>
      <c r="E195" t="e">
        <f>LEN(#REF!)</f>
        <v>#REF!</v>
      </c>
      <c r="F195" s="49" t="s">
        <v>3049</v>
      </c>
      <c r="J195">
        <v>194</v>
      </c>
      <c r="K195" s="55" t="s">
        <v>811</v>
      </c>
      <c r="L195" t="s">
        <v>643</v>
      </c>
      <c r="M195">
        <f t="shared" ref="M195:M258" si="6">LEN(K195)</f>
        <v>7</v>
      </c>
      <c r="N195" s="30" t="s">
        <v>3050</v>
      </c>
      <c r="R195">
        <v>194</v>
      </c>
      <c r="S195" t="s">
        <v>3051</v>
      </c>
      <c r="T195" t="s">
        <v>2279</v>
      </c>
      <c r="U195">
        <f t="shared" ref="U195:U258" si="7">LEN(S195)</f>
        <v>14</v>
      </c>
      <c r="V195" s="30" t="s">
        <v>3052</v>
      </c>
    </row>
    <row r="196" spans="1:22">
      <c r="A196">
        <v>195</v>
      </c>
      <c r="C196" s="7" t="s">
        <v>534</v>
      </c>
      <c r="D196" t="s">
        <v>29</v>
      </c>
      <c r="E196" t="e">
        <f>LEN(#REF!)</f>
        <v>#REF!</v>
      </c>
      <c r="F196" s="49" t="s">
        <v>3053</v>
      </c>
      <c r="J196">
        <v>195</v>
      </c>
      <c r="K196" s="55" t="s">
        <v>812</v>
      </c>
      <c r="L196" t="s">
        <v>643</v>
      </c>
      <c r="M196">
        <f t="shared" si="6"/>
        <v>6</v>
      </c>
      <c r="N196" s="30" t="s">
        <v>3054</v>
      </c>
      <c r="R196">
        <v>195</v>
      </c>
      <c r="S196" t="s">
        <v>3055</v>
      </c>
      <c r="T196" t="s">
        <v>2279</v>
      </c>
      <c r="U196">
        <f t="shared" si="7"/>
        <v>8</v>
      </c>
      <c r="V196" s="30" t="s">
        <v>3056</v>
      </c>
    </row>
    <row r="197" spans="1:22">
      <c r="A197">
        <v>196</v>
      </c>
      <c r="C197" s="7" t="s">
        <v>535</v>
      </c>
      <c r="D197" t="s">
        <v>29</v>
      </c>
      <c r="E197" t="e">
        <f>LEN(#REF!)</f>
        <v>#REF!</v>
      </c>
      <c r="F197" s="49" t="s">
        <v>3057</v>
      </c>
      <c r="J197">
        <v>196</v>
      </c>
      <c r="K197" s="55">
        <v>123321</v>
      </c>
      <c r="L197" t="s">
        <v>643</v>
      </c>
      <c r="M197">
        <f t="shared" si="6"/>
        <v>6</v>
      </c>
      <c r="N197" s="30" t="s">
        <v>3058</v>
      </c>
      <c r="R197">
        <v>196</v>
      </c>
      <c r="S197" t="s">
        <v>3059</v>
      </c>
      <c r="T197" t="s">
        <v>2279</v>
      </c>
      <c r="U197">
        <f t="shared" si="7"/>
        <v>15</v>
      </c>
      <c r="V197" s="30" t="s">
        <v>3060</v>
      </c>
    </row>
    <row r="198" spans="1:22">
      <c r="A198">
        <v>197</v>
      </c>
      <c r="C198" s="7" t="s">
        <v>536</v>
      </c>
      <c r="D198" t="s">
        <v>29</v>
      </c>
      <c r="E198" t="e">
        <f>LEN(#REF!)</f>
        <v>#REF!</v>
      </c>
      <c r="F198" s="49" t="s">
        <v>3061</v>
      </c>
      <c r="J198">
        <v>197</v>
      </c>
      <c r="K198" s="55" t="s">
        <v>813</v>
      </c>
      <c r="L198" t="s">
        <v>643</v>
      </c>
      <c r="M198">
        <f t="shared" si="6"/>
        <v>6</v>
      </c>
      <c r="N198" s="30" t="s">
        <v>3062</v>
      </c>
      <c r="R198">
        <v>197</v>
      </c>
      <c r="S198" t="s">
        <v>3063</v>
      </c>
      <c r="T198" t="s">
        <v>2279</v>
      </c>
      <c r="U198">
        <f t="shared" si="7"/>
        <v>12</v>
      </c>
      <c r="V198" s="30" t="s">
        <v>3064</v>
      </c>
    </row>
    <row r="199" spans="1:22">
      <c r="A199">
        <v>198</v>
      </c>
      <c r="C199" s="7" t="s">
        <v>537</v>
      </c>
      <c r="D199" t="s">
        <v>29</v>
      </c>
      <c r="E199" t="e">
        <f>LEN(#REF!)</f>
        <v>#REF!</v>
      </c>
      <c r="F199" s="49" t="s">
        <v>3065</v>
      </c>
      <c r="J199">
        <v>198</v>
      </c>
      <c r="K199" s="55" t="s">
        <v>814</v>
      </c>
      <c r="L199" t="s">
        <v>643</v>
      </c>
      <c r="M199">
        <f t="shared" si="6"/>
        <v>9</v>
      </c>
      <c r="N199" s="30" t="s">
        <v>3066</v>
      </c>
      <c r="R199">
        <v>198</v>
      </c>
      <c r="S199" t="s">
        <v>3067</v>
      </c>
      <c r="T199" t="s">
        <v>2279</v>
      </c>
      <c r="U199">
        <f t="shared" si="7"/>
        <v>10</v>
      </c>
      <c r="V199" s="31" t="s">
        <v>3068</v>
      </c>
    </row>
    <row r="200" spans="1:22">
      <c r="A200">
        <v>199</v>
      </c>
      <c r="C200" s="7" t="s">
        <v>538</v>
      </c>
      <c r="D200" t="s">
        <v>29</v>
      </c>
      <c r="E200" t="e">
        <f>LEN(#REF!)</f>
        <v>#REF!</v>
      </c>
      <c r="F200" s="49" t="s">
        <v>3069</v>
      </c>
      <c r="J200">
        <v>199</v>
      </c>
      <c r="K200" s="55" t="s">
        <v>815</v>
      </c>
      <c r="L200" t="s">
        <v>643</v>
      </c>
      <c r="M200">
        <f t="shared" si="6"/>
        <v>6</v>
      </c>
      <c r="N200" s="30" t="s">
        <v>3070</v>
      </c>
      <c r="R200">
        <v>199</v>
      </c>
      <c r="S200" t="s">
        <v>3071</v>
      </c>
      <c r="T200" t="s">
        <v>2279</v>
      </c>
      <c r="U200">
        <f t="shared" si="7"/>
        <v>16</v>
      </c>
      <c r="V200" s="30" t="s">
        <v>3072</v>
      </c>
    </row>
    <row r="201" spans="1:22">
      <c r="A201">
        <v>200</v>
      </c>
      <c r="C201" s="7" t="s">
        <v>539</v>
      </c>
      <c r="D201" t="s">
        <v>29</v>
      </c>
      <c r="E201" t="e">
        <f>LEN(#REF!)</f>
        <v>#REF!</v>
      </c>
      <c r="F201" s="49" t="s">
        <v>3073</v>
      </c>
      <c r="J201">
        <v>200</v>
      </c>
      <c r="K201" s="55" t="s">
        <v>816</v>
      </c>
      <c r="L201" t="s">
        <v>643</v>
      </c>
      <c r="M201">
        <f t="shared" si="6"/>
        <v>9</v>
      </c>
      <c r="N201" s="30" t="s">
        <v>3074</v>
      </c>
      <c r="R201">
        <v>200</v>
      </c>
      <c r="S201" t="s">
        <v>3075</v>
      </c>
      <c r="T201" t="s">
        <v>2279</v>
      </c>
      <c r="U201">
        <f t="shared" si="7"/>
        <v>9</v>
      </c>
      <c r="V201" s="30" t="s">
        <v>3076</v>
      </c>
    </row>
    <row r="202" spans="1:22">
      <c r="A202">
        <v>201</v>
      </c>
      <c r="C202" s="7" t="s">
        <v>540</v>
      </c>
      <c r="D202" t="s">
        <v>29</v>
      </c>
      <c r="E202" t="e">
        <f>LEN(#REF!)</f>
        <v>#REF!</v>
      </c>
      <c r="F202" s="49" t="s">
        <v>3077</v>
      </c>
      <c r="J202">
        <v>201</v>
      </c>
      <c r="K202" s="55" t="s">
        <v>817</v>
      </c>
      <c r="L202" t="s">
        <v>643</v>
      </c>
      <c r="M202">
        <f t="shared" si="6"/>
        <v>8</v>
      </c>
      <c r="N202" s="30" t="s">
        <v>3078</v>
      </c>
      <c r="R202">
        <v>201</v>
      </c>
      <c r="S202" t="s">
        <v>3079</v>
      </c>
      <c r="T202" t="s">
        <v>2279</v>
      </c>
      <c r="U202">
        <f t="shared" si="7"/>
        <v>15</v>
      </c>
      <c r="V202" s="30" t="s">
        <v>3080</v>
      </c>
    </row>
    <row r="203" spans="1:22">
      <c r="A203">
        <v>202</v>
      </c>
      <c r="C203" s="7" t="s">
        <v>541</v>
      </c>
      <c r="D203" t="s">
        <v>29</v>
      </c>
      <c r="E203" t="e">
        <f>LEN(#REF!)</f>
        <v>#REF!</v>
      </c>
      <c r="F203" s="49" t="s">
        <v>3081</v>
      </c>
      <c r="J203">
        <v>202</v>
      </c>
      <c r="K203" s="55" t="s">
        <v>818</v>
      </c>
      <c r="L203" t="s">
        <v>643</v>
      </c>
      <c r="M203">
        <f t="shared" si="6"/>
        <v>6</v>
      </c>
      <c r="N203" s="30" t="s">
        <v>3082</v>
      </c>
      <c r="R203">
        <v>202</v>
      </c>
      <c r="S203" t="s">
        <v>3083</v>
      </c>
      <c r="T203" t="s">
        <v>2279</v>
      </c>
      <c r="U203">
        <f t="shared" si="7"/>
        <v>9</v>
      </c>
      <c r="V203" s="30" t="s">
        <v>3084</v>
      </c>
    </row>
    <row r="204" spans="1:22">
      <c r="A204">
        <v>203</v>
      </c>
      <c r="C204" s="7" t="s">
        <v>542</v>
      </c>
      <c r="D204" t="s">
        <v>29</v>
      </c>
      <c r="E204" t="e">
        <f>LEN(#REF!)</f>
        <v>#REF!</v>
      </c>
      <c r="F204" s="49" t="s">
        <v>3085</v>
      </c>
      <c r="J204">
        <v>203</v>
      </c>
      <c r="K204" s="55" t="s">
        <v>819</v>
      </c>
      <c r="L204" t="s">
        <v>643</v>
      </c>
      <c r="M204">
        <f t="shared" si="6"/>
        <v>8</v>
      </c>
      <c r="N204" s="30" t="s">
        <v>3086</v>
      </c>
      <c r="R204">
        <v>203</v>
      </c>
      <c r="S204" t="s">
        <v>3087</v>
      </c>
      <c r="T204" t="s">
        <v>2279</v>
      </c>
      <c r="U204">
        <f t="shared" si="7"/>
        <v>15</v>
      </c>
      <c r="V204" s="30" t="s">
        <v>3088</v>
      </c>
    </row>
    <row r="205" spans="1:22">
      <c r="A205">
        <v>204</v>
      </c>
      <c r="C205" s="7" t="s">
        <v>543</v>
      </c>
      <c r="D205" t="s">
        <v>29</v>
      </c>
      <c r="E205" t="e">
        <f>LEN(#REF!)</f>
        <v>#REF!</v>
      </c>
      <c r="F205" s="49" t="s">
        <v>3089</v>
      </c>
      <c r="J205">
        <v>204</v>
      </c>
      <c r="K205" s="55" t="s">
        <v>820</v>
      </c>
      <c r="L205" t="s">
        <v>643</v>
      </c>
      <c r="M205">
        <f t="shared" si="6"/>
        <v>5</v>
      </c>
      <c r="N205" s="30" t="s">
        <v>3090</v>
      </c>
      <c r="R205">
        <v>204</v>
      </c>
      <c r="S205" t="s">
        <v>3091</v>
      </c>
      <c r="T205" t="s">
        <v>2279</v>
      </c>
      <c r="U205">
        <f t="shared" si="7"/>
        <v>9</v>
      </c>
      <c r="V205" s="30" t="s">
        <v>3092</v>
      </c>
    </row>
    <row r="206" spans="1:22">
      <c r="A206">
        <v>205</v>
      </c>
      <c r="C206" s="7" t="s">
        <v>544</v>
      </c>
      <c r="D206" t="s">
        <v>29</v>
      </c>
      <c r="E206" t="e">
        <f>LEN(#REF!)</f>
        <v>#REF!</v>
      </c>
      <c r="F206" s="49" t="s">
        <v>3093</v>
      </c>
      <c r="J206">
        <v>205</v>
      </c>
      <c r="K206" s="55" t="s">
        <v>821</v>
      </c>
      <c r="L206" t="s">
        <v>643</v>
      </c>
      <c r="M206">
        <f t="shared" si="6"/>
        <v>8</v>
      </c>
      <c r="N206" s="31" t="s">
        <v>3094</v>
      </c>
      <c r="R206">
        <v>205</v>
      </c>
      <c r="S206" t="s">
        <v>3095</v>
      </c>
      <c r="T206" t="s">
        <v>2279</v>
      </c>
      <c r="U206">
        <f t="shared" si="7"/>
        <v>11</v>
      </c>
      <c r="V206" s="30" t="s">
        <v>3096</v>
      </c>
    </row>
    <row r="207" spans="1:22">
      <c r="A207">
        <v>206</v>
      </c>
      <c r="C207" s="7" t="s">
        <v>545</v>
      </c>
      <c r="D207" t="s">
        <v>29</v>
      </c>
      <c r="E207" t="e">
        <f>LEN(#REF!)</f>
        <v>#REF!</v>
      </c>
      <c r="F207" s="49" t="s">
        <v>3097</v>
      </c>
      <c r="J207">
        <v>206</v>
      </c>
      <c r="K207" s="55" t="s">
        <v>822</v>
      </c>
      <c r="L207" t="s">
        <v>643</v>
      </c>
      <c r="M207">
        <f t="shared" si="6"/>
        <v>9</v>
      </c>
      <c r="N207" s="30" t="s">
        <v>3098</v>
      </c>
      <c r="R207">
        <v>206</v>
      </c>
      <c r="S207" t="s">
        <v>3099</v>
      </c>
      <c r="T207" t="s">
        <v>2279</v>
      </c>
      <c r="U207">
        <f t="shared" si="7"/>
        <v>10</v>
      </c>
      <c r="V207" s="30" t="s">
        <v>3100</v>
      </c>
    </row>
    <row r="208" spans="1:22">
      <c r="A208">
        <v>207</v>
      </c>
      <c r="C208" s="7" t="s">
        <v>546</v>
      </c>
      <c r="D208" t="s">
        <v>29</v>
      </c>
      <c r="E208" t="e">
        <f>LEN(#REF!)</f>
        <v>#REF!</v>
      </c>
      <c r="F208" s="49" t="s">
        <v>3101</v>
      </c>
      <c r="J208">
        <v>207</v>
      </c>
      <c r="K208" s="55" t="s">
        <v>823</v>
      </c>
      <c r="L208" t="s">
        <v>643</v>
      </c>
      <c r="M208">
        <f t="shared" si="6"/>
        <v>6</v>
      </c>
      <c r="N208" s="30" t="s">
        <v>3102</v>
      </c>
      <c r="R208">
        <v>207</v>
      </c>
      <c r="S208" t="s">
        <v>3103</v>
      </c>
      <c r="T208" t="s">
        <v>2279</v>
      </c>
      <c r="U208">
        <f t="shared" si="7"/>
        <v>8</v>
      </c>
      <c r="V208" s="30" t="s">
        <v>3104</v>
      </c>
    </row>
    <row r="209" spans="1:22">
      <c r="A209">
        <v>208</v>
      </c>
      <c r="C209" s="7" t="s">
        <v>547</v>
      </c>
      <c r="D209" t="s">
        <v>29</v>
      </c>
      <c r="E209" t="e">
        <f>LEN(#REF!)</f>
        <v>#REF!</v>
      </c>
      <c r="F209" s="49" t="s">
        <v>3105</v>
      </c>
      <c r="J209">
        <v>208</v>
      </c>
      <c r="K209" s="55" t="s">
        <v>824</v>
      </c>
      <c r="L209" t="s">
        <v>643</v>
      </c>
      <c r="M209">
        <f t="shared" si="6"/>
        <v>6</v>
      </c>
      <c r="N209" s="30" t="s">
        <v>3106</v>
      </c>
      <c r="R209">
        <v>208</v>
      </c>
      <c r="S209" t="s">
        <v>3107</v>
      </c>
      <c r="T209" t="s">
        <v>2279</v>
      </c>
      <c r="U209">
        <f t="shared" si="7"/>
        <v>8</v>
      </c>
      <c r="V209" s="30" t="s">
        <v>3108</v>
      </c>
    </row>
    <row r="210" spans="1:22">
      <c r="A210">
        <v>209</v>
      </c>
      <c r="C210" s="7" t="s">
        <v>548</v>
      </c>
      <c r="D210" t="s">
        <v>29</v>
      </c>
      <c r="E210" t="e">
        <f>LEN(#REF!)</f>
        <v>#REF!</v>
      </c>
      <c r="F210" s="49" t="s">
        <v>3109</v>
      </c>
      <c r="J210">
        <v>209</v>
      </c>
      <c r="K210" s="55" t="s">
        <v>825</v>
      </c>
      <c r="L210" t="s">
        <v>643</v>
      </c>
      <c r="M210">
        <f t="shared" si="6"/>
        <v>6</v>
      </c>
      <c r="N210" s="30" t="s">
        <v>3110</v>
      </c>
      <c r="R210">
        <v>209</v>
      </c>
      <c r="S210" t="s">
        <v>3111</v>
      </c>
      <c r="T210" t="s">
        <v>2279</v>
      </c>
      <c r="U210">
        <f t="shared" si="7"/>
        <v>8</v>
      </c>
      <c r="V210" s="30" t="s">
        <v>3112</v>
      </c>
    </row>
    <row r="211" spans="1:22">
      <c r="A211">
        <v>210</v>
      </c>
      <c r="C211" s="7" t="s">
        <v>549</v>
      </c>
      <c r="D211" t="s">
        <v>29</v>
      </c>
      <c r="E211" t="e">
        <f>LEN(#REF!)</f>
        <v>#REF!</v>
      </c>
      <c r="F211" s="51" t="s">
        <v>3113</v>
      </c>
      <c r="J211">
        <v>210</v>
      </c>
      <c r="K211" s="55" t="s">
        <v>826</v>
      </c>
      <c r="L211" t="s">
        <v>643</v>
      </c>
      <c r="M211">
        <f t="shared" si="6"/>
        <v>8</v>
      </c>
      <c r="N211" s="30" t="s">
        <v>3114</v>
      </c>
      <c r="R211">
        <v>210</v>
      </c>
      <c r="S211" t="s">
        <v>3115</v>
      </c>
      <c r="T211" t="s">
        <v>2279</v>
      </c>
      <c r="U211">
        <f t="shared" si="7"/>
        <v>8</v>
      </c>
      <c r="V211" s="31" t="s">
        <v>3116</v>
      </c>
    </row>
    <row r="212" spans="1:22">
      <c r="A212">
        <v>211</v>
      </c>
      <c r="C212" s="9" t="s">
        <v>550</v>
      </c>
      <c r="D212" t="s">
        <v>29</v>
      </c>
      <c r="E212" t="e">
        <f>LEN(#REF!)</f>
        <v>#REF!</v>
      </c>
      <c r="F212" s="49" t="s">
        <v>3117</v>
      </c>
      <c r="J212">
        <v>211</v>
      </c>
      <c r="K212" s="55" t="s">
        <v>827</v>
      </c>
      <c r="L212" t="s">
        <v>643</v>
      </c>
      <c r="M212">
        <f t="shared" si="6"/>
        <v>6</v>
      </c>
      <c r="N212" s="30" t="s">
        <v>3118</v>
      </c>
      <c r="R212">
        <v>211</v>
      </c>
      <c r="S212" t="s">
        <v>3119</v>
      </c>
      <c r="T212" t="s">
        <v>2279</v>
      </c>
      <c r="U212">
        <f t="shared" si="7"/>
        <v>8</v>
      </c>
      <c r="V212" s="30" t="s">
        <v>3120</v>
      </c>
    </row>
    <row r="213" spans="1:22">
      <c r="A213">
        <v>212</v>
      </c>
      <c r="C213" s="7" t="s">
        <v>551</v>
      </c>
      <c r="D213" t="s">
        <v>29</v>
      </c>
      <c r="E213" t="e">
        <f>LEN(#REF!)</f>
        <v>#REF!</v>
      </c>
      <c r="F213" s="49" t="s">
        <v>3121</v>
      </c>
      <c r="J213">
        <v>212</v>
      </c>
      <c r="K213" s="55" t="s">
        <v>828</v>
      </c>
      <c r="L213" t="s">
        <v>643</v>
      </c>
      <c r="M213">
        <f t="shared" si="6"/>
        <v>7</v>
      </c>
      <c r="N213" s="30" t="s">
        <v>3122</v>
      </c>
      <c r="R213">
        <v>212</v>
      </c>
      <c r="S213" t="s">
        <v>3123</v>
      </c>
      <c r="T213" t="s">
        <v>2279</v>
      </c>
      <c r="U213">
        <f t="shared" si="7"/>
        <v>8</v>
      </c>
      <c r="V213" s="30" t="s">
        <v>3124</v>
      </c>
    </row>
    <row r="214" spans="1:22">
      <c r="A214">
        <v>213</v>
      </c>
      <c r="C214" s="7" t="s">
        <v>552</v>
      </c>
      <c r="D214" t="s">
        <v>29</v>
      </c>
      <c r="E214" t="e">
        <f>LEN(#REF!)</f>
        <v>#REF!</v>
      </c>
      <c r="F214" s="49" t="s">
        <v>3125</v>
      </c>
      <c r="J214">
        <v>213</v>
      </c>
      <c r="K214" s="55" t="s">
        <v>829</v>
      </c>
      <c r="L214" t="s">
        <v>643</v>
      </c>
      <c r="M214">
        <f t="shared" si="6"/>
        <v>8</v>
      </c>
      <c r="N214" s="30" t="s">
        <v>3126</v>
      </c>
      <c r="R214">
        <v>213</v>
      </c>
      <c r="S214" t="s">
        <v>3127</v>
      </c>
      <c r="T214" t="s">
        <v>2279</v>
      </c>
      <c r="U214">
        <f t="shared" si="7"/>
        <v>10</v>
      </c>
      <c r="V214" s="30" t="s">
        <v>3128</v>
      </c>
    </row>
    <row r="215" spans="1:22">
      <c r="A215">
        <v>214</v>
      </c>
      <c r="C215" s="7" t="s">
        <v>553</v>
      </c>
      <c r="D215" t="s">
        <v>29</v>
      </c>
      <c r="E215" t="e">
        <f>LEN(#REF!)</f>
        <v>#REF!</v>
      </c>
      <c r="F215" s="49" t="s">
        <v>3129</v>
      </c>
      <c r="J215">
        <v>214</v>
      </c>
      <c r="K215" s="55" t="s">
        <v>830</v>
      </c>
      <c r="L215" t="s">
        <v>643</v>
      </c>
      <c r="M215">
        <f t="shared" si="6"/>
        <v>7</v>
      </c>
      <c r="N215" s="30" t="s">
        <v>3130</v>
      </c>
      <c r="R215">
        <v>214</v>
      </c>
      <c r="S215" t="s">
        <v>3131</v>
      </c>
      <c r="T215" t="s">
        <v>2279</v>
      </c>
      <c r="U215">
        <f t="shared" si="7"/>
        <v>8</v>
      </c>
      <c r="V215" s="30" t="s">
        <v>3132</v>
      </c>
    </row>
    <row r="216" spans="1:22">
      <c r="A216">
        <v>215</v>
      </c>
      <c r="C216" s="7" t="s">
        <v>554</v>
      </c>
      <c r="D216" t="s">
        <v>29</v>
      </c>
      <c r="E216" t="e">
        <f>LEN(#REF!)</f>
        <v>#REF!</v>
      </c>
      <c r="F216" s="49" t="s">
        <v>3133</v>
      </c>
      <c r="J216">
        <v>215</v>
      </c>
      <c r="K216" s="55" t="s">
        <v>831</v>
      </c>
      <c r="L216" t="s">
        <v>643</v>
      </c>
      <c r="M216">
        <f t="shared" si="6"/>
        <v>6</v>
      </c>
      <c r="N216" s="30" t="s">
        <v>3134</v>
      </c>
      <c r="R216">
        <v>215</v>
      </c>
      <c r="S216" t="s">
        <v>3135</v>
      </c>
      <c r="T216" t="s">
        <v>2279</v>
      </c>
      <c r="U216">
        <f t="shared" si="7"/>
        <v>16</v>
      </c>
      <c r="V216" s="30" t="s">
        <v>3136</v>
      </c>
    </row>
    <row r="217" spans="1:22">
      <c r="A217">
        <v>216</v>
      </c>
      <c r="C217" s="7" t="s">
        <v>555</v>
      </c>
      <c r="D217" t="s">
        <v>29</v>
      </c>
      <c r="E217" t="e">
        <f>LEN(#REF!)</f>
        <v>#REF!</v>
      </c>
      <c r="F217" s="49" t="s">
        <v>3137</v>
      </c>
      <c r="J217">
        <v>216</v>
      </c>
      <c r="K217" s="55" t="s">
        <v>832</v>
      </c>
      <c r="L217" t="s">
        <v>643</v>
      </c>
      <c r="M217">
        <f t="shared" si="6"/>
        <v>6</v>
      </c>
      <c r="N217" s="30" t="s">
        <v>3138</v>
      </c>
      <c r="R217">
        <v>216</v>
      </c>
      <c r="S217" t="s">
        <v>3139</v>
      </c>
      <c r="T217" t="s">
        <v>2279</v>
      </c>
      <c r="U217">
        <f t="shared" si="7"/>
        <v>12</v>
      </c>
      <c r="V217" s="30" t="s">
        <v>3140</v>
      </c>
    </row>
    <row r="218" spans="1:22">
      <c r="A218">
        <v>217</v>
      </c>
      <c r="C218" s="7" t="s">
        <v>556</v>
      </c>
      <c r="D218" t="s">
        <v>29</v>
      </c>
      <c r="E218" t="e">
        <f>LEN(#REF!)</f>
        <v>#REF!</v>
      </c>
      <c r="F218" s="49" t="s">
        <v>3141</v>
      </c>
      <c r="J218">
        <v>217</v>
      </c>
      <c r="K218" s="55" t="s">
        <v>833</v>
      </c>
      <c r="L218" t="s">
        <v>643</v>
      </c>
      <c r="M218">
        <f t="shared" si="6"/>
        <v>10</v>
      </c>
      <c r="N218" s="30" t="s">
        <v>3142</v>
      </c>
      <c r="R218">
        <v>217</v>
      </c>
      <c r="S218" t="s">
        <v>3143</v>
      </c>
      <c r="T218" t="s">
        <v>2279</v>
      </c>
      <c r="U218">
        <f t="shared" si="7"/>
        <v>8</v>
      </c>
      <c r="V218" s="30" t="s">
        <v>3144</v>
      </c>
    </row>
    <row r="219" spans="1:22">
      <c r="A219">
        <v>218</v>
      </c>
      <c r="C219" s="7" t="s">
        <v>557</v>
      </c>
      <c r="D219" t="s">
        <v>29</v>
      </c>
      <c r="E219" t="e">
        <f>LEN(#REF!)</f>
        <v>#REF!</v>
      </c>
      <c r="F219" s="49" t="s">
        <v>3145</v>
      </c>
      <c r="J219">
        <v>218</v>
      </c>
      <c r="K219" s="55" t="s">
        <v>834</v>
      </c>
      <c r="L219" t="s">
        <v>643</v>
      </c>
      <c r="M219">
        <f t="shared" si="6"/>
        <v>7</v>
      </c>
      <c r="N219" s="30" t="s">
        <v>3146</v>
      </c>
      <c r="R219">
        <v>218</v>
      </c>
      <c r="S219" t="s">
        <v>3147</v>
      </c>
      <c r="T219" t="s">
        <v>2279</v>
      </c>
      <c r="U219">
        <f t="shared" si="7"/>
        <v>8</v>
      </c>
      <c r="V219" s="30" t="s">
        <v>3148</v>
      </c>
    </row>
    <row r="220" spans="1:22">
      <c r="A220">
        <v>219</v>
      </c>
      <c r="C220" s="7" t="s">
        <v>558</v>
      </c>
      <c r="D220" t="s">
        <v>29</v>
      </c>
      <c r="E220" t="e">
        <f>LEN(#REF!)</f>
        <v>#REF!</v>
      </c>
      <c r="F220" s="49" t="s">
        <v>3149</v>
      </c>
      <c r="J220">
        <v>219</v>
      </c>
      <c r="K220" s="55" t="s">
        <v>835</v>
      </c>
      <c r="L220" t="s">
        <v>643</v>
      </c>
      <c r="M220">
        <f t="shared" si="6"/>
        <v>9</v>
      </c>
      <c r="N220" s="30" t="s">
        <v>3150</v>
      </c>
      <c r="R220">
        <v>219</v>
      </c>
      <c r="S220" t="s">
        <v>3151</v>
      </c>
      <c r="T220" t="s">
        <v>2279</v>
      </c>
      <c r="U220">
        <f t="shared" si="7"/>
        <v>8</v>
      </c>
      <c r="V220" s="30" t="s">
        <v>3152</v>
      </c>
    </row>
    <row r="221" spans="1:22">
      <c r="A221">
        <v>220</v>
      </c>
      <c r="C221" s="7" t="s">
        <v>559</v>
      </c>
      <c r="D221" t="s">
        <v>29</v>
      </c>
      <c r="E221" t="e">
        <f>LEN(#REF!)</f>
        <v>#REF!</v>
      </c>
      <c r="F221" s="49" t="s">
        <v>3153</v>
      </c>
      <c r="J221">
        <v>220</v>
      </c>
      <c r="K221" s="55" t="s">
        <v>836</v>
      </c>
      <c r="L221" t="s">
        <v>643</v>
      </c>
      <c r="M221">
        <f t="shared" si="6"/>
        <v>8</v>
      </c>
      <c r="N221" s="30" t="s">
        <v>3154</v>
      </c>
      <c r="R221">
        <v>220</v>
      </c>
      <c r="S221" t="s">
        <v>3155</v>
      </c>
      <c r="T221" t="s">
        <v>2279</v>
      </c>
      <c r="U221">
        <f t="shared" si="7"/>
        <v>8</v>
      </c>
      <c r="V221" s="30" t="s">
        <v>3156</v>
      </c>
    </row>
    <row r="222" spans="1:22">
      <c r="A222">
        <v>221</v>
      </c>
      <c r="C222" s="7" t="s">
        <v>560</v>
      </c>
      <c r="D222" t="s">
        <v>29</v>
      </c>
      <c r="E222" t="e">
        <f>LEN(#REF!)</f>
        <v>#REF!</v>
      </c>
      <c r="F222" s="49" t="s">
        <v>3157</v>
      </c>
      <c r="J222">
        <v>221</v>
      </c>
      <c r="K222" s="55" t="s">
        <v>837</v>
      </c>
      <c r="L222" t="s">
        <v>643</v>
      </c>
      <c r="M222">
        <f t="shared" si="6"/>
        <v>6</v>
      </c>
      <c r="N222" s="30" t="s">
        <v>3158</v>
      </c>
      <c r="R222">
        <v>221</v>
      </c>
      <c r="S222" t="s">
        <v>3159</v>
      </c>
      <c r="T222" t="s">
        <v>2279</v>
      </c>
      <c r="U222">
        <f t="shared" si="7"/>
        <v>12</v>
      </c>
      <c r="V222" s="30" t="s">
        <v>3160</v>
      </c>
    </row>
    <row r="223" spans="1:22">
      <c r="A223">
        <v>222</v>
      </c>
      <c r="C223" s="7" t="s">
        <v>561</v>
      </c>
      <c r="D223" t="s">
        <v>29</v>
      </c>
      <c r="E223" t="e">
        <f>LEN(#REF!)</f>
        <v>#REF!</v>
      </c>
      <c r="F223" s="49" t="s">
        <v>3161</v>
      </c>
      <c r="J223">
        <v>222</v>
      </c>
      <c r="K223" s="55" t="s">
        <v>838</v>
      </c>
      <c r="L223" t="s">
        <v>643</v>
      </c>
      <c r="M223">
        <f t="shared" si="6"/>
        <v>7</v>
      </c>
      <c r="N223" s="30" t="s">
        <v>3162</v>
      </c>
      <c r="R223">
        <v>222</v>
      </c>
      <c r="S223" t="s">
        <v>3163</v>
      </c>
      <c r="T223" t="s">
        <v>2279</v>
      </c>
      <c r="U223">
        <f t="shared" si="7"/>
        <v>8</v>
      </c>
      <c r="V223" s="30" t="s">
        <v>3164</v>
      </c>
    </row>
    <row r="224" spans="1:22">
      <c r="A224">
        <v>223</v>
      </c>
      <c r="C224" s="7" t="s">
        <v>562</v>
      </c>
      <c r="D224" t="s">
        <v>29</v>
      </c>
      <c r="E224" t="e">
        <f>LEN(#REF!)</f>
        <v>#REF!</v>
      </c>
      <c r="F224" s="49" t="s">
        <v>3165</v>
      </c>
      <c r="J224">
        <v>223</v>
      </c>
      <c r="K224" s="55" t="s">
        <v>839</v>
      </c>
      <c r="L224" t="s">
        <v>643</v>
      </c>
      <c r="M224">
        <f t="shared" si="6"/>
        <v>6</v>
      </c>
      <c r="N224" s="30" t="s">
        <v>3166</v>
      </c>
      <c r="R224">
        <v>223</v>
      </c>
      <c r="S224" t="s">
        <v>3167</v>
      </c>
      <c r="T224" t="s">
        <v>2279</v>
      </c>
      <c r="U224">
        <f t="shared" si="7"/>
        <v>9</v>
      </c>
      <c r="V224" s="30" t="s">
        <v>3168</v>
      </c>
    </row>
    <row r="225" spans="1:22">
      <c r="A225">
        <v>224</v>
      </c>
      <c r="C225" s="7" t="s">
        <v>563</v>
      </c>
      <c r="D225" t="s">
        <v>29</v>
      </c>
      <c r="E225" t="e">
        <f>LEN(#REF!)</f>
        <v>#REF!</v>
      </c>
      <c r="F225" s="49" t="s">
        <v>3169</v>
      </c>
      <c r="J225">
        <v>224</v>
      </c>
      <c r="K225" s="55" t="s">
        <v>840</v>
      </c>
      <c r="L225" t="s">
        <v>643</v>
      </c>
      <c r="M225">
        <f t="shared" si="6"/>
        <v>6</v>
      </c>
      <c r="N225" s="30" t="s">
        <v>3170</v>
      </c>
      <c r="R225">
        <v>224</v>
      </c>
      <c r="S225" t="s">
        <v>3171</v>
      </c>
      <c r="T225" t="s">
        <v>2279</v>
      </c>
      <c r="U225">
        <f t="shared" si="7"/>
        <v>8</v>
      </c>
      <c r="V225" s="30" t="s">
        <v>3172</v>
      </c>
    </row>
    <row r="226" spans="1:22">
      <c r="A226">
        <v>225</v>
      </c>
      <c r="C226" s="7" t="s">
        <v>564</v>
      </c>
      <c r="D226" t="s">
        <v>29</v>
      </c>
      <c r="E226" t="e">
        <f>LEN(#REF!)</f>
        <v>#REF!</v>
      </c>
      <c r="F226" s="49" t="s">
        <v>3173</v>
      </c>
      <c r="J226">
        <v>225</v>
      </c>
      <c r="K226" s="55" t="s">
        <v>841</v>
      </c>
      <c r="L226" t="s">
        <v>643</v>
      </c>
      <c r="M226">
        <f t="shared" si="6"/>
        <v>7</v>
      </c>
      <c r="N226" s="30" t="s">
        <v>3174</v>
      </c>
      <c r="R226">
        <v>225</v>
      </c>
      <c r="S226" t="s">
        <v>3175</v>
      </c>
      <c r="T226" t="s">
        <v>2279</v>
      </c>
      <c r="U226">
        <f t="shared" si="7"/>
        <v>14</v>
      </c>
      <c r="V226" s="30" t="s">
        <v>3176</v>
      </c>
    </row>
    <row r="227" spans="1:22">
      <c r="A227">
        <v>226</v>
      </c>
      <c r="C227" s="7" t="s">
        <v>565</v>
      </c>
      <c r="D227" t="s">
        <v>29</v>
      </c>
      <c r="E227" t="e">
        <f>LEN(#REF!)</f>
        <v>#REF!</v>
      </c>
      <c r="F227" s="49" t="s">
        <v>3177</v>
      </c>
      <c r="J227">
        <v>226</v>
      </c>
      <c r="K227" s="55" t="s">
        <v>842</v>
      </c>
      <c r="L227" t="s">
        <v>643</v>
      </c>
      <c r="M227">
        <f t="shared" si="6"/>
        <v>7</v>
      </c>
      <c r="N227" s="30" t="s">
        <v>3178</v>
      </c>
      <c r="R227">
        <v>226</v>
      </c>
      <c r="S227" t="s">
        <v>3179</v>
      </c>
      <c r="T227" t="s">
        <v>2279</v>
      </c>
      <c r="U227">
        <f t="shared" si="7"/>
        <v>10</v>
      </c>
      <c r="V227" s="30" t="s">
        <v>3180</v>
      </c>
    </row>
    <row r="228" spans="1:22">
      <c r="A228">
        <v>227</v>
      </c>
      <c r="C228" s="7" t="s">
        <v>566</v>
      </c>
      <c r="D228" t="s">
        <v>29</v>
      </c>
      <c r="E228" t="e">
        <f>LEN(#REF!)</f>
        <v>#REF!</v>
      </c>
      <c r="F228" s="49" t="s">
        <v>3181</v>
      </c>
      <c r="J228">
        <v>227</v>
      </c>
      <c r="K228" s="55" t="s">
        <v>843</v>
      </c>
      <c r="L228" t="s">
        <v>643</v>
      </c>
      <c r="M228">
        <f t="shared" si="6"/>
        <v>7</v>
      </c>
      <c r="N228" s="30" t="s">
        <v>3182</v>
      </c>
      <c r="R228">
        <v>227</v>
      </c>
      <c r="S228" t="s">
        <v>3183</v>
      </c>
      <c r="T228" t="s">
        <v>2279</v>
      </c>
      <c r="U228">
        <f t="shared" si="7"/>
        <v>12</v>
      </c>
      <c r="V228" s="30" t="s">
        <v>3184</v>
      </c>
    </row>
    <row r="229" spans="1:22">
      <c r="A229">
        <v>228</v>
      </c>
      <c r="C229" s="7" t="s">
        <v>567</v>
      </c>
      <c r="D229" t="s">
        <v>29</v>
      </c>
      <c r="E229" t="e">
        <f>LEN(#REF!)</f>
        <v>#REF!</v>
      </c>
      <c r="F229" s="49" t="s">
        <v>3185</v>
      </c>
      <c r="J229">
        <v>228</v>
      </c>
      <c r="K229" s="55" t="s">
        <v>844</v>
      </c>
      <c r="L229" t="s">
        <v>643</v>
      </c>
      <c r="M229">
        <f t="shared" si="6"/>
        <v>6</v>
      </c>
      <c r="N229" s="30" t="s">
        <v>3186</v>
      </c>
      <c r="R229">
        <v>228</v>
      </c>
      <c r="S229" t="s">
        <v>3187</v>
      </c>
      <c r="T229" t="s">
        <v>2279</v>
      </c>
      <c r="U229">
        <f t="shared" si="7"/>
        <v>8</v>
      </c>
      <c r="V229" s="30" t="s">
        <v>3188</v>
      </c>
    </row>
    <row r="230" spans="1:22">
      <c r="A230">
        <v>229</v>
      </c>
      <c r="C230" s="7" t="s">
        <v>568</v>
      </c>
      <c r="D230" t="s">
        <v>29</v>
      </c>
      <c r="E230" t="e">
        <f>LEN(#REF!)</f>
        <v>#REF!</v>
      </c>
      <c r="F230" s="49" t="s">
        <v>3189</v>
      </c>
      <c r="J230">
        <v>229</v>
      </c>
      <c r="K230" s="55" t="s">
        <v>845</v>
      </c>
      <c r="L230" t="s">
        <v>643</v>
      </c>
      <c r="M230">
        <f t="shared" si="6"/>
        <v>8</v>
      </c>
      <c r="N230" s="30" t="s">
        <v>3190</v>
      </c>
      <c r="R230">
        <v>229</v>
      </c>
      <c r="S230" t="s">
        <v>3191</v>
      </c>
      <c r="T230" t="s">
        <v>2279</v>
      </c>
      <c r="U230">
        <f t="shared" si="7"/>
        <v>11</v>
      </c>
      <c r="V230" s="30" t="s">
        <v>3192</v>
      </c>
    </row>
    <row r="231" spans="1:22">
      <c r="A231">
        <v>230</v>
      </c>
      <c r="C231" s="7" t="s">
        <v>569</v>
      </c>
      <c r="D231" t="s">
        <v>29</v>
      </c>
      <c r="E231" t="e">
        <f>LEN(#REF!)</f>
        <v>#REF!</v>
      </c>
      <c r="F231" s="49" t="s">
        <v>3193</v>
      </c>
      <c r="J231">
        <v>230</v>
      </c>
      <c r="K231" s="55" t="s">
        <v>846</v>
      </c>
      <c r="L231" t="s">
        <v>643</v>
      </c>
      <c r="M231">
        <f t="shared" si="6"/>
        <v>6</v>
      </c>
      <c r="N231" s="30" t="s">
        <v>3194</v>
      </c>
      <c r="R231">
        <v>230</v>
      </c>
      <c r="S231" t="s">
        <v>3195</v>
      </c>
      <c r="T231" t="s">
        <v>2279</v>
      </c>
      <c r="U231">
        <f t="shared" si="7"/>
        <v>12</v>
      </c>
      <c r="V231" s="30" t="s">
        <v>3196</v>
      </c>
    </row>
    <row r="232" spans="1:22">
      <c r="A232">
        <v>231</v>
      </c>
      <c r="C232" s="7" t="s">
        <v>570</v>
      </c>
      <c r="D232" t="s">
        <v>29</v>
      </c>
      <c r="E232" t="e">
        <f>LEN(#REF!)</f>
        <v>#REF!</v>
      </c>
      <c r="F232" s="49" t="s">
        <v>3197</v>
      </c>
      <c r="J232">
        <v>231</v>
      </c>
      <c r="K232" s="55" t="s">
        <v>847</v>
      </c>
      <c r="L232" t="s">
        <v>643</v>
      </c>
      <c r="M232">
        <f t="shared" si="6"/>
        <v>6</v>
      </c>
      <c r="N232" s="30" t="s">
        <v>3198</v>
      </c>
      <c r="R232">
        <v>231</v>
      </c>
      <c r="S232" t="s">
        <v>3199</v>
      </c>
      <c r="T232" t="s">
        <v>2279</v>
      </c>
      <c r="U232">
        <f t="shared" si="7"/>
        <v>8</v>
      </c>
      <c r="V232" s="30" t="s">
        <v>3200</v>
      </c>
    </row>
    <row r="233" spans="1:22">
      <c r="A233">
        <v>232</v>
      </c>
      <c r="C233" s="7" t="s">
        <v>571</v>
      </c>
      <c r="D233" t="s">
        <v>29</v>
      </c>
      <c r="E233" t="e">
        <f>LEN(#REF!)</f>
        <v>#REF!</v>
      </c>
      <c r="F233" s="49" t="s">
        <v>3201</v>
      </c>
      <c r="J233">
        <v>232</v>
      </c>
      <c r="K233" s="55" t="s">
        <v>848</v>
      </c>
      <c r="L233" t="s">
        <v>643</v>
      </c>
      <c r="M233">
        <f t="shared" si="6"/>
        <v>6</v>
      </c>
      <c r="N233" s="30" t="s">
        <v>3202</v>
      </c>
      <c r="R233">
        <v>232</v>
      </c>
      <c r="S233" t="s">
        <v>3203</v>
      </c>
      <c r="T233" t="s">
        <v>2279</v>
      </c>
      <c r="U233">
        <f t="shared" si="7"/>
        <v>9</v>
      </c>
      <c r="V233" s="30" t="s">
        <v>3204</v>
      </c>
    </row>
    <row r="234" spans="1:22">
      <c r="A234">
        <v>233</v>
      </c>
      <c r="C234" s="7" t="s">
        <v>572</v>
      </c>
      <c r="D234" t="s">
        <v>29</v>
      </c>
      <c r="E234" t="e">
        <f>LEN(#REF!)</f>
        <v>#REF!</v>
      </c>
      <c r="F234" s="49" t="s">
        <v>3205</v>
      </c>
      <c r="J234">
        <v>233</v>
      </c>
      <c r="K234" s="55" t="s">
        <v>849</v>
      </c>
      <c r="L234" t="s">
        <v>643</v>
      </c>
      <c r="M234">
        <f t="shared" si="6"/>
        <v>7</v>
      </c>
      <c r="N234" s="30" t="s">
        <v>3206</v>
      </c>
      <c r="R234">
        <v>233</v>
      </c>
      <c r="S234" t="s">
        <v>3207</v>
      </c>
      <c r="T234" t="s">
        <v>2279</v>
      </c>
      <c r="U234">
        <f t="shared" si="7"/>
        <v>10</v>
      </c>
      <c r="V234" s="30" t="s">
        <v>3208</v>
      </c>
    </row>
    <row r="235" spans="1:22">
      <c r="A235">
        <v>234</v>
      </c>
      <c r="C235" s="7" t="s">
        <v>573</v>
      </c>
      <c r="D235" t="s">
        <v>29</v>
      </c>
      <c r="E235" t="e">
        <f>LEN(#REF!)</f>
        <v>#REF!</v>
      </c>
      <c r="F235" s="49" t="s">
        <v>3209</v>
      </c>
      <c r="J235">
        <v>234</v>
      </c>
      <c r="K235" s="55" t="s">
        <v>850</v>
      </c>
      <c r="L235" t="s">
        <v>643</v>
      </c>
      <c r="M235">
        <f t="shared" si="6"/>
        <v>9</v>
      </c>
      <c r="N235" s="30" t="s">
        <v>3210</v>
      </c>
      <c r="R235">
        <v>234</v>
      </c>
      <c r="S235" t="s">
        <v>3211</v>
      </c>
      <c r="T235" t="s">
        <v>2279</v>
      </c>
      <c r="U235">
        <f t="shared" si="7"/>
        <v>9</v>
      </c>
      <c r="V235" s="30" t="s">
        <v>3212</v>
      </c>
    </row>
    <row r="236" spans="1:22">
      <c r="A236">
        <v>235</v>
      </c>
      <c r="C236" s="7" t="s">
        <v>574</v>
      </c>
      <c r="D236" t="s">
        <v>29</v>
      </c>
      <c r="E236" t="e">
        <f>LEN(#REF!)</f>
        <v>#REF!</v>
      </c>
      <c r="F236" s="49" t="s">
        <v>3213</v>
      </c>
      <c r="J236">
        <v>235</v>
      </c>
      <c r="K236" s="55" t="s">
        <v>851</v>
      </c>
      <c r="L236" t="s">
        <v>643</v>
      </c>
      <c r="M236">
        <f t="shared" si="6"/>
        <v>8</v>
      </c>
      <c r="N236" s="30" t="s">
        <v>3214</v>
      </c>
      <c r="R236">
        <v>235</v>
      </c>
      <c r="S236" t="s">
        <v>3215</v>
      </c>
      <c r="T236" t="s">
        <v>2279</v>
      </c>
      <c r="U236">
        <f t="shared" si="7"/>
        <v>12</v>
      </c>
      <c r="V236" s="30" t="s">
        <v>3216</v>
      </c>
    </row>
    <row r="237" spans="1:22">
      <c r="A237">
        <v>236</v>
      </c>
      <c r="C237" s="7" t="s">
        <v>575</v>
      </c>
      <c r="D237" t="s">
        <v>29</v>
      </c>
      <c r="E237" t="e">
        <f>LEN(#REF!)</f>
        <v>#REF!</v>
      </c>
      <c r="F237" s="49" t="s">
        <v>3217</v>
      </c>
      <c r="J237">
        <v>236</v>
      </c>
      <c r="K237" s="55" t="s">
        <v>852</v>
      </c>
      <c r="L237" t="s">
        <v>643</v>
      </c>
      <c r="M237">
        <f t="shared" si="6"/>
        <v>7</v>
      </c>
      <c r="N237" s="30" t="s">
        <v>3218</v>
      </c>
      <c r="R237">
        <v>236</v>
      </c>
      <c r="S237" t="s">
        <v>3219</v>
      </c>
      <c r="T237" t="s">
        <v>2279</v>
      </c>
      <c r="U237">
        <f t="shared" si="7"/>
        <v>13</v>
      </c>
      <c r="V237" s="30" t="s">
        <v>3220</v>
      </c>
    </row>
    <row r="238" spans="1:22">
      <c r="A238">
        <v>237</v>
      </c>
      <c r="C238" s="7" t="s">
        <v>576</v>
      </c>
      <c r="D238" t="s">
        <v>29</v>
      </c>
      <c r="E238" t="e">
        <f>LEN(#REF!)</f>
        <v>#REF!</v>
      </c>
      <c r="F238" s="49" t="s">
        <v>3221</v>
      </c>
      <c r="J238">
        <v>237</v>
      </c>
      <c r="K238" s="55" t="s">
        <v>853</v>
      </c>
      <c r="L238" t="s">
        <v>643</v>
      </c>
      <c r="M238">
        <f t="shared" si="6"/>
        <v>8</v>
      </c>
      <c r="N238" s="30" t="s">
        <v>3222</v>
      </c>
      <c r="R238">
        <v>237</v>
      </c>
      <c r="S238" t="s">
        <v>3223</v>
      </c>
      <c r="T238" t="s">
        <v>2279</v>
      </c>
      <c r="U238">
        <f t="shared" si="7"/>
        <v>8</v>
      </c>
      <c r="V238" s="30" t="s">
        <v>3224</v>
      </c>
    </row>
    <row r="239" spans="1:22">
      <c r="A239">
        <v>238</v>
      </c>
      <c r="C239" s="7" t="s">
        <v>577</v>
      </c>
      <c r="D239" t="s">
        <v>29</v>
      </c>
      <c r="E239" t="e">
        <f>LEN(#REF!)</f>
        <v>#REF!</v>
      </c>
      <c r="F239" s="49" t="s">
        <v>3225</v>
      </c>
      <c r="J239">
        <v>238</v>
      </c>
      <c r="K239" s="55" t="s">
        <v>854</v>
      </c>
      <c r="L239" t="s">
        <v>643</v>
      </c>
      <c r="M239">
        <f t="shared" si="6"/>
        <v>7</v>
      </c>
      <c r="N239" s="30" t="s">
        <v>3226</v>
      </c>
      <c r="R239">
        <v>238</v>
      </c>
      <c r="S239" t="s">
        <v>3227</v>
      </c>
      <c r="T239" t="s">
        <v>2279</v>
      </c>
      <c r="U239">
        <f t="shared" si="7"/>
        <v>9</v>
      </c>
      <c r="V239" s="30" t="s">
        <v>3228</v>
      </c>
    </row>
    <row r="240" spans="1:22">
      <c r="A240">
        <v>239</v>
      </c>
      <c r="C240" s="7" t="s">
        <v>578</v>
      </c>
      <c r="D240" t="s">
        <v>29</v>
      </c>
      <c r="E240" t="e">
        <f>LEN(#REF!)</f>
        <v>#REF!</v>
      </c>
      <c r="F240" s="49" t="s">
        <v>3229</v>
      </c>
      <c r="J240">
        <v>239</v>
      </c>
      <c r="K240" s="55" t="s">
        <v>855</v>
      </c>
      <c r="L240" t="s">
        <v>643</v>
      </c>
      <c r="M240">
        <f t="shared" si="6"/>
        <v>8</v>
      </c>
      <c r="N240" s="30" t="s">
        <v>3230</v>
      </c>
      <c r="R240">
        <v>239</v>
      </c>
      <c r="S240" t="s">
        <v>3231</v>
      </c>
      <c r="T240" t="s">
        <v>2279</v>
      </c>
      <c r="U240">
        <f t="shared" si="7"/>
        <v>8</v>
      </c>
      <c r="V240" s="30" t="s">
        <v>3232</v>
      </c>
    </row>
    <row r="241" spans="1:22">
      <c r="A241">
        <v>240</v>
      </c>
      <c r="C241" s="7" t="s">
        <v>579</v>
      </c>
      <c r="D241" t="s">
        <v>29</v>
      </c>
      <c r="E241" t="e">
        <f>LEN(#REF!)</f>
        <v>#REF!</v>
      </c>
      <c r="F241" s="49" t="s">
        <v>3233</v>
      </c>
      <c r="J241">
        <v>240</v>
      </c>
      <c r="K241" s="55" t="s">
        <v>856</v>
      </c>
      <c r="L241" t="s">
        <v>643</v>
      </c>
      <c r="M241">
        <f t="shared" si="6"/>
        <v>5</v>
      </c>
      <c r="N241" s="30" t="s">
        <v>3234</v>
      </c>
      <c r="R241">
        <v>240</v>
      </c>
      <c r="S241" t="s">
        <v>3235</v>
      </c>
      <c r="T241" t="s">
        <v>2279</v>
      </c>
      <c r="U241">
        <f t="shared" si="7"/>
        <v>8</v>
      </c>
      <c r="V241" s="30" t="s">
        <v>3236</v>
      </c>
    </row>
    <row r="242" spans="1:22">
      <c r="A242">
        <v>241</v>
      </c>
      <c r="C242" s="7" t="s">
        <v>580</v>
      </c>
      <c r="D242" t="s">
        <v>29</v>
      </c>
      <c r="E242" t="e">
        <f>LEN(#REF!)</f>
        <v>#REF!</v>
      </c>
      <c r="F242" s="49" t="s">
        <v>3237</v>
      </c>
      <c r="J242">
        <v>241</v>
      </c>
      <c r="K242" s="55">
        <v>888888</v>
      </c>
      <c r="L242" t="s">
        <v>643</v>
      </c>
      <c r="M242">
        <f t="shared" si="6"/>
        <v>6</v>
      </c>
      <c r="N242" s="30" t="s">
        <v>3238</v>
      </c>
      <c r="R242">
        <v>241</v>
      </c>
      <c r="S242" t="s">
        <v>3239</v>
      </c>
      <c r="T242" t="s">
        <v>2279</v>
      </c>
      <c r="U242">
        <f t="shared" si="7"/>
        <v>8</v>
      </c>
      <c r="V242" s="30" t="s">
        <v>3240</v>
      </c>
    </row>
    <row r="243" spans="1:22">
      <c r="A243">
        <v>242</v>
      </c>
      <c r="C243" s="7" t="s">
        <v>581</v>
      </c>
      <c r="D243" t="s">
        <v>29</v>
      </c>
      <c r="E243" t="e">
        <f>LEN(#REF!)</f>
        <v>#REF!</v>
      </c>
      <c r="F243" s="49" t="s">
        <v>3241</v>
      </c>
      <c r="J243">
        <v>242</v>
      </c>
      <c r="K243" s="55" t="s">
        <v>857</v>
      </c>
      <c r="L243" t="s">
        <v>643</v>
      </c>
      <c r="M243">
        <f t="shared" si="6"/>
        <v>7</v>
      </c>
      <c r="N243" s="30" t="s">
        <v>3242</v>
      </c>
      <c r="R243">
        <v>242</v>
      </c>
      <c r="S243" t="s">
        <v>3243</v>
      </c>
      <c r="T243" t="s">
        <v>2279</v>
      </c>
      <c r="U243">
        <f t="shared" si="7"/>
        <v>16</v>
      </c>
      <c r="V243" s="30" t="s">
        <v>3244</v>
      </c>
    </row>
    <row r="244" spans="1:22">
      <c r="A244">
        <v>243</v>
      </c>
      <c r="C244" s="7" t="s">
        <v>582</v>
      </c>
      <c r="D244" t="s">
        <v>29</v>
      </c>
      <c r="E244" t="e">
        <f>LEN(#REF!)</f>
        <v>#REF!</v>
      </c>
      <c r="F244" s="49" t="s">
        <v>3245</v>
      </c>
      <c r="J244">
        <v>243</v>
      </c>
      <c r="K244" s="55" t="s">
        <v>858</v>
      </c>
      <c r="L244" t="s">
        <v>643</v>
      </c>
      <c r="M244">
        <f t="shared" si="6"/>
        <v>5</v>
      </c>
      <c r="N244" s="30" t="s">
        <v>3246</v>
      </c>
      <c r="R244">
        <v>243</v>
      </c>
      <c r="S244" t="s">
        <v>3247</v>
      </c>
      <c r="T244" t="s">
        <v>2279</v>
      </c>
      <c r="U244">
        <f t="shared" si="7"/>
        <v>8</v>
      </c>
      <c r="V244" s="30" t="s">
        <v>3248</v>
      </c>
    </row>
    <row r="245" spans="1:22">
      <c r="A245">
        <v>244</v>
      </c>
      <c r="C245" s="7" t="s">
        <v>583</v>
      </c>
      <c r="D245" t="s">
        <v>29</v>
      </c>
      <c r="E245" t="e">
        <f>LEN(#REF!)</f>
        <v>#REF!</v>
      </c>
      <c r="F245" s="49" t="s">
        <v>3249</v>
      </c>
      <c r="J245">
        <v>244</v>
      </c>
      <c r="K245" s="55" t="s">
        <v>859</v>
      </c>
      <c r="L245" t="s">
        <v>643</v>
      </c>
      <c r="M245">
        <f t="shared" si="6"/>
        <v>5</v>
      </c>
      <c r="N245" s="30" t="s">
        <v>3250</v>
      </c>
      <c r="R245">
        <v>244</v>
      </c>
      <c r="S245" t="s">
        <v>3251</v>
      </c>
      <c r="T245" t="s">
        <v>2279</v>
      </c>
      <c r="U245">
        <f t="shared" si="7"/>
        <v>9</v>
      </c>
      <c r="V245" s="30" t="s">
        <v>3252</v>
      </c>
    </row>
    <row r="246" spans="1:22">
      <c r="A246">
        <v>245</v>
      </c>
      <c r="C246" s="7" t="s">
        <v>584</v>
      </c>
      <c r="D246" t="s">
        <v>29</v>
      </c>
      <c r="E246" t="e">
        <f>LEN(#REF!)</f>
        <v>#REF!</v>
      </c>
      <c r="F246" s="49" t="s">
        <v>3253</v>
      </c>
      <c r="J246">
        <v>245</v>
      </c>
      <c r="K246" s="55" t="s">
        <v>860</v>
      </c>
      <c r="L246" t="s">
        <v>643</v>
      </c>
      <c r="M246">
        <f t="shared" si="6"/>
        <v>6</v>
      </c>
      <c r="N246" s="30" t="s">
        <v>3254</v>
      </c>
      <c r="R246">
        <v>245</v>
      </c>
      <c r="S246" t="s">
        <v>3255</v>
      </c>
      <c r="T246" t="s">
        <v>2279</v>
      </c>
      <c r="U246">
        <f t="shared" si="7"/>
        <v>8</v>
      </c>
      <c r="V246" s="30" t="s">
        <v>3256</v>
      </c>
    </row>
    <row r="247" spans="1:22">
      <c r="A247">
        <v>246</v>
      </c>
      <c r="C247" s="7" t="s">
        <v>585</v>
      </c>
      <c r="D247" t="s">
        <v>29</v>
      </c>
      <c r="E247" t="e">
        <f>LEN(#REF!)</f>
        <v>#REF!</v>
      </c>
      <c r="F247" s="49" t="s">
        <v>3257</v>
      </c>
      <c r="J247">
        <v>246</v>
      </c>
      <c r="K247" s="55" t="s">
        <v>861</v>
      </c>
      <c r="L247" t="s">
        <v>643</v>
      </c>
      <c r="M247">
        <f t="shared" si="6"/>
        <v>6</v>
      </c>
      <c r="N247" s="30" t="s">
        <v>3258</v>
      </c>
      <c r="R247">
        <v>246</v>
      </c>
      <c r="S247" t="s">
        <v>3259</v>
      </c>
      <c r="T247" t="s">
        <v>2279</v>
      </c>
      <c r="U247">
        <f t="shared" si="7"/>
        <v>8</v>
      </c>
      <c r="V247" s="30" t="s">
        <v>3260</v>
      </c>
    </row>
    <row r="248" spans="1:22">
      <c r="A248">
        <v>247</v>
      </c>
      <c r="C248" s="7" t="s">
        <v>586</v>
      </c>
      <c r="D248" t="s">
        <v>29</v>
      </c>
      <c r="E248" t="e">
        <f>LEN(#REF!)</f>
        <v>#REF!</v>
      </c>
      <c r="F248" s="49" t="s">
        <v>3261</v>
      </c>
      <c r="J248">
        <v>247</v>
      </c>
      <c r="K248" s="55" t="s">
        <v>862</v>
      </c>
      <c r="L248" t="s">
        <v>643</v>
      </c>
      <c r="M248">
        <f t="shared" si="6"/>
        <v>6</v>
      </c>
      <c r="N248" s="30" t="s">
        <v>3262</v>
      </c>
      <c r="R248">
        <v>247</v>
      </c>
      <c r="S248" t="s">
        <v>3263</v>
      </c>
      <c r="T248" t="s">
        <v>2279</v>
      </c>
      <c r="U248">
        <f t="shared" si="7"/>
        <v>9</v>
      </c>
      <c r="V248" s="30" t="s">
        <v>3264</v>
      </c>
    </row>
    <row r="249" spans="1:22">
      <c r="A249">
        <v>248</v>
      </c>
      <c r="C249" s="7" t="s">
        <v>587</v>
      </c>
      <c r="D249" t="s">
        <v>29</v>
      </c>
      <c r="E249" t="e">
        <f>LEN(#REF!)</f>
        <v>#REF!</v>
      </c>
      <c r="F249" s="49" t="s">
        <v>3265</v>
      </c>
      <c r="J249">
        <v>248</v>
      </c>
      <c r="K249" s="55" t="s">
        <v>863</v>
      </c>
      <c r="L249" t="s">
        <v>643</v>
      </c>
      <c r="M249">
        <f t="shared" si="6"/>
        <v>6</v>
      </c>
      <c r="N249" s="30" t="s">
        <v>3266</v>
      </c>
      <c r="R249">
        <v>248</v>
      </c>
      <c r="S249" t="s">
        <v>3267</v>
      </c>
      <c r="T249" t="s">
        <v>2279</v>
      </c>
      <c r="U249">
        <f t="shared" si="7"/>
        <v>9</v>
      </c>
      <c r="V249" s="30" t="s">
        <v>3268</v>
      </c>
    </row>
    <row r="250" spans="1:22">
      <c r="A250">
        <v>249</v>
      </c>
      <c r="C250" s="7" t="s">
        <v>588</v>
      </c>
      <c r="D250" t="s">
        <v>29</v>
      </c>
      <c r="E250" t="e">
        <f>LEN(#REF!)</f>
        <v>#REF!</v>
      </c>
      <c r="F250" s="49" t="s">
        <v>3269</v>
      </c>
      <c r="J250">
        <v>249</v>
      </c>
      <c r="K250" s="55" t="s">
        <v>864</v>
      </c>
      <c r="L250" t="s">
        <v>643</v>
      </c>
      <c r="M250">
        <f t="shared" si="6"/>
        <v>7</v>
      </c>
      <c r="N250" s="30" t="s">
        <v>3270</v>
      </c>
      <c r="R250">
        <v>249</v>
      </c>
      <c r="S250" t="s">
        <v>3271</v>
      </c>
      <c r="T250" t="s">
        <v>2279</v>
      </c>
      <c r="U250">
        <f t="shared" si="7"/>
        <v>10</v>
      </c>
      <c r="V250" s="30" t="s">
        <v>3272</v>
      </c>
    </row>
    <row r="251" spans="1:22">
      <c r="A251">
        <v>250</v>
      </c>
      <c r="C251" s="7" t="s">
        <v>589</v>
      </c>
      <c r="D251" t="s">
        <v>29</v>
      </c>
      <c r="E251" t="e">
        <f>LEN(#REF!)</f>
        <v>#REF!</v>
      </c>
      <c r="F251" s="49" t="s">
        <v>3273</v>
      </c>
      <c r="J251">
        <v>250</v>
      </c>
      <c r="K251" s="55" t="s">
        <v>865</v>
      </c>
      <c r="L251" t="s">
        <v>643</v>
      </c>
      <c r="M251">
        <f t="shared" si="6"/>
        <v>6</v>
      </c>
      <c r="N251" s="30" t="s">
        <v>3274</v>
      </c>
      <c r="R251">
        <v>250</v>
      </c>
      <c r="S251" t="s">
        <v>3275</v>
      </c>
      <c r="T251" t="s">
        <v>2279</v>
      </c>
      <c r="U251">
        <f t="shared" si="7"/>
        <v>8</v>
      </c>
      <c r="V251" s="30" t="s">
        <v>3276</v>
      </c>
    </row>
    <row r="252" spans="1:22">
      <c r="A252">
        <v>251</v>
      </c>
      <c r="C252" s="7" t="s">
        <v>590</v>
      </c>
      <c r="D252" t="s">
        <v>29</v>
      </c>
      <c r="E252" t="e">
        <f>LEN(#REF!)</f>
        <v>#REF!</v>
      </c>
      <c r="F252" s="49" t="s">
        <v>3277</v>
      </c>
      <c r="J252">
        <v>251</v>
      </c>
      <c r="K252" s="55" t="s">
        <v>866</v>
      </c>
      <c r="L252" t="s">
        <v>643</v>
      </c>
      <c r="M252">
        <f t="shared" si="6"/>
        <v>7</v>
      </c>
      <c r="N252" s="30" t="s">
        <v>3278</v>
      </c>
      <c r="R252">
        <v>251</v>
      </c>
      <c r="S252" t="s">
        <v>3279</v>
      </c>
      <c r="T252" t="s">
        <v>2279</v>
      </c>
      <c r="U252">
        <f t="shared" si="7"/>
        <v>11</v>
      </c>
      <c r="V252" s="30" t="s">
        <v>3280</v>
      </c>
    </row>
    <row r="253" spans="1:22">
      <c r="A253">
        <v>252</v>
      </c>
      <c r="C253" s="7" t="s">
        <v>591</v>
      </c>
      <c r="D253" t="s">
        <v>29</v>
      </c>
      <c r="E253" t="e">
        <f>LEN(#REF!)</f>
        <v>#REF!</v>
      </c>
      <c r="F253" s="49" t="s">
        <v>3281</v>
      </c>
      <c r="J253">
        <v>252</v>
      </c>
      <c r="K253" s="55" t="s">
        <v>867</v>
      </c>
      <c r="L253" t="s">
        <v>643</v>
      </c>
      <c r="M253">
        <f t="shared" si="6"/>
        <v>6</v>
      </c>
      <c r="N253" s="30" t="s">
        <v>3282</v>
      </c>
      <c r="R253">
        <v>252</v>
      </c>
      <c r="S253" t="s">
        <v>3283</v>
      </c>
      <c r="T253" t="s">
        <v>2279</v>
      </c>
      <c r="U253">
        <f t="shared" si="7"/>
        <v>9</v>
      </c>
      <c r="V253" s="30" t="s">
        <v>3284</v>
      </c>
    </row>
    <row r="254" spans="1:22">
      <c r="A254">
        <v>253</v>
      </c>
      <c r="C254" s="7" t="s">
        <v>592</v>
      </c>
      <c r="D254" t="s">
        <v>29</v>
      </c>
      <c r="E254" t="e">
        <f>LEN(#REF!)</f>
        <v>#REF!</v>
      </c>
      <c r="F254" s="49" t="s">
        <v>3285</v>
      </c>
      <c r="J254">
        <v>253</v>
      </c>
      <c r="K254" s="55" t="s">
        <v>868</v>
      </c>
      <c r="L254" t="s">
        <v>643</v>
      </c>
      <c r="M254">
        <f t="shared" si="6"/>
        <v>6</v>
      </c>
      <c r="N254" s="30" t="s">
        <v>3286</v>
      </c>
      <c r="R254">
        <v>253</v>
      </c>
      <c r="S254" t="s">
        <v>3287</v>
      </c>
      <c r="T254" t="s">
        <v>2279</v>
      </c>
      <c r="U254">
        <f t="shared" si="7"/>
        <v>8</v>
      </c>
      <c r="V254" s="30" t="s">
        <v>3288</v>
      </c>
    </row>
    <row r="255" spans="1:22">
      <c r="A255">
        <v>254</v>
      </c>
      <c r="C255" s="7" t="s">
        <v>593</v>
      </c>
      <c r="D255" t="s">
        <v>29</v>
      </c>
      <c r="E255" t="e">
        <f>LEN(#REF!)</f>
        <v>#REF!</v>
      </c>
      <c r="F255" s="49" t="s">
        <v>3289</v>
      </c>
      <c r="J255">
        <v>254</v>
      </c>
      <c r="K255" s="55" t="s">
        <v>869</v>
      </c>
      <c r="L255" t="s">
        <v>643</v>
      </c>
      <c r="M255">
        <f t="shared" si="6"/>
        <v>5</v>
      </c>
      <c r="N255" s="30" t="s">
        <v>3290</v>
      </c>
      <c r="R255">
        <v>254</v>
      </c>
      <c r="S255" t="s">
        <v>3291</v>
      </c>
      <c r="T255" t="s">
        <v>2279</v>
      </c>
      <c r="U255">
        <f t="shared" si="7"/>
        <v>11</v>
      </c>
      <c r="V255" s="30" t="s">
        <v>3292</v>
      </c>
    </row>
    <row r="256" spans="1:22">
      <c r="A256">
        <v>255</v>
      </c>
      <c r="C256" s="7" t="s">
        <v>594</v>
      </c>
      <c r="D256" t="s">
        <v>29</v>
      </c>
      <c r="E256" t="e">
        <f>LEN(#REF!)</f>
        <v>#REF!</v>
      </c>
      <c r="F256" s="49" t="s">
        <v>3293</v>
      </c>
      <c r="J256">
        <v>255</v>
      </c>
      <c r="K256" s="55" t="s">
        <v>870</v>
      </c>
      <c r="L256" t="s">
        <v>643</v>
      </c>
      <c r="M256">
        <f t="shared" si="6"/>
        <v>7</v>
      </c>
      <c r="N256" s="30" t="s">
        <v>3294</v>
      </c>
      <c r="R256">
        <v>255</v>
      </c>
      <c r="S256" t="s">
        <v>3295</v>
      </c>
      <c r="T256" t="s">
        <v>2279</v>
      </c>
      <c r="U256">
        <f t="shared" si="7"/>
        <v>8</v>
      </c>
      <c r="V256" s="30" t="s">
        <v>3296</v>
      </c>
    </row>
    <row r="257" spans="1:22">
      <c r="A257">
        <v>256</v>
      </c>
      <c r="C257" s="7" t="s">
        <v>595</v>
      </c>
      <c r="D257" t="s">
        <v>29</v>
      </c>
      <c r="E257" t="e">
        <f>LEN(#REF!)</f>
        <v>#REF!</v>
      </c>
      <c r="F257" s="49" t="s">
        <v>3297</v>
      </c>
      <c r="J257">
        <v>256</v>
      </c>
      <c r="K257" s="55" t="s">
        <v>871</v>
      </c>
      <c r="L257" t="s">
        <v>643</v>
      </c>
      <c r="M257">
        <f t="shared" si="6"/>
        <v>7</v>
      </c>
      <c r="N257" s="30" t="s">
        <v>3298</v>
      </c>
      <c r="R257">
        <v>256</v>
      </c>
      <c r="S257" t="s">
        <v>3299</v>
      </c>
      <c r="T257" t="s">
        <v>2279</v>
      </c>
      <c r="U257">
        <f t="shared" si="7"/>
        <v>10</v>
      </c>
      <c r="V257" s="30" t="s">
        <v>3300</v>
      </c>
    </row>
    <row r="258" spans="1:22">
      <c r="A258">
        <v>257</v>
      </c>
      <c r="C258" s="7" t="s">
        <v>596</v>
      </c>
      <c r="D258" t="s">
        <v>29</v>
      </c>
      <c r="E258" t="e">
        <f>LEN(#REF!)</f>
        <v>#REF!</v>
      </c>
      <c r="F258" s="49" t="s">
        <v>3301</v>
      </c>
      <c r="J258">
        <v>257</v>
      </c>
      <c r="K258" s="55" t="s">
        <v>872</v>
      </c>
      <c r="L258" t="s">
        <v>643</v>
      </c>
      <c r="M258">
        <f t="shared" si="6"/>
        <v>6</v>
      </c>
      <c r="N258" s="30" t="s">
        <v>3302</v>
      </c>
      <c r="R258">
        <v>257</v>
      </c>
      <c r="S258" t="s">
        <v>3303</v>
      </c>
      <c r="T258" t="s">
        <v>2279</v>
      </c>
      <c r="U258">
        <f t="shared" si="7"/>
        <v>8</v>
      </c>
      <c r="V258" s="30" t="s">
        <v>3304</v>
      </c>
    </row>
    <row r="259" spans="1:22">
      <c r="A259">
        <v>258</v>
      </c>
      <c r="C259" s="7" t="s">
        <v>597</v>
      </c>
      <c r="D259" t="s">
        <v>29</v>
      </c>
      <c r="E259" t="e">
        <f>LEN(#REF!)</f>
        <v>#REF!</v>
      </c>
      <c r="F259" s="49" t="s">
        <v>3305</v>
      </c>
      <c r="J259">
        <v>258</v>
      </c>
      <c r="K259" s="55" t="s">
        <v>873</v>
      </c>
      <c r="L259" t="s">
        <v>643</v>
      </c>
      <c r="M259">
        <f t="shared" ref="M259:M322" si="8">LEN(K259)</f>
        <v>7</v>
      </c>
      <c r="N259" s="30" t="s">
        <v>3306</v>
      </c>
      <c r="R259">
        <v>258</v>
      </c>
      <c r="S259" t="s">
        <v>3307</v>
      </c>
      <c r="T259" t="s">
        <v>2279</v>
      </c>
      <c r="U259">
        <f t="shared" ref="U259:U322" si="9">LEN(S259)</f>
        <v>8</v>
      </c>
      <c r="V259" s="30" t="s">
        <v>3308</v>
      </c>
    </row>
    <row r="260" spans="1:22">
      <c r="A260">
        <v>259</v>
      </c>
      <c r="C260" s="7" t="s">
        <v>598</v>
      </c>
      <c r="D260" t="s">
        <v>29</v>
      </c>
      <c r="E260" t="e">
        <f>LEN(#REF!)</f>
        <v>#REF!</v>
      </c>
      <c r="F260" s="49" t="s">
        <v>3309</v>
      </c>
      <c r="J260">
        <v>259</v>
      </c>
      <c r="K260" s="55" t="s">
        <v>874</v>
      </c>
      <c r="L260" t="s">
        <v>643</v>
      </c>
      <c r="M260">
        <f t="shared" si="8"/>
        <v>6</v>
      </c>
      <c r="N260" s="30" t="s">
        <v>3310</v>
      </c>
      <c r="R260">
        <v>259</v>
      </c>
      <c r="S260" t="s">
        <v>3311</v>
      </c>
      <c r="T260" t="s">
        <v>2279</v>
      </c>
      <c r="U260">
        <f t="shared" si="9"/>
        <v>8</v>
      </c>
      <c r="V260" s="30" t="s">
        <v>3312</v>
      </c>
    </row>
    <row r="261" spans="1:22">
      <c r="A261">
        <v>260</v>
      </c>
      <c r="C261" s="7" t="s">
        <v>599</v>
      </c>
      <c r="D261" t="s">
        <v>29</v>
      </c>
      <c r="E261" t="e">
        <f>LEN(#REF!)</f>
        <v>#REF!</v>
      </c>
      <c r="F261" s="49" t="s">
        <v>3313</v>
      </c>
      <c r="J261">
        <v>260</v>
      </c>
      <c r="K261" s="55" t="s">
        <v>875</v>
      </c>
      <c r="L261" t="s">
        <v>643</v>
      </c>
      <c r="M261">
        <f t="shared" si="8"/>
        <v>6</v>
      </c>
      <c r="N261" s="30" t="s">
        <v>3314</v>
      </c>
      <c r="R261">
        <v>260</v>
      </c>
      <c r="S261" t="s">
        <v>3315</v>
      </c>
      <c r="T261" t="s">
        <v>2279</v>
      </c>
      <c r="U261">
        <f t="shared" si="9"/>
        <v>8</v>
      </c>
      <c r="V261" s="30" t="s">
        <v>3316</v>
      </c>
    </row>
    <row r="262" spans="1:22">
      <c r="A262">
        <v>261</v>
      </c>
      <c r="C262" s="7" t="s">
        <v>600</v>
      </c>
      <c r="D262" t="s">
        <v>29</v>
      </c>
      <c r="E262" t="e">
        <f>LEN(#REF!)</f>
        <v>#REF!</v>
      </c>
      <c r="F262" s="49" t="s">
        <v>3317</v>
      </c>
      <c r="J262">
        <v>261</v>
      </c>
      <c r="K262" s="55" t="s">
        <v>876</v>
      </c>
      <c r="L262" t="s">
        <v>643</v>
      </c>
      <c r="M262">
        <f t="shared" si="8"/>
        <v>6</v>
      </c>
      <c r="N262" s="30" t="s">
        <v>3318</v>
      </c>
      <c r="R262">
        <v>261</v>
      </c>
      <c r="S262" t="s">
        <v>3319</v>
      </c>
      <c r="T262" t="s">
        <v>2279</v>
      </c>
      <c r="U262">
        <f t="shared" si="9"/>
        <v>15</v>
      </c>
      <c r="V262" s="30" t="s">
        <v>3320</v>
      </c>
    </row>
    <row r="263" spans="1:22">
      <c r="A263">
        <v>262</v>
      </c>
      <c r="C263" s="7" t="s">
        <v>601</v>
      </c>
      <c r="D263" t="s">
        <v>29</v>
      </c>
      <c r="E263" t="e">
        <f>LEN(#REF!)</f>
        <v>#REF!</v>
      </c>
      <c r="F263" s="49" t="s">
        <v>3321</v>
      </c>
      <c r="J263">
        <v>262</v>
      </c>
      <c r="K263" s="55">
        <v>456789</v>
      </c>
      <c r="L263" t="s">
        <v>643</v>
      </c>
      <c r="M263">
        <f t="shared" si="8"/>
        <v>6</v>
      </c>
      <c r="N263" s="30" t="s">
        <v>3322</v>
      </c>
      <c r="R263">
        <v>262</v>
      </c>
      <c r="S263" t="s">
        <v>3323</v>
      </c>
      <c r="T263" t="s">
        <v>2279</v>
      </c>
      <c r="U263">
        <f t="shared" si="9"/>
        <v>12</v>
      </c>
      <c r="V263" s="30" t="s">
        <v>3324</v>
      </c>
    </row>
    <row r="264" spans="1:22">
      <c r="A264">
        <v>263</v>
      </c>
      <c r="C264" s="7" t="s">
        <v>602</v>
      </c>
      <c r="D264" t="s">
        <v>29</v>
      </c>
      <c r="E264" t="e">
        <f>LEN(#REF!)</f>
        <v>#REF!</v>
      </c>
      <c r="F264" s="49" t="s">
        <v>3325</v>
      </c>
      <c r="J264">
        <v>263</v>
      </c>
      <c r="K264" s="55" t="s">
        <v>877</v>
      </c>
      <c r="L264" t="s">
        <v>643</v>
      </c>
      <c r="M264">
        <f t="shared" si="8"/>
        <v>9</v>
      </c>
      <c r="N264" s="30" t="s">
        <v>3326</v>
      </c>
      <c r="R264">
        <v>263</v>
      </c>
      <c r="S264" t="s">
        <v>3327</v>
      </c>
      <c r="T264" t="s">
        <v>2279</v>
      </c>
      <c r="U264">
        <f t="shared" si="9"/>
        <v>12</v>
      </c>
      <c r="V264" s="30" t="s">
        <v>3328</v>
      </c>
    </row>
    <row r="265" spans="1:22">
      <c r="A265">
        <v>264</v>
      </c>
      <c r="C265" s="7" t="s">
        <v>603</v>
      </c>
      <c r="D265" t="s">
        <v>29</v>
      </c>
      <c r="E265" t="e">
        <f>LEN(#REF!)</f>
        <v>#REF!</v>
      </c>
      <c r="F265" s="49" t="s">
        <v>3329</v>
      </c>
      <c r="J265">
        <v>264</v>
      </c>
      <c r="K265" s="55" t="s">
        <v>878</v>
      </c>
      <c r="L265" t="s">
        <v>643</v>
      </c>
      <c r="M265">
        <f t="shared" si="8"/>
        <v>7</v>
      </c>
      <c r="N265" s="30" t="s">
        <v>3330</v>
      </c>
      <c r="R265">
        <v>264</v>
      </c>
      <c r="S265" t="s">
        <v>3331</v>
      </c>
      <c r="T265" t="s">
        <v>2279</v>
      </c>
      <c r="U265">
        <f t="shared" si="9"/>
        <v>9</v>
      </c>
      <c r="V265" s="30" t="s">
        <v>3332</v>
      </c>
    </row>
    <row r="266" spans="1:22">
      <c r="A266">
        <v>265</v>
      </c>
      <c r="C266" s="7" t="s">
        <v>604</v>
      </c>
      <c r="D266" t="s">
        <v>29</v>
      </c>
      <c r="E266" t="e">
        <f>LEN(#REF!)</f>
        <v>#REF!</v>
      </c>
      <c r="F266" s="49" t="s">
        <v>3333</v>
      </c>
      <c r="J266">
        <v>265</v>
      </c>
      <c r="K266" s="55" t="s">
        <v>879</v>
      </c>
      <c r="L266" t="s">
        <v>643</v>
      </c>
      <c r="M266">
        <f t="shared" si="8"/>
        <v>6</v>
      </c>
      <c r="N266" s="30" t="s">
        <v>3334</v>
      </c>
      <c r="R266">
        <v>265</v>
      </c>
      <c r="S266" t="s">
        <v>3335</v>
      </c>
      <c r="T266" t="s">
        <v>2279</v>
      </c>
      <c r="U266">
        <f t="shared" si="9"/>
        <v>8</v>
      </c>
      <c r="V266" s="30" t="s">
        <v>3336</v>
      </c>
    </row>
    <row r="267" spans="1:22">
      <c r="A267">
        <v>266</v>
      </c>
      <c r="C267" s="7" t="s">
        <v>605</v>
      </c>
      <c r="D267" t="s">
        <v>29</v>
      </c>
      <c r="E267" t="e">
        <f>LEN(#REF!)</f>
        <v>#REF!</v>
      </c>
      <c r="F267" s="49" t="s">
        <v>3337</v>
      </c>
      <c r="J267">
        <v>266</v>
      </c>
      <c r="K267" s="55" t="s">
        <v>880</v>
      </c>
      <c r="L267" t="s">
        <v>643</v>
      </c>
      <c r="M267">
        <f t="shared" si="8"/>
        <v>9</v>
      </c>
      <c r="N267" s="30" t="s">
        <v>3338</v>
      </c>
      <c r="R267">
        <v>266</v>
      </c>
      <c r="S267" t="s">
        <v>3339</v>
      </c>
      <c r="T267" t="s">
        <v>2279</v>
      </c>
      <c r="U267">
        <f t="shared" si="9"/>
        <v>8</v>
      </c>
      <c r="V267" s="30" t="s">
        <v>3340</v>
      </c>
    </row>
    <row r="268" spans="1:22">
      <c r="A268">
        <v>267</v>
      </c>
      <c r="C268" s="7" t="s">
        <v>606</v>
      </c>
      <c r="D268" t="s">
        <v>29</v>
      </c>
      <c r="E268" t="e">
        <f>LEN(#REF!)</f>
        <v>#REF!</v>
      </c>
      <c r="F268" s="49" t="s">
        <v>3341</v>
      </c>
      <c r="J268">
        <v>267</v>
      </c>
      <c r="K268" s="55" t="s">
        <v>881</v>
      </c>
      <c r="L268" t="s">
        <v>643</v>
      </c>
      <c r="M268">
        <f t="shared" si="8"/>
        <v>11</v>
      </c>
      <c r="N268" s="30" t="s">
        <v>3342</v>
      </c>
      <c r="R268">
        <v>267</v>
      </c>
      <c r="S268" t="s">
        <v>3343</v>
      </c>
      <c r="T268" t="s">
        <v>2279</v>
      </c>
      <c r="U268">
        <f t="shared" si="9"/>
        <v>10</v>
      </c>
      <c r="V268" s="30" t="s">
        <v>3344</v>
      </c>
    </row>
    <row r="269" spans="1:22">
      <c r="A269">
        <v>268</v>
      </c>
      <c r="C269" s="7" t="s">
        <v>607</v>
      </c>
      <c r="D269" t="s">
        <v>29</v>
      </c>
      <c r="E269" t="e">
        <f>LEN(#REF!)</f>
        <v>#REF!</v>
      </c>
      <c r="F269" s="53" t="s">
        <v>3345</v>
      </c>
      <c r="J269">
        <v>268</v>
      </c>
      <c r="K269" s="55" t="s">
        <v>882</v>
      </c>
      <c r="L269" t="s">
        <v>643</v>
      </c>
      <c r="M269">
        <f t="shared" si="8"/>
        <v>6</v>
      </c>
      <c r="N269" s="30" t="s">
        <v>3346</v>
      </c>
      <c r="R269">
        <v>268</v>
      </c>
      <c r="S269" t="s">
        <v>3347</v>
      </c>
      <c r="T269" t="s">
        <v>2279</v>
      </c>
      <c r="U269">
        <f t="shared" si="9"/>
        <v>8</v>
      </c>
      <c r="V269" s="31" t="s">
        <v>3348</v>
      </c>
    </row>
    <row r="270" spans="1:22">
      <c r="A270">
        <v>269</v>
      </c>
      <c r="C270" s="9" t="s">
        <v>608</v>
      </c>
      <c r="D270" t="s">
        <v>29</v>
      </c>
      <c r="E270" t="e">
        <f>LEN(#REF!)</f>
        <v>#REF!</v>
      </c>
      <c r="F270" s="49" t="s">
        <v>3349</v>
      </c>
      <c r="J270">
        <v>269</v>
      </c>
      <c r="K270" s="55" t="s">
        <v>883</v>
      </c>
      <c r="L270" t="s">
        <v>643</v>
      </c>
      <c r="M270">
        <f t="shared" si="8"/>
        <v>6</v>
      </c>
      <c r="N270" s="30" t="s">
        <v>3350</v>
      </c>
      <c r="R270">
        <v>269</v>
      </c>
      <c r="S270" t="s">
        <v>3351</v>
      </c>
      <c r="T270" t="s">
        <v>2279</v>
      </c>
      <c r="U270">
        <f t="shared" si="9"/>
        <v>8</v>
      </c>
      <c r="V270" s="30" t="s">
        <v>3352</v>
      </c>
    </row>
    <row r="271" spans="1:22">
      <c r="A271">
        <v>270</v>
      </c>
      <c r="C271" s="7" t="s">
        <v>609</v>
      </c>
      <c r="D271" t="s">
        <v>29</v>
      </c>
      <c r="E271" t="e">
        <f>LEN(#REF!)</f>
        <v>#REF!</v>
      </c>
      <c r="F271" s="49" t="s">
        <v>3353</v>
      </c>
      <c r="J271">
        <v>270</v>
      </c>
      <c r="K271" s="55" t="s">
        <v>884</v>
      </c>
      <c r="L271" t="s">
        <v>643</v>
      </c>
      <c r="M271">
        <f t="shared" si="8"/>
        <v>7</v>
      </c>
      <c r="N271" s="30" t="s">
        <v>3354</v>
      </c>
      <c r="R271">
        <v>270</v>
      </c>
      <c r="S271" t="s">
        <v>3355</v>
      </c>
      <c r="T271" t="s">
        <v>2279</v>
      </c>
      <c r="U271">
        <f t="shared" si="9"/>
        <v>9</v>
      </c>
      <c r="V271" s="30" t="s">
        <v>3356</v>
      </c>
    </row>
    <row r="272" spans="1:22">
      <c r="A272">
        <v>271</v>
      </c>
      <c r="C272" s="7" t="s">
        <v>610</v>
      </c>
      <c r="D272" t="s">
        <v>29</v>
      </c>
      <c r="E272" t="e">
        <f>LEN(#REF!)</f>
        <v>#REF!</v>
      </c>
      <c r="F272" s="49" t="s">
        <v>3357</v>
      </c>
      <c r="J272">
        <v>271</v>
      </c>
      <c r="K272" s="55">
        <v>123456789</v>
      </c>
      <c r="L272" t="s">
        <v>643</v>
      </c>
      <c r="M272">
        <f t="shared" si="8"/>
        <v>9</v>
      </c>
      <c r="N272" s="30" t="s">
        <v>3358</v>
      </c>
      <c r="R272">
        <v>271</v>
      </c>
      <c r="S272" t="s">
        <v>3359</v>
      </c>
      <c r="T272" t="s">
        <v>2279</v>
      </c>
      <c r="U272">
        <f t="shared" si="9"/>
        <v>10</v>
      </c>
      <c r="V272" s="30" t="s">
        <v>3360</v>
      </c>
    </row>
    <row r="273" spans="1:22">
      <c r="A273">
        <v>272</v>
      </c>
      <c r="C273" s="7" t="s">
        <v>611</v>
      </c>
      <c r="D273" t="s">
        <v>29</v>
      </c>
      <c r="E273" t="e">
        <f>LEN(#REF!)</f>
        <v>#REF!</v>
      </c>
      <c r="F273" s="49" t="s">
        <v>3361</v>
      </c>
      <c r="J273">
        <v>272</v>
      </c>
      <c r="K273" s="55" t="s">
        <v>885</v>
      </c>
      <c r="L273" t="s">
        <v>643</v>
      </c>
      <c r="M273">
        <f t="shared" si="8"/>
        <v>6</v>
      </c>
      <c r="N273" s="30" t="s">
        <v>3362</v>
      </c>
      <c r="R273">
        <v>272</v>
      </c>
      <c r="S273" t="s">
        <v>3363</v>
      </c>
      <c r="T273" t="s">
        <v>2279</v>
      </c>
      <c r="U273">
        <f t="shared" si="9"/>
        <v>8</v>
      </c>
      <c r="V273" s="30" t="s">
        <v>3364</v>
      </c>
    </row>
    <row r="274" spans="1:22">
      <c r="A274">
        <v>273</v>
      </c>
      <c r="C274" s="7" t="s">
        <v>612</v>
      </c>
      <c r="D274" t="s">
        <v>29</v>
      </c>
      <c r="E274" t="e">
        <f>LEN(#REF!)</f>
        <v>#REF!</v>
      </c>
      <c r="F274" s="49" t="s">
        <v>3365</v>
      </c>
      <c r="J274">
        <v>273</v>
      </c>
      <c r="K274" s="55" t="s">
        <v>886</v>
      </c>
      <c r="L274" t="s">
        <v>643</v>
      </c>
      <c r="M274">
        <f t="shared" si="8"/>
        <v>9</v>
      </c>
      <c r="N274" s="30" t="s">
        <v>3366</v>
      </c>
      <c r="R274">
        <v>273</v>
      </c>
      <c r="S274" t="s">
        <v>3367</v>
      </c>
      <c r="T274" t="s">
        <v>2279</v>
      </c>
      <c r="U274">
        <f t="shared" si="9"/>
        <v>15</v>
      </c>
      <c r="V274" s="30" t="s">
        <v>3368</v>
      </c>
    </row>
    <row r="275" spans="1:22">
      <c r="A275">
        <v>274</v>
      </c>
      <c r="C275" s="7" t="s">
        <v>613</v>
      </c>
      <c r="D275" t="s">
        <v>29</v>
      </c>
      <c r="E275" t="e">
        <f>LEN(#REF!)</f>
        <v>#REF!</v>
      </c>
      <c r="F275" s="49" t="s">
        <v>3369</v>
      </c>
      <c r="J275">
        <v>274</v>
      </c>
      <c r="K275" s="55" t="s">
        <v>887</v>
      </c>
      <c r="L275" t="s">
        <v>643</v>
      </c>
      <c r="M275">
        <f t="shared" si="8"/>
        <v>6</v>
      </c>
      <c r="N275" s="30" t="s">
        <v>3370</v>
      </c>
      <c r="R275">
        <v>274</v>
      </c>
      <c r="S275" t="s">
        <v>3371</v>
      </c>
      <c r="T275" t="s">
        <v>2279</v>
      </c>
      <c r="U275">
        <f t="shared" si="9"/>
        <v>11</v>
      </c>
      <c r="V275" s="30" t="s">
        <v>3372</v>
      </c>
    </row>
    <row r="276" spans="1:22">
      <c r="A276">
        <v>275</v>
      </c>
      <c r="C276" s="7" t="s">
        <v>614</v>
      </c>
      <c r="D276" t="s">
        <v>29</v>
      </c>
      <c r="E276" t="e">
        <f>LEN(#REF!)</f>
        <v>#REF!</v>
      </c>
      <c r="F276" s="49" t="s">
        <v>3373</v>
      </c>
      <c r="J276">
        <v>275</v>
      </c>
      <c r="K276" s="55" t="s">
        <v>888</v>
      </c>
      <c r="L276" t="s">
        <v>643</v>
      </c>
      <c r="M276">
        <f t="shared" si="8"/>
        <v>7</v>
      </c>
      <c r="N276" s="30" t="s">
        <v>3374</v>
      </c>
      <c r="R276">
        <v>275</v>
      </c>
      <c r="S276" t="s">
        <v>3375</v>
      </c>
      <c r="T276" t="s">
        <v>2279</v>
      </c>
      <c r="U276">
        <f t="shared" si="9"/>
        <v>13</v>
      </c>
      <c r="V276" s="30" t="s">
        <v>3376</v>
      </c>
    </row>
    <row r="277" spans="1:22">
      <c r="A277">
        <v>276</v>
      </c>
      <c r="C277" s="7" t="s">
        <v>615</v>
      </c>
      <c r="D277" t="s">
        <v>29</v>
      </c>
      <c r="E277" t="e">
        <f>LEN(#REF!)</f>
        <v>#REF!</v>
      </c>
      <c r="F277" s="49" t="s">
        <v>3377</v>
      </c>
      <c r="J277">
        <v>276</v>
      </c>
      <c r="K277" s="55" t="s">
        <v>889</v>
      </c>
      <c r="L277" t="s">
        <v>643</v>
      </c>
      <c r="M277">
        <f t="shared" si="8"/>
        <v>6</v>
      </c>
      <c r="N277" s="30" t="s">
        <v>3378</v>
      </c>
      <c r="R277">
        <v>276</v>
      </c>
      <c r="S277" t="s">
        <v>3379</v>
      </c>
      <c r="T277" t="s">
        <v>2279</v>
      </c>
      <c r="U277">
        <f t="shared" si="9"/>
        <v>8</v>
      </c>
      <c r="V277" s="30" t="s">
        <v>3380</v>
      </c>
    </row>
    <row r="278" spans="1:22">
      <c r="A278">
        <v>277</v>
      </c>
      <c r="C278" s="7" t="s">
        <v>616</v>
      </c>
      <c r="D278" t="s">
        <v>29</v>
      </c>
      <c r="E278" t="e">
        <f>LEN(#REF!)</f>
        <v>#REF!</v>
      </c>
      <c r="F278" s="49" t="s">
        <v>3381</v>
      </c>
      <c r="J278">
        <v>277</v>
      </c>
      <c r="K278" s="55" t="s">
        <v>890</v>
      </c>
      <c r="L278" t="s">
        <v>643</v>
      </c>
      <c r="M278">
        <f t="shared" si="8"/>
        <v>7</v>
      </c>
      <c r="N278" s="30" t="s">
        <v>3382</v>
      </c>
      <c r="R278">
        <v>277</v>
      </c>
      <c r="S278" t="s">
        <v>3383</v>
      </c>
      <c r="T278" t="s">
        <v>2279</v>
      </c>
      <c r="U278">
        <f t="shared" si="9"/>
        <v>14</v>
      </c>
      <c r="V278" s="30" t="s">
        <v>3384</v>
      </c>
    </row>
    <row r="279" spans="1:22">
      <c r="A279">
        <v>278</v>
      </c>
      <c r="C279" s="7" t="s">
        <v>617</v>
      </c>
      <c r="D279" t="s">
        <v>29</v>
      </c>
      <c r="E279" t="e">
        <f>LEN(#REF!)</f>
        <v>#REF!</v>
      </c>
      <c r="F279" s="49" t="s">
        <v>3385</v>
      </c>
      <c r="J279">
        <v>278</v>
      </c>
      <c r="K279" s="55" t="s">
        <v>891</v>
      </c>
      <c r="L279" t="s">
        <v>643</v>
      </c>
      <c r="M279">
        <f t="shared" si="8"/>
        <v>8</v>
      </c>
      <c r="N279" s="30" t="s">
        <v>3386</v>
      </c>
      <c r="R279">
        <v>278</v>
      </c>
      <c r="S279" t="s">
        <v>3387</v>
      </c>
      <c r="T279" t="s">
        <v>2279</v>
      </c>
      <c r="U279">
        <f t="shared" si="9"/>
        <v>8</v>
      </c>
      <c r="V279" s="30" t="s">
        <v>3388</v>
      </c>
    </row>
    <row r="280" spans="1:22">
      <c r="A280">
        <v>279</v>
      </c>
      <c r="C280" s="7" t="s">
        <v>618</v>
      </c>
      <c r="D280" t="s">
        <v>29</v>
      </c>
      <c r="E280" t="e">
        <f>LEN(#REF!)</f>
        <v>#REF!</v>
      </c>
      <c r="F280" s="49" t="s">
        <v>3389</v>
      </c>
      <c r="J280">
        <v>279</v>
      </c>
      <c r="K280" s="55" t="s">
        <v>892</v>
      </c>
      <c r="L280" t="s">
        <v>643</v>
      </c>
      <c r="M280">
        <f t="shared" si="8"/>
        <v>8</v>
      </c>
      <c r="N280" s="30" t="s">
        <v>3390</v>
      </c>
      <c r="R280">
        <v>279</v>
      </c>
      <c r="S280" t="s">
        <v>3391</v>
      </c>
      <c r="T280" t="s">
        <v>2279</v>
      </c>
      <c r="U280">
        <f t="shared" si="9"/>
        <v>10</v>
      </c>
      <c r="V280" s="30" t="s">
        <v>3392</v>
      </c>
    </row>
    <row r="281" spans="1:22">
      <c r="A281">
        <v>280</v>
      </c>
      <c r="C281" s="7" t="s">
        <v>619</v>
      </c>
      <c r="D281" t="s">
        <v>29</v>
      </c>
      <c r="E281" t="e">
        <f>LEN(#REF!)</f>
        <v>#REF!</v>
      </c>
      <c r="F281" s="49" t="s">
        <v>3393</v>
      </c>
      <c r="J281">
        <v>280</v>
      </c>
      <c r="K281" s="55" t="s">
        <v>893</v>
      </c>
      <c r="L281" t="s">
        <v>643</v>
      </c>
      <c r="M281">
        <f t="shared" si="8"/>
        <v>7</v>
      </c>
      <c r="N281" s="30" t="s">
        <v>3394</v>
      </c>
      <c r="R281">
        <v>280</v>
      </c>
      <c r="S281" t="s">
        <v>3395</v>
      </c>
      <c r="T281" t="s">
        <v>2279</v>
      </c>
      <c r="U281">
        <f t="shared" si="9"/>
        <v>11</v>
      </c>
      <c r="V281" s="30" t="s">
        <v>3396</v>
      </c>
    </row>
    <row r="282" spans="1:22">
      <c r="A282">
        <v>281</v>
      </c>
      <c r="C282" s="7" t="s">
        <v>620</v>
      </c>
      <c r="D282" t="s">
        <v>29</v>
      </c>
      <c r="E282" t="e">
        <f>LEN(#REF!)</f>
        <v>#REF!</v>
      </c>
      <c r="F282" s="49" t="s">
        <v>3397</v>
      </c>
      <c r="J282">
        <v>281</v>
      </c>
      <c r="K282" s="55" t="s">
        <v>894</v>
      </c>
      <c r="L282" t="s">
        <v>643</v>
      </c>
      <c r="M282">
        <f t="shared" si="8"/>
        <v>6</v>
      </c>
      <c r="N282" s="30" t="s">
        <v>3398</v>
      </c>
      <c r="R282">
        <v>281</v>
      </c>
      <c r="S282" t="s">
        <v>3399</v>
      </c>
      <c r="T282" t="s">
        <v>2279</v>
      </c>
      <c r="U282">
        <f t="shared" si="9"/>
        <v>8</v>
      </c>
      <c r="V282" s="30" t="s">
        <v>3400</v>
      </c>
    </row>
    <row r="283" spans="1:22">
      <c r="A283">
        <v>282</v>
      </c>
      <c r="C283" s="7" t="s">
        <v>621</v>
      </c>
      <c r="D283" t="s">
        <v>29</v>
      </c>
      <c r="E283" t="e">
        <f>LEN(#REF!)</f>
        <v>#REF!</v>
      </c>
      <c r="F283" s="49" t="s">
        <v>3401</v>
      </c>
      <c r="J283">
        <v>282</v>
      </c>
      <c r="K283" s="55" t="s">
        <v>895</v>
      </c>
      <c r="L283" t="s">
        <v>643</v>
      </c>
      <c r="M283">
        <f t="shared" si="8"/>
        <v>6</v>
      </c>
      <c r="N283" s="30" t="s">
        <v>3402</v>
      </c>
      <c r="R283">
        <v>282</v>
      </c>
      <c r="S283" t="s">
        <v>3403</v>
      </c>
      <c r="T283" t="s">
        <v>2279</v>
      </c>
      <c r="U283">
        <f t="shared" si="9"/>
        <v>8</v>
      </c>
      <c r="V283" s="30" t="s">
        <v>3404</v>
      </c>
    </row>
    <row r="284" spans="1:22">
      <c r="A284">
        <v>283</v>
      </c>
      <c r="C284" s="7" t="s">
        <v>622</v>
      </c>
      <c r="D284" t="s">
        <v>29</v>
      </c>
      <c r="E284" t="e">
        <f>LEN(#REF!)</f>
        <v>#REF!</v>
      </c>
      <c r="F284" s="49" t="s">
        <v>3405</v>
      </c>
      <c r="J284">
        <v>283</v>
      </c>
      <c r="K284" s="55" t="s">
        <v>896</v>
      </c>
      <c r="L284" t="s">
        <v>643</v>
      </c>
      <c r="M284">
        <f t="shared" si="8"/>
        <v>5</v>
      </c>
      <c r="N284" s="30" t="s">
        <v>3406</v>
      </c>
      <c r="R284">
        <v>283</v>
      </c>
      <c r="S284" t="s">
        <v>3407</v>
      </c>
      <c r="T284" t="s">
        <v>2279</v>
      </c>
      <c r="U284">
        <f t="shared" si="9"/>
        <v>8</v>
      </c>
      <c r="V284" s="30" t="s">
        <v>3408</v>
      </c>
    </row>
    <row r="285" spans="1:22">
      <c r="A285">
        <v>284</v>
      </c>
      <c r="C285" s="7" t="s">
        <v>623</v>
      </c>
      <c r="D285" t="s">
        <v>29</v>
      </c>
      <c r="E285" t="e">
        <f>LEN(#REF!)</f>
        <v>#REF!</v>
      </c>
      <c r="F285" s="49" t="s">
        <v>3409</v>
      </c>
      <c r="J285">
        <v>284</v>
      </c>
      <c r="K285" s="55" t="s">
        <v>897</v>
      </c>
      <c r="L285" t="s">
        <v>643</v>
      </c>
      <c r="M285">
        <f t="shared" si="8"/>
        <v>5</v>
      </c>
      <c r="N285" s="30" t="s">
        <v>3410</v>
      </c>
      <c r="R285">
        <v>284</v>
      </c>
      <c r="S285" t="s">
        <v>3411</v>
      </c>
      <c r="T285" t="s">
        <v>2279</v>
      </c>
      <c r="U285">
        <f t="shared" si="9"/>
        <v>8</v>
      </c>
      <c r="V285" s="30" t="s">
        <v>3412</v>
      </c>
    </row>
    <row r="286" spans="1:22">
      <c r="A286">
        <v>285</v>
      </c>
      <c r="C286" s="7" t="s">
        <v>624</v>
      </c>
      <c r="D286" t="s">
        <v>29</v>
      </c>
      <c r="E286" t="e">
        <f>LEN(#REF!)</f>
        <v>#REF!</v>
      </c>
      <c r="F286" s="49" t="s">
        <v>3413</v>
      </c>
      <c r="J286">
        <v>285</v>
      </c>
      <c r="K286" s="55" t="s">
        <v>898</v>
      </c>
      <c r="L286" t="s">
        <v>643</v>
      </c>
      <c r="M286">
        <f t="shared" si="8"/>
        <v>7</v>
      </c>
      <c r="N286" s="30" t="s">
        <v>3414</v>
      </c>
      <c r="R286">
        <v>285</v>
      </c>
      <c r="S286" t="s">
        <v>3415</v>
      </c>
      <c r="T286" t="s">
        <v>2279</v>
      </c>
      <c r="U286">
        <f t="shared" si="9"/>
        <v>8</v>
      </c>
      <c r="V286" s="30" t="s">
        <v>3416</v>
      </c>
    </row>
    <row r="287" spans="1:22">
      <c r="A287">
        <v>286</v>
      </c>
      <c r="C287" s="7" t="s">
        <v>625</v>
      </c>
      <c r="D287" t="s">
        <v>29</v>
      </c>
      <c r="E287" t="e">
        <f>LEN(#REF!)</f>
        <v>#REF!</v>
      </c>
      <c r="F287" s="49" t="s">
        <v>3417</v>
      </c>
      <c r="J287">
        <v>286</v>
      </c>
      <c r="K287" s="55" t="s">
        <v>899</v>
      </c>
      <c r="L287" t="s">
        <v>643</v>
      </c>
      <c r="M287">
        <f t="shared" si="8"/>
        <v>7</v>
      </c>
      <c r="N287" s="30" t="s">
        <v>3418</v>
      </c>
      <c r="R287">
        <v>286</v>
      </c>
      <c r="S287" t="s">
        <v>3419</v>
      </c>
      <c r="T287" t="s">
        <v>2279</v>
      </c>
      <c r="U287">
        <f t="shared" si="9"/>
        <v>10</v>
      </c>
      <c r="V287" s="30" t="s">
        <v>3420</v>
      </c>
    </row>
    <row r="288" spans="1:22">
      <c r="A288">
        <v>287</v>
      </c>
      <c r="C288" s="7" t="s">
        <v>626</v>
      </c>
      <c r="D288" t="s">
        <v>29</v>
      </c>
      <c r="E288" t="e">
        <f>LEN(#REF!)</f>
        <v>#REF!</v>
      </c>
      <c r="F288" s="49" t="s">
        <v>3421</v>
      </c>
      <c r="J288">
        <v>287</v>
      </c>
      <c r="K288" s="55" t="s">
        <v>900</v>
      </c>
      <c r="L288" t="s">
        <v>643</v>
      </c>
      <c r="M288">
        <f t="shared" si="8"/>
        <v>6</v>
      </c>
      <c r="N288" s="30" t="s">
        <v>3422</v>
      </c>
      <c r="R288">
        <v>287</v>
      </c>
      <c r="S288" t="s">
        <v>3423</v>
      </c>
      <c r="T288" t="s">
        <v>2279</v>
      </c>
      <c r="U288">
        <f t="shared" si="9"/>
        <v>8</v>
      </c>
      <c r="V288" s="30" t="s">
        <v>3424</v>
      </c>
    </row>
    <row r="289" spans="1:22">
      <c r="A289">
        <v>288</v>
      </c>
      <c r="C289" s="7" t="s">
        <v>627</v>
      </c>
      <c r="D289" t="s">
        <v>29</v>
      </c>
      <c r="E289" t="e">
        <f>LEN(#REF!)</f>
        <v>#REF!</v>
      </c>
      <c r="F289" s="49" t="s">
        <v>3425</v>
      </c>
      <c r="J289">
        <v>288</v>
      </c>
      <c r="K289" s="55" t="s">
        <v>901</v>
      </c>
      <c r="L289" t="s">
        <v>643</v>
      </c>
      <c r="M289">
        <f t="shared" si="8"/>
        <v>6</v>
      </c>
      <c r="N289" s="30" t="s">
        <v>3426</v>
      </c>
      <c r="R289">
        <v>288</v>
      </c>
      <c r="S289" t="s">
        <v>3427</v>
      </c>
      <c r="T289" t="s">
        <v>2279</v>
      </c>
      <c r="U289">
        <f t="shared" si="9"/>
        <v>8</v>
      </c>
      <c r="V289" s="30" t="s">
        <v>3428</v>
      </c>
    </row>
    <row r="290" spans="1:22">
      <c r="A290">
        <v>289</v>
      </c>
      <c r="C290" s="7" t="s">
        <v>628</v>
      </c>
      <c r="D290" t="s">
        <v>29</v>
      </c>
      <c r="E290" t="e">
        <f>LEN(#REF!)</f>
        <v>#REF!</v>
      </c>
      <c r="F290" s="49" t="s">
        <v>3429</v>
      </c>
      <c r="J290">
        <v>289</v>
      </c>
      <c r="K290" s="55" t="s">
        <v>902</v>
      </c>
      <c r="L290" t="s">
        <v>643</v>
      </c>
      <c r="M290">
        <f t="shared" si="8"/>
        <v>6</v>
      </c>
      <c r="N290" s="30" t="s">
        <v>3430</v>
      </c>
      <c r="R290">
        <v>289</v>
      </c>
      <c r="S290" t="s">
        <v>3431</v>
      </c>
      <c r="T290" t="s">
        <v>2279</v>
      </c>
      <c r="U290">
        <f t="shared" si="9"/>
        <v>9</v>
      </c>
      <c r="V290" s="30" t="s">
        <v>3432</v>
      </c>
    </row>
    <row r="291" spans="1:22">
      <c r="A291">
        <v>290</v>
      </c>
      <c r="C291" s="7" t="s">
        <v>629</v>
      </c>
      <c r="D291" t="s">
        <v>29</v>
      </c>
      <c r="E291" t="e">
        <f>LEN(#REF!)</f>
        <v>#REF!</v>
      </c>
      <c r="F291" s="49" t="s">
        <v>3433</v>
      </c>
      <c r="J291">
        <v>290</v>
      </c>
      <c r="K291" s="55" t="s">
        <v>903</v>
      </c>
      <c r="L291" t="s">
        <v>643</v>
      </c>
      <c r="M291">
        <f t="shared" si="8"/>
        <v>6</v>
      </c>
      <c r="N291" s="30" t="s">
        <v>3434</v>
      </c>
      <c r="R291">
        <v>290</v>
      </c>
      <c r="S291" t="s">
        <v>3435</v>
      </c>
      <c r="T291" t="s">
        <v>2279</v>
      </c>
      <c r="U291">
        <f t="shared" si="9"/>
        <v>11</v>
      </c>
      <c r="V291" s="30" t="s">
        <v>3436</v>
      </c>
    </row>
    <row r="292" spans="1:22">
      <c r="A292">
        <v>291</v>
      </c>
      <c r="C292" s="7" t="s">
        <v>630</v>
      </c>
      <c r="D292" t="s">
        <v>29</v>
      </c>
      <c r="E292" t="e">
        <f>LEN(#REF!)</f>
        <v>#REF!</v>
      </c>
      <c r="F292" s="49" t="s">
        <v>3437</v>
      </c>
      <c r="J292">
        <v>291</v>
      </c>
      <c r="K292" s="55" t="s">
        <v>904</v>
      </c>
      <c r="L292" t="s">
        <v>643</v>
      </c>
      <c r="M292">
        <f t="shared" si="8"/>
        <v>5</v>
      </c>
      <c r="N292" s="30" t="s">
        <v>3438</v>
      </c>
      <c r="R292">
        <v>291</v>
      </c>
      <c r="S292" t="s">
        <v>3439</v>
      </c>
      <c r="T292" t="s">
        <v>2279</v>
      </c>
      <c r="U292">
        <f t="shared" si="9"/>
        <v>9</v>
      </c>
      <c r="V292" s="30" t="s">
        <v>3440</v>
      </c>
    </row>
    <row r="293" spans="1:22">
      <c r="A293">
        <v>292</v>
      </c>
      <c r="C293" s="7" t="s">
        <v>631</v>
      </c>
      <c r="D293" t="s">
        <v>29</v>
      </c>
      <c r="E293" t="e">
        <f>LEN(#REF!)</f>
        <v>#REF!</v>
      </c>
      <c r="F293" s="49" t="s">
        <v>3441</v>
      </c>
      <c r="J293">
        <v>292</v>
      </c>
      <c r="K293" s="55" t="s">
        <v>905</v>
      </c>
      <c r="L293" t="s">
        <v>643</v>
      </c>
      <c r="M293">
        <f t="shared" si="8"/>
        <v>7</v>
      </c>
      <c r="N293" s="30" t="s">
        <v>3442</v>
      </c>
      <c r="R293">
        <v>292</v>
      </c>
      <c r="S293" t="s">
        <v>3443</v>
      </c>
      <c r="T293" t="s">
        <v>2279</v>
      </c>
      <c r="U293">
        <f t="shared" si="9"/>
        <v>10</v>
      </c>
      <c r="V293" s="30" t="s">
        <v>3444</v>
      </c>
    </row>
    <row r="294" spans="1:22">
      <c r="A294">
        <v>293</v>
      </c>
      <c r="C294" s="7" t="s">
        <v>632</v>
      </c>
      <c r="D294" t="s">
        <v>29</v>
      </c>
      <c r="E294" t="e">
        <f>LEN(#REF!)</f>
        <v>#REF!</v>
      </c>
      <c r="F294" s="49" t="s">
        <v>3445</v>
      </c>
      <c r="J294">
        <v>293</v>
      </c>
      <c r="K294" s="55" t="s">
        <v>906</v>
      </c>
      <c r="L294" t="s">
        <v>643</v>
      </c>
      <c r="M294">
        <f t="shared" si="8"/>
        <v>6</v>
      </c>
      <c r="N294" s="30" t="s">
        <v>3446</v>
      </c>
      <c r="R294">
        <v>293</v>
      </c>
      <c r="S294" t="s">
        <v>3447</v>
      </c>
      <c r="T294" t="s">
        <v>2279</v>
      </c>
      <c r="U294">
        <f t="shared" si="9"/>
        <v>8</v>
      </c>
      <c r="V294" s="30" t="s">
        <v>3448</v>
      </c>
    </row>
    <row r="295" spans="1:22">
      <c r="A295">
        <v>294</v>
      </c>
      <c r="C295" s="7" t="s">
        <v>633</v>
      </c>
      <c r="D295" t="s">
        <v>29</v>
      </c>
      <c r="E295" t="e">
        <f>LEN(#REF!)</f>
        <v>#REF!</v>
      </c>
      <c r="F295" s="49" t="s">
        <v>3449</v>
      </c>
      <c r="J295">
        <v>294</v>
      </c>
      <c r="K295" s="55" t="s">
        <v>907</v>
      </c>
      <c r="L295" t="s">
        <v>643</v>
      </c>
      <c r="M295">
        <f t="shared" si="8"/>
        <v>7</v>
      </c>
      <c r="N295" s="30" t="s">
        <v>3450</v>
      </c>
      <c r="R295">
        <v>294</v>
      </c>
      <c r="S295" t="s">
        <v>3451</v>
      </c>
      <c r="T295" t="s">
        <v>2279</v>
      </c>
      <c r="U295">
        <f t="shared" si="9"/>
        <v>9</v>
      </c>
      <c r="V295" s="30" t="s">
        <v>3452</v>
      </c>
    </row>
    <row r="296" spans="1:22">
      <c r="A296">
        <v>295</v>
      </c>
      <c r="C296" s="7" t="s">
        <v>634</v>
      </c>
      <c r="D296" t="s">
        <v>29</v>
      </c>
      <c r="E296" t="e">
        <f>LEN(#REF!)</f>
        <v>#REF!</v>
      </c>
      <c r="F296" s="49" t="s">
        <v>3453</v>
      </c>
      <c r="J296">
        <v>295</v>
      </c>
      <c r="K296" s="55" t="s">
        <v>908</v>
      </c>
      <c r="L296" t="s">
        <v>643</v>
      </c>
      <c r="M296">
        <f t="shared" si="8"/>
        <v>7</v>
      </c>
      <c r="N296" s="30" t="s">
        <v>3454</v>
      </c>
      <c r="R296">
        <v>295</v>
      </c>
      <c r="S296" t="s">
        <v>3455</v>
      </c>
      <c r="T296" t="s">
        <v>2279</v>
      </c>
      <c r="U296">
        <f t="shared" si="9"/>
        <v>12</v>
      </c>
      <c r="V296" s="30" t="s">
        <v>3456</v>
      </c>
    </row>
    <row r="297" spans="1:22">
      <c r="A297">
        <v>296</v>
      </c>
      <c r="C297" s="7" t="s">
        <v>635</v>
      </c>
      <c r="D297" t="s">
        <v>29</v>
      </c>
      <c r="E297" t="e">
        <f>LEN(#REF!)</f>
        <v>#REF!</v>
      </c>
      <c r="F297" s="49" t="s">
        <v>3457</v>
      </c>
      <c r="J297">
        <v>296</v>
      </c>
      <c r="K297" s="55" t="s">
        <v>909</v>
      </c>
      <c r="L297" t="s">
        <v>643</v>
      </c>
      <c r="M297">
        <f t="shared" si="8"/>
        <v>6</v>
      </c>
      <c r="N297" s="30" t="s">
        <v>3458</v>
      </c>
      <c r="R297">
        <v>296</v>
      </c>
      <c r="S297" t="s">
        <v>3459</v>
      </c>
      <c r="T297" t="s">
        <v>2279</v>
      </c>
      <c r="U297">
        <f t="shared" si="9"/>
        <v>10</v>
      </c>
      <c r="V297" s="30" t="s">
        <v>3460</v>
      </c>
    </row>
    <row r="298" spans="1:22">
      <c r="A298">
        <v>297</v>
      </c>
      <c r="C298" s="7" t="s">
        <v>636</v>
      </c>
      <c r="D298" t="s">
        <v>29</v>
      </c>
      <c r="E298" t="e">
        <f>LEN(#REF!)</f>
        <v>#REF!</v>
      </c>
      <c r="F298" s="49" t="s">
        <v>3461</v>
      </c>
      <c r="J298">
        <v>297</v>
      </c>
      <c r="K298" s="55">
        <v>789456123</v>
      </c>
      <c r="L298" t="s">
        <v>643</v>
      </c>
      <c r="M298">
        <f t="shared" si="8"/>
        <v>9</v>
      </c>
      <c r="N298" s="30" t="s">
        <v>3462</v>
      </c>
      <c r="R298">
        <v>297</v>
      </c>
      <c r="S298" t="s">
        <v>3463</v>
      </c>
      <c r="T298" t="s">
        <v>2279</v>
      </c>
      <c r="U298">
        <f t="shared" si="9"/>
        <v>10</v>
      </c>
      <c r="V298" s="30" t="s">
        <v>3464</v>
      </c>
    </row>
    <row r="299" spans="1:22">
      <c r="A299">
        <v>298</v>
      </c>
      <c r="C299" s="7" t="s">
        <v>637</v>
      </c>
      <c r="D299" t="s">
        <v>29</v>
      </c>
      <c r="E299" t="e">
        <f>LEN(#REF!)</f>
        <v>#REF!</v>
      </c>
      <c r="F299" s="49" t="s">
        <v>3465</v>
      </c>
      <c r="J299">
        <v>298</v>
      </c>
      <c r="K299" s="55">
        <v>123654</v>
      </c>
      <c r="L299" t="s">
        <v>643</v>
      </c>
      <c r="M299">
        <f t="shared" si="8"/>
        <v>6</v>
      </c>
      <c r="N299" s="30" t="s">
        <v>3466</v>
      </c>
      <c r="R299">
        <v>298</v>
      </c>
      <c r="S299" t="s">
        <v>3467</v>
      </c>
      <c r="T299" t="s">
        <v>2279</v>
      </c>
      <c r="U299">
        <f t="shared" si="9"/>
        <v>11</v>
      </c>
      <c r="V299" s="30" t="s">
        <v>3468</v>
      </c>
    </row>
    <row r="300" spans="1:22">
      <c r="A300">
        <v>299</v>
      </c>
      <c r="C300" s="7" t="s">
        <v>638</v>
      </c>
      <c r="D300" t="s">
        <v>29</v>
      </c>
      <c r="E300" t="e">
        <f>LEN(#REF!)</f>
        <v>#REF!</v>
      </c>
      <c r="F300" s="49" t="s">
        <v>3469</v>
      </c>
      <c r="J300">
        <v>299</v>
      </c>
      <c r="K300" s="55" t="s">
        <v>910</v>
      </c>
      <c r="L300" t="s">
        <v>643</v>
      </c>
      <c r="M300">
        <f t="shared" si="8"/>
        <v>5</v>
      </c>
      <c r="N300" s="30" t="s">
        <v>3470</v>
      </c>
      <c r="R300">
        <v>299</v>
      </c>
      <c r="S300" t="s">
        <v>3471</v>
      </c>
      <c r="T300" t="s">
        <v>2279</v>
      </c>
      <c r="U300">
        <f t="shared" si="9"/>
        <v>9</v>
      </c>
      <c r="V300" s="30" t="s">
        <v>3472</v>
      </c>
    </row>
    <row r="301" spans="1:22">
      <c r="A301">
        <v>300</v>
      </c>
      <c r="C301" s="7" t="s">
        <v>639</v>
      </c>
      <c r="D301" t="s">
        <v>29</v>
      </c>
      <c r="E301" t="e">
        <f>LEN(#REF!)</f>
        <v>#REF!</v>
      </c>
      <c r="F301" s="49" t="s">
        <v>3473</v>
      </c>
      <c r="J301">
        <v>300</v>
      </c>
      <c r="K301" s="55" t="s">
        <v>911</v>
      </c>
      <c r="L301" t="s">
        <v>643</v>
      </c>
      <c r="M301">
        <f t="shared" si="8"/>
        <v>6</v>
      </c>
      <c r="N301" s="30" t="s">
        <v>3474</v>
      </c>
      <c r="R301">
        <v>300</v>
      </c>
      <c r="S301" t="s">
        <v>3475</v>
      </c>
      <c r="T301" t="s">
        <v>2279</v>
      </c>
      <c r="U301">
        <f t="shared" si="9"/>
        <v>9</v>
      </c>
      <c r="V301" s="30" t="s">
        <v>3476</v>
      </c>
    </row>
    <row r="302" spans="1:22">
      <c r="A302">
        <v>301</v>
      </c>
      <c r="C302" s="7" t="s">
        <v>912</v>
      </c>
      <c r="D302" t="s">
        <v>29</v>
      </c>
      <c r="E302" t="e">
        <f>LEN(#REF!)</f>
        <v>#REF!</v>
      </c>
      <c r="F302" s="49" t="s">
        <v>3477</v>
      </c>
      <c r="K302" s="55" t="s">
        <v>3478</v>
      </c>
      <c r="M302">
        <f t="shared" si="8"/>
        <v>8</v>
      </c>
      <c r="N302" s="30" t="s">
        <v>3479</v>
      </c>
      <c r="R302">
        <v>301</v>
      </c>
      <c r="S302" t="s">
        <v>3480</v>
      </c>
      <c r="T302" t="s">
        <v>2279</v>
      </c>
      <c r="U302">
        <f t="shared" si="9"/>
        <v>8</v>
      </c>
      <c r="V302" s="30" t="s">
        <v>3481</v>
      </c>
    </row>
    <row r="303" spans="1:22">
      <c r="A303">
        <v>302</v>
      </c>
      <c r="C303" s="7" t="s">
        <v>914</v>
      </c>
      <c r="D303" t="s">
        <v>29</v>
      </c>
      <c r="E303" t="e">
        <f>LEN(#REF!)</f>
        <v>#REF!</v>
      </c>
      <c r="F303" s="49" t="s">
        <v>3482</v>
      </c>
      <c r="K303" s="55" t="s">
        <v>3483</v>
      </c>
      <c r="M303">
        <f t="shared" si="8"/>
        <v>5</v>
      </c>
      <c r="N303" s="31" t="s">
        <v>3484</v>
      </c>
      <c r="R303">
        <v>302</v>
      </c>
      <c r="S303" t="s">
        <v>3485</v>
      </c>
      <c r="T303" t="s">
        <v>2279</v>
      </c>
      <c r="U303">
        <f t="shared" si="9"/>
        <v>8</v>
      </c>
      <c r="V303" s="30" t="s">
        <v>3486</v>
      </c>
    </row>
    <row r="304" spans="1:22">
      <c r="A304">
        <v>303</v>
      </c>
      <c r="C304" s="7" t="s">
        <v>916</v>
      </c>
      <c r="D304" t="s">
        <v>29</v>
      </c>
      <c r="E304" t="e">
        <f>LEN(#REF!)</f>
        <v>#REF!</v>
      </c>
      <c r="F304" s="49" t="s">
        <v>3487</v>
      </c>
      <c r="K304" s="55">
        <v>777777</v>
      </c>
      <c r="M304">
        <f t="shared" si="8"/>
        <v>6</v>
      </c>
      <c r="N304" s="30" t="s">
        <v>3488</v>
      </c>
      <c r="R304">
        <v>303</v>
      </c>
      <c r="S304" t="s">
        <v>3489</v>
      </c>
      <c r="T304" t="s">
        <v>2279</v>
      </c>
      <c r="U304">
        <f t="shared" si="9"/>
        <v>8</v>
      </c>
      <c r="V304" s="30" t="s">
        <v>3490</v>
      </c>
    </row>
    <row r="305" spans="1:22">
      <c r="A305">
        <v>304</v>
      </c>
      <c r="C305" s="7" t="s">
        <v>918</v>
      </c>
      <c r="D305" t="s">
        <v>29</v>
      </c>
      <c r="E305" t="e">
        <f>LEN(#REF!)</f>
        <v>#REF!</v>
      </c>
      <c r="F305" s="49" t="s">
        <v>3491</v>
      </c>
      <c r="K305" s="55" t="s">
        <v>3492</v>
      </c>
      <c r="M305">
        <f t="shared" si="8"/>
        <v>6</v>
      </c>
      <c r="N305" s="30" t="s">
        <v>3493</v>
      </c>
      <c r="R305">
        <v>304</v>
      </c>
      <c r="S305" t="s">
        <v>3494</v>
      </c>
      <c r="T305" t="s">
        <v>2279</v>
      </c>
      <c r="U305">
        <f t="shared" si="9"/>
        <v>8</v>
      </c>
      <c r="V305" s="30" t="s">
        <v>3495</v>
      </c>
    </row>
    <row r="306" spans="1:22">
      <c r="A306">
        <v>305</v>
      </c>
      <c r="C306" s="7" t="s">
        <v>920</v>
      </c>
      <c r="D306" t="s">
        <v>29</v>
      </c>
      <c r="E306" t="e">
        <f>LEN(#REF!)</f>
        <v>#REF!</v>
      </c>
      <c r="F306" s="49" t="s">
        <v>3496</v>
      </c>
      <c r="K306" s="55" t="s">
        <v>3497</v>
      </c>
      <c r="M306">
        <f t="shared" si="8"/>
        <v>6</v>
      </c>
      <c r="N306" s="30" t="s">
        <v>3498</v>
      </c>
      <c r="R306">
        <v>305</v>
      </c>
      <c r="S306" t="s">
        <v>3499</v>
      </c>
      <c r="T306" t="s">
        <v>2279</v>
      </c>
      <c r="U306">
        <f t="shared" si="9"/>
        <v>9</v>
      </c>
      <c r="V306" s="30" t="s">
        <v>3500</v>
      </c>
    </row>
    <row r="307" spans="1:22">
      <c r="A307">
        <v>306</v>
      </c>
      <c r="C307" s="7" t="s">
        <v>922</v>
      </c>
      <c r="D307" t="s">
        <v>29</v>
      </c>
      <c r="E307" t="e">
        <f>LEN(#REF!)</f>
        <v>#REF!</v>
      </c>
      <c r="F307" s="49" t="s">
        <v>3501</v>
      </c>
      <c r="K307" s="55" t="s">
        <v>3502</v>
      </c>
      <c r="M307">
        <f t="shared" si="8"/>
        <v>6</v>
      </c>
      <c r="N307" s="30" t="s">
        <v>3503</v>
      </c>
      <c r="R307">
        <v>306</v>
      </c>
      <c r="S307" t="s">
        <v>3504</v>
      </c>
      <c r="T307" t="s">
        <v>2279</v>
      </c>
      <c r="U307">
        <f t="shared" si="9"/>
        <v>8</v>
      </c>
      <c r="V307" s="30" t="s">
        <v>3505</v>
      </c>
    </row>
    <row r="308" spans="1:22">
      <c r="A308">
        <v>307</v>
      </c>
      <c r="C308" s="7" t="s">
        <v>924</v>
      </c>
      <c r="D308" t="s">
        <v>29</v>
      </c>
      <c r="E308" t="e">
        <f>LEN(#REF!)</f>
        <v>#REF!</v>
      </c>
      <c r="F308" s="49" t="s">
        <v>3506</v>
      </c>
      <c r="K308" s="55" t="s">
        <v>3507</v>
      </c>
      <c r="M308">
        <f t="shared" si="8"/>
        <v>10</v>
      </c>
      <c r="N308" s="30" t="s">
        <v>3508</v>
      </c>
      <c r="R308">
        <v>307</v>
      </c>
      <c r="S308" t="s">
        <v>3509</v>
      </c>
      <c r="T308" t="s">
        <v>2279</v>
      </c>
      <c r="U308">
        <f t="shared" si="9"/>
        <v>8</v>
      </c>
      <c r="V308" s="30" t="s">
        <v>3510</v>
      </c>
    </row>
    <row r="309" spans="1:22">
      <c r="A309">
        <v>308</v>
      </c>
      <c r="C309" s="7" t="s">
        <v>926</v>
      </c>
      <c r="D309" t="s">
        <v>29</v>
      </c>
      <c r="E309" t="e">
        <f>LEN(#REF!)</f>
        <v>#REF!</v>
      </c>
      <c r="F309" s="49" t="s">
        <v>3511</v>
      </c>
      <c r="K309" s="55" t="s">
        <v>3512</v>
      </c>
      <c r="M309">
        <f t="shared" si="8"/>
        <v>6</v>
      </c>
      <c r="N309" s="30" t="s">
        <v>3513</v>
      </c>
      <c r="R309">
        <v>308</v>
      </c>
      <c r="S309" t="s">
        <v>3514</v>
      </c>
      <c r="T309" t="s">
        <v>2279</v>
      </c>
      <c r="U309">
        <f t="shared" si="9"/>
        <v>8</v>
      </c>
      <c r="V309" s="30" t="s">
        <v>3515</v>
      </c>
    </row>
    <row r="310" spans="1:22">
      <c r="A310">
        <v>309</v>
      </c>
      <c r="C310" s="7" t="s">
        <v>928</v>
      </c>
      <c r="D310" t="s">
        <v>29</v>
      </c>
      <c r="E310" t="e">
        <f>LEN(#REF!)</f>
        <v>#REF!</v>
      </c>
      <c r="F310" s="49" t="s">
        <v>3516</v>
      </c>
      <c r="K310" s="55" t="s">
        <v>3517</v>
      </c>
      <c r="M310">
        <f t="shared" si="8"/>
        <v>8</v>
      </c>
      <c r="N310" s="30" t="s">
        <v>3518</v>
      </c>
      <c r="R310">
        <v>309</v>
      </c>
      <c r="S310" t="s">
        <v>3519</v>
      </c>
      <c r="T310" t="s">
        <v>2279</v>
      </c>
      <c r="U310">
        <f t="shared" si="9"/>
        <v>11</v>
      </c>
      <c r="V310" s="30" t="s">
        <v>3520</v>
      </c>
    </row>
    <row r="311" spans="1:22">
      <c r="A311">
        <v>310</v>
      </c>
      <c r="C311" s="7" t="s">
        <v>930</v>
      </c>
      <c r="D311" t="s">
        <v>29</v>
      </c>
      <c r="E311" t="e">
        <f>LEN(#REF!)</f>
        <v>#REF!</v>
      </c>
      <c r="F311" s="49" t="s">
        <v>3521</v>
      </c>
      <c r="K311" s="55" t="s">
        <v>3522</v>
      </c>
      <c r="M311">
        <f t="shared" si="8"/>
        <v>7</v>
      </c>
      <c r="N311" s="30" t="s">
        <v>3523</v>
      </c>
      <c r="R311">
        <v>310</v>
      </c>
      <c r="S311" t="s">
        <v>3524</v>
      </c>
      <c r="T311" t="s">
        <v>2279</v>
      </c>
      <c r="U311">
        <f t="shared" si="9"/>
        <v>10</v>
      </c>
      <c r="V311" s="30" t="s">
        <v>3525</v>
      </c>
    </row>
    <row r="312" spans="1:22">
      <c r="A312">
        <v>311</v>
      </c>
      <c r="C312" s="7" t="s">
        <v>932</v>
      </c>
      <c r="D312" t="s">
        <v>29</v>
      </c>
      <c r="E312" t="e">
        <f>LEN(#REF!)</f>
        <v>#REF!</v>
      </c>
      <c r="F312" s="49" t="s">
        <v>3526</v>
      </c>
      <c r="K312" s="55" t="s">
        <v>3527</v>
      </c>
      <c r="M312">
        <f t="shared" si="8"/>
        <v>7</v>
      </c>
      <c r="N312" s="30" t="s">
        <v>3528</v>
      </c>
      <c r="R312">
        <v>311</v>
      </c>
      <c r="S312" t="s">
        <v>3529</v>
      </c>
      <c r="T312" t="s">
        <v>2279</v>
      </c>
      <c r="U312">
        <f t="shared" si="9"/>
        <v>8</v>
      </c>
      <c r="V312" s="30" t="s">
        <v>3530</v>
      </c>
    </row>
    <row r="313" spans="1:22">
      <c r="A313">
        <v>312</v>
      </c>
      <c r="C313" s="7" t="s">
        <v>934</v>
      </c>
      <c r="D313" t="s">
        <v>29</v>
      </c>
      <c r="E313" t="e">
        <f>LEN(#REF!)</f>
        <v>#REF!</v>
      </c>
      <c r="F313" s="49" t="s">
        <v>3531</v>
      </c>
      <c r="K313" s="55" t="s">
        <v>3532</v>
      </c>
      <c r="M313">
        <f t="shared" si="8"/>
        <v>6</v>
      </c>
      <c r="N313" s="30" t="s">
        <v>3533</v>
      </c>
      <c r="R313">
        <v>312</v>
      </c>
      <c r="S313" t="s">
        <v>3534</v>
      </c>
      <c r="T313" t="s">
        <v>2279</v>
      </c>
      <c r="U313">
        <f t="shared" si="9"/>
        <v>8</v>
      </c>
      <c r="V313" s="30" t="s">
        <v>3535</v>
      </c>
    </row>
    <row r="314" spans="1:22">
      <c r="A314">
        <v>313</v>
      </c>
      <c r="C314" s="7" t="s">
        <v>936</v>
      </c>
      <c r="D314" t="s">
        <v>29</v>
      </c>
      <c r="E314" t="e">
        <f>LEN(#REF!)</f>
        <v>#REF!</v>
      </c>
      <c r="F314" s="49" t="s">
        <v>3536</v>
      </c>
      <c r="K314" s="55" t="s">
        <v>3537</v>
      </c>
      <c r="M314">
        <f t="shared" si="8"/>
        <v>8</v>
      </c>
      <c r="N314" s="30" t="s">
        <v>3538</v>
      </c>
      <c r="R314">
        <v>313</v>
      </c>
      <c r="S314" t="s">
        <v>3539</v>
      </c>
      <c r="T314" t="s">
        <v>2279</v>
      </c>
      <c r="U314">
        <f t="shared" si="9"/>
        <v>21</v>
      </c>
      <c r="V314" s="30" t="s">
        <v>3540</v>
      </c>
    </row>
    <row r="315" spans="1:22">
      <c r="A315">
        <v>314</v>
      </c>
      <c r="C315" s="7" t="s">
        <v>938</v>
      </c>
      <c r="D315" t="s">
        <v>29</v>
      </c>
      <c r="E315" t="e">
        <f>LEN(#REF!)</f>
        <v>#REF!</v>
      </c>
      <c r="F315" s="49" t="s">
        <v>3541</v>
      </c>
      <c r="K315" s="55" t="s">
        <v>3542</v>
      </c>
      <c r="M315">
        <f t="shared" si="8"/>
        <v>7</v>
      </c>
      <c r="N315" s="30" t="s">
        <v>3543</v>
      </c>
      <c r="R315">
        <v>314</v>
      </c>
      <c r="S315" t="s">
        <v>3544</v>
      </c>
      <c r="T315" t="s">
        <v>2279</v>
      </c>
      <c r="U315">
        <f t="shared" si="9"/>
        <v>12</v>
      </c>
      <c r="V315" s="30" t="s">
        <v>3545</v>
      </c>
    </row>
    <row r="316" spans="1:22">
      <c r="A316">
        <v>315</v>
      </c>
      <c r="C316" s="7" t="s">
        <v>940</v>
      </c>
      <c r="D316" t="s">
        <v>29</v>
      </c>
      <c r="E316" t="e">
        <f>LEN(#REF!)</f>
        <v>#REF!</v>
      </c>
      <c r="F316" s="49" t="s">
        <v>3546</v>
      </c>
      <c r="K316" s="55" t="s">
        <v>3547</v>
      </c>
      <c r="M316">
        <f t="shared" si="8"/>
        <v>8</v>
      </c>
      <c r="N316" s="30" t="s">
        <v>3548</v>
      </c>
      <c r="R316">
        <v>315</v>
      </c>
      <c r="S316" t="s">
        <v>3549</v>
      </c>
      <c r="T316" t="s">
        <v>2279</v>
      </c>
      <c r="U316">
        <f t="shared" si="9"/>
        <v>16</v>
      </c>
      <c r="V316" s="30" t="s">
        <v>3550</v>
      </c>
    </row>
    <row r="317" spans="1:22">
      <c r="A317">
        <v>316</v>
      </c>
      <c r="C317" s="7" t="s">
        <v>942</v>
      </c>
      <c r="D317" t="s">
        <v>29</v>
      </c>
      <c r="E317" t="e">
        <f>LEN(#REF!)</f>
        <v>#REF!</v>
      </c>
      <c r="F317" s="49" t="s">
        <v>3551</v>
      </c>
      <c r="K317" s="55" t="s">
        <v>3552</v>
      </c>
      <c r="M317">
        <f t="shared" si="8"/>
        <v>6</v>
      </c>
      <c r="N317" s="30" t="s">
        <v>3553</v>
      </c>
      <c r="R317">
        <v>316</v>
      </c>
      <c r="S317" t="s">
        <v>3554</v>
      </c>
      <c r="T317" t="s">
        <v>2279</v>
      </c>
      <c r="U317">
        <f t="shared" si="9"/>
        <v>16</v>
      </c>
      <c r="V317" s="30" t="s">
        <v>3555</v>
      </c>
    </row>
    <row r="318" spans="1:22">
      <c r="A318">
        <v>317</v>
      </c>
      <c r="C318" s="7" t="s">
        <v>944</v>
      </c>
      <c r="D318" t="s">
        <v>29</v>
      </c>
      <c r="E318" t="e">
        <f>LEN(#REF!)</f>
        <v>#REF!</v>
      </c>
      <c r="F318" s="49" t="s">
        <v>3556</v>
      </c>
      <c r="K318" s="55" t="s">
        <v>3557</v>
      </c>
      <c r="M318">
        <f t="shared" si="8"/>
        <v>6</v>
      </c>
      <c r="N318" s="30" t="s">
        <v>3558</v>
      </c>
      <c r="R318">
        <v>317</v>
      </c>
      <c r="S318" t="s">
        <v>3559</v>
      </c>
      <c r="T318" t="s">
        <v>2279</v>
      </c>
      <c r="U318">
        <f t="shared" si="9"/>
        <v>10</v>
      </c>
      <c r="V318" s="30" t="s">
        <v>3560</v>
      </c>
    </row>
    <row r="319" spans="1:22">
      <c r="A319">
        <v>318</v>
      </c>
      <c r="C319" s="7" t="s">
        <v>946</v>
      </c>
      <c r="D319" t="s">
        <v>29</v>
      </c>
      <c r="E319" t="e">
        <f>LEN(#REF!)</f>
        <v>#REF!</v>
      </c>
      <c r="F319" s="49" t="s">
        <v>3561</v>
      </c>
      <c r="K319" s="55" t="s">
        <v>3562</v>
      </c>
      <c r="M319">
        <f t="shared" si="8"/>
        <v>10</v>
      </c>
      <c r="N319" s="30" t="s">
        <v>3563</v>
      </c>
      <c r="R319">
        <v>318</v>
      </c>
      <c r="S319" t="s">
        <v>3564</v>
      </c>
      <c r="T319" t="s">
        <v>2279</v>
      </c>
      <c r="U319">
        <f t="shared" si="9"/>
        <v>8</v>
      </c>
      <c r="V319" s="30" t="s">
        <v>3565</v>
      </c>
    </row>
    <row r="320" spans="1:22">
      <c r="A320">
        <v>319</v>
      </c>
      <c r="C320" s="7" t="s">
        <v>948</v>
      </c>
      <c r="D320" t="s">
        <v>29</v>
      </c>
      <c r="E320" t="e">
        <f>LEN(#REF!)</f>
        <v>#REF!</v>
      </c>
      <c r="F320" s="49" t="s">
        <v>3566</v>
      </c>
      <c r="K320" s="55" t="s">
        <v>3567</v>
      </c>
      <c r="M320">
        <f t="shared" si="8"/>
        <v>7</v>
      </c>
      <c r="N320" s="30" t="s">
        <v>3568</v>
      </c>
      <c r="R320">
        <v>319</v>
      </c>
      <c r="S320" t="s">
        <v>3569</v>
      </c>
      <c r="T320" t="s">
        <v>2279</v>
      </c>
      <c r="U320">
        <f t="shared" si="9"/>
        <v>11</v>
      </c>
      <c r="V320" s="30" t="s">
        <v>3570</v>
      </c>
    </row>
    <row r="321" spans="1:22">
      <c r="A321">
        <v>320</v>
      </c>
      <c r="C321" s="7" t="s">
        <v>950</v>
      </c>
      <c r="D321" t="s">
        <v>29</v>
      </c>
      <c r="E321" t="e">
        <f>LEN(#REF!)</f>
        <v>#REF!</v>
      </c>
      <c r="F321" s="49" t="s">
        <v>3571</v>
      </c>
      <c r="K321" s="55">
        <v>101010</v>
      </c>
      <c r="M321">
        <f t="shared" si="8"/>
        <v>6</v>
      </c>
      <c r="N321" s="30" t="s">
        <v>3572</v>
      </c>
      <c r="R321">
        <v>320</v>
      </c>
      <c r="S321" t="s">
        <v>3573</v>
      </c>
      <c r="T321" t="s">
        <v>2279</v>
      </c>
      <c r="U321">
        <f t="shared" si="9"/>
        <v>8</v>
      </c>
      <c r="V321" s="30" t="s">
        <v>3574</v>
      </c>
    </row>
    <row r="322" spans="1:22">
      <c r="A322">
        <v>321</v>
      </c>
      <c r="C322" s="7" t="s">
        <v>952</v>
      </c>
      <c r="D322" t="s">
        <v>29</v>
      </c>
      <c r="E322" t="e">
        <f>LEN(#REF!)</f>
        <v>#REF!</v>
      </c>
      <c r="F322" s="49" t="s">
        <v>3575</v>
      </c>
      <c r="K322" s="55" t="s">
        <v>3576</v>
      </c>
      <c r="M322">
        <f t="shared" si="8"/>
        <v>6</v>
      </c>
      <c r="N322" s="30" t="s">
        <v>3577</v>
      </c>
      <c r="R322">
        <v>321</v>
      </c>
      <c r="S322" t="s">
        <v>3578</v>
      </c>
      <c r="T322" t="s">
        <v>2279</v>
      </c>
      <c r="U322">
        <f t="shared" si="9"/>
        <v>11</v>
      </c>
      <c r="V322" s="30" t="s">
        <v>3579</v>
      </c>
    </row>
    <row r="323" spans="1:22">
      <c r="A323">
        <v>322</v>
      </c>
      <c r="C323" s="7" t="s">
        <v>954</v>
      </c>
      <c r="D323" t="s">
        <v>29</v>
      </c>
      <c r="E323" t="e">
        <f>LEN(#REF!)</f>
        <v>#REF!</v>
      </c>
      <c r="F323" s="49" t="s">
        <v>3580</v>
      </c>
      <c r="K323" s="55" t="s">
        <v>3581</v>
      </c>
      <c r="M323">
        <f t="shared" ref="M323:M386" si="10">LEN(K323)</f>
        <v>6</v>
      </c>
      <c r="N323" s="30" t="s">
        <v>3582</v>
      </c>
      <c r="R323">
        <v>322</v>
      </c>
      <c r="S323" t="s">
        <v>3583</v>
      </c>
      <c r="T323" t="s">
        <v>2279</v>
      </c>
      <c r="U323">
        <f t="shared" ref="U323:U386" si="11">LEN(S323)</f>
        <v>9</v>
      </c>
      <c r="V323" s="30" t="s">
        <v>3584</v>
      </c>
    </row>
    <row r="324" spans="1:22">
      <c r="A324">
        <v>323</v>
      </c>
      <c r="C324" s="7" t="s">
        <v>956</v>
      </c>
      <c r="D324" t="s">
        <v>29</v>
      </c>
      <c r="E324" t="e">
        <f>LEN(#REF!)</f>
        <v>#REF!</v>
      </c>
      <c r="F324" s="49" t="s">
        <v>3585</v>
      </c>
      <c r="K324" s="55" t="s">
        <v>3586</v>
      </c>
      <c r="M324">
        <f t="shared" si="10"/>
        <v>8</v>
      </c>
      <c r="N324" s="30" t="s">
        <v>3587</v>
      </c>
      <c r="R324">
        <v>323</v>
      </c>
      <c r="S324" t="s">
        <v>3588</v>
      </c>
      <c r="T324" t="s">
        <v>2279</v>
      </c>
      <c r="U324">
        <f t="shared" si="11"/>
        <v>8</v>
      </c>
      <c r="V324" s="30" t="s">
        <v>3589</v>
      </c>
    </row>
    <row r="325" spans="1:22">
      <c r="A325">
        <v>324</v>
      </c>
      <c r="C325" s="7" t="s">
        <v>958</v>
      </c>
      <c r="D325" t="s">
        <v>29</v>
      </c>
      <c r="E325" t="e">
        <f>LEN(#REF!)</f>
        <v>#REF!</v>
      </c>
      <c r="F325" s="49" t="s">
        <v>3590</v>
      </c>
      <c r="K325" s="55" t="s">
        <v>3591</v>
      </c>
      <c r="M325">
        <f t="shared" si="10"/>
        <v>5</v>
      </c>
      <c r="N325" s="30" t="s">
        <v>3592</v>
      </c>
      <c r="R325">
        <v>324</v>
      </c>
      <c r="S325" t="s">
        <v>3593</v>
      </c>
      <c r="T325" t="s">
        <v>2279</v>
      </c>
      <c r="U325">
        <f t="shared" si="11"/>
        <v>8</v>
      </c>
      <c r="V325" s="30" t="s">
        <v>3594</v>
      </c>
    </row>
    <row r="326" spans="1:22">
      <c r="A326">
        <v>325</v>
      </c>
      <c r="C326" s="7" t="s">
        <v>960</v>
      </c>
      <c r="D326" t="s">
        <v>29</v>
      </c>
      <c r="E326" t="e">
        <f>LEN(#REF!)</f>
        <v>#REF!</v>
      </c>
      <c r="F326" s="49" t="s">
        <v>3595</v>
      </c>
      <c r="K326" s="55" t="s">
        <v>3596</v>
      </c>
      <c r="M326">
        <f t="shared" si="10"/>
        <v>10</v>
      </c>
      <c r="N326" s="30" t="s">
        <v>3597</v>
      </c>
      <c r="R326">
        <v>325</v>
      </c>
      <c r="S326" t="s">
        <v>3598</v>
      </c>
      <c r="T326" t="s">
        <v>2279</v>
      </c>
      <c r="U326">
        <f t="shared" si="11"/>
        <v>15</v>
      </c>
      <c r="V326" s="31" t="s">
        <v>3599</v>
      </c>
    </row>
    <row r="327" spans="1:22">
      <c r="A327">
        <v>326</v>
      </c>
      <c r="C327" s="7" t="s">
        <v>962</v>
      </c>
      <c r="D327" t="s">
        <v>29</v>
      </c>
      <c r="E327" t="e">
        <f>LEN(#REF!)</f>
        <v>#REF!</v>
      </c>
      <c r="F327" s="49" t="s">
        <v>3600</v>
      </c>
      <c r="K327" s="55" t="s">
        <v>3601</v>
      </c>
      <c r="M327">
        <f t="shared" si="10"/>
        <v>8</v>
      </c>
      <c r="N327" s="30" t="s">
        <v>3602</v>
      </c>
      <c r="R327">
        <v>326</v>
      </c>
      <c r="S327" t="s">
        <v>3603</v>
      </c>
      <c r="T327" t="s">
        <v>2279</v>
      </c>
      <c r="U327">
        <f t="shared" si="11"/>
        <v>13</v>
      </c>
      <c r="V327" s="30" t="s">
        <v>3604</v>
      </c>
    </row>
    <row r="328" spans="1:22">
      <c r="A328">
        <v>327</v>
      </c>
      <c r="C328" s="7" t="s">
        <v>964</v>
      </c>
      <c r="D328" t="s">
        <v>29</v>
      </c>
      <c r="E328" t="e">
        <f>LEN(#REF!)</f>
        <v>#REF!</v>
      </c>
      <c r="F328" s="49" t="s">
        <v>3605</v>
      </c>
      <c r="K328" s="55" t="s">
        <v>3606</v>
      </c>
      <c r="M328">
        <f t="shared" si="10"/>
        <v>6</v>
      </c>
      <c r="N328" s="30" t="s">
        <v>3607</v>
      </c>
      <c r="R328">
        <v>327</v>
      </c>
      <c r="S328" t="s">
        <v>3608</v>
      </c>
      <c r="T328" t="s">
        <v>2279</v>
      </c>
      <c r="U328">
        <f t="shared" si="11"/>
        <v>8</v>
      </c>
      <c r="V328" s="30" t="s">
        <v>3609</v>
      </c>
    </row>
    <row r="329" spans="1:22">
      <c r="A329">
        <v>328</v>
      </c>
      <c r="C329" s="7" t="s">
        <v>966</v>
      </c>
      <c r="D329" t="s">
        <v>29</v>
      </c>
      <c r="E329" t="e">
        <f>LEN(#REF!)</f>
        <v>#REF!</v>
      </c>
      <c r="F329" s="49" t="s">
        <v>3610</v>
      </c>
      <c r="K329" s="55" t="s">
        <v>3611</v>
      </c>
      <c r="M329">
        <f t="shared" si="10"/>
        <v>6</v>
      </c>
      <c r="N329" s="30" t="s">
        <v>3612</v>
      </c>
      <c r="R329">
        <v>328</v>
      </c>
      <c r="S329" t="s">
        <v>3613</v>
      </c>
      <c r="T329" t="s">
        <v>2279</v>
      </c>
      <c r="U329">
        <f t="shared" si="11"/>
        <v>9</v>
      </c>
      <c r="V329" s="30" t="s">
        <v>3614</v>
      </c>
    </row>
    <row r="330" spans="1:22">
      <c r="A330">
        <v>329</v>
      </c>
      <c r="C330" s="7" t="s">
        <v>968</v>
      </c>
      <c r="D330" t="s">
        <v>29</v>
      </c>
      <c r="E330" t="e">
        <f>LEN(#REF!)</f>
        <v>#REF!</v>
      </c>
      <c r="F330" s="49" t="s">
        <v>3615</v>
      </c>
      <c r="K330" s="55" t="s">
        <v>3616</v>
      </c>
      <c r="M330">
        <f t="shared" si="10"/>
        <v>7</v>
      </c>
      <c r="N330" s="30" t="s">
        <v>3617</v>
      </c>
      <c r="R330">
        <v>329</v>
      </c>
      <c r="S330" t="s">
        <v>3618</v>
      </c>
      <c r="T330" t="s">
        <v>2279</v>
      </c>
      <c r="U330">
        <f t="shared" si="11"/>
        <v>9</v>
      </c>
      <c r="V330" s="30" t="s">
        <v>3619</v>
      </c>
    </row>
    <row r="331" spans="1:22">
      <c r="A331">
        <v>330</v>
      </c>
      <c r="C331" s="7" t="s">
        <v>970</v>
      </c>
      <c r="D331" t="s">
        <v>29</v>
      </c>
      <c r="E331" t="e">
        <f>LEN(#REF!)</f>
        <v>#REF!</v>
      </c>
      <c r="F331" s="49" t="s">
        <v>3620</v>
      </c>
      <c r="K331" s="55" t="s">
        <v>3621</v>
      </c>
      <c r="M331">
        <f t="shared" si="10"/>
        <v>6</v>
      </c>
      <c r="N331" s="30" t="s">
        <v>3622</v>
      </c>
      <c r="R331">
        <v>330</v>
      </c>
      <c r="S331" t="s">
        <v>3623</v>
      </c>
      <c r="T331" t="s">
        <v>2279</v>
      </c>
      <c r="U331">
        <f t="shared" si="11"/>
        <v>8</v>
      </c>
      <c r="V331" s="30" t="s">
        <v>3624</v>
      </c>
    </row>
    <row r="332" spans="1:22">
      <c r="A332">
        <v>331</v>
      </c>
      <c r="C332" s="7" t="s">
        <v>972</v>
      </c>
      <c r="D332" t="s">
        <v>29</v>
      </c>
      <c r="E332" t="e">
        <f>LEN(#REF!)</f>
        <v>#REF!</v>
      </c>
      <c r="F332" s="49" t="s">
        <v>3625</v>
      </c>
      <c r="K332" s="55" t="s">
        <v>3626</v>
      </c>
      <c r="M332">
        <f t="shared" si="10"/>
        <v>7</v>
      </c>
      <c r="N332" s="30" t="s">
        <v>3627</v>
      </c>
      <c r="R332">
        <v>331</v>
      </c>
      <c r="S332" t="s">
        <v>3628</v>
      </c>
      <c r="T332" t="s">
        <v>2279</v>
      </c>
      <c r="U332">
        <f t="shared" si="11"/>
        <v>8</v>
      </c>
      <c r="V332" s="30" t="s">
        <v>3629</v>
      </c>
    </row>
    <row r="333" spans="1:22">
      <c r="A333">
        <v>332</v>
      </c>
      <c r="C333" s="7" t="s">
        <v>974</v>
      </c>
      <c r="D333" t="s">
        <v>29</v>
      </c>
      <c r="E333" t="e">
        <f>LEN(#REF!)</f>
        <v>#REF!</v>
      </c>
      <c r="F333" s="49" t="s">
        <v>3630</v>
      </c>
      <c r="K333" s="55" t="s">
        <v>3631</v>
      </c>
      <c r="M333">
        <f t="shared" si="10"/>
        <v>7</v>
      </c>
      <c r="N333" s="30" t="s">
        <v>3632</v>
      </c>
      <c r="R333">
        <v>332</v>
      </c>
      <c r="S333" t="s">
        <v>3633</v>
      </c>
      <c r="T333" t="s">
        <v>2279</v>
      </c>
      <c r="U333">
        <f t="shared" si="11"/>
        <v>8</v>
      </c>
      <c r="V333" s="30" t="s">
        <v>3634</v>
      </c>
    </row>
    <row r="334" spans="1:22">
      <c r="A334">
        <v>333</v>
      </c>
      <c r="C334" s="7" t="s">
        <v>976</v>
      </c>
      <c r="D334" t="s">
        <v>29</v>
      </c>
      <c r="E334" t="e">
        <f>LEN(#REF!)</f>
        <v>#REF!</v>
      </c>
      <c r="F334" s="49" t="s">
        <v>3635</v>
      </c>
      <c r="K334" s="55">
        <v>696969</v>
      </c>
      <c r="M334">
        <f t="shared" si="10"/>
        <v>6</v>
      </c>
      <c r="N334" s="30" t="s">
        <v>3636</v>
      </c>
      <c r="R334">
        <v>333</v>
      </c>
      <c r="S334" t="s">
        <v>3637</v>
      </c>
      <c r="T334" t="s">
        <v>2279</v>
      </c>
      <c r="U334">
        <f t="shared" si="11"/>
        <v>8</v>
      </c>
      <c r="V334" s="30" t="s">
        <v>3638</v>
      </c>
    </row>
    <row r="335" spans="1:22">
      <c r="A335">
        <v>334</v>
      </c>
      <c r="C335" s="7" t="s">
        <v>978</v>
      </c>
      <c r="D335" t="s">
        <v>29</v>
      </c>
      <c r="E335" t="e">
        <f>LEN(#REF!)</f>
        <v>#REF!</v>
      </c>
      <c r="F335" s="49" t="s">
        <v>3639</v>
      </c>
      <c r="K335" s="55" t="s">
        <v>3640</v>
      </c>
      <c r="M335">
        <f t="shared" si="10"/>
        <v>6</v>
      </c>
      <c r="N335" s="30" t="s">
        <v>3641</v>
      </c>
      <c r="R335">
        <v>334</v>
      </c>
      <c r="S335" t="s">
        <v>3642</v>
      </c>
      <c r="T335" t="s">
        <v>2279</v>
      </c>
      <c r="U335">
        <f t="shared" si="11"/>
        <v>8</v>
      </c>
      <c r="V335" s="30" t="s">
        <v>3643</v>
      </c>
    </row>
    <row r="336" spans="1:22">
      <c r="A336">
        <v>335</v>
      </c>
      <c r="C336" s="7" t="s">
        <v>980</v>
      </c>
      <c r="D336" t="s">
        <v>29</v>
      </c>
      <c r="E336" t="e">
        <f>LEN(#REF!)</f>
        <v>#REF!</v>
      </c>
      <c r="F336" s="49" t="s">
        <v>3644</v>
      </c>
      <c r="K336" s="55" t="s">
        <v>3645</v>
      </c>
      <c r="M336">
        <f t="shared" si="10"/>
        <v>8</v>
      </c>
      <c r="N336" s="30" t="s">
        <v>3646</v>
      </c>
      <c r="R336">
        <v>335</v>
      </c>
      <c r="S336" t="s">
        <v>3647</v>
      </c>
      <c r="T336" t="s">
        <v>2279</v>
      </c>
      <c r="U336">
        <f t="shared" si="11"/>
        <v>10</v>
      </c>
      <c r="V336" s="30" t="s">
        <v>3648</v>
      </c>
    </row>
    <row r="337" spans="1:22">
      <c r="A337">
        <v>336</v>
      </c>
      <c r="C337" s="7" t="s">
        <v>982</v>
      </c>
      <c r="D337" t="s">
        <v>29</v>
      </c>
      <c r="E337" t="e">
        <f>LEN(#REF!)</f>
        <v>#REF!</v>
      </c>
      <c r="F337" s="49" t="s">
        <v>3649</v>
      </c>
      <c r="K337" s="55" t="s">
        <v>3650</v>
      </c>
      <c r="M337">
        <f t="shared" si="10"/>
        <v>6</v>
      </c>
      <c r="N337" s="30" t="s">
        <v>3651</v>
      </c>
      <c r="R337">
        <v>336</v>
      </c>
      <c r="S337" t="s">
        <v>3652</v>
      </c>
      <c r="T337" t="s">
        <v>2279</v>
      </c>
      <c r="U337">
        <f t="shared" si="11"/>
        <v>11</v>
      </c>
      <c r="V337" s="30" t="s">
        <v>3653</v>
      </c>
    </row>
    <row r="338" spans="1:22">
      <c r="A338">
        <v>337</v>
      </c>
      <c r="C338" s="7" t="s">
        <v>984</v>
      </c>
      <c r="D338" t="s">
        <v>29</v>
      </c>
      <c r="E338" t="e">
        <f>LEN(#REF!)</f>
        <v>#REF!</v>
      </c>
      <c r="F338" s="49" t="s">
        <v>3654</v>
      </c>
      <c r="K338" s="55" t="s">
        <v>3655</v>
      </c>
      <c r="M338">
        <f t="shared" si="10"/>
        <v>6</v>
      </c>
      <c r="N338" s="30" t="s">
        <v>3656</v>
      </c>
      <c r="R338">
        <v>337</v>
      </c>
      <c r="S338" t="s">
        <v>3657</v>
      </c>
      <c r="T338" t="s">
        <v>2279</v>
      </c>
      <c r="U338">
        <f t="shared" si="11"/>
        <v>8</v>
      </c>
      <c r="V338" s="30" t="s">
        <v>3658</v>
      </c>
    </row>
    <row r="339" spans="1:22">
      <c r="A339">
        <v>338</v>
      </c>
      <c r="C339" s="7" t="s">
        <v>986</v>
      </c>
      <c r="D339" t="s">
        <v>29</v>
      </c>
      <c r="E339" t="e">
        <f>LEN(#REF!)</f>
        <v>#REF!</v>
      </c>
      <c r="F339" s="49" t="s">
        <v>3659</v>
      </c>
      <c r="K339" s="55" t="s">
        <v>3660</v>
      </c>
      <c r="M339">
        <f t="shared" si="10"/>
        <v>6</v>
      </c>
      <c r="N339" s="30" t="s">
        <v>3661</v>
      </c>
      <c r="R339">
        <v>338</v>
      </c>
      <c r="S339" t="s">
        <v>3662</v>
      </c>
      <c r="T339" t="s">
        <v>2279</v>
      </c>
      <c r="U339">
        <f t="shared" si="11"/>
        <v>8</v>
      </c>
      <c r="V339" s="30" t="s">
        <v>3663</v>
      </c>
    </row>
    <row r="340" spans="1:22">
      <c r="A340">
        <v>339</v>
      </c>
      <c r="C340" s="7" t="s">
        <v>988</v>
      </c>
      <c r="D340" t="s">
        <v>29</v>
      </c>
      <c r="E340" t="e">
        <f>LEN(#REF!)</f>
        <v>#REF!</v>
      </c>
      <c r="F340" s="49" t="s">
        <v>3664</v>
      </c>
      <c r="K340" s="55" t="s">
        <v>3665</v>
      </c>
      <c r="M340">
        <f t="shared" si="10"/>
        <v>10</v>
      </c>
      <c r="N340" s="30" t="s">
        <v>3666</v>
      </c>
      <c r="R340">
        <v>339</v>
      </c>
      <c r="S340" t="s">
        <v>3667</v>
      </c>
      <c r="T340" t="s">
        <v>2279</v>
      </c>
      <c r="U340">
        <f t="shared" si="11"/>
        <v>8</v>
      </c>
      <c r="V340" s="30" t="s">
        <v>3668</v>
      </c>
    </row>
    <row r="341" spans="1:22">
      <c r="A341">
        <v>340</v>
      </c>
      <c r="C341" s="7" t="s">
        <v>990</v>
      </c>
      <c r="D341" t="s">
        <v>29</v>
      </c>
      <c r="E341" t="e">
        <f>LEN(#REF!)</f>
        <v>#REF!</v>
      </c>
      <c r="F341" s="49" t="s">
        <v>3669</v>
      </c>
      <c r="K341" s="55" t="s">
        <v>3670</v>
      </c>
      <c r="M341">
        <f t="shared" si="10"/>
        <v>9</v>
      </c>
      <c r="N341" s="30" t="s">
        <v>3671</v>
      </c>
      <c r="R341">
        <v>340</v>
      </c>
      <c r="S341" t="s">
        <v>3672</v>
      </c>
      <c r="T341" t="s">
        <v>2279</v>
      </c>
      <c r="U341">
        <f t="shared" si="11"/>
        <v>13</v>
      </c>
      <c r="V341" s="30" t="s">
        <v>3673</v>
      </c>
    </row>
    <row r="342" spans="1:22">
      <c r="A342">
        <v>341</v>
      </c>
      <c r="C342" s="7" t="s">
        <v>992</v>
      </c>
      <c r="D342" t="s">
        <v>29</v>
      </c>
      <c r="E342" t="e">
        <f>LEN(#REF!)</f>
        <v>#REF!</v>
      </c>
      <c r="F342" s="49" t="s">
        <v>3674</v>
      </c>
      <c r="K342" s="55" t="s">
        <v>3675</v>
      </c>
      <c r="M342">
        <f t="shared" si="10"/>
        <v>11</v>
      </c>
      <c r="N342" s="30" t="s">
        <v>3676</v>
      </c>
      <c r="R342">
        <v>341</v>
      </c>
      <c r="S342" t="s">
        <v>3677</v>
      </c>
      <c r="T342" t="s">
        <v>2279</v>
      </c>
      <c r="U342">
        <f t="shared" si="11"/>
        <v>17</v>
      </c>
      <c r="V342" s="30" t="s">
        <v>3678</v>
      </c>
    </row>
    <row r="343" spans="1:22">
      <c r="A343">
        <v>342</v>
      </c>
      <c r="C343" s="7" t="s">
        <v>994</v>
      </c>
      <c r="D343" t="s">
        <v>29</v>
      </c>
      <c r="E343" t="e">
        <f>LEN(#REF!)</f>
        <v>#REF!</v>
      </c>
      <c r="F343" s="49" t="s">
        <v>3679</v>
      </c>
      <c r="K343" s="55" t="s">
        <v>3680</v>
      </c>
      <c r="M343">
        <f t="shared" si="10"/>
        <v>8</v>
      </c>
      <c r="N343" s="30" t="s">
        <v>3681</v>
      </c>
      <c r="R343">
        <v>342</v>
      </c>
      <c r="S343" t="s">
        <v>3682</v>
      </c>
      <c r="T343" t="s">
        <v>2279</v>
      </c>
      <c r="U343">
        <f t="shared" si="11"/>
        <v>9</v>
      </c>
      <c r="V343" s="30" t="s">
        <v>3683</v>
      </c>
    </row>
    <row r="344" spans="1:22">
      <c r="A344">
        <v>343</v>
      </c>
      <c r="C344" s="7" t="s">
        <v>996</v>
      </c>
      <c r="D344" t="s">
        <v>29</v>
      </c>
      <c r="E344" t="e">
        <f>LEN(#REF!)</f>
        <v>#REF!</v>
      </c>
      <c r="F344" s="49" t="s">
        <v>3684</v>
      </c>
      <c r="K344" s="55" t="s">
        <v>3685</v>
      </c>
      <c r="M344">
        <f t="shared" si="10"/>
        <v>7</v>
      </c>
      <c r="N344" s="30" t="s">
        <v>3686</v>
      </c>
      <c r="R344">
        <v>343</v>
      </c>
      <c r="S344" t="s">
        <v>3687</v>
      </c>
      <c r="T344" t="s">
        <v>2279</v>
      </c>
      <c r="U344">
        <f t="shared" si="11"/>
        <v>8</v>
      </c>
      <c r="V344" s="30" t="s">
        <v>3688</v>
      </c>
    </row>
    <row r="345" spans="1:22">
      <c r="A345">
        <v>344</v>
      </c>
      <c r="C345" s="7" t="s">
        <v>998</v>
      </c>
      <c r="D345" t="s">
        <v>29</v>
      </c>
      <c r="E345" t="e">
        <f>LEN(#REF!)</f>
        <v>#REF!</v>
      </c>
      <c r="F345" s="49" t="s">
        <v>3689</v>
      </c>
      <c r="K345" s="55" t="s">
        <v>3690</v>
      </c>
      <c r="M345">
        <f t="shared" si="10"/>
        <v>7</v>
      </c>
      <c r="N345" s="30" t="s">
        <v>3691</v>
      </c>
      <c r="R345">
        <v>344</v>
      </c>
      <c r="S345" t="s">
        <v>3692</v>
      </c>
      <c r="T345" t="s">
        <v>2279</v>
      </c>
      <c r="U345">
        <f t="shared" si="11"/>
        <v>9</v>
      </c>
      <c r="V345" s="30" t="s">
        <v>3693</v>
      </c>
    </row>
    <row r="346" spans="1:22">
      <c r="A346">
        <v>345</v>
      </c>
      <c r="C346" s="7" t="s">
        <v>1000</v>
      </c>
      <c r="D346" t="s">
        <v>29</v>
      </c>
      <c r="E346" t="e">
        <f>LEN(#REF!)</f>
        <v>#REF!</v>
      </c>
      <c r="F346" s="49" t="s">
        <v>3694</v>
      </c>
      <c r="K346" s="55" t="s">
        <v>3695</v>
      </c>
      <c r="M346">
        <f t="shared" si="10"/>
        <v>8</v>
      </c>
      <c r="N346" s="30" t="s">
        <v>3696</v>
      </c>
      <c r="R346">
        <v>345</v>
      </c>
      <c r="S346" t="s">
        <v>3697</v>
      </c>
      <c r="T346" t="s">
        <v>2279</v>
      </c>
      <c r="U346">
        <f t="shared" si="11"/>
        <v>9</v>
      </c>
      <c r="V346" s="30" t="s">
        <v>3698</v>
      </c>
    </row>
    <row r="347" spans="1:22">
      <c r="A347">
        <v>346</v>
      </c>
      <c r="C347" s="7" t="s">
        <v>1002</v>
      </c>
      <c r="D347" t="s">
        <v>29</v>
      </c>
      <c r="E347" t="e">
        <f>LEN(#REF!)</f>
        <v>#REF!</v>
      </c>
      <c r="F347" s="49" t="s">
        <v>3699</v>
      </c>
      <c r="K347" s="55" t="s">
        <v>3700</v>
      </c>
      <c r="M347">
        <f t="shared" si="10"/>
        <v>7</v>
      </c>
      <c r="N347" s="30" t="s">
        <v>3701</v>
      </c>
      <c r="R347">
        <v>346</v>
      </c>
      <c r="S347" t="s">
        <v>3702</v>
      </c>
      <c r="T347" t="s">
        <v>2279</v>
      </c>
      <c r="U347">
        <f t="shared" si="11"/>
        <v>12</v>
      </c>
      <c r="V347" s="30" t="s">
        <v>3703</v>
      </c>
    </row>
    <row r="348" spans="1:22">
      <c r="A348">
        <v>347</v>
      </c>
      <c r="C348" s="7" t="s">
        <v>1004</v>
      </c>
      <c r="D348" t="s">
        <v>29</v>
      </c>
      <c r="E348" t="e">
        <f>LEN(#REF!)</f>
        <v>#REF!</v>
      </c>
      <c r="F348" s="49" t="s">
        <v>3704</v>
      </c>
      <c r="K348" s="55" t="s">
        <v>3705</v>
      </c>
      <c r="M348">
        <f t="shared" si="10"/>
        <v>9</v>
      </c>
      <c r="N348" s="31" t="s">
        <v>3706</v>
      </c>
      <c r="R348">
        <v>347</v>
      </c>
      <c r="S348" t="s">
        <v>3707</v>
      </c>
      <c r="T348" t="s">
        <v>2279</v>
      </c>
      <c r="U348">
        <f t="shared" si="11"/>
        <v>8</v>
      </c>
      <c r="V348" s="30" t="s">
        <v>3708</v>
      </c>
    </row>
    <row r="349" spans="1:22">
      <c r="A349">
        <v>348</v>
      </c>
      <c r="C349" s="7" t="s">
        <v>1006</v>
      </c>
      <c r="D349" t="s">
        <v>29</v>
      </c>
      <c r="E349" t="e">
        <f>LEN(#REF!)</f>
        <v>#REF!</v>
      </c>
      <c r="F349" s="49" t="s">
        <v>3709</v>
      </c>
      <c r="K349" s="55" t="s">
        <v>3710</v>
      </c>
      <c r="M349">
        <f t="shared" si="10"/>
        <v>6</v>
      </c>
      <c r="N349" s="30" t="s">
        <v>3711</v>
      </c>
      <c r="R349">
        <v>348</v>
      </c>
      <c r="S349" t="s">
        <v>3712</v>
      </c>
      <c r="T349" t="s">
        <v>2279</v>
      </c>
      <c r="U349">
        <f t="shared" si="11"/>
        <v>9</v>
      </c>
      <c r="V349" s="30" t="s">
        <v>3713</v>
      </c>
    </row>
    <row r="350" spans="1:22">
      <c r="A350">
        <v>349</v>
      </c>
      <c r="C350" s="7" t="s">
        <v>1008</v>
      </c>
      <c r="D350" t="s">
        <v>29</v>
      </c>
      <c r="E350" t="e">
        <f>LEN(#REF!)</f>
        <v>#REF!</v>
      </c>
      <c r="F350" s="49" t="s">
        <v>3714</v>
      </c>
      <c r="K350" s="55" t="s">
        <v>3715</v>
      </c>
      <c r="M350">
        <f t="shared" si="10"/>
        <v>7</v>
      </c>
      <c r="N350" s="30" t="s">
        <v>3716</v>
      </c>
      <c r="R350">
        <v>349</v>
      </c>
      <c r="S350" t="s">
        <v>3717</v>
      </c>
      <c r="T350" t="s">
        <v>2279</v>
      </c>
      <c r="U350">
        <f t="shared" si="11"/>
        <v>9</v>
      </c>
      <c r="V350" s="30" t="s">
        <v>3718</v>
      </c>
    </row>
    <row r="351" spans="1:22">
      <c r="A351">
        <v>350</v>
      </c>
      <c r="C351" s="7" t="s">
        <v>1010</v>
      </c>
      <c r="D351" t="s">
        <v>29</v>
      </c>
      <c r="E351" t="e">
        <f>LEN(#REF!)</f>
        <v>#REF!</v>
      </c>
      <c r="F351" s="49" t="s">
        <v>3719</v>
      </c>
      <c r="K351" s="55" t="s">
        <v>3720</v>
      </c>
      <c r="M351">
        <f t="shared" si="10"/>
        <v>8</v>
      </c>
      <c r="N351" s="30" t="s">
        <v>3721</v>
      </c>
      <c r="R351">
        <v>350</v>
      </c>
      <c r="S351" t="s">
        <v>3722</v>
      </c>
      <c r="T351" t="s">
        <v>2279</v>
      </c>
      <c r="U351">
        <f t="shared" si="11"/>
        <v>9</v>
      </c>
      <c r="V351" s="30" t="s">
        <v>3723</v>
      </c>
    </row>
    <row r="352" spans="1:22">
      <c r="A352">
        <v>351</v>
      </c>
      <c r="C352" s="7" t="s">
        <v>359</v>
      </c>
      <c r="D352" t="s">
        <v>29</v>
      </c>
      <c r="E352" t="e">
        <f>LEN(#REF!)</f>
        <v>#REF!</v>
      </c>
      <c r="F352" s="49" t="s">
        <v>2361</v>
      </c>
      <c r="K352" s="55" t="s">
        <v>3724</v>
      </c>
      <c r="M352">
        <f t="shared" si="10"/>
        <v>6</v>
      </c>
      <c r="N352" s="30" t="s">
        <v>3725</v>
      </c>
      <c r="R352">
        <v>351</v>
      </c>
      <c r="S352" t="s">
        <v>3726</v>
      </c>
      <c r="T352" t="s">
        <v>2279</v>
      </c>
      <c r="U352">
        <f t="shared" si="11"/>
        <v>9</v>
      </c>
      <c r="V352" s="30" t="s">
        <v>3727</v>
      </c>
    </row>
    <row r="353" spans="1:22">
      <c r="A353">
        <v>352</v>
      </c>
      <c r="C353" s="7" t="s">
        <v>364</v>
      </c>
      <c r="D353" t="s">
        <v>29</v>
      </c>
      <c r="E353" t="e">
        <f>LEN(#REF!)</f>
        <v>#REF!</v>
      </c>
      <c r="F353" s="49" t="s">
        <v>2377</v>
      </c>
      <c r="K353" s="55" t="s">
        <v>3728</v>
      </c>
      <c r="M353">
        <f t="shared" si="10"/>
        <v>7</v>
      </c>
      <c r="N353" s="30" t="s">
        <v>3729</v>
      </c>
      <c r="R353">
        <v>352</v>
      </c>
      <c r="S353" t="s">
        <v>3730</v>
      </c>
      <c r="T353" t="s">
        <v>2279</v>
      </c>
      <c r="U353">
        <f t="shared" si="11"/>
        <v>9</v>
      </c>
      <c r="V353" s="30" t="s">
        <v>3731</v>
      </c>
    </row>
    <row r="354" spans="1:22">
      <c r="A354">
        <v>353</v>
      </c>
      <c r="C354" s="7" t="s">
        <v>1012</v>
      </c>
      <c r="D354" t="s">
        <v>29</v>
      </c>
      <c r="E354" t="e">
        <f>LEN(#REF!)</f>
        <v>#REF!</v>
      </c>
      <c r="F354" s="49" t="s">
        <v>3732</v>
      </c>
      <c r="K354" s="55" t="s">
        <v>3733</v>
      </c>
      <c r="M354">
        <f t="shared" si="10"/>
        <v>8</v>
      </c>
      <c r="N354" s="30" t="s">
        <v>3734</v>
      </c>
      <c r="R354">
        <v>353</v>
      </c>
      <c r="S354" t="s">
        <v>3735</v>
      </c>
      <c r="T354" t="s">
        <v>2279</v>
      </c>
      <c r="U354">
        <f t="shared" si="11"/>
        <v>8</v>
      </c>
      <c r="V354" s="30" t="s">
        <v>3736</v>
      </c>
    </row>
    <row r="355" spans="1:22">
      <c r="A355">
        <v>354</v>
      </c>
      <c r="C355" s="7" t="s">
        <v>1014</v>
      </c>
      <c r="D355" t="s">
        <v>29</v>
      </c>
      <c r="E355" t="e">
        <f>LEN(#REF!)</f>
        <v>#REF!</v>
      </c>
      <c r="F355" s="49" t="s">
        <v>3737</v>
      </c>
      <c r="K355" s="55" t="s">
        <v>3738</v>
      </c>
      <c r="M355">
        <f t="shared" si="10"/>
        <v>9</v>
      </c>
      <c r="N355" s="30" t="s">
        <v>3739</v>
      </c>
      <c r="R355">
        <v>354</v>
      </c>
      <c r="S355" t="s">
        <v>3740</v>
      </c>
      <c r="T355" t="s">
        <v>2279</v>
      </c>
      <c r="U355">
        <f t="shared" si="11"/>
        <v>8</v>
      </c>
      <c r="V355" s="30" t="s">
        <v>3741</v>
      </c>
    </row>
    <row r="356" spans="1:22">
      <c r="A356">
        <v>355</v>
      </c>
      <c r="C356" s="7" t="s">
        <v>1016</v>
      </c>
      <c r="D356" t="s">
        <v>29</v>
      </c>
      <c r="E356" t="e">
        <f>LEN(#REF!)</f>
        <v>#REF!</v>
      </c>
      <c r="F356" s="49" t="s">
        <v>3742</v>
      </c>
      <c r="K356" s="55" t="s">
        <v>3743</v>
      </c>
      <c r="M356">
        <f t="shared" si="10"/>
        <v>7</v>
      </c>
      <c r="N356" s="30" t="s">
        <v>3744</v>
      </c>
      <c r="R356">
        <v>355</v>
      </c>
      <c r="S356" t="s">
        <v>3745</v>
      </c>
      <c r="T356" t="s">
        <v>2279</v>
      </c>
      <c r="U356">
        <f t="shared" si="11"/>
        <v>8</v>
      </c>
      <c r="V356" s="30" t="s">
        <v>3746</v>
      </c>
    </row>
    <row r="357" spans="1:22">
      <c r="A357">
        <v>356</v>
      </c>
      <c r="C357" s="7" t="s">
        <v>1018</v>
      </c>
      <c r="D357" t="s">
        <v>29</v>
      </c>
      <c r="E357" t="e">
        <f>LEN(#REF!)</f>
        <v>#REF!</v>
      </c>
      <c r="F357" s="49" t="s">
        <v>3747</v>
      </c>
      <c r="K357" s="55" t="s">
        <v>3748</v>
      </c>
      <c r="M357">
        <f t="shared" si="10"/>
        <v>7</v>
      </c>
      <c r="N357" s="30" t="s">
        <v>3749</v>
      </c>
      <c r="R357">
        <v>356</v>
      </c>
      <c r="S357" t="s">
        <v>3750</v>
      </c>
      <c r="T357" t="s">
        <v>2279</v>
      </c>
      <c r="U357">
        <f t="shared" si="11"/>
        <v>9</v>
      </c>
      <c r="V357" s="30" t="s">
        <v>3751</v>
      </c>
    </row>
    <row r="358" spans="1:22">
      <c r="A358">
        <v>357</v>
      </c>
      <c r="C358" s="7" t="s">
        <v>1020</v>
      </c>
      <c r="D358" t="s">
        <v>29</v>
      </c>
      <c r="E358" t="e">
        <f>LEN(#REF!)</f>
        <v>#REF!</v>
      </c>
      <c r="F358" s="49" t="s">
        <v>3752</v>
      </c>
      <c r="K358" s="55" t="s">
        <v>3753</v>
      </c>
      <c r="M358">
        <f t="shared" si="10"/>
        <v>6</v>
      </c>
      <c r="N358" s="30" t="s">
        <v>3754</v>
      </c>
      <c r="R358">
        <v>357</v>
      </c>
      <c r="S358" t="s">
        <v>3755</v>
      </c>
      <c r="T358" t="s">
        <v>2279</v>
      </c>
      <c r="U358">
        <f t="shared" si="11"/>
        <v>15</v>
      </c>
      <c r="V358" s="30" t="s">
        <v>3756</v>
      </c>
    </row>
    <row r="359" spans="1:22">
      <c r="A359">
        <v>358</v>
      </c>
      <c r="C359" s="7" t="s">
        <v>1022</v>
      </c>
      <c r="D359" t="s">
        <v>29</v>
      </c>
      <c r="E359" t="e">
        <f>LEN(#REF!)</f>
        <v>#REF!</v>
      </c>
      <c r="F359" s="49" t="s">
        <v>3757</v>
      </c>
      <c r="K359" s="55" t="s">
        <v>3758</v>
      </c>
      <c r="M359">
        <f t="shared" si="10"/>
        <v>8</v>
      </c>
      <c r="N359" s="30" t="s">
        <v>3759</v>
      </c>
      <c r="R359">
        <v>358</v>
      </c>
      <c r="S359" t="s">
        <v>3760</v>
      </c>
      <c r="T359" t="s">
        <v>2279</v>
      </c>
      <c r="U359">
        <f t="shared" si="11"/>
        <v>8</v>
      </c>
      <c r="V359" s="30" t="s">
        <v>3761</v>
      </c>
    </row>
    <row r="360" spans="1:22">
      <c r="A360">
        <v>359</v>
      </c>
      <c r="C360" s="7" t="s">
        <v>1024</v>
      </c>
      <c r="D360" t="s">
        <v>29</v>
      </c>
      <c r="E360" t="e">
        <f>LEN(#REF!)</f>
        <v>#REF!</v>
      </c>
      <c r="F360" s="49" t="s">
        <v>3762</v>
      </c>
      <c r="K360" s="55" t="s">
        <v>3763</v>
      </c>
      <c r="M360">
        <f t="shared" si="10"/>
        <v>6</v>
      </c>
      <c r="N360" s="30" t="s">
        <v>3764</v>
      </c>
      <c r="R360">
        <v>359</v>
      </c>
      <c r="S360" t="s">
        <v>3765</v>
      </c>
      <c r="T360" t="s">
        <v>2279</v>
      </c>
      <c r="U360">
        <f t="shared" si="11"/>
        <v>9</v>
      </c>
      <c r="V360" s="30" t="s">
        <v>3766</v>
      </c>
    </row>
    <row r="361" spans="1:22">
      <c r="A361">
        <v>360</v>
      </c>
      <c r="C361" s="7" t="s">
        <v>1026</v>
      </c>
      <c r="D361" t="s">
        <v>29</v>
      </c>
      <c r="E361" t="e">
        <f>LEN(#REF!)</f>
        <v>#REF!</v>
      </c>
      <c r="F361" s="49" t="s">
        <v>3767</v>
      </c>
      <c r="K361" s="55" t="s">
        <v>3768</v>
      </c>
      <c r="M361">
        <f t="shared" si="10"/>
        <v>7</v>
      </c>
      <c r="N361" s="30" t="s">
        <v>3769</v>
      </c>
      <c r="R361">
        <v>360</v>
      </c>
      <c r="S361" t="s">
        <v>3770</v>
      </c>
      <c r="T361" t="s">
        <v>2279</v>
      </c>
      <c r="U361">
        <f t="shared" si="11"/>
        <v>9</v>
      </c>
      <c r="V361" s="30" t="s">
        <v>3771</v>
      </c>
    </row>
    <row r="362" spans="1:22">
      <c r="A362">
        <v>361</v>
      </c>
      <c r="C362" s="7" t="s">
        <v>1028</v>
      </c>
      <c r="D362" t="s">
        <v>29</v>
      </c>
      <c r="E362" t="e">
        <f>LEN(#REF!)</f>
        <v>#REF!</v>
      </c>
      <c r="F362" s="49" t="s">
        <v>3772</v>
      </c>
      <c r="K362" s="55" t="s">
        <v>3773</v>
      </c>
      <c r="M362">
        <f t="shared" si="10"/>
        <v>7</v>
      </c>
      <c r="N362" s="30" t="s">
        <v>3774</v>
      </c>
      <c r="R362">
        <v>361</v>
      </c>
      <c r="S362" t="s">
        <v>3775</v>
      </c>
      <c r="T362" t="s">
        <v>2279</v>
      </c>
      <c r="U362">
        <f t="shared" si="11"/>
        <v>9</v>
      </c>
      <c r="V362" s="30" t="s">
        <v>3776</v>
      </c>
    </row>
    <row r="363" spans="1:22">
      <c r="A363">
        <v>362</v>
      </c>
      <c r="C363" s="7" t="s">
        <v>1030</v>
      </c>
      <c r="D363" t="s">
        <v>29</v>
      </c>
      <c r="E363" t="e">
        <f>LEN(#REF!)</f>
        <v>#REF!</v>
      </c>
      <c r="F363" s="49" t="s">
        <v>3777</v>
      </c>
      <c r="K363" s="55" t="s">
        <v>3778</v>
      </c>
      <c r="M363">
        <f t="shared" si="10"/>
        <v>7</v>
      </c>
      <c r="N363" s="30" t="s">
        <v>3779</v>
      </c>
      <c r="R363">
        <v>362</v>
      </c>
      <c r="S363" t="s">
        <v>3780</v>
      </c>
      <c r="T363" t="s">
        <v>2279</v>
      </c>
      <c r="U363">
        <f t="shared" si="11"/>
        <v>14</v>
      </c>
      <c r="V363" s="30" t="s">
        <v>3781</v>
      </c>
    </row>
    <row r="364" spans="1:22">
      <c r="A364">
        <v>363</v>
      </c>
      <c r="C364" s="7" t="s">
        <v>1032</v>
      </c>
      <c r="D364" t="s">
        <v>29</v>
      </c>
      <c r="E364" t="e">
        <f>LEN(#REF!)</f>
        <v>#REF!</v>
      </c>
      <c r="F364" s="49" t="s">
        <v>3782</v>
      </c>
      <c r="K364" s="55" t="s">
        <v>3783</v>
      </c>
      <c r="M364">
        <f t="shared" si="10"/>
        <v>6</v>
      </c>
      <c r="N364" s="30" t="s">
        <v>3784</v>
      </c>
      <c r="R364">
        <v>363</v>
      </c>
      <c r="S364" t="s">
        <v>3785</v>
      </c>
      <c r="T364" t="s">
        <v>2279</v>
      </c>
      <c r="U364">
        <f t="shared" si="11"/>
        <v>8</v>
      </c>
      <c r="V364" s="30" t="s">
        <v>3786</v>
      </c>
    </row>
    <row r="365" spans="1:22">
      <c r="A365">
        <v>364</v>
      </c>
      <c r="C365" s="7" t="s">
        <v>1034</v>
      </c>
      <c r="D365" t="s">
        <v>29</v>
      </c>
      <c r="E365" t="e">
        <f>LEN(#REF!)</f>
        <v>#REF!</v>
      </c>
      <c r="F365" s="49" t="s">
        <v>3787</v>
      </c>
      <c r="K365" s="55" t="s">
        <v>3788</v>
      </c>
      <c r="M365">
        <f t="shared" si="10"/>
        <v>8</v>
      </c>
      <c r="N365" s="30" t="s">
        <v>3789</v>
      </c>
      <c r="R365">
        <v>364</v>
      </c>
      <c r="S365" t="s">
        <v>3790</v>
      </c>
      <c r="T365" t="s">
        <v>2279</v>
      </c>
      <c r="U365">
        <f t="shared" si="11"/>
        <v>9</v>
      </c>
      <c r="V365" s="30" t="s">
        <v>3791</v>
      </c>
    </row>
    <row r="366" spans="1:22">
      <c r="A366">
        <v>365</v>
      </c>
      <c r="C366" s="7" t="s">
        <v>1036</v>
      </c>
      <c r="D366" t="s">
        <v>29</v>
      </c>
      <c r="E366" t="e">
        <f>LEN(#REF!)</f>
        <v>#REF!</v>
      </c>
      <c r="F366" s="49" t="s">
        <v>3792</v>
      </c>
      <c r="K366" s="55" t="s">
        <v>3793</v>
      </c>
      <c r="M366">
        <f t="shared" si="10"/>
        <v>8</v>
      </c>
      <c r="N366" s="30" t="s">
        <v>3794</v>
      </c>
      <c r="R366">
        <v>365</v>
      </c>
      <c r="S366" t="s">
        <v>3795</v>
      </c>
      <c r="T366" t="s">
        <v>2279</v>
      </c>
      <c r="U366">
        <f t="shared" si="11"/>
        <v>10</v>
      </c>
      <c r="V366" s="30" t="s">
        <v>3796</v>
      </c>
    </row>
    <row r="367" spans="1:22">
      <c r="A367">
        <v>366</v>
      </c>
      <c r="C367" s="7" t="s">
        <v>400</v>
      </c>
      <c r="D367" t="s">
        <v>29</v>
      </c>
      <c r="E367" t="e">
        <f>LEN(#REF!)</f>
        <v>#REF!</v>
      </c>
      <c r="F367" s="49" t="s">
        <v>2517</v>
      </c>
      <c r="K367" s="55" t="s">
        <v>3797</v>
      </c>
      <c r="M367">
        <f t="shared" si="10"/>
        <v>6</v>
      </c>
      <c r="N367" s="30" t="s">
        <v>3798</v>
      </c>
      <c r="R367">
        <v>366</v>
      </c>
      <c r="S367" t="s">
        <v>3799</v>
      </c>
      <c r="T367" t="s">
        <v>2279</v>
      </c>
      <c r="U367">
        <f t="shared" si="11"/>
        <v>8</v>
      </c>
      <c r="V367" s="30" t="s">
        <v>3800</v>
      </c>
    </row>
    <row r="368" spans="1:22">
      <c r="A368">
        <v>367</v>
      </c>
      <c r="C368" s="7" t="s">
        <v>405</v>
      </c>
      <c r="D368" t="s">
        <v>29</v>
      </c>
      <c r="E368" t="e">
        <f>LEN(#REF!)</f>
        <v>#REF!</v>
      </c>
      <c r="F368" s="49" t="s">
        <v>2537</v>
      </c>
      <c r="K368" s="55" t="s">
        <v>3801</v>
      </c>
      <c r="M368">
        <f t="shared" si="10"/>
        <v>6</v>
      </c>
      <c r="N368" s="30" t="s">
        <v>3802</v>
      </c>
      <c r="R368">
        <v>367</v>
      </c>
      <c r="S368" t="s">
        <v>3803</v>
      </c>
      <c r="T368" t="s">
        <v>2279</v>
      </c>
      <c r="U368">
        <f t="shared" si="11"/>
        <v>11</v>
      </c>
      <c r="V368" s="30" t="s">
        <v>3804</v>
      </c>
    </row>
    <row r="369" spans="1:22">
      <c r="A369">
        <v>368</v>
      </c>
      <c r="C369" s="7" t="s">
        <v>1038</v>
      </c>
      <c r="D369" t="s">
        <v>29</v>
      </c>
      <c r="E369" t="e">
        <f>LEN(#REF!)</f>
        <v>#REF!</v>
      </c>
      <c r="F369" s="49" t="s">
        <v>3805</v>
      </c>
      <c r="K369" s="55" t="s">
        <v>3806</v>
      </c>
      <c r="M369">
        <f t="shared" si="10"/>
        <v>8</v>
      </c>
      <c r="N369" s="30" t="s">
        <v>3807</v>
      </c>
      <c r="R369">
        <v>368</v>
      </c>
      <c r="S369" t="s">
        <v>3808</v>
      </c>
      <c r="T369" t="s">
        <v>2279</v>
      </c>
      <c r="U369">
        <f t="shared" si="11"/>
        <v>10</v>
      </c>
      <c r="V369" s="30" t="s">
        <v>3809</v>
      </c>
    </row>
    <row r="370" spans="1:22">
      <c r="A370">
        <v>369</v>
      </c>
      <c r="C370" s="7" t="s">
        <v>1040</v>
      </c>
      <c r="D370" t="s">
        <v>29</v>
      </c>
      <c r="E370" t="e">
        <f>LEN(#REF!)</f>
        <v>#REF!</v>
      </c>
      <c r="F370" s="49" t="s">
        <v>3810</v>
      </c>
      <c r="K370" s="55">
        <v>131313</v>
      </c>
      <c r="M370">
        <f t="shared" si="10"/>
        <v>6</v>
      </c>
      <c r="N370" s="30" t="s">
        <v>3811</v>
      </c>
      <c r="R370">
        <v>369</v>
      </c>
      <c r="S370" t="s">
        <v>3812</v>
      </c>
      <c r="T370" t="s">
        <v>2279</v>
      </c>
      <c r="U370">
        <f t="shared" si="11"/>
        <v>9</v>
      </c>
      <c r="V370" s="30" t="s">
        <v>3813</v>
      </c>
    </row>
    <row r="371" spans="1:22">
      <c r="A371">
        <v>370</v>
      </c>
      <c r="C371" s="7" t="s">
        <v>1042</v>
      </c>
      <c r="D371" t="s">
        <v>29</v>
      </c>
      <c r="E371" t="e">
        <f>LEN(#REF!)</f>
        <v>#REF!</v>
      </c>
      <c r="F371" s="49" t="s">
        <v>3814</v>
      </c>
      <c r="K371" s="55" t="s">
        <v>3815</v>
      </c>
      <c r="M371">
        <f t="shared" si="10"/>
        <v>7</v>
      </c>
      <c r="N371" s="30" t="s">
        <v>3816</v>
      </c>
      <c r="R371">
        <v>370</v>
      </c>
      <c r="S371" t="s">
        <v>3817</v>
      </c>
      <c r="T371" t="s">
        <v>2279</v>
      </c>
      <c r="U371">
        <f t="shared" si="11"/>
        <v>8</v>
      </c>
      <c r="V371" s="30" t="s">
        <v>3818</v>
      </c>
    </row>
    <row r="372" spans="1:22">
      <c r="A372">
        <v>371</v>
      </c>
      <c r="C372" s="7" t="s">
        <v>1044</v>
      </c>
      <c r="D372" t="s">
        <v>29</v>
      </c>
      <c r="E372" t="e">
        <f>LEN(#REF!)</f>
        <v>#REF!</v>
      </c>
      <c r="F372" s="49" t="s">
        <v>3819</v>
      </c>
      <c r="K372" s="55" t="s">
        <v>3820</v>
      </c>
      <c r="M372">
        <f t="shared" si="10"/>
        <v>6</v>
      </c>
      <c r="N372" s="30" t="s">
        <v>3821</v>
      </c>
      <c r="R372">
        <v>371</v>
      </c>
      <c r="S372" t="s">
        <v>3822</v>
      </c>
      <c r="T372" t="s">
        <v>2279</v>
      </c>
      <c r="U372">
        <f t="shared" si="11"/>
        <v>8</v>
      </c>
      <c r="V372" s="30" t="s">
        <v>3823</v>
      </c>
    </row>
    <row r="373" spans="1:22">
      <c r="A373">
        <v>372</v>
      </c>
      <c r="C373" s="7" t="s">
        <v>1046</v>
      </c>
      <c r="D373" t="s">
        <v>29</v>
      </c>
      <c r="E373" t="e">
        <f>LEN(#REF!)</f>
        <v>#REF!</v>
      </c>
      <c r="F373" s="49" t="s">
        <v>3824</v>
      </c>
      <c r="K373" s="55">
        <v>333333</v>
      </c>
      <c r="M373">
        <f t="shared" si="10"/>
        <v>6</v>
      </c>
      <c r="N373" s="30" t="s">
        <v>3825</v>
      </c>
      <c r="R373">
        <v>372</v>
      </c>
      <c r="S373" t="s">
        <v>3826</v>
      </c>
      <c r="T373" t="s">
        <v>2279</v>
      </c>
      <c r="U373">
        <f t="shared" si="11"/>
        <v>8</v>
      </c>
      <c r="V373" s="30" t="s">
        <v>3827</v>
      </c>
    </row>
    <row r="374" spans="1:22">
      <c r="A374">
        <v>373</v>
      </c>
      <c r="C374" s="7" t="s">
        <v>1048</v>
      </c>
      <c r="D374" t="s">
        <v>29</v>
      </c>
      <c r="E374" t="e">
        <f>LEN(#REF!)</f>
        <v>#REF!</v>
      </c>
      <c r="F374" s="49" t="s">
        <v>3828</v>
      </c>
      <c r="K374" s="55" t="s">
        <v>3829</v>
      </c>
      <c r="M374">
        <f t="shared" si="10"/>
        <v>6</v>
      </c>
      <c r="N374" s="30" t="s">
        <v>3830</v>
      </c>
      <c r="R374">
        <v>373</v>
      </c>
      <c r="S374" t="s">
        <v>3831</v>
      </c>
      <c r="T374" t="s">
        <v>2279</v>
      </c>
      <c r="U374">
        <f t="shared" si="11"/>
        <v>8</v>
      </c>
      <c r="V374" s="30" t="s">
        <v>3832</v>
      </c>
    </row>
    <row r="375" spans="1:22">
      <c r="A375">
        <v>374</v>
      </c>
      <c r="C375" s="7" t="s">
        <v>1050</v>
      </c>
      <c r="D375" t="s">
        <v>29</v>
      </c>
      <c r="E375" t="e">
        <f>LEN(#REF!)</f>
        <v>#REF!</v>
      </c>
      <c r="F375" s="49" t="s">
        <v>3833</v>
      </c>
      <c r="K375" s="55" t="s">
        <v>3834</v>
      </c>
      <c r="M375">
        <f t="shared" si="10"/>
        <v>6</v>
      </c>
      <c r="N375" s="30" t="s">
        <v>3835</v>
      </c>
      <c r="R375">
        <v>374</v>
      </c>
      <c r="S375" t="s">
        <v>3836</v>
      </c>
      <c r="T375" t="s">
        <v>2279</v>
      </c>
      <c r="U375">
        <f t="shared" si="11"/>
        <v>8</v>
      </c>
      <c r="V375" s="30" t="s">
        <v>3837</v>
      </c>
    </row>
    <row r="376" spans="1:22">
      <c r="A376">
        <v>375</v>
      </c>
      <c r="C376" s="7" t="s">
        <v>1052</v>
      </c>
      <c r="D376" t="s">
        <v>29</v>
      </c>
      <c r="E376" t="e">
        <f>LEN(#REF!)</f>
        <v>#REF!</v>
      </c>
      <c r="F376" s="49" t="s">
        <v>3838</v>
      </c>
      <c r="K376" s="55" t="s">
        <v>3839</v>
      </c>
      <c r="M376">
        <f t="shared" si="10"/>
        <v>6</v>
      </c>
      <c r="N376" s="30" t="s">
        <v>3840</v>
      </c>
      <c r="R376">
        <v>375</v>
      </c>
      <c r="S376" t="s">
        <v>3841</v>
      </c>
      <c r="T376" t="s">
        <v>2279</v>
      </c>
      <c r="U376">
        <f t="shared" si="11"/>
        <v>8</v>
      </c>
      <c r="V376" s="30" t="s">
        <v>3842</v>
      </c>
    </row>
    <row r="377" spans="1:22">
      <c r="A377">
        <v>376</v>
      </c>
      <c r="C377" s="7" t="s">
        <v>1054</v>
      </c>
      <c r="D377" t="s">
        <v>29</v>
      </c>
      <c r="E377" t="e">
        <f>LEN(#REF!)</f>
        <v>#REF!</v>
      </c>
      <c r="F377" s="49" t="s">
        <v>3843</v>
      </c>
      <c r="K377" s="55" t="s">
        <v>3844</v>
      </c>
      <c r="M377">
        <f t="shared" si="10"/>
        <v>6</v>
      </c>
      <c r="N377" s="30" t="s">
        <v>3845</v>
      </c>
      <c r="R377">
        <v>376</v>
      </c>
      <c r="S377" t="s">
        <v>3846</v>
      </c>
      <c r="T377" t="s">
        <v>2279</v>
      </c>
      <c r="U377">
        <f t="shared" si="11"/>
        <v>9</v>
      </c>
      <c r="V377" s="31" t="s">
        <v>3847</v>
      </c>
    </row>
    <row r="378" spans="1:22">
      <c r="A378">
        <v>377</v>
      </c>
      <c r="C378" s="7" t="s">
        <v>1056</v>
      </c>
      <c r="D378" t="s">
        <v>29</v>
      </c>
      <c r="E378" t="e">
        <f>LEN(#REF!)</f>
        <v>#REF!</v>
      </c>
      <c r="F378" s="49" t="s">
        <v>3848</v>
      </c>
      <c r="K378" s="55" t="s">
        <v>3849</v>
      </c>
      <c r="M378">
        <f t="shared" si="10"/>
        <v>7</v>
      </c>
      <c r="N378" s="30" t="s">
        <v>3850</v>
      </c>
      <c r="R378">
        <v>377</v>
      </c>
      <c r="S378" t="s">
        <v>3851</v>
      </c>
      <c r="T378" t="s">
        <v>2279</v>
      </c>
      <c r="U378">
        <f t="shared" si="11"/>
        <v>9</v>
      </c>
      <c r="V378" s="30" t="s">
        <v>3852</v>
      </c>
    </row>
    <row r="379" spans="1:22">
      <c r="A379">
        <v>378</v>
      </c>
      <c r="C379" s="7" t="s">
        <v>1058</v>
      </c>
      <c r="D379" t="s">
        <v>29</v>
      </c>
      <c r="E379" t="e">
        <f>LEN(#REF!)</f>
        <v>#REF!</v>
      </c>
      <c r="F379" s="49" t="s">
        <v>3853</v>
      </c>
      <c r="K379" s="55" t="s">
        <v>3854</v>
      </c>
      <c r="M379">
        <f t="shared" si="10"/>
        <v>9</v>
      </c>
      <c r="N379" s="30" t="s">
        <v>3855</v>
      </c>
      <c r="R379">
        <v>378</v>
      </c>
      <c r="S379" t="s">
        <v>3856</v>
      </c>
      <c r="T379" t="s">
        <v>2279</v>
      </c>
      <c r="U379">
        <f t="shared" si="11"/>
        <v>11</v>
      </c>
      <c r="V379" s="30" t="s">
        <v>3857</v>
      </c>
    </row>
    <row r="380" spans="1:22">
      <c r="A380">
        <v>379</v>
      </c>
      <c r="C380" s="7" t="s">
        <v>1060</v>
      </c>
      <c r="D380" t="s">
        <v>29</v>
      </c>
      <c r="E380" t="e">
        <f>LEN(#REF!)</f>
        <v>#REF!</v>
      </c>
      <c r="F380" s="49" t="s">
        <v>3858</v>
      </c>
      <c r="K380" s="55" t="s">
        <v>3859</v>
      </c>
      <c r="M380">
        <f t="shared" si="10"/>
        <v>6</v>
      </c>
      <c r="N380" s="30" t="s">
        <v>3860</v>
      </c>
      <c r="R380">
        <v>379</v>
      </c>
      <c r="S380" t="s">
        <v>3861</v>
      </c>
      <c r="T380" t="s">
        <v>2279</v>
      </c>
      <c r="U380">
        <f t="shared" si="11"/>
        <v>9</v>
      </c>
      <c r="V380" s="30" t="s">
        <v>3862</v>
      </c>
    </row>
    <row r="381" spans="1:22">
      <c r="A381">
        <v>380</v>
      </c>
      <c r="C381" s="7" t="s">
        <v>1062</v>
      </c>
      <c r="D381" t="s">
        <v>29</v>
      </c>
      <c r="E381" t="e">
        <f>LEN(#REF!)</f>
        <v>#REF!</v>
      </c>
      <c r="F381" s="49" t="s">
        <v>3863</v>
      </c>
      <c r="K381" s="55" t="s">
        <v>3864</v>
      </c>
      <c r="M381">
        <f t="shared" si="10"/>
        <v>6</v>
      </c>
      <c r="N381" s="30" t="s">
        <v>3865</v>
      </c>
      <c r="R381">
        <v>380</v>
      </c>
      <c r="S381" t="s">
        <v>3866</v>
      </c>
      <c r="T381" t="s">
        <v>2279</v>
      </c>
      <c r="U381">
        <f t="shared" si="11"/>
        <v>8</v>
      </c>
      <c r="V381" s="30" t="s">
        <v>3867</v>
      </c>
    </row>
    <row r="382" spans="1:22">
      <c r="A382">
        <v>381</v>
      </c>
      <c r="C382" s="7" t="s">
        <v>1064</v>
      </c>
      <c r="D382" t="s">
        <v>29</v>
      </c>
      <c r="E382" t="e">
        <f>LEN(#REF!)</f>
        <v>#REF!</v>
      </c>
      <c r="F382" s="49" t="s">
        <v>3868</v>
      </c>
      <c r="K382" s="55" t="s">
        <v>3869</v>
      </c>
      <c r="M382">
        <f t="shared" si="10"/>
        <v>8</v>
      </c>
      <c r="N382" s="30" t="s">
        <v>3870</v>
      </c>
      <c r="R382">
        <v>381</v>
      </c>
      <c r="S382" t="s">
        <v>3871</v>
      </c>
      <c r="T382" t="s">
        <v>2279</v>
      </c>
      <c r="U382">
        <f t="shared" si="11"/>
        <v>8</v>
      </c>
      <c r="V382" s="30" t="s">
        <v>3872</v>
      </c>
    </row>
    <row r="383" spans="1:22">
      <c r="A383">
        <v>382</v>
      </c>
      <c r="C383" s="7" t="s">
        <v>1066</v>
      </c>
      <c r="D383" t="s">
        <v>29</v>
      </c>
      <c r="E383" t="e">
        <f>LEN(#REF!)</f>
        <v>#REF!</v>
      </c>
      <c r="F383" s="49" t="s">
        <v>3873</v>
      </c>
      <c r="K383" s="55" t="s">
        <v>3874</v>
      </c>
      <c r="M383">
        <f t="shared" si="10"/>
        <v>8</v>
      </c>
      <c r="N383" s="30" t="s">
        <v>3875</v>
      </c>
      <c r="R383">
        <v>382</v>
      </c>
      <c r="S383" t="s">
        <v>3876</v>
      </c>
      <c r="T383" t="s">
        <v>2279</v>
      </c>
      <c r="U383">
        <f t="shared" si="11"/>
        <v>8</v>
      </c>
      <c r="V383" s="30" t="s">
        <v>3877</v>
      </c>
    </row>
    <row r="384" spans="1:22">
      <c r="A384">
        <v>383</v>
      </c>
      <c r="C384" s="7" t="s">
        <v>514</v>
      </c>
      <c r="D384" t="s">
        <v>29</v>
      </c>
      <c r="E384" t="e">
        <f>LEN(#REF!)</f>
        <v>#REF!</v>
      </c>
      <c r="F384" s="49" t="s">
        <v>2973</v>
      </c>
      <c r="K384" s="55" t="s">
        <v>3878</v>
      </c>
      <c r="M384">
        <f t="shared" si="10"/>
        <v>7</v>
      </c>
      <c r="N384" s="31" t="s">
        <v>3879</v>
      </c>
      <c r="R384">
        <v>383</v>
      </c>
      <c r="S384" t="s">
        <v>3880</v>
      </c>
      <c r="T384" t="s">
        <v>2279</v>
      </c>
      <c r="U384">
        <f t="shared" si="11"/>
        <v>8</v>
      </c>
      <c r="V384" s="30" t="s">
        <v>3881</v>
      </c>
    </row>
    <row r="385" spans="1:22">
      <c r="A385">
        <v>384</v>
      </c>
      <c r="C385" s="7" t="s">
        <v>1068</v>
      </c>
      <c r="D385" t="s">
        <v>29</v>
      </c>
      <c r="E385" t="e">
        <f>LEN(#REF!)</f>
        <v>#REF!</v>
      </c>
      <c r="F385" s="49" t="s">
        <v>3882</v>
      </c>
      <c r="K385" s="55" t="s">
        <v>3883</v>
      </c>
      <c r="M385">
        <f t="shared" si="10"/>
        <v>8</v>
      </c>
      <c r="N385" s="30" t="s">
        <v>3884</v>
      </c>
      <c r="R385">
        <v>384</v>
      </c>
      <c r="S385" t="s">
        <v>3885</v>
      </c>
      <c r="T385" t="s">
        <v>2279</v>
      </c>
      <c r="U385">
        <f t="shared" si="11"/>
        <v>8</v>
      </c>
      <c r="V385" s="30" t="s">
        <v>3886</v>
      </c>
    </row>
    <row r="386" spans="1:22">
      <c r="A386">
        <v>385</v>
      </c>
      <c r="C386" s="7" t="s">
        <v>1070</v>
      </c>
      <c r="D386" t="s">
        <v>29</v>
      </c>
      <c r="E386" t="e">
        <f>LEN(#REF!)</f>
        <v>#REF!</v>
      </c>
      <c r="F386" s="49" t="s">
        <v>3887</v>
      </c>
      <c r="K386" s="55" t="s">
        <v>3888</v>
      </c>
      <c r="M386">
        <f t="shared" si="10"/>
        <v>7</v>
      </c>
      <c r="N386" s="30" t="s">
        <v>3889</v>
      </c>
      <c r="R386">
        <v>385</v>
      </c>
      <c r="S386" t="s">
        <v>3890</v>
      </c>
      <c r="T386" t="s">
        <v>2279</v>
      </c>
      <c r="U386">
        <f t="shared" si="11"/>
        <v>9</v>
      </c>
      <c r="V386" s="30" t="s">
        <v>3891</v>
      </c>
    </row>
    <row r="387" spans="1:22">
      <c r="A387">
        <v>386</v>
      </c>
      <c r="C387" s="7" t="s">
        <v>1072</v>
      </c>
      <c r="D387" t="s">
        <v>29</v>
      </c>
      <c r="E387" t="e">
        <f>LEN(#REF!)</f>
        <v>#REF!</v>
      </c>
      <c r="F387" s="49" t="s">
        <v>3892</v>
      </c>
      <c r="K387" s="55" t="s">
        <v>3893</v>
      </c>
      <c r="M387">
        <f t="shared" ref="M387:M450" si="12">LEN(K387)</f>
        <v>7</v>
      </c>
      <c r="N387" s="30" t="s">
        <v>3894</v>
      </c>
      <c r="R387">
        <v>386</v>
      </c>
      <c r="S387" t="s">
        <v>3895</v>
      </c>
      <c r="T387" t="s">
        <v>2279</v>
      </c>
      <c r="U387">
        <f t="shared" ref="U387:U450" si="13">LEN(S387)</f>
        <v>8</v>
      </c>
      <c r="V387" s="30" t="s">
        <v>3896</v>
      </c>
    </row>
    <row r="388" spans="1:22">
      <c r="A388">
        <v>387</v>
      </c>
      <c r="C388" s="7" t="s">
        <v>1074</v>
      </c>
      <c r="D388" t="s">
        <v>29</v>
      </c>
      <c r="E388" t="e">
        <f>LEN(#REF!)</f>
        <v>#REF!</v>
      </c>
      <c r="F388" s="49" t="s">
        <v>3897</v>
      </c>
      <c r="K388" s="55" t="s">
        <v>3898</v>
      </c>
      <c r="M388">
        <f t="shared" si="12"/>
        <v>4</v>
      </c>
      <c r="N388" s="30" t="s">
        <v>3899</v>
      </c>
      <c r="R388">
        <v>387</v>
      </c>
      <c r="S388" t="s">
        <v>3900</v>
      </c>
      <c r="T388" t="s">
        <v>2279</v>
      </c>
      <c r="U388">
        <f t="shared" si="13"/>
        <v>8</v>
      </c>
      <c r="V388" s="30" t="s">
        <v>3901</v>
      </c>
    </row>
    <row r="389" spans="1:22">
      <c r="A389">
        <v>388</v>
      </c>
      <c r="C389" s="7" t="s">
        <v>1076</v>
      </c>
      <c r="D389" t="s">
        <v>29</v>
      </c>
      <c r="E389" t="e">
        <f>LEN(#REF!)</f>
        <v>#REF!</v>
      </c>
      <c r="F389" s="49" t="s">
        <v>3902</v>
      </c>
      <c r="K389" s="55" t="s">
        <v>3903</v>
      </c>
      <c r="M389">
        <f t="shared" si="12"/>
        <v>6</v>
      </c>
      <c r="N389" s="30" t="s">
        <v>3904</v>
      </c>
      <c r="R389">
        <v>388</v>
      </c>
      <c r="S389" t="s">
        <v>3905</v>
      </c>
      <c r="T389" t="s">
        <v>2279</v>
      </c>
      <c r="U389">
        <f t="shared" si="13"/>
        <v>8</v>
      </c>
      <c r="V389" s="30" t="s">
        <v>3906</v>
      </c>
    </row>
    <row r="390" spans="1:22">
      <c r="A390">
        <v>389</v>
      </c>
      <c r="C390" s="7" t="s">
        <v>1078</v>
      </c>
      <c r="D390" t="s">
        <v>29</v>
      </c>
      <c r="E390" t="e">
        <f>LEN(#REF!)</f>
        <v>#REF!</v>
      </c>
      <c r="F390" s="49" t="s">
        <v>3907</v>
      </c>
      <c r="K390" s="55" t="s">
        <v>3908</v>
      </c>
      <c r="M390">
        <f t="shared" si="12"/>
        <v>9</v>
      </c>
      <c r="N390" s="30" t="s">
        <v>3909</v>
      </c>
      <c r="R390">
        <v>389</v>
      </c>
      <c r="S390" t="s">
        <v>3910</v>
      </c>
      <c r="T390" t="s">
        <v>2279</v>
      </c>
      <c r="U390">
        <f t="shared" si="13"/>
        <v>8</v>
      </c>
      <c r="V390" s="30" t="s">
        <v>3911</v>
      </c>
    </row>
    <row r="391" spans="1:22">
      <c r="A391">
        <v>390</v>
      </c>
      <c r="C391" s="7" t="s">
        <v>1080</v>
      </c>
      <c r="D391" t="s">
        <v>29</v>
      </c>
      <c r="E391" t="e">
        <f>LEN(#REF!)</f>
        <v>#REF!</v>
      </c>
      <c r="F391" s="49" t="s">
        <v>3912</v>
      </c>
      <c r="K391" s="55" t="s">
        <v>3913</v>
      </c>
      <c r="M391">
        <f t="shared" si="12"/>
        <v>6</v>
      </c>
      <c r="N391" s="30" t="s">
        <v>3914</v>
      </c>
      <c r="R391">
        <v>390</v>
      </c>
      <c r="S391" t="s">
        <v>3915</v>
      </c>
      <c r="T391" t="s">
        <v>2279</v>
      </c>
      <c r="U391">
        <f t="shared" si="13"/>
        <v>11</v>
      </c>
      <c r="V391" s="30" t="s">
        <v>3916</v>
      </c>
    </row>
    <row r="392" spans="1:22">
      <c r="A392">
        <v>391</v>
      </c>
      <c r="C392" s="7" t="s">
        <v>1082</v>
      </c>
      <c r="D392" t="s">
        <v>29</v>
      </c>
      <c r="E392" t="e">
        <f>LEN(#REF!)</f>
        <v>#REF!</v>
      </c>
      <c r="F392" s="49" t="s">
        <v>3917</v>
      </c>
      <c r="K392" s="55" t="s">
        <v>3918</v>
      </c>
      <c r="M392">
        <f t="shared" si="12"/>
        <v>8</v>
      </c>
      <c r="N392" s="30" t="s">
        <v>3919</v>
      </c>
      <c r="R392">
        <v>391</v>
      </c>
      <c r="S392" t="s">
        <v>3920</v>
      </c>
      <c r="T392" t="s">
        <v>2279</v>
      </c>
      <c r="U392">
        <f t="shared" si="13"/>
        <v>8</v>
      </c>
      <c r="V392" s="30" t="s">
        <v>3921</v>
      </c>
    </row>
    <row r="393" spans="1:22">
      <c r="A393">
        <v>392</v>
      </c>
      <c r="C393" s="7" t="s">
        <v>1084</v>
      </c>
      <c r="D393" t="s">
        <v>29</v>
      </c>
      <c r="E393" t="e">
        <f>LEN(#REF!)</f>
        <v>#REF!</v>
      </c>
      <c r="F393" s="49" t="s">
        <v>3922</v>
      </c>
      <c r="K393" s="55" t="s">
        <v>3923</v>
      </c>
      <c r="M393">
        <f t="shared" si="12"/>
        <v>8</v>
      </c>
      <c r="N393" s="30" t="s">
        <v>3924</v>
      </c>
      <c r="R393">
        <v>392</v>
      </c>
      <c r="S393" t="s">
        <v>3925</v>
      </c>
      <c r="T393" t="s">
        <v>2279</v>
      </c>
      <c r="U393">
        <f t="shared" si="13"/>
        <v>8</v>
      </c>
      <c r="V393" s="30" t="s">
        <v>3926</v>
      </c>
    </row>
    <row r="394" spans="1:22">
      <c r="A394">
        <v>393</v>
      </c>
      <c r="C394" s="7" t="s">
        <v>1086</v>
      </c>
      <c r="D394" t="s">
        <v>29</v>
      </c>
      <c r="E394" t="e">
        <f>LEN(#REF!)</f>
        <v>#REF!</v>
      </c>
      <c r="F394" s="49" t="s">
        <v>3927</v>
      </c>
      <c r="K394" s="55" t="s">
        <v>3928</v>
      </c>
      <c r="M394">
        <f t="shared" si="12"/>
        <v>7</v>
      </c>
      <c r="N394" s="30" t="s">
        <v>3929</v>
      </c>
      <c r="R394">
        <v>393</v>
      </c>
      <c r="S394" t="s">
        <v>3930</v>
      </c>
      <c r="T394" t="s">
        <v>2279</v>
      </c>
      <c r="U394">
        <f t="shared" si="13"/>
        <v>8</v>
      </c>
      <c r="V394" s="30" t="s">
        <v>3931</v>
      </c>
    </row>
    <row r="395" spans="1:22">
      <c r="A395">
        <v>394</v>
      </c>
      <c r="C395" s="7" t="s">
        <v>1088</v>
      </c>
      <c r="D395" t="s">
        <v>29</v>
      </c>
      <c r="E395" t="e">
        <f>LEN(#REF!)</f>
        <v>#REF!</v>
      </c>
      <c r="F395" s="49" t="s">
        <v>3932</v>
      </c>
      <c r="K395" s="55" t="s">
        <v>3933</v>
      </c>
      <c r="M395">
        <f t="shared" si="12"/>
        <v>6</v>
      </c>
      <c r="N395" s="30" t="s">
        <v>3934</v>
      </c>
      <c r="R395">
        <v>394</v>
      </c>
      <c r="S395" t="s">
        <v>3935</v>
      </c>
      <c r="T395" t="s">
        <v>2279</v>
      </c>
      <c r="U395">
        <f t="shared" si="13"/>
        <v>9</v>
      </c>
      <c r="V395" s="30" t="s">
        <v>3936</v>
      </c>
    </row>
    <row r="396" spans="1:22">
      <c r="A396">
        <v>395</v>
      </c>
      <c r="C396" s="7" t="s">
        <v>1090</v>
      </c>
      <c r="D396" t="s">
        <v>29</v>
      </c>
      <c r="E396" t="e">
        <f>LEN(#REF!)</f>
        <v>#REF!</v>
      </c>
      <c r="F396" s="49" t="s">
        <v>3937</v>
      </c>
      <c r="K396" s="55" t="s">
        <v>3938</v>
      </c>
      <c r="M396">
        <f t="shared" si="12"/>
        <v>6</v>
      </c>
      <c r="N396" s="30" t="s">
        <v>3939</v>
      </c>
      <c r="R396">
        <v>395</v>
      </c>
      <c r="S396" t="s">
        <v>3940</v>
      </c>
      <c r="T396" t="s">
        <v>2279</v>
      </c>
      <c r="U396">
        <f t="shared" si="13"/>
        <v>9</v>
      </c>
      <c r="V396" s="30" t="s">
        <v>3941</v>
      </c>
    </row>
    <row r="397" spans="1:22">
      <c r="A397">
        <v>396</v>
      </c>
      <c r="C397" s="7" t="s">
        <v>1092</v>
      </c>
      <c r="D397" t="s">
        <v>29</v>
      </c>
      <c r="E397" t="e">
        <f>LEN(#REF!)</f>
        <v>#REF!</v>
      </c>
      <c r="F397" s="49" t="s">
        <v>3942</v>
      </c>
      <c r="K397" s="55" t="s">
        <v>3943</v>
      </c>
      <c r="M397">
        <f t="shared" si="12"/>
        <v>7</v>
      </c>
      <c r="N397" s="30" t="s">
        <v>3944</v>
      </c>
      <c r="R397">
        <v>396</v>
      </c>
      <c r="S397" t="s">
        <v>3945</v>
      </c>
      <c r="T397" t="s">
        <v>2279</v>
      </c>
      <c r="U397">
        <f t="shared" si="13"/>
        <v>8</v>
      </c>
      <c r="V397" s="30" t="s">
        <v>3946</v>
      </c>
    </row>
    <row r="398" spans="1:22">
      <c r="A398">
        <v>397</v>
      </c>
      <c r="C398" s="7" t="s">
        <v>1094</v>
      </c>
      <c r="D398" t="s">
        <v>29</v>
      </c>
      <c r="E398" t="e">
        <f>LEN(#REF!)</f>
        <v>#REF!</v>
      </c>
      <c r="F398" s="49" t="s">
        <v>3947</v>
      </c>
      <c r="K398" s="55" t="s">
        <v>3948</v>
      </c>
      <c r="M398">
        <f t="shared" si="12"/>
        <v>6</v>
      </c>
      <c r="N398" s="30" t="s">
        <v>3949</v>
      </c>
      <c r="R398">
        <v>397</v>
      </c>
      <c r="S398" t="s">
        <v>3950</v>
      </c>
      <c r="T398" t="s">
        <v>2279</v>
      </c>
      <c r="U398">
        <f t="shared" si="13"/>
        <v>14</v>
      </c>
      <c r="V398" s="30" t="s">
        <v>3951</v>
      </c>
    </row>
    <row r="399" spans="1:22">
      <c r="A399">
        <v>398</v>
      </c>
      <c r="C399" s="7" t="s">
        <v>1096</v>
      </c>
      <c r="D399" t="s">
        <v>29</v>
      </c>
      <c r="E399" t="e">
        <f>LEN(#REF!)</f>
        <v>#REF!</v>
      </c>
      <c r="F399" s="49" t="s">
        <v>3952</v>
      </c>
      <c r="K399" s="55" t="s">
        <v>3953</v>
      </c>
      <c r="M399">
        <f t="shared" si="12"/>
        <v>7</v>
      </c>
      <c r="N399" s="30" t="s">
        <v>3954</v>
      </c>
      <c r="R399">
        <v>398</v>
      </c>
      <c r="S399" t="s">
        <v>3955</v>
      </c>
      <c r="T399" t="s">
        <v>2279</v>
      </c>
      <c r="U399">
        <f t="shared" si="13"/>
        <v>8</v>
      </c>
      <c r="V399" s="30" t="s">
        <v>3956</v>
      </c>
    </row>
    <row r="400" spans="1:22">
      <c r="A400">
        <v>399</v>
      </c>
      <c r="C400" s="7" t="s">
        <v>1098</v>
      </c>
      <c r="D400" t="s">
        <v>29</v>
      </c>
      <c r="E400" t="e">
        <f>LEN(#REF!)</f>
        <v>#REF!</v>
      </c>
      <c r="F400" s="49" t="s">
        <v>3957</v>
      </c>
      <c r="K400" s="55" t="s">
        <v>3958</v>
      </c>
      <c r="M400">
        <f t="shared" si="12"/>
        <v>6</v>
      </c>
      <c r="N400" s="30" t="s">
        <v>3959</v>
      </c>
      <c r="R400">
        <v>399</v>
      </c>
      <c r="S400" t="s">
        <v>3960</v>
      </c>
      <c r="T400" t="s">
        <v>2279</v>
      </c>
      <c r="U400">
        <f t="shared" si="13"/>
        <v>8</v>
      </c>
      <c r="V400" s="30" t="s">
        <v>3961</v>
      </c>
    </row>
    <row r="401" spans="1:22">
      <c r="A401">
        <v>400</v>
      </c>
      <c r="C401" s="7" t="s">
        <v>1100</v>
      </c>
      <c r="D401" t="s">
        <v>29</v>
      </c>
      <c r="E401" t="e">
        <f>LEN(#REF!)</f>
        <v>#REF!</v>
      </c>
      <c r="F401" s="49" t="s">
        <v>3962</v>
      </c>
      <c r="K401" s="55" t="s">
        <v>3963</v>
      </c>
      <c r="M401">
        <f t="shared" si="12"/>
        <v>8</v>
      </c>
      <c r="N401" s="30" t="s">
        <v>3964</v>
      </c>
      <c r="R401">
        <v>400</v>
      </c>
      <c r="S401" t="s">
        <v>3965</v>
      </c>
      <c r="T401" t="s">
        <v>2279</v>
      </c>
      <c r="U401">
        <f t="shared" si="13"/>
        <v>10</v>
      </c>
      <c r="V401" s="30" t="s">
        <v>3966</v>
      </c>
    </row>
    <row r="402" spans="1:22">
      <c r="A402">
        <v>401</v>
      </c>
      <c r="C402" s="7" t="s">
        <v>1102</v>
      </c>
      <c r="D402" t="s">
        <v>29</v>
      </c>
      <c r="E402" t="e">
        <f>LEN(#REF!)</f>
        <v>#REF!</v>
      </c>
      <c r="F402" s="49" t="s">
        <v>3967</v>
      </c>
      <c r="K402" s="55" t="s">
        <v>3968</v>
      </c>
      <c r="M402">
        <f t="shared" si="12"/>
        <v>7</v>
      </c>
      <c r="N402" s="30" t="s">
        <v>3969</v>
      </c>
      <c r="R402">
        <v>401</v>
      </c>
      <c r="S402" t="s">
        <v>3970</v>
      </c>
      <c r="T402" t="s">
        <v>2279</v>
      </c>
      <c r="U402">
        <f t="shared" si="13"/>
        <v>33</v>
      </c>
      <c r="V402" s="30" t="s">
        <v>3971</v>
      </c>
    </row>
    <row r="403" spans="1:22">
      <c r="A403">
        <v>402</v>
      </c>
      <c r="C403" s="7" t="s">
        <v>1104</v>
      </c>
      <c r="D403" t="s">
        <v>29</v>
      </c>
      <c r="E403" t="e">
        <f>LEN(#REF!)</f>
        <v>#REF!</v>
      </c>
      <c r="F403" s="49" t="s">
        <v>3972</v>
      </c>
      <c r="K403" s="55" t="s">
        <v>3973</v>
      </c>
      <c r="M403">
        <f t="shared" si="12"/>
        <v>6</v>
      </c>
      <c r="N403" s="30" t="s">
        <v>3974</v>
      </c>
      <c r="R403">
        <v>402</v>
      </c>
      <c r="S403" t="s">
        <v>3975</v>
      </c>
      <c r="T403" t="s">
        <v>2279</v>
      </c>
      <c r="U403">
        <f t="shared" si="13"/>
        <v>12</v>
      </c>
      <c r="V403" s="30" t="s">
        <v>3976</v>
      </c>
    </row>
    <row r="404" spans="1:22">
      <c r="A404">
        <v>403</v>
      </c>
      <c r="C404" s="7" t="s">
        <v>1106</v>
      </c>
      <c r="D404" t="s">
        <v>29</v>
      </c>
      <c r="E404" t="e">
        <f>LEN(#REF!)</f>
        <v>#REF!</v>
      </c>
      <c r="F404" s="49" t="s">
        <v>3977</v>
      </c>
      <c r="K404" s="55" t="s">
        <v>3978</v>
      </c>
      <c r="M404">
        <f t="shared" si="12"/>
        <v>6</v>
      </c>
      <c r="N404" s="30" t="s">
        <v>3979</v>
      </c>
      <c r="R404">
        <v>403</v>
      </c>
      <c r="S404" t="s">
        <v>3980</v>
      </c>
      <c r="T404" t="s">
        <v>2279</v>
      </c>
      <c r="U404">
        <f t="shared" si="13"/>
        <v>9</v>
      </c>
      <c r="V404" s="30" t="s">
        <v>3981</v>
      </c>
    </row>
    <row r="405" spans="1:22">
      <c r="A405">
        <v>404</v>
      </c>
      <c r="C405" s="7" t="s">
        <v>1108</v>
      </c>
      <c r="D405" t="s">
        <v>29</v>
      </c>
      <c r="E405" t="e">
        <f>LEN(#REF!)</f>
        <v>#REF!</v>
      </c>
      <c r="F405" s="49" t="s">
        <v>3982</v>
      </c>
      <c r="K405" s="55" t="s">
        <v>3983</v>
      </c>
      <c r="M405">
        <f t="shared" si="12"/>
        <v>6</v>
      </c>
      <c r="N405" s="30" t="s">
        <v>3984</v>
      </c>
      <c r="R405">
        <v>404</v>
      </c>
      <c r="S405" t="s">
        <v>3985</v>
      </c>
      <c r="T405" t="s">
        <v>2279</v>
      </c>
      <c r="U405">
        <f t="shared" si="13"/>
        <v>9</v>
      </c>
      <c r="V405" s="30" t="s">
        <v>3986</v>
      </c>
    </row>
    <row r="406" spans="1:22">
      <c r="A406">
        <v>405</v>
      </c>
      <c r="C406" s="7" t="s">
        <v>1110</v>
      </c>
      <c r="D406" t="s">
        <v>29</v>
      </c>
      <c r="E406" t="e">
        <f>LEN(#REF!)</f>
        <v>#REF!</v>
      </c>
      <c r="F406" s="49" t="s">
        <v>3987</v>
      </c>
      <c r="K406" s="55" t="s">
        <v>3988</v>
      </c>
      <c r="M406">
        <f t="shared" si="12"/>
        <v>6</v>
      </c>
      <c r="N406" s="30" t="s">
        <v>3989</v>
      </c>
      <c r="R406">
        <v>405</v>
      </c>
      <c r="S406" t="s">
        <v>3990</v>
      </c>
      <c r="T406" t="s">
        <v>2279</v>
      </c>
      <c r="U406">
        <f t="shared" si="13"/>
        <v>9</v>
      </c>
      <c r="V406" s="30" t="s">
        <v>3991</v>
      </c>
    </row>
    <row r="407" spans="1:22">
      <c r="A407">
        <v>406</v>
      </c>
      <c r="C407" s="7" t="s">
        <v>1112</v>
      </c>
      <c r="D407" t="s">
        <v>29</v>
      </c>
      <c r="E407" t="e">
        <f>LEN(#REF!)</f>
        <v>#REF!</v>
      </c>
      <c r="F407" s="49" t="s">
        <v>3992</v>
      </c>
      <c r="K407" s="55" t="s">
        <v>3993</v>
      </c>
      <c r="M407">
        <f t="shared" si="12"/>
        <v>9</v>
      </c>
      <c r="N407" s="30" t="s">
        <v>3994</v>
      </c>
      <c r="R407">
        <v>406</v>
      </c>
      <c r="S407" t="s">
        <v>3995</v>
      </c>
      <c r="T407" t="s">
        <v>2279</v>
      </c>
      <c r="U407">
        <f t="shared" si="13"/>
        <v>8</v>
      </c>
      <c r="V407" s="30" t="s">
        <v>3996</v>
      </c>
    </row>
    <row r="408" spans="1:22">
      <c r="A408">
        <v>407</v>
      </c>
      <c r="C408" s="7" t="s">
        <v>1114</v>
      </c>
      <c r="D408" t="s">
        <v>29</v>
      </c>
      <c r="E408" t="e">
        <f>LEN(#REF!)</f>
        <v>#REF!</v>
      </c>
      <c r="F408" s="49" t="s">
        <v>3997</v>
      </c>
      <c r="K408" s="55" t="s">
        <v>3998</v>
      </c>
      <c r="M408">
        <f t="shared" si="12"/>
        <v>9</v>
      </c>
      <c r="N408" s="30" t="s">
        <v>3999</v>
      </c>
      <c r="R408">
        <v>407</v>
      </c>
      <c r="S408" t="s">
        <v>4000</v>
      </c>
      <c r="T408" t="s">
        <v>2279</v>
      </c>
      <c r="U408">
        <f t="shared" si="13"/>
        <v>13</v>
      </c>
      <c r="V408" s="30" t="s">
        <v>4001</v>
      </c>
    </row>
    <row r="409" spans="1:22">
      <c r="A409">
        <v>408</v>
      </c>
      <c r="C409" s="7" t="s">
        <v>1116</v>
      </c>
      <c r="D409" t="s">
        <v>29</v>
      </c>
      <c r="E409" t="e">
        <f>LEN(#REF!)</f>
        <v>#REF!</v>
      </c>
      <c r="F409" s="49" t="s">
        <v>4002</v>
      </c>
      <c r="K409" s="55" t="s">
        <v>4003</v>
      </c>
      <c r="M409">
        <f t="shared" si="12"/>
        <v>6</v>
      </c>
      <c r="N409" s="30" t="s">
        <v>4004</v>
      </c>
      <c r="R409">
        <v>408</v>
      </c>
      <c r="S409" t="s">
        <v>4005</v>
      </c>
      <c r="T409" t="s">
        <v>2279</v>
      </c>
      <c r="U409">
        <f t="shared" si="13"/>
        <v>9</v>
      </c>
      <c r="V409" s="30" t="s">
        <v>4006</v>
      </c>
    </row>
    <row r="410" spans="1:22">
      <c r="A410">
        <v>409</v>
      </c>
      <c r="C410" s="7" t="s">
        <v>1118</v>
      </c>
      <c r="D410" t="s">
        <v>29</v>
      </c>
      <c r="E410" t="e">
        <f>LEN(#REF!)</f>
        <v>#REF!</v>
      </c>
      <c r="F410" s="49" t="s">
        <v>4007</v>
      </c>
      <c r="K410" s="55" t="s">
        <v>4008</v>
      </c>
      <c r="M410">
        <f t="shared" si="12"/>
        <v>7</v>
      </c>
      <c r="N410" s="30" t="s">
        <v>4009</v>
      </c>
      <c r="R410">
        <v>409</v>
      </c>
      <c r="S410" t="s">
        <v>4010</v>
      </c>
      <c r="T410" t="s">
        <v>2279</v>
      </c>
      <c r="U410">
        <f t="shared" si="13"/>
        <v>10</v>
      </c>
      <c r="V410" s="30" t="s">
        <v>4011</v>
      </c>
    </row>
    <row r="411" spans="1:22">
      <c r="A411">
        <v>410</v>
      </c>
      <c r="C411" s="7" t="s">
        <v>1120</v>
      </c>
      <c r="D411" t="s">
        <v>29</v>
      </c>
      <c r="E411" t="e">
        <f>LEN(#REF!)</f>
        <v>#REF!</v>
      </c>
      <c r="F411" s="49" t="s">
        <v>4012</v>
      </c>
      <c r="K411" s="55" t="s">
        <v>4013</v>
      </c>
      <c r="M411">
        <f t="shared" si="12"/>
        <v>5</v>
      </c>
      <c r="N411" s="30" t="s">
        <v>4014</v>
      </c>
      <c r="R411">
        <v>410</v>
      </c>
      <c r="S411" t="s">
        <v>4015</v>
      </c>
      <c r="T411" t="s">
        <v>2279</v>
      </c>
      <c r="U411">
        <f t="shared" si="13"/>
        <v>9</v>
      </c>
      <c r="V411" s="30" t="s">
        <v>4016</v>
      </c>
    </row>
    <row r="412" spans="1:22">
      <c r="A412">
        <v>411</v>
      </c>
      <c r="C412" s="7" t="s">
        <v>1122</v>
      </c>
      <c r="D412" t="s">
        <v>29</v>
      </c>
      <c r="E412" t="e">
        <f>LEN(#REF!)</f>
        <v>#REF!</v>
      </c>
      <c r="F412" s="49" t="s">
        <v>4017</v>
      </c>
      <c r="K412" s="55" t="s">
        <v>4018</v>
      </c>
      <c r="M412">
        <f t="shared" si="12"/>
        <v>7</v>
      </c>
      <c r="N412" s="30" t="s">
        <v>4019</v>
      </c>
      <c r="R412">
        <v>411</v>
      </c>
      <c r="S412" t="s">
        <v>4020</v>
      </c>
      <c r="T412" t="s">
        <v>2279</v>
      </c>
      <c r="U412">
        <f t="shared" si="13"/>
        <v>8</v>
      </c>
      <c r="V412" s="30" t="s">
        <v>4021</v>
      </c>
    </row>
    <row r="413" spans="1:22">
      <c r="A413">
        <v>412</v>
      </c>
      <c r="C413" s="7" t="s">
        <v>1124</v>
      </c>
      <c r="D413" t="s">
        <v>29</v>
      </c>
      <c r="E413" t="e">
        <f>LEN(#REF!)</f>
        <v>#REF!</v>
      </c>
      <c r="F413" s="49" t="s">
        <v>4022</v>
      </c>
      <c r="K413" s="55" t="s">
        <v>4023</v>
      </c>
      <c r="M413">
        <f t="shared" si="12"/>
        <v>8</v>
      </c>
      <c r="N413" s="30" t="s">
        <v>4024</v>
      </c>
      <c r="R413">
        <v>412</v>
      </c>
      <c r="S413" t="s">
        <v>4025</v>
      </c>
      <c r="T413" t="s">
        <v>2279</v>
      </c>
      <c r="U413">
        <f t="shared" si="13"/>
        <v>10</v>
      </c>
      <c r="V413" s="30" t="s">
        <v>4026</v>
      </c>
    </row>
    <row r="414" spans="1:22">
      <c r="A414">
        <v>413</v>
      </c>
      <c r="C414" s="7" t="s">
        <v>1126</v>
      </c>
      <c r="D414" t="s">
        <v>29</v>
      </c>
      <c r="E414" t="e">
        <f>LEN(#REF!)</f>
        <v>#REF!</v>
      </c>
      <c r="F414" s="49" t="s">
        <v>4027</v>
      </c>
      <c r="K414" s="55" t="s">
        <v>4028</v>
      </c>
      <c r="M414">
        <f t="shared" si="12"/>
        <v>6</v>
      </c>
      <c r="N414" s="30" t="s">
        <v>4029</v>
      </c>
      <c r="R414">
        <v>413</v>
      </c>
      <c r="S414" t="s">
        <v>4030</v>
      </c>
      <c r="T414" t="s">
        <v>2279</v>
      </c>
      <c r="U414">
        <f t="shared" si="13"/>
        <v>8</v>
      </c>
      <c r="V414" s="30" t="s">
        <v>4031</v>
      </c>
    </row>
    <row r="415" spans="1:22">
      <c r="A415">
        <v>414</v>
      </c>
      <c r="C415" s="7" t="s">
        <v>1128</v>
      </c>
      <c r="D415" t="s">
        <v>29</v>
      </c>
      <c r="E415" t="e">
        <f>LEN(#REF!)</f>
        <v>#REF!</v>
      </c>
      <c r="F415" s="49" t="s">
        <v>4032</v>
      </c>
      <c r="K415" s="55">
        <v>88888888</v>
      </c>
      <c r="M415">
        <f t="shared" si="12"/>
        <v>8</v>
      </c>
      <c r="N415" s="30" t="s">
        <v>4033</v>
      </c>
      <c r="R415">
        <v>414</v>
      </c>
      <c r="S415" t="s">
        <v>4034</v>
      </c>
      <c r="T415" t="s">
        <v>2279</v>
      </c>
      <c r="U415">
        <f t="shared" si="13"/>
        <v>12</v>
      </c>
      <c r="V415" s="30" t="s">
        <v>4035</v>
      </c>
    </row>
    <row r="416" spans="1:22">
      <c r="A416">
        <v>415</v>
      </c>
      <c r="C416" s="7" t="s">
        <v>1130</v>
      </c>
      <c r="D416" t="s">
        <v>29</v>
      </c>
      <c r="E416" t="e">
        <f>LEN(#REF!)</f>
        <v>#REF!</v>
      </c>
      <c r="F416" s="49" t="s">
        <v>4036</v>
      </c>
      <c r="K416" s="55">
        <v>5201314</v>
      </c>
      <c r="M416">
        <f t="shared" si="12"/>
        <v>7</v>
      </c>
      <c r="N416" s="30" t="s">
        <v>4037</v>
      </c>
      <c r="R416">
        <v>415</v>
      </c>
      <c r="S416" t="s">
        <v>4038</v>
      </c>
      <c r="T416" t="s">
        <v>2279</v>
      </c>
      <c r="U416">
        <f t="shared" si="13"/>
        <v>10</v>
      </c>
      <c r="V416" s="30" t="s">
        <v>4039</v>
      </c>
    </row>
    <row r="417" spans="1:22">
      <c r="A417">
        <v>416</v>
      </c>
      <c r="C417" s="7" t="s">
        <v>1132</v>
      </c>
      <c r="D417" t="s">
        <v>29</v>
      </c>
      <c r="E417" t="e">
        <f>LEN(#REF!)</f>
        <v>#REF!</v>
      </c>
      <c r="F417" s="49" t="s">
        <v>4040</v>
      </c>
      <c r="K417" s="55" t="s">
        <v>4041</v>
      </c>
      <c r="M417">
        <f t="shared" si="12"/>
        <v>6</v>
      </c>
      <c r="N417" s="30" t="s">
        <v>4042</v>
      </c>
      <c r="R417">
        <v>416</v>
      </c>
      <c r="S417" t="s">
        <v>4043</v>
      </c>
      <c r="T417" t="s">
        <v>2279</v>
      </c>
      <c r="U417">
        <f t="shared" si="13"/>
        <v>8</v>
      </c>
      <c r="V417" s="30" t="s">
        <v>4044</v>
      </c>
    </row>
    <row r="418" spans="1:22">
      <c r="A418">
        <v>417</v>
      </c>
      <c r="C418" s="7" t="s">
        <v>1134</v>
      </c>
      <c r="D418" t="s">
        <v>29</v>
      </c>
      <c r="E418" t="e">
        <f>LEN(#REF!)</f>
        <v>#REF!</v>
      </c>
      <c r="F418" s="49" t="s">
        <v>4045</v>
      </c>
      <c r="K418" s="55" t="s">
        <v>4046</v>
      </c>
      <c r="M418">
        <f t="shared" si="12"/>
        <v>7</v>
      </c>
      <c r="N418" s="30" t="s">
        <v>4047</v>
      </c>
      <c r="R418">
        <v>417</v>
      </c>
      <c r="S418" t="s">
        <v>4048</v>
      </c>
      <c r="T418" t="s">
        <v>2279</v>
      </c>
      <c r="U418">
        <f t="shared" si="13"/>
        <v>9</v>
      </c>
      <c r="V418" s="30" t="s">
        <v>4049</v>
      </c>
    </row>
    <row r="419" spans="1:22">
      <c r="A419">
        <v>418</v>
      </c>
      <c r="C419" s="7" t="s">
        <v>1136</v>
      </c>
      <c r="D419" t="s">
        <v>29</v>
      </c>
      <c r="E419" t="e">
        <f>LEN(#REF!)</f>
        <v>#REF!</v>
      </c>
      <c r="F419" s="49" t="s">
        <v>4050</v>
      </c>
      <c r="K419" s="55" t="s">
        <v>4051</v>
      </c>
      <c r="M419">
        <f t="shared" si="12"/>
        <v>6</v>
      </c>
      <c r="N419" s="30" t="s">
        <v>4052</v>
      </c>
      <c r="R419">
        <v>418</v>
      </c>
      <c r="S419" t="s">
        <v>4053</v>
      </c>
      <c r="T419" t="s">
        <v>2279</v>
      </c>
      <c r="U419">
        <f t="shared" si="13"/>
        <v>15</v>
      </c>
      <c r="V419" s="30" t="s">
        <v>4054</v>
      </c>
    </row>
    <row r="420" spans="1:22">
      <c r="A420">
        <v>419</v>
      </c>
      <c r="C420" s="7" t="s">
        <v>1138</v>
      </c>
      <c r="D420" t="s">
        <v>29</v>
      </c>
      <c r="E420" t="e">
        <f>LEN(#REF!)</f>
        <v>#REF!</v>
      </c>
      <c r="F420" s="49" t="s">
        <v>4055</v>
      </c>
      <c r="K420" s="55" t="s">
        <v>4056</v>
      </c>
      <c r="M420">
        <f t="shared" si="12"/>
        <v>6</v>
      </c>
      <c r="N420" s="30" t="s">
        <v>4057</v>
      </c>
      <c r="R420">
        <v>419</v>
      </c>
      <c r="S420" t="s">
        <v>4058</v>
      </c>
      <c r="T420" t="s">
        <v>2279</v>
      </c>
      <c r="U420">
        <f t="shared" si="13"/>
        <v>9</v>
      </c>
      <c r="V420" s="30" t="s">
        <v>4059</v>
      </c>
    </row>
    <row r="421" spans="1:22">
      <c r="A421">
        <v>420</v>
      </c>
      <c r="C421" s="7" t="s">
        <v>1140</v>
      </c>
      <c r="D421" t="s">
        <v>29</v>
      </c>
      <c r="E421" t="e">
        <f>LEN(#REF!)</f>
        <v>#REF!</v>
      </c>
      <c r="F421" s="49" t="s">
        <v>4060</v>
      </c>
      <c r="K421" s="55" t="s">
        <v>4061</v>
      </c>
      <c r="M421">
        <f t="shared" si="12"/>
        <v>6</v>
      </c>
      <c r="N421" s="30" t="s">
        <v>4062</v>
      </c>
      <c r="R421">
        <v>420</v>
      </c>
      <c r="S421" t="s">
        <v>4063</v>
      </c>
      <c r="T421" t="s">
        <v>2279</v>
      </c>
      <c r="U421">
        <f t="shared" si="13"/>
        <v>11</v>
      </c>
      <c r="V421" s="30" t="s">
        <v>4064</v>
      </c>
    </row>
    <row r="422" spans="1:22">
      <c r="A422">
        <v>421</v>
      </c>
      <c r="C422" s="7" t="s">
        <v>1142</v>
      </c>
      <c r="D422" t="s">
        <v>29</v>
      </c>
      <c r="E422" t="e">
        <f>LEN(#REF!)</f>
        <v>#REF!</v>
      </c>
      <c r="F422" s="49" t="s">
        <v>4065</v>
      </c>
      <c r="K422" s="55">
        <v>246810</v>
      </c>
      <c r="M422">
        <f t="shared" si="12"/>
        <v>6</v>
      </c>
      <c r="N422" s="30" t="s">
        <v>4066</v>
      </c>
      <c r="R422">
        <v>421</v>
      </c>
      <c r="S422" t="s">
        <v>4067</v>
      </c>
      <c r="T422" t="s">
        <v>2279</v>
      </c>
      <c r="U422">
        <f t="shared" si="13"/>
        <v>10</v>
      </c>
      <c r="V422" s="30" t="s">
        <v>4068</v>
      </c>
    </row>
    <row r="423" spans="1:22">
      <c r="A423">
        <v>422</v>
      </c>
      <c r="C423" s="7" t="s">
        <v>1144</v>
      </c>
      <c r="D423" t="s">
        <v>29</v>
      </c>
      <c r="E423" t="e">
        <f>LEN(#REF!)</f>
        <v>#REF!</v>
      </c>
      <c r="F423" s="49" t="s">
        <v>4069</v>
      </c>
      <c r="K423" s="55" t="s">
        <v>4070</v>
      </c>
      <c r="M423">
        <f t="shared" si="12"/>
        <v>10</v>
      </c>
      <c r="N423" s="30" t="s">
        <v>4071</v>
      </c>
      <c r="R423">
        <v>422</v>
      </c>
      <c r="S423" t="s">
        <v>4072</v>
      </c>
      <c r="T423" t="s">
        <v>2279</v>
      </c>
      <c r="U423">
        <f t="shared" si="13"/>
        <v>8</v>
      </c>
      <c r="V423" s="30" t="s">
        <v>4073</v>
      </c>
    </row>
    <row r="424" spans="1:22">
      <c r="A424">
        <v>423</v>
      </c>
      <c r="C424" s="7" t="s">
        <v>1146</v>
      </c>
      <c r="D424" t="s">
        <v>29</v>
      </c>
      <c r="E424" t="e">
        <f>LEN(#REF!)</f>
        <v>#REF!</v>
      </c>
      <c r="F424" s="49" t="s">
        <v>4074</v>
      </c>
      <c r="K424" s="55" t="s">
        <v>4075</v>
      </c>
      <c r="M424">
        <f t="shared" si="12"/>
        <v>6</v>
      </c>
      <c r="N424" s="30" t="s">
        <v>4076</v>
      </c>
      <c r="R424">
        <v>423</v>
      </c>
      <c r="S424" t="s">
        <v>4077</v>
      </c>
      <c r="T424" t="s">
        <v>2279</v>
      </c>
      <c r="U424">
        <f t="shared" si="13"/>
        <v>8</v>
      </c>
      <c r="V424" s="30" t="s">
        <v>4078</v>
      </c>
    </row>
    <row r="425" spans="1:22">
      <c r="A425">
        <v>424</v>
      </c>
      <c r="C425" s="7" t="s">
        <v>1148</v>
      </c>
      <c r="D425" t="s">
        <v>29</v>
      </c>
      <c r="E425" t="e">
        <f>LEN(#REF!)</f>
        <v>#REF!</v>
      </c>
      <c r="F425" s="49" t="s">
        <v>4079</v>
      </c>
      <c r="K425" s="55" t="s">
        <v>4080</v>
      </c>
      <c r="M425">
        <f t="shared" si="12"/>
        <v>7</v>
      </c>
      <c r="N425" s="30" t="s">
        <v>4081</v>
      </c>
      <c r="R425">
        <v>424</v>
      </c>
      <c r="S425" t="s">
        <v>4082</v>
      </c>
      <c r="T425" t="s">
        <v>2279</v>
      </c>
      <c r="U425">
        <f t="shared" si="13"/>
        <v>9</v>
      </c>
      <c r="V425" s="30" t="s">
        <v>4083</v>
      </c>
    </row>
    <row r="426" spans="1:22">
      <c r="A426">
        <v>425</v>
      </c>
      <c r="C426" s="7" t="s">
        <v>1150</v>
      </c>
      <c r="D426" t="s">
        <v>29</v>
      </c>
      <c r="E426" t="e">
        <f>LEN(#REF!)</f>
        <v>#REF!</v>
      </c>
      <c r="F426" s="49" t="s">
        <v>4084</v>
      </c>
      <c r="K426" s="55" t="s">
        <v>4085</v>
      </c>
      <c r="M426">
        <f t="shared" si="12"/>
        <v>5</v>
      </c>
      <c r="N426" s="30" t="s">
        <v>4086</v>
      </c>
      <c r="R426">
        <v>425</v>
      </c>
      <c r="S426" t="s">
        <v>4087</v>
      </c>
      <c r="T426" t="s">
        <v>2279</v>
      </c>
      <c r="U426">
        <f t="shared" si="13"/>
        <v>8</v>
      </c>
      <c r="V426" s="30" t="s">
        <v>4088</v>
      </c>
    </row>
    <row r="427" spans="1:22">
      <c r="A427">
        <v>426</v>
      </c>
      <c r="C427" s="7" t="s">
        <v>1152</v>
      </c>
      <c r="D427" t="s">
        <v>29</v>
      </c>
      <c r="E427" t="e">
        <f>LEN(#REF!)</f>
        <v>#REF!</v>
      </c>
      <c r="F427" s="49" t="s">
        <v>4089</v>
      </c>
      <c r="K427" s="55" t="s">
        <v>4090</v>
      </c>
      <c r="M427">
        <f t="shared" si="12"/>
        <v>7</v>
      </c>
      <c r="N427" s="30" t="s">
        <v>4091</v>
      </c>
      <c r="R427">
        <v>426</v>
      </c>
      <c r="S427" t="s">
        <v>4092</v>
      </c>
      <c r="T427" t="s">
        <v>2279</v>
      </c>
      <c r="U427">
        <f t="shared" si="13"/>
        <v>10</v>
      </c>
      <c r="V427" s="30" t="s">
        <v>4093</v>
      </c>
    </row>
    <row r="428" spans="1:22">
      <c r="A428">
        <v>427</v>
      </c>
      <c r="C428" s="7" t="s">
        <v>1154</v>
      </c>
      <c r="D428" t="s">
        <v>29</v>
      </c>
      <c r="E428" t="e">
        <f>LEN(#REF!)</f>
        <v>#REF!</v>
      </c>
      <c r="F428" s="49" t="s">
        <v>4094</v>
      </c>
      <c r="K428" s="55" t="s">
        <v>4095</v>
      </c>
      <c r="M428">
        <f t="shared" si="12"/>
        <v>7</v>
      </c>
      <c r="N428" s="30" t="s">
        <v>4096</v>
      </c>
      <c r="R428">
        <v>427</v>
      </c>
      <c r="S428" t="s">
        <v>4097</v>
      </c>
      <c r="T428" t="s">
        <v>2279</v>
      </c>
      <c r="U428">
        <f t="shared" si="13"/>
        <v>16</v>
      </c>
      <c r="V428" s="30" t="s">
        <v>4098</v>
      </c>
    </row>
    <row r="429" spans="1:22">
      <c r="A429">
        <v>428</v>
      </c>
      <c r="C429" s="7" t="s">
        <v>1156</v>
      </c>
      <c r="D429" t="s">
        <v>29</v>
      </c>
      <c r="E429" t="e">
        <f>LEN(#REF!)</f>
        <v>#REF!</v>
      </c>
      <c r="F429" s="49" t="s">
        <v>4099</v>
      </c>
      <c r="K429" s="55" t="s">
        <v>4100</v>
      </c>
      <c r="M429">
        <f t="shared" si="12"/>
        <v>7</v>
      </c>
      <c r="N429" s="30" t="s">
        <v>4101</v>
      </c>
      <c r="R429">
        <v>428</v>
      </c>
      <c r="S429" t="s">
        <v>4102</v>
      </c>
      <c r="T429" t="s">
        <v>2279</v>
      </c>
      <c r="U429">
        <f t="shared" si="13"/>
        <v>8</v>
      </c>
      <c r="V429" s="30" t="s">
        <v>4103</v>
      </c>
    </row>
    <row r="430" spans="1:22">
      <c r="A430">
        <v>429</v>
      </c>
      <c r="C430" s="7" t="s">
        <v>1158</v>
      </c>
      <c r="D430" t="s">
        <v>29</v>
      </c>
      <c r="E430" t="e">
        <f>LEN(#REF!)</f>
        <v>#REF!</v>
      </c>
      <c r="F430" s="49" t="s">
        <v>4104</v>
      </c>
      <c r="K430" s="55" t="s">
        <v>4105</v>
      </c>
      <c r="M430">
        <f t="shared" si="12"/>
        <v>7</v>
      </c>
      <c r="N430" s="30" t="s">
        <v>4106</v>
      </c>
      <c r="R430">
        <v>429</v>
      </c>
      <c r="S430" t="s">
        <v>4107</v>
      </c>
      <c r="T430" t="s">
        <v>2279</v>
      </c>
      <c r="U430">
        <f t="shared" si="13"/>
        <v>8</v>
      </c>
      <c r="V430" s="30" t="s">
        <v>4108</v>
      </c>
    </row>
    <row r="431" spans="1:22">
      <c r="A431">
        <v>430</v>
      </c>
      <c r="C431" s="7" t="s">
        <v>1160</v>
      </c>
      <c r="D431" t="s">
        <v>29</v>
      </c>
      <c r="E431" t="e">
        <f>LEN(#REF!)</f>
        <v>#REF!</v>
      </c>
      <c r="F431" s="49" t="s">
        <v>4109</v>
      </c>
      <c r="K431" s="55" t="s">
        <v>4110</v>
      </c>
      <c r="M431">
        <f t="shared" si="12"/>
        <v>6</v>
      </c>
      <c r="N431" s="30" t="s">
        <v>4111</v>
      </c>
      <c r="R431">
        <v>430</v>
      </c>
      <c r="S431" t="s">
        <v>4112</v>
      </c>
      <c r="T431" t="s">
        <v>2279</v>
      </c>
      <c r="U431">
        <f t="shared" si="13"/>
        <v>13</v>
      </c>
      <c r="V431" s="30" t="s">
        <v>4113</v>
      </c>
    </row>
    <row r="432" spans="1:22">
      <c r="A432">
        <v>431</v>
      </c>
      <c r="C432" s="7" t="s">
        <v>1162</v>
      </c>
      <c r="D432" t="s">
        <v>29</v>
      </c>
      <c r="E432" t="e">
        <f>LEN(#REF!)</f>
        <v>#REF!</v>
      </c>
      <c r="F432" s="49" t="s">
        <v>4114</v>
      </c>
      <c r="K432" s="55" t="s">
        <v>4115</v>
      </c>
      <c r="M432">
        <f t="shared" si="12"/>
        <v>5</v>
      </c>
      <c r="N432" s="30" t="s">
        <v>4116</v>
      </c>
      <c r="R432">
        <v>431</v>
      </c>
      <c r="S432" t="s">
        <v>4117</v>
      </c>
      <c r="T432" t="s">
        <v>2279</v>
      </c>
      <c r="U432">
        <f t="shared" si="13"/>
        <v>8</v>
      </c>
      <c r="V432" s="30" t="s">
        <v>4118</v>
      </c>
    </row>
    <row r="433" spans="1:22">
      <c r="A433">
        <v>432</v>
      </c>
      <c r="C433" s="7" t="s">
        <v>1164</v>
      </c>
      <c r="D433" t="s">
        <v>29</v>
      </c>
      <c r="E433" t="e">
        <f>LEN(#REF!)</f>
        <v>#REF!</v>
      </c>
      <c r="F433" s="49" t="s">
        <v>4119</v>
      </c>
      <c r="K433" s="55" t="s">
        <v>4120</v>
      </c>
      <c r="M433">
        <f t="shared" si="12"/>
        <v>7</v>
      </c>
      <c r="N433" s="30" t="s">
        <v>4121</v>
      </c>
      <c r="R433">
        <v>432</v>
      </c>
      <c r="S433" t="s">
        <v>4122</v>
      </c>
      <c r="T433" t="s">
        <v>2279</v>
      </c>
      <c r="U433">
        <f t="shared" si="13"/>
        <v>12</v>
      </c>
      <c r="V433" s="30" t="s">
        <v>4123</v>
      </c>
    </row>
    <row r="434" spans="1:22">
      <c r="A434">
        <v>433</v>
      </c>
      <c r="C434" s="7" t="s">
        <v>1166</v>
      </c>
      <c r="D434" t="s">
        <v>29</v>
      </c>
      <c r="E434" t="e">
        <f>LEN(#REF!)</f>
        <v>#REF!</v>
      </c>
      <c r="F434" s="49" t="s">
        <v>4124</v>
      </c>
      <c r="K434" s="55">
        <v>12345678910</v>
      </c>
      <c r="M434">
        <f t="shared" si="12"/>
        <v>11</v>
      </c>
      <c r="N434" s="30" t="s">
        <v>4125</v>
      </c>
      <c r="R434">
        <v>433</v>
      </c>
      <c r="S434" t="s">
        <v>4126</v>
      </c>
      <c r="T434" t="s">
        <v>2279</v>
      </c>
      <c r="U434">
        <f t="shared" si="13"/>
        <v>9</v>
      </c>
      <c r="V434" s="30" t="s">
        <v>4127</v>
      </c>
    </row>
    <row r="435" spans="1:22">
      <c r="A435">
        <v>434</v>
      </c>
      <c r="C435" s="7" t="s">
        <v>1168</v>
      </c>
      <c r="D435" t="s">
        <v>29</v>
      </c>
      <c r="E435" t="e">
        <f>LEN(#REF!)</f>
        <v>#REF!</v>
      </c>
      <c r="F435" s="49" t="s">
        <v>4128</v>
      </c>
      <c r="K435" s="55" t="s">
        <v>4129</v>
      </c>
      <c r="M435">
        <f t="shared" si="12"/>
        <v>8</v>
      </c>
      <c r="N435" s="30" t="s">
        <v>4130</v>
      </c>
      <c r="R435">
        <v>434</v>
      </c>
      <c r="S435" t="s">
        <v>4131</v>
      </c>
      <c r="T435" t="s">
        <v>2279</v>
      </c>
      <c r="U435">
        <f t="shared" si="13"/>
        <v>9</v>
      </c>
      <c r="V435" s="30" t="s">
        <v>4132</v>
      </c>
    </row>
    <row r="436" spans="1:22">
      <c r="A436">
        <v>435</v>
      </c>
      <c r="C436" s="7" t="s">
        <v>1170</v>
      </c>
      <c r="D436" t="s">
        <v>29</v>
      </c>
      <c r="E436" t="e">
        <f>LEN(#REF!)</f>
        <v>#REF!</v>
      </c>
      <c r="F436" s="49" t="s">
        <v>4133</v>
      </c>
      <c r="K436" s="55" t="s">
        <v>4134</v>
      </c>
      <c r="M436">
        <f t="shared" si="12"/>
        <v>6</v>
      </c>
      <c r="N436" s="30" t="s">
        <v>4135</v>
      </c>
      <c r="R436">
        <v>435</v>
      </c>
      <c r="S436" t="s">
        <v>4136</v>
      </c>
      <c r="T436" t="s">
        <v>2279</v>
      </c>
      <c r="U436">
        <f t="shared" si="13"/>
        <v>8</v>
      </c>
      <c r="V436" s="30" t="s">
        <v>4137</v>
      </c>
    </row>
    <row r="437" spans="1:22">
      <c r="A437">
        <v>436</v>
      </c>
      <c r="C437" s="7" t="s">
        <v>1172</v>
      </c>
      <c r="D437" t="s">
        <v>29</v>
      </c>
      <c r="E437" t="e">
        <f>LEN(#REF!)</f>
        <v>#REF!</v>
      </c>
      <c r="F437" s="49" t="s">
        <v>4138</v>
      </c>
      <c r="K437" s="55" t="s">
        <v>4139</v>
      </c>
      <c r="M437">
        <f t="shared" si="12"/>
        <v>7</v>
      </c>
      <c r="N437" s="30" t="s">
        <v>4140</v>
      </c>
      <c r="R437">
        <v>436</v>
      </c>
      <c r="S437" t="s">
        <v>4141</v>
      </c>
      <c r="T437" t="s">
        <v>2279</v>
      </c>
      <c r="U437">
        <f t="shared" si="13"/>
        <v>8</v>
      </c>
      <c r="V437" s="30" t="s">
        <v>4142</v>
      </c>
    </row>
    <row r="438" spans="1:22">
      <c r="A438">
        <v>437</v>
      </c>
      <c r="C438" s="7" t="s">
        <v>916</v>
      </c>
      <c r="D438" t="s">
        <v>29</v>
      </c>
      <c r="E438" t="e">
        <f>LEN(#REF!)</f>
        <v>#REF!</v>
      </c>
      <c r="F438" s="49" t="s">
        <v>3487</v>
      </c>
      <c r="K438" s="55" t="s">
        <v>4143</v>
      </c>
      <c r="M438">
        <f t="shared" si="12"/>
        <v>6</v>
      </c>
      <c r="N438" s="30" t="s">
        <v>4144</v>
      </c>
      <c r="R438">
        <v>437</v>
      </c>
      <c r="S438" t="s">
        <v>4145</v>
      </c>
      <c r="T438" t="s">
        <v>2279</v>
      </c>
      <c r="U438">
        <f t="shared" si="13"/>
        <v>8</v>
      </c>
      <c r="V438" s="30" t="s">
        <v>4146</v>
      </c>
    </row>
    <row r="439" spans="1:22">
      <c r="A439">
        <v>438</v>
      </c>
      <c r="C439" s="7" t="s">
        <v>1174</v>
      </c>
      <c r="D439" t="s">
        <v>29</v>
      </c>
      <c r="E439" t="e">
        <f>LEN(#REF!)</f>
        <v>#REF!</v>
      </c>
      <c r="F439" s="49" t="s">
        <v>4147</v>
      </c>
      <c r="K439" s="55" t="s">
        <v>4148</v>
      </c>
      <c r="M439">
        <f t="shared" si="12"/>
        <v>8</v>
      </c>
      <c r="N439" s="30" t="s">
        <v>4149</v>
      </c>
      <c r="R439">
        <v>438</v>
      </c>
      <c r="S439" t="s">
        <v>4150</v>
      </c>
      <c r="T439" t="s">
        <v>2279</v>
      </c>
      <c r="U439">
        <f t="shared" si="13"/>
        <v>9</v>
      </c>
      <c r="V439" s="30" t="s">
        <v>4151</v>
      </c>
    </row>
    <row r="440" spans="1:22">
      <c r="A440">
        <v>439</v>
      </c>
      <c r="C440" s="7" t="s">
        <v>1176</v>
      </c>
      <c r="D440" t="s">
        <v>29</v>
      </c>
      <c r="E440" t="e">
        <f>LEN(#REF!)</f>
        <v>#REF!</v>
      </c>
      <c r="F440" s="49" t="s">
        <v>4152</v>
      </c>
      <c r="K440" s="55">
        <v>232323</v>
      </c>
      <c r="M440">
        <f t="shared" si="12"/>
        <v>6</v>
      </c>
      <c r="N440" s="30" t="s">
        <v>4153</v>
      </c>
      <c r="R440">
        <v>439</v>
      </c>
      <c r="S440" t="s">
        <v>4154</v>
      </c>
      <c r="T440" t="s">
        <v>2279</v>
      </c>
      <c r="U440">
        <f t="shared" si="13"/>
        <v>8</v>
      </c>
      <c r="V440" s="30" t="s">
        <v>4155</v>
      </c>
    </row>
    <row r="441" spans="1:22">
      <c r="A441">
        <v>440</v>
      </c>
      <c r="C441" s="7" t="s">
        <v>1178</v>
      </c>
      <c r="D441" t="s">
        <v>29</v>
      </c>
      <c r="E441" t="e">
        <f>LEN(#REF!)</f>
        <v>#REF!</v>
      </c>
      <c r="F441" s="49" t="s">
        <v>4156</v>
      </c>
      <c r="K441" s="55" t="s">
        <v>4157</v>
      </c>
      <c r="M441">
        <f t="shared" si="12"/>
        <v>6</v>
      </c>
      <c r="N441" s="30" t="s">
        <v>4158</v>
      </c>
      <c r="R441">
        <v>440</v>
      </c>
      <c r="S441" t="s">
        <v>4159</v>
      </c>
      <c r="T441" t="s">
        <v>2279</v>
      </c>
      <c r="U441">
        <f t="shared" si="13"/>
        <v>8</v>
      </c>
      <c r="V441" s="30" t="s">
        <v>4160</v>
      </c>
    </row>
    <row r="442" spans="1:22">
      <c r="A442">
        <v>441</v>
      </c>
      <c r="C442" s="7" t="s">
        <v>1180</v>
      </c>
      <c r="D442" t="s">
        <v>29</v>
      </c>
      <c r="E442" t="e">
        <f>LEN(#REF!)</f>
        <v>#REF!</v>
      </c>
      <c r="F442" s="49" t="s">
        <v>4161</v>
      </c>
      <c r="K442" s="55" t="s">
        <v>4162</v>
      </c>
      <c r="M442">
        <f t="shared" si="12"/>
        <v>6</v>
      </c>
      <c r="N442" s="30" t="s">
        <v>4163</v>
      </c>
      <c r="R442">
        <v>441</v>
      </c>
      <c r="S442" t="s">
        <v>4164</v>
      </c>
      <c r="T442" t="s">
        <v>2279</v>
      </c>
      <c r="U442">
        <f t="shared" si="13"/>
        <v>8</v>
      </c>
      <c r="V442" s="30" t="s">
        <v>4165</v>
      </c>
    </row>
    <row r="443" spans="1:22">
      <c r="A443">
        <v>442</v>
      </c>
      <c r="C443" s="7" t="s">
        <v>1182</v>
      </c>
      <c r="D443" t="s">
        <v>29</v>
      </c>
      <c r="E443" t="e">
        <f>LEN(#REF!)</f>
        <v>#REF!</v>
      </c>
      <c r="F443" s="49" t="s">
        <v>4166</v>
      </c>
      <c r="K443" s="55" t="s">
        <v>4167</v>
      </c>
      <c r="M443">
        <f t="shared" si="12"/>
        <v>6</v>
      </c>
      <c r="N443" s="30" t="s">
        <v>4168</v>
      </c>
      <c r="R443">
        <v>442</v>
      </c>
      <c r="S443" t="s">
        <v>4169</v>
      </c>
      <c r="T443" t="s">
        <v>2279</v>
      </c>
      <c r="U443">
        <f t="shared" si="13"/>
        <v>16</v>
      </c>
      <c r="V443" s="30" t="s">
        <v>4170</v>
      </c>
    </row>
    <row r="444" spans="1:22">
      <c r="A444">
        <v>443</v>
      </c>
      <c r="C444" s="7" t="s">
        <v>1184</v>
      </c>
      <c r="D444" t="s">
        <v>29</v>
      </c>
      <c r="E444" t="e">
        <f>LEN(#REF!)</f>
        <v>#REF!</v>
      </c>
      <c r="F444" s="49" t="s">
        <v>4171</v>
      </c>
      <c r="K444" s="55" t="s">
        <v>4172</v>
      </c>
      <c r="M444">
        <f t="shared" si="12"/>
        <v>8</v>
      </c>
      <c r="N444" s="30" t="s">
        <v>4173</v>
      </c>
      <c r="R444">
        <v>443</v>
      </c>
      <c r="S444" t="s">
        <v>4174</v>
      </c>
      <c r="T444" t="s">
        <v>2279</v>
      </c>
      <c r="U444">
        <f t="shared" si="13"/>
        <v>8</v>
      </c>
      <c r="V444" s="30" t="s">
        <v>4175</v>
      </c>
    </row>
    <row r="445" spans="1:22">
      <c r="A445">
        <v>444</v>
      </c>
      <c r="C445" s="7" t="s">
        <v>1186</v>
      </c>
      <c r="D445" t="s">
        <v>29</v>
      </c>
      <c r="E445" t="e">
        <f>LEN(#REF!)</f>
        <v>#REF!</v>
      </c>
      <c r="F445" s="49" t="s">
        <v>4176</v>
      </c>
      <c r="K445" s="55" t="s">
        <v>4177</v>
      </c>
      <c r="M445">
        <f t="shared" si="12"/>
        <v>8</v>
      </c>
      <c r="N445" s="30" t="s">
        <v>4178</v>
      </c>
      <c r="R445">
        <v>444</v>
      </c>
      <c r="S445" t="s">
        <v>4179</v>
      </c>
      <c r="T445" t="s">
        <v>2279</v>
      </c>
      <c r="U445">
        <f t="shared" si="13"/>
        <v>9</v>
      </c>
      <c r="V445" s="30" t="s">
        <v>4180</v>
      </c>
    </row>
    <row r="446" spans="1:22">
      <c r="A446">
        <v>445</v>
      </c>
      <c r="C446" s="7" t="s">
        <v>992</v>
      </c>
      <c r="D446" t="s">
        <v>29</v>
      </c>
      <c r="E446" t="e">
        <f>LEN(#REF!)</f>
        <v>#REF!</v>
      </c>
      <c r="F446" s="49" t="s">
        <v>3674</v>
      </c>
      <c r="K446" s="55" t="s">
        <v>4181</v>
      </c>
      <c r="M446">
        <f t="shared" si="12"/>
        <v>6</v>
      </c>
      <c r="N446" s="30" t="s">
        <v>4182</v>
      </c>
      <c r="R446">
        <v>445</v>
      </c>
      <c r="S446" t="s">
        <v>4183</v>
      </c>
      <c r="T446" t="s">
        <v>2279</v>
      </c>
      <c r="U446">
        <f t="shared" si="13"/>
        <v>19</v>
      </c>
      <c r="V446" s="30" t="s">
        <v>4184</v>
      </c>
    </row>
    <row r="447" spans="1:22">
      <c r="A447">
        <v>446</v>
      </c>
      <c r="C447" s="7" t="s">
        <v>1188</v>
      </c>
      <c r="D447" t="s">
        <v>29</v>
      </c>
      <c r="E447" t="e">
        <f>LEN(#REF!)</f>
        <v>#REF!</v>
      </c>
      <c r="F447" s="49" t="s">
        <v>4185</v>
      </c>
      <c r="K447" s="55" t="s">
        <v>4186</v>
      </c>
      <c r="M447">
        <f t="shared" si="12"/>
        <v>6</v>
      </c>
      <c r="N447" s="30" t="s">
        <v>4187</v>
      </c>
      <c r="R447">
        <v>446</v>
      </c>
      <c r="S447" t="s">
        <v>4188</v>
      </c>
      <c r="T447" t="s">
        <v>2279</v>
      </c>
      <c r="U447">
        <f t="shared" si="13"/>
        <v>8</v>
      </c>
      <c r="V447" s="30" t="s">
        <v>4189</v>
      </c>
    </row>
    <row r="448" spans="1:22">
      <c r="A448">
        <v>447</v>
      </c>
      <c r="C448" s="7" t="s">
        <v>1190</v>
      </c>
      <c r="D448" t="s">
        <v>29</v>
      </c>
      <c r="E448" t="e">
        <f>LEN(#REF!)</f>
        <v>#REF!</v>
      </c>
      <c r="F448" s="49" t="s">
        <v>4190</v>
      </c>
      <c r="K448" s="55" t="s">
        <v>4191</v>
      </c>
      <c r="M448">
        <f t="shared" si="12"/>
        <v>6</v>
      </c>
      <c r="N448" s="30" t="s">
        <v>4192</v>
      </c>
      <c r="R448">
        <v>447</v>
      </c>
      <c r="S448" t="s">
        <v>4193</v>
      </c>
      <c r="T448" t="s">
        <v>2279</v>
      </c>
      <c r="U448">
        <f t="shared" si="13"/>
        <v>8</v>
      </c>
      <c r="V448" s="30" t="s">
        <v>4194</v>
      </c>
    </row>
    <row r="449" spans="1:22">
      <c r="A449">
        <v>448</v>
      </c>
      <c r="C449" s="7" t="s">
        <v>1192</v>
      </c>
      <c r="D449" t="s">
        <v>29</v>
      </c>
      <c r="E449" t="e">
        <f>LEN(#REF!)</f>
        <v>#REF!</v>
      </c>
      <c r="F449" s="49" t="s">
        <v>4195</v>
      </c>
      <c r="K449" s="55" t="s">
        <v>4196</v>
      </c>
      <c r="M449">
        <f t="shared" si="12"/>
        <v>6</v>
      </c>
      <c r="N449" s="30" t="s">
        <v>4197</v>
      </c>
      <c r="R449">
        <v>448</v>
      </c>
      <c r="S449" t="s">
        <v>4198</v>
      </c>
      <c r="T449" t="s">
        <v>2279</v>
      </c>
      <c r="U449">
        <f t="shared" si="13"/>
        <v>8</v>
      </c>
      <c r="V449" s="30" t="s">
        <v>4199</v>
      </c>
    </row>
    <row r="450" spans="1:22">
      <c r="A450">
        <v>449</v>
      </c>
      <c r="C450" s="7" t="s">
        <v>1194</v>
      </c>
      <c r="D450" t="s">
        <v>29</v>
      </c>
      <c r="E450" t="e">
        <f>LEN(#REF!)</f>
        <v>#REF!</v>
      </c>
      <c r="F450" s="49" t="s">
        <v>4200</v>
      </c>
      <c r="K450" s="55" t="s">
        <v>4201</v>
      </c>
      <c r="M450">
        <f t="shared" si="12"/>
        <v>5</v>
      </c>
      <c r="N450" s="30" t="s">
        <v>4202</v>
      </c>
      <c r="R450">
        <v>449</v>
      </c>
      <c r="S450" t="s">
        <v>4203</v>
      </c>
      <c r="T450" t="s">
        <v>2279</v>
      </c>
      <c r="U450">
        <f t="shared" si="13"/>
        <v>17</v>
      </c>
      <c r="V450" s="30" t="s">
        <v>4204</v>
      </c>
    </row>
    <row r="451" spans="1:22">
      <c r="A451">
        <v>450</v>
      </c>
      <c r="C451" s="7" t="s">
        <v>1196</v>
      </c>
      <c r="D451" t="s">
        <v>29</v>
      </c>
      <c r="E451" t="e">
        <f>LEN(#REF!)</f>
        <v>#REF!</v>
      </c>
      <c r="F451" s="49" t="s">
        <v>4205</v>
      </c>
      <c r="K451" s="55" t="s">
        <v>4206</v>
      </c>
      <c r="M451">
        <f t="shared" ref="M451:M514" si="14">LEN(K451)</f>
        <v>6</v>
      </c>
      <c r="N451" s="30" t="s">
        <v>4207</v>
      </c>
      <c r="R451">
        <v>450</v>
      </c>
      <c r="S451" t="s">
        <v>4208</v>
      </c>
      <c r="T451" t="s">
        <v>2279</v>
      </c>
      <c r="U451">
        <f t="shared" ref="U451:U514" si="15">LEN(S451)</f>
        <v>13</v>
      </c>
      <c r="V451" s="30" t="s">
        <v>4209</v>
      </c>
    </row>
    <row r="452" spans="1:22">
      <c r="A452">
        <v>451</v>
      </c>
      <c r="C452" s="7" t="s">
        <v>1198</v>
      </c>
      <c r="D452" t="s">
        <v>29</v>
      </c>
      <c r="E452" t="e">
        <f>LEN(#REF!)</f>
        <v>#REF!</v>
      </c>
      <c r="F452" s="49" t="s">
        <v>4210</v>
      </c>
      <c r="K452" s="55" t="s">
        <v>4211</v>
      </c>
      <c r="M452">
        <f t="shared" si="14"/>
        <v>6</v>
      </c>
      <c r="N452" s="30" t="s">
        <v>4212</v>
      </c>
      <c r="R452">
        <v>451</v>
      </c>
      <c r="S452" t="s">
        <v>4213</v>
      </c>
      <c r="T452" t="s">
        <v>2279</v>
      </c>
      <c r="U452">
        <f t="shared" si="15"/>
        <v>10</v>
      </c>
      <c r="V452" s="30" t="s">
        <v>4214</v>
      </c>
    </row>
    <row r="453" spans="1:22">
      <c r="A453">
        <v>452</v>
      </c>
      <c r="C453" s="7" t="s">
        <v>1200</v>
      </c>
      <c r="D453" t="s">
        <v>29</v>
      </c>
      <c r="E453" t="e">
        <f>LEN(#REF!)</f>
        <v>#REF!</v>
      </c>
      <c r="F453" s="49" t="s">
        <v>4215</v>
      </c>
      <c r="K453" s="55" t="s">
        <v>4216</v>
      </c>
      <c r="M453">
        <f t="shared" si="14"/>
        <v>6</v>
      </c>
      <c r="N453" s="30" t="s">
        <v>4217</v>
      </c>
      <c r="R453">
        <v>452</v>
      </c>
      <c r="S453" t="s">
        <v>4218</v>
      </c>
      <c r="T453" t="s">
        <v>2279</v>
      </c>
      <c r="U453">
        <f t="shared" si="15"/>
        <v>9</v>
      </c>
      <c r="V453" s="30" t="s">
        <v>4219</v>
      </c>
    </row>
    <row r="454" spans="1:22">
      <c r="A454">
        <v>453</v>
      </c>
      <c r="C454" s="7" t="s">
        <v>4220</v>
      </c>
      <c r="D454" t="s">
        <v>29</v>
      </c>
      <c r="E454" t="e">
        <f>LEN(#REF!)</f>
        <v>#REF!</v>
      </c>
      <c r="F454" s="49" t="s">
        <v>4221</v>
      </c>
      <c r="K454" s="55" t="s">
        <v>4222</v>
      </c>
      <c r="M454">
        <f t="shared" si="14"/>
        <v>6</v>
      </c>
      <c r="N454" s="30" t="s">
        <v>4223</v>
      </c>
      <c r="R454">
        <v>453</v>
      </c>
      <c r="S454" t="s">
        <v>4224</v>
      </c>
      <c r="T454" t="s">
        <v>2279</v>
      </c>
      <c r="U454">
        <f t="shared" si="15"/>
        <v>8</v>
      </c>
      <c r="V454" s="30" t="s">
        <v>4225</v>
      </c>
    </row>
    <row r="455" spans="1:22">
      <c r="A455">
        <v>454</v>
      </c>
      <c r="C455" s="7" t="s">
        <v>1204</v>
      </c>
      <c r="D455" t="s">
        <v>29</v>
      </c>
      <c r="E455" t="e">
        <f>LEN(#REF!)</f>
        <v>#REF!</v>
      </c>
      <c r="F455" s="49" t="s">
        <v>4226</v>
      </c>
      <c r="K455" s="55">
        <v>252525</v>
      </c>
      <c r="M455">
        <f t="shared" si="14"/>
        <v>6</v>
      </c>
      <c r="N455" s="30" t="s">
        <v>4227</v>
      </c>
      <c r="R455">
        <v>454</v>
      </c>
      <c r="S455" t="s">
        <v>4228</v>
      </c>
      <c r="T455" t="s">
        <v>2279</v>
      </c>
      <c r="U455">
        <f t="shared" si="15"/>
        <v>8</v>
      </c>
      <c r="V455" s="30" t="s">
        <v>4229</v>
      </c>
    </row>
    <row r="456" spans="1:22">
      <c r="A456">
        <v>455</v>
      </c>
      <c r="C456" s="7" t="s">
        <v>4230</v>
      </c>
      <c r="D456" t="s">
        <v>29</v>
      </c>
      <c r="E456" t="e">
        <f>LEN(#REF!)</f>
        <v>#REF!</v>
      </c>
      <c r="F456" s="49" t="s">
        <v>4231</v>
      </c>
      <c r="K456" s="55" t="s">
        <v>4232</v>
      </c>
      <c r="M456">
        <f t="shared" si="14"/>
        <v>7</v>
      </c>
      <c r="N456" s="30" t="s">
        <v>4233</v>
      </c>
      <c r="R456">
        <v>455</v>
      </c>
      <c r="S456" t="s">
        <v>4234</v>
      </c>
      <c r="T456" t="s">
        <v>2279</v>
      </c>
      <c r="U456">
        <f t="shared" si="15"/>
        <v>8</v>
      </c>
      <c r="V456" s="30" t="s">
        <v>4235</v>
      </c>
    </row>
    <row r="457" spans="1:22">
      <c r="A457">
        <v>456</v>
      </c>
      <c r="C457" s="7" t="s">
        <v>1208</v>
      </c>
      <c r="D457" t="s">
        <v>29</v>
      </c>
      <c r="E457" t="e">
        <f>LEN(#REF!)</f>
        <v>#REF!</v>
      </c>
      <c r="F457" s="49" t="s">
        <v>4236</v>
      </c>
      <c r="K457" s="55" t="s">
        <v>4237</v>
      </c>
      <c r="M457">
        <f t="shared" si="14"/>
        <v>7</v>
      </c>
      <c r="N457" s="31" t="s">
        <v>4238</v>
      </c>
      <c r="R457">
        <v>456</v>
      </c>
      <c r="S457" t="s">
        <v>4239</v>
      </c>
      <c r="T457" t="s">
        <v>2279</v>
      </c>
      <c r="U457">
        <f t="shared" si="15"/>
        <v>13</v>
      </c>
      <c r="V457" s="30" t="s">
        <v>4240</v>
      </c>
    </row>
    <row r="458" spans="1:22">
      <c r="A458">
        <v>457</v>
      </c>
      <c r="C458" s="7" t="s">
        <v>1210</v>
      </c>
      <c r="D458" t="s">
        <v>29</v>
      </c>
      <c r="E458" t="e">
        <f>LEN(#REF!)</f>
        <v>#REF!</v>
      </c>
      <c r="F458" s="49" t="s">
        <v>4241</v>
      </c>
      <c r="K458" s="55" t="s">
        <v>4242</v>
      </c>
      <c r="M458">
        <f t="shared" si="14"/>
        <v>8</v>
      </c>
      <c r="N458" s="30" t="s">
        <v>4243</v>
      </c>
      <c r="R458">
        <v>457</v>
      </c>
      <c r="S458" t="s">
        <v>4244</v>
      </c>
      <c r="T458" t="s">
        <v>2279</v>
      </c>
      <c r="U458">
        <f t="shared" si="15"/>
        <v>8</v>
      </c>
      <c r="V458" s="30" t="s">
        <v>4245</v>
      </c>
    </row>
    <row r="459" spans="1:22">
      <c r="A459">
        <v>458</v>
      </c>
      <c r="C459" s="7" t="s">
        <v>1212</v>
      </c>
      <c r="D459" t="s">
        <v>29</v>
      </c>
      <c r="E459" t="e">
        <f>LEN(#REF!)</f>
        <v>#REF!</v>
      </c>
      <c r="F459" s="49" t="s">
        <v>4246</v>
      </c>
      <c r="K459" s="55" t="s">
        <v>4247</v>
      </c>
      <c r="M459">
        <f t="shared" si="14"/>
        <v>8</v>
      </c>
      <c r="N459" s="30" t="s">
        <v>4248</v>
      </c>
      <c r="R459">
        <v>458</v>
      </c>
      <c r="S459" t="s">
        <v>4249</v>
      </c>
      <c r="T459" t="s">
        <v>2279</v>
      </c>
      <c r="U459">
        <f t="shared" si="15"/>
        <v>8</v>
      </c>
      <c r="V459" s="30" t="s">
        <v>4250</v>
      </c>
    </row>
    <row r="460" spans="1:22">
      <c r="A460">
        <v>459</v>
      </c>
      <c r="C460" s="7" t="s">
        <v>1214</v>
      </c>
      <c r="D460" t="s">
        <v>29</v>
      </c>
      <c r="E460" t="e">
        <f>LEN(#REF!)</f>
        <v>#REF!</v>
      </c>
      <c r="F460" s="49" t="s">
        <v>4251</v>
      </c>
      <c r="K460" s="55" t="s">
        <v>4252</v>
      </c>
      <c r="M460">
        <f t="shared" si="14"/>
        <v>8</v>
      </c>
      <c r="N460" s="30" t="s">
        <v>4253</v>
      </c>
      <c r="R460">
        <v>459</v>
      </c>
      <c r="S460" t="s">
        <v>4254</v>
      </c>
      <c r="T460" t="s">
        <v>2279</v>
      </c>
      <c r="U460">
        <f t="shared" si="15"/>
        <v>10</v>
      </c>
      <c r="V460" s="30" t="s">
        <v>4255</v>
      </c>
    </row>
    <row r="461" spans="1:22">
      <c r="A461">
        <v>460</v>
      </c>
      <c r="C461" s="7" t="s">
        <v>1216</v>
      </c>
      <c r="D461" t="s">
        <v>29</v>
      </c>
      <c r="E461" t="e">
        <f>LEN(#REF!)</f>
        <v>#REF!</v>
      </c>
      <c r="F461" s="49" t="s">
        <v>4256</v>
      </c>
      <c r="K461" s="55">
        <v>159357</v>
      </c>
      <c r="M461">
        <f t="shared" si="14"/>
        <v>6</v>
      </c>
      <c r="N461" s="30" t="s">
        <v>4257</v>
      </c>
      <c r="R461">
        <v>460</v>
      </c>
      <c r="S461" t="s">
        <v>4258</v>
      </c>
      <c r="T461" t="s">
        <v>2279</v>
      </c>
      <c r="U461">
        <f t="shared" si="15"/>
        <v>9</v>
      </c>
      <c r="V461" s="30" t="s">
        <v>4259</v>
      </c>
    </row>
    <row r="462" spans="1:22">
      <c r="A462">
        <v>461</v>
      </c>
      <c r="C462" s="7" t="s">
        <v>1218</v>
      </c>
      <c r="D462" t="s">
        <v>29</v>
      </c>
      <c r="E462" t="e">
        <f>LEN(#REF!)</f>
        <v>#REF!</v>
      </c>
      <c r="F462" s="49" t="s">
        <v>4260</v>
      </c>
      <c r="K462" s="55" t="s">
        <v>4261</v>
      </c>
      <c r="M462">
        <f t="shared" si="14"/>
        <v>9</v>
      </c>
      <c r="N462" s="30" t="s">
        <v>4262</v>
      </c>
      <c r="R462">
        <v>461</v>
      </c>
      <c r="S462" t="s">
        <v>4263</v>
      </c>
      <c r="T462" t="s">
        <v>2279</v>
      </c>
      <c r="U462">
        <f t="shared" si="15"/>
        <v>9</v>
      </c>
      <c r="V462" s="30" t="s">
        <v>4264</v>
      </c>
    </row>
    <row r="463" spans="1:22">
      <c r="A463">
        <v>462</v>
      </c>
      <c r="C463" s="7" t="s">
        <v>1220</v>
      </c>
      <c r="D463" t="s">
        <v>29</v>
      </c>
      <c r="E463" t="e">
        <f>LEN(#REF!)</f>
        <v>#REF!</v>
      </c>
      <c r="F463" s="49" t="s">
        <v>4265</v>
      </c>
      <c r="K463" s="55" t="s">
        <v>4266</v>
      </c>
      <c r="M463">
        <f t="shared" si="14"/>
        <v>6</v>
      </c>
      <c r="N463" s="30" t="s">
        <v>4267</v>
      </c>
      <c r="R463">
        <v>462</v>
      </c>
      <c r="S463" t="s">
        <v>4268</v>
      </c>
      <c r="T463" t="s">
        <v>2279</v>
      </c>
      <c r="U463">
        <f t="shared" si="15"/>
        <v>8</v>
      </c>
      <c r="V463" s="30" t="s">
        <v>4269</v>
      </c>
    </row>
    <row r="464" spans="1:22">
      <c r="A464">
        <v>463</v>
      </c>
      <c r="C464" s="7" t="s">
        <v>1222</v>
      </c>
      <c r="D464" t="s">
        <v>29</v>
      </c>
      <c r="E464" t="e">
        <f>LEN(#REF!)</f>
        <v>#REF!</v>
      </c>
      <c r="F464" s="49" t="s">
        <v>4270</v>
      </c>
      <c r="K464" s="55" t="s">
        <v>4271</v>
      </c>
      <c r="M464">
        <f t="shared" si="14"/>
        <v>5</v>
      </c>
      <c r="N464" s="30" t="s">
        <v>4272</v>
      </c>
      <c r="R464">
        <v>463</v>
      </c>
      <c r="S464" t="s">
        <v>4273</v>
      </c>
      <c r="T464" t="s">
        <v>2279</v>
      </c>
      <c r="U464">
        <f t="shared" si="15"/>
        <v>12</v>
      </c>
      <c r="V464" s="30" t="s">
        <v>4274</v>
      </c>
    </row>
    <row r="465" spans="1:22">
      <c r="A465">
        <v>464</v>
      </c>
      <c r="C465" s="7" t="s">
        <v>1224</v>
      </c>
      <c r="D465" t="s">
        <v>29</v>
      </c>
      <c r="E465" t="e">
        <f>LEN(#REF!)</f>
        <v>#REF!</v>
      </c>
      <c r="F465" s="49" t="s">
        <v>4275</v>
      </c>
      <c r="K465" s="55" t="s">
        <v>4276</v>
      </c>
      <c r="M465">
        <f t="shared" si="14"/>
        <v>6</v>
      </c>
      <c r="N465" s="30" t="s">
        <v>4277</v>
      </c>
      <c r="R465">
        <v>464</v>
      </c>
      <c r="S465" t="s">
        <v>4278</v>
      </c>
      <c r="T465" t="s">
        <v>2279</v>
      </c>
      <c r="U465">
        <f t="shared" si="15"/>
        <v>11</v>
      </c>
      <c r="V465" s="30" t="s">
        <v>4279</v>
      </c>
    </row>
    <row r="466" spans="1:22">
      <c r="A466">
        <v>465</v>
      </c>
      <c r="C466" s="7" t="s">
        <v>1226</v>
      </c>
      <c r="D466" t="s">
        <v>29</v>
      </c>
      <c r="E466" t="e">
        <f>LEN(#REF!)</f>
        <v>#REF!</v>
      </c>
      <c r="F466" s="49" t="s">
        <v>4280</v>
      </c>
      <c r="K466" s="55" t="s">
        <v>4281</v>
      </c>
      <c r="M466">
        <f t="shared" si="14"/>
        <v>7</v>
      </c>
      <c r="N466" s="30" t="s">
        <v>4282</v>
      </c>
      <c r="R466">
        <v>465</v>
      </c>
      <c r="S466" t="s">
        <v>4283</v>
      </c>
      <c r="T466" t="s">
        <v>2279</v>
      </c>
      <c r="U466">
        <f t="shared" si="15"/>
        <v>8</v>
      </c>
      <c r="V466" s="30" t="s">
        <v>4284</v>
      </c>
    </row>
    <row r="467" spans="1:22">
      <c r="A467">
        <v>466</v>
      </c>
      <c r="C467" s="7" t="s">
        <v>1228</v>
      </c>
      <c r="D467" t="s">
        <v>29</v>
      </c>
      <c r="E467" t="e">
        <f>LEN(#REF!)</f>
        <v>#REF!</v>
      </c>
      <c r="F467" s="49" t="s">
        <v>4285</v>
      </c>
      <c r="K467" s="55" t="s">
        <v>4286</v>
      </c>
      <c r="M467">
        <f t="shared" si="14"/>
        <v>7</v>
      </c>
      <c r="N467" s="30" t="s">
        <v>4287</v>
      </c>
      <c r="R467">
        <v>466</v>
      </c>
      <c r="S467" t="s">
        <v>4288</v>
      </c>
      <c r="T467" t="s">
        <v>2279</v>
      </c>
      <c r="U467">
        <f t="shared" si="15"/>
        <v>8</v>
      </c>
      <c r="V467" s="30" t="s">
        <v>4289</v>
      </c>
    </row>
    <row r="468" spans="1:22">
      <c r="A468">
        <v>467</v>
      </c>
      <c r="C468" s="7" t="s">
        <v>1230</v>
      </c>
      <c r="D468" t="s">
        <v>29</v>
      </c>
      <c r="E468" t="e">
        <f>LEN(#REF!)</f>
        <v>#REF!</v>
      </c>
      <c r="F468" s="49" t="s">
        <v>4290</v>
      </c>
      <c r="K468" s="55" t="s">
        <v>4291</v>
      </c>
      <c r="M468">
        <f t="shared" si="14"/>
        <v>7</v>
      </c>
      <c r="N468" s="30" t="s">
        <v>4292</v>
      </c>
      <c r="R468">
        <v>467</v>
      </c>
      <c r="S468" t="s">
        <v>4293</v>
      </c>
      <c r="T468" t="s">
        <v>2279</v>
      </c>
      <c r="U468">
        <f t="shared" si="15"/>
        <v>8</v>
      </c>
      <c r="V468" s="30" t="s">
        <v>4294</v>
      </c>
    </row>
    <row r="469" spans="1:22">
      <c r="A469">
        <v>468</v>
      </c>
      <c r="C469" s="7" t="s">
        <v>1232</v>
      </c>
      <c r="D469" t="s">
        <v>29</v>
      </c>
      <c r="E469" t="e">
        <f>LEN(#REF!)</f>
        <v>#REF!</v>
      </c>
      <c r="F469" s="49" t="s">
        <v>4295</v>
      </c>
      <c r="K469" s="55" t="s">
        <v>4296</v>
      </c>
      <c r="M469">
        <f t="shared" si="14"/>
        <v>9</v>
      </c>
      <c r="N469" s="30" t="s">
        <v>4297</v>
      </c>
      <c r="R469">
        <v>468</v>
      </c>
      <c r="S469" t="s">
        <v>4298</v>
      </c>
      <c r="T469" t="s">
        <v>2279</v>
      </c>
      <c r="U469">
        <f t="shared" si="15"/>
        <v>8</v>
      </c>
      <c r="V469" s="30" t="s">
        <v>4299</v>
      </c>
    </row>
    <row r="470" spans="1:22">
      <c r="A470">
        <v>469</v>
      </c>
      <c r="C470" s="7" t="s">
        <v>1234</v>
      </c>
      <c r="D470" t="s">
        <v>29</v>
      </c>
      <c r="E470" t="e">
        <f>LEN(#REF!)</f>
        <v>#REF!</v>
      </c>
      <c r="F470" s="49" t="s">
        <v>4300</v>
      </c>
      <c r="K470" s="55" t="s">
        <v>4301</v>
      </c>
      <c r="M470">
        <f t="shared" si="14"/>
        <v>7</v>
      </c>
      <c r="N470" s="30" t="s">
        <v>4302</v>
      </c>
      <c r="R470">
        <v>469</v>
      </c>
      <c r="S470" t="s">
        <v>4303</v>
      </c>
      <c r="T470" t="s">
        <v>2279</v>
      </c>
      <c r="U470">
        <f t="shared" si="15"/>
        <v>9</v>
      </c>
      <c r="V470" s="30" t="s">
        <v>4304</v>
      </c>
    </row>
    <row r="471" spans="1:22">
      <c r="A471">
        <v>470</v>
      </c>
      <c r="C471" s="7" t="s">
        <v>1236</v>
      </c>
      <c r="D471" t="s">
        <v>29</v>
      </c>
      <c r="E471" t="e">
        <f>LEN(#REF!)</f>
        <v>#REF!</v>
      </c>
      <c r="F471" s="49" t="s">
        <v>4305</v>
      </c>
      <c r="K471" s="55" t="s">
        <v>4306</v>
      </c>
      <c r="M471">
        <f t="shared" si="14"/>
        <v>8</v>
      </c>
      <c r="N471" s="31" t="s">
        <v>4307</v>
      </c>
      <c r="R471">
        <v>470</v>
      </c>
      <c r="S471" t="s">
        <v>4308</v>
      </c>
      <c r="T471" t="s">
        <v>2279</v>
      </c>
      <c r="U471">
        <f t="shared" si="15"/>
        <v>11</v>
      </c>
      <c r="V471" s="30" t="s">
        <v>4309</v>
      </c>
    </row>
    <row r="472" spans="1:22">
      <c r="A472">
        <v>471</v>
      </c>
      <c r="C472" s="7" t="s">
        <v>1238</v>
      </c>
      <c r="D472" t="s">
        <v>29</v>
      </c>
      <c r="E472" t="e">
        <f>LEN(#REF!)</f>
        <v>#REF!</v>
      </c>
      <c r="F472" s="49" t="s">
        <v>4310</v>
      </c>
      <c r="K472" s="55" t="s">
        <v>4311</v>
      </c>
      <c r="M472">
        <f t="shared" si="14"/>
        <v>5</v>
      </c>
      <c r="N472" s="30" t="s">
        <v>4312</v>
      </c>
      <c r="R472">
        <v>471</v>
      </c>
      <c r="S472" t="s">
        <v>4313</v>
      </c>
      <c r="T472" t="s">
        <v>2279</v>
      </c>
      <c r="U472">
        <f t="shared" si="15"/>
        <v>8</v>
      </c>
      <c r="V472" s="30" t="s">
        <v>4314</v>
      </c>
    </row>
    <row r="473" spans="1:22">
      <c r="A473">
        <v>472</v>
      </c>
      <c r="C473" s="7" t="s">
        <v>1240</v>
      </c>
      <c r="D473" t="s">
        <v>29</v>
      </c>
      <c r="E473" t="e">
        <f>LEN(#REF!)</f>
        <v>#REF!</v>
      </c>
      <c r="F473" s="49" t="s">
        <v>4315</v>
      </c>
      <c r="K473" s="55" t="s">
        <v>4316</v>
      </c>
      <c r="M473">
        <f t="shared" si="14"/>
        <v>5</v>
      </c>
      <c r="N473" s="30" t="s">
        <v>4317</v>
      </c>
      <c r="R473">
        <v>472</v>
      </c>
      <c r="S473" t="s">
        <v>4318</v>
      </c>
      <c r="T473" t="s">
        <v>2279</v>
      </c>
      <c r="U473">
        <f t="shared" si="15"/>
        <v>11</v>
      </c>
      <c r="V473" s="30" t="s">
        <v>4319</v>
      </c>
    </row>
    <row r="474" spans="1:22">
      <c r="A474">
        <v>473</v>
      </c>
      <c r="C474" s="7" t="s">
        <v>1242</v>
      </c>
      <c r="D474" t="s">
        <v>29</v>
      </c>
      <c r="E474" t="e">
        <f>LEN(#REF!)</f>
        <v>#REF!</v>
      </c>
      <c r="F474" s="49" t="s">
        <v>4320</v>
      </c>
      <c r="K474" s="55" t="s">
        <v>4321</v>
      </c>
      <c r="M474">
        <f t="shared" si="14"/>
        <v>5</v>
      </c>
      <c r="N474" s="30" t="s">
        <v>4322</v>
      </c>
      <c r="R474">
        <v>473</v>
      </c>
      <c r="S474" t="s">
        <v>4323</v>
      </c>
      <c r="T474" t="s">
        <v>2279</v>
      </c>
      <c r="U474">
        <f t="shared" si="15"/>
        <v>9</v>
      </c>
      <c r="V474" s="30" t="s">
        <v>4324</v>
      </c>
    </row>
    <row r="475" spans="1:22">
      <c r="A475">
        <v>474</v>
      </c>
      <c r="C475" s="7" t="s">
        <v>1244</v>
      </c>
      <c r="D475" t="s">
        <v>29</v>
      </c>
      <c r="E475" t="e">
        <f>LEN(#REF!)</f>
        <v>#REF!</v>
      </c>
      <c r="F475" s="49" t="s">
        <v>4325</v>
      </c>
      <c r="K475" s="55" t="s">
        <v>4326</v>
      </c>
      <c r="M475">
        <f t="shared" si="14"/>
        <v>6</v>
      </c>
      <c r="N475" s="30" t="s">
        <v>4327</v>
      </c>
      <c r="R475">
        <v>474</v>
      </c>
      <c r="S475" t="s">
        <v>4328</v>
      </c>
      <c r="T475" t="s">
        <v>2279</v>
      </c>
      <c r="U475">
        <f t="shared" si="15"/>
        <v>8</v>
      </c>
      <c r="V475" s="30" t="s">
        <v>4329</v>
      </c>
    </row>
    <row r="476" spans="1:22">
      <c r="A476">
        <v>475</v>
      </c>
      <c r="C476" s="7" t="s">
        <v>4330</v>
      </c>
      <c r="D476" t="s">
        <v>29</v>
      </c>
      <c r="E476" t="e">
        <f>LEN(#REF!)</f>
        <v>#REF!</v>
      </c>
      <c r="F476" s="49" t="s">
        <v>4331</v>
      </c>
      <c r="K476" s="55" t="s">
        <v>4332</v>
      </c>
      <c r="M476">
        <f t="shared" si="14"/>
        <v>7</v>
      </c>
      <c r="N476" s="30" t="s">
        <v>4333</v>
      </c>
      <c r="R476">
        <v>475</v>
      </c>
      <c r="S476" t="s">
        <v>4334</v>
      </c>
      <c r="T476" t="s">
        <v>2279</v>
      </c>
      <c r="U476">
        <f t="shared" si="15"/>
        <v>11</v>
      </c>
      <c r="V476" s="30" t="s">
        <v>4335</v>
      </c>
    </row>
    <row r="477" spans="1:22">
      <c r="A477">
        <v>476</v>
      </c>
      <c r="C477" s="7" t="s">
        <v>1248</v>
      </c>
      <c r="D477" t="s">
        <v>29</v>
      </c>
      <c r="E477" t="e">
        <f>LEN(#REF!)</f>
        <v>#REF!</v>
      </c>
      <c r="F477" s="49" t="s">
        <v>4336</v>
      </c>
      <c r="K477" s="55" t="s">
        <v>4337</v>
      </c>
      <c r="M477">
        <f t="shared" si="14"/>
        <v>6</v>
      </c>
      <c r="N477" s="30" t="s">
        <v>4338</v>
      </c>
      <c r="R477">
        <v>476</v>
      </c>
      <c r="S477" t="s">
        <v>4339</v>
      </c>
      <c r="T477" t="s">
        <v>2279</v>
      </c>
      <c r="U477">
        <f t="shared" si="15"/>
        <v>17</v>
      </c>
      <c r="V477" s="30" t="s">
        <v>4340</v>
      </c>
    </row>
    <row r="478" spans="1:22">
      <c r="A478">
        <v>477</v>
      </c>
      <c r="C478" s="7" t="s">
        <v>1250</v>
      </c>
      <c r="D478" t="s">
        <v>29</v>
      </c>
      <c r="E478" t="e">
        <f>LEN(#REF!)</f>
        <v>#REF!</v>
      </c>
      <c r="F478" s="49" t="s">
        <v>4341</v>
      </c>
      <c r="K478" s="55" t="s">
        <v>4342</v>
      </c>
      <c r="M478">
        <f t="shared" si="14"/>
        <v>6</v>
      </c>
      <c r="N478" s="30" t="s">
        <v>4343</v>
      </c>
      <c r="R478">
        <v>477</v>
      </c>
      <c r="S478" t="s">
        <v>4344</v>
      </c>
      <c r="T478" t="s">
        <v>2279</v>
      </c>
      <c r="U478">
        <f t="shared" si="15"/>
        <v>9</v>
      </c>
      <c r="V478" s="30" t="s">
        <v>4345</v>
      </c>
    </row>
    <row r="479" spans="1:22">
      <c r="A479">
        <v>478</v>
      </c>
      <c r="C479" s="7" t="s">
        <v>1252</v>
      </c>
      <c r="D479" t="s">
        <v>29</v>
      </c>
      <c r="E479" t="e">
        <f>LEN(#REF!)</f>
        <v>#REF!</v>
      </c>
      <c r="F479" s="49" t="s">
        <v>4346</v>
      </c>
      <c r="K479" s="55">
        <v>123456</v>
      </c>
      <c r="M479">
        <f t="shared" si="14"/>
        <v>6</v>
      </c>
      <c r="N479" s="30" t="s">
        <v>4347</v>
      </c>
      <c r="R479">
        <v>478</v>
      </c>
      <c r="S479" t="s">
        <v>4348</v>
      </c>
      <c r="T479" t="s">
        <v>2279</v>
      </c>
      <c r="U479">
        <f t="shared" si="15"/>
        <v>8</v>
      </c>
      <c r="V479" s="30" t="s">
        <v>4349</v>
      </c>
    </row>
    <row r="480" spans="1:22">
      <c r="A480">
        <v>479</v>
      </c>
      <c r="C480" s="7" t="s">
        <v>1254</v>
      </c>
      <c r="D480" t="s">
        <v>29</v>
      </c>
      <c r="E480" t="e">
        <f>LEN(#REF!)</f>
        <v>#REF!</v>
      </c>
      <c r="F480" s="49" t="s">
        <v>4350</v>
      </c>
      <c r="K480" s="55" t="s">
        <v>4351</v>
      </c>
      <c r="M480">
        <f t="shared" si="14"/>
        <v>6</v>
      </c>
      <c r="N480" s="30" t="s">
        <v>4352</v>
      </c>
      <c r="R480">
        <v>479</v>
      </c>
      <c r="S480" t="s">
        <v>4353</v>
      </c>
      <c r="T480" t="s">
        <v>2279</v>
      </c>
      <c r="U480">
        <f t="shared" si="15"/>
        <v>9</v>
      </c>
      <c r="V480" s="30" t="s">
        <v>4354</v>
      </c>
    </row>
    <row r="481" spans="1:22">
      <c r="A481">
        <v>480</v>
      </c>
      <c r="C481" s="7" t="s">
        <v>4355</v>
      </c>
      <c r="D481" t="s">
        <v>29</v>
      </c>
      <c r="E481" t="e">
        <f>LEN(#REF!)</f>
        <v>#REF!</v>
      </c>
      <c r="F481" s="49" t="s">
        <v>4356</v>
      </c>
      <c r="K481" s="55" t="s">
        <v>4357</v>
      </c>
      <c r="M481">
        <f t="shared" si="14"/>
        <v>5</v>
      </c>
      <c r="N481" s="30" t="s">
        <v>4358</v>
      </c>
      <c r="R481">
        <v>480</v>
      </c>
      <c r="S481" t="s">
        <v>4359</v>
      </c>
      <c r="T481" t="s">
        <v>2279</v>
      </c>
      <c r="U481">
        <f t="shared" si="15"/>
        <v>10</v>
      </c>
      <c r="V481" s="30" t="s">
        <v>4360</v>
      </c>
    </row>
    <row r="482" spans="1:22">
      <c r="A482">
        <v>481</v>
      </c>
      <c r="C482" s="7" t="s">
        <v>1258</v>
      </c>
      <c r="D482" t="s">
        <v>29</v>
      </c>
      <c r="E482" t="e">
        <f>LEN(#REF!)</f>
        <v>#REF!</v>
      </c>
      <c r="F482" s="49" t="s">
        <v>4361</v>
      </c>
      <c r="K482" s="55" t="s">
        <v>4362</v>
      </c>
      <c r="M482">
        <f t="shared" si="14"/>
        <v>8</v>
      </c>
      <c r="N482" s="30" t="s">
        <v>4363</v>
      </c>
      <c r="R482">
        <v>481</v>
      </c>
      <c r="S482" t="s">
        <v>4364</v>
      </c>
      <c r="T482" t="s">
        <v>2279</v>
      </c>
      <c r="U482">
        <f t="shared" si="15"/>
        <v>12</v>
      </c>
      <c r="V482" s="30" t="s">
        <v>4365</v>
      </c>
    </row>
    <row r="483" spans="1:22">
      <c r="A483">
        <v>482</v>
      </c>
      <c r="C483" s="7" t="s">
        <v>1260</v>
      </c>
      <c r="D483" t="s">
        <v>29</v>
      </c>
      <c r="E483" t="e">
        <f>LEN(#REF!)</f>
        <v>#REF!</v>
      </c>
      <c r="F483" s="49" t="s">
        <v>4366</v>
      </c>
      <c r="K483" s="55">
        <v>147258369</v>
      </c>
      <c r="M483">
        <f t="shared" si="14"/>
        <v>9</v>
      </c>
      <c r="N483" s="30" t="s">
        <v>4367</v>
      </c>
      <c r="R483">
        <v>482</v>
      </c>
      <c r="S483" t="s">
        <v>4368</v>
      </c>
      <c r="T483" t="s">
        <v>2279</v>
      </c>
      <c r="U483">
        <f t="shared" si="15"/>
        <v>8</v>
      </c>
      <c r="V483" s="30" t="s">
        <v>4369</v>
      </c>
    </row>
    <row r="484" spans="1:22">
      <c r="A484">
        <v>483</v>
      </c>
      <c r="C484" s="7" t="s">
        <v>1262</v>
      </c>
      <c r="D484" t="s">
        <v>29</v>
      </c>
      <c r="E484" t="e">
        <f>LEN(#REF!)</f>
        <v>#REF!</v>
      </c>
      <c r="F484" s="49" t="s">
        <v>4370</v>
      </c>
      <c r="K484" s="55" t="s">
        <v>4371</v>
      </c>
      <c r="M484">
        <f t="shared" si="14"/>
        <v>9</v>
      </c>
      <c r="N484" s="30" t="s">
        <v>4372</v>
      </c>
      <c r="R484">
        <v>483</v>
      </c>
      <c r="S484" t="s">
        <v>4373</v>
      </c>
      <c r="T484" t="s">
        <v>2279</v>
      </c>
      <c r="U484">
        <f t="shared" si="15"/>
        <v>10</v>
      </c>
      <c r="V484" s="30" t="s">
        <v>4374</v>
      </c>
    </row>
    <row r="485" spans="1:22">
      <c r="A485">
        <v>484</v>
      </c>
      <c r="C485" s="7" t="s">
        <v>1264</v>
      </c>
      <c r="D485" t="s">
        <v>29</v>
      </c>
      <c r="E485" t="e">
        <f>LEN(#REF!)</f>
        <v>#REF!</v>
      </c>
      <c r="F485" s="49" t="s">
        <v>4375</v>
      </c>
      <c r="K485" s="55" t="s">
        <v>4376</v>
      </c>
      <c r="M485">
        <f t="shared" si="14"/>
        <v>7</v>
      </c>
      <c r="N485" s="30" t="s">
        <v>4377</v>
      </c>
      <c r="R485">
        <v>484</v>
      </c>
      <c r="S485" t="s">
        <v>4378</v>
      </c>
      <c r="T485" t="s">
        <v>2279</v>
      </c>
      <c r="U485">
        <f t="shared" si="15"/>
        <v>8</v>
      </c>
      <c r="V485" s="30" t="s">
        <v>4379</v>
      </c>
    </row>
    <row r="486" spans="1:22">
      <c r="A486">
        <v>485</v>
      </c>
      <c r="C486" s="7" t="s">
        <v>1266</v>
      </c>
      <c r="D486" t="s">
        <v>29</v>
      </c>
      <c r="E486" t="e">
        <f>LEN(#REF!)</f>
        <v>#REF!</v>
      </c>
      <c r="F486" s="49" t="s">
        <v>4380</v>
      </c>
      <c r="K486" s="55" t="s">
        <v>4381</v>
      </c>
      <c r="M486">
        <f t="shared" si="14"/>
        <v>9</v>
      </c>
      <c r="N486" s="30" t="s">
        <v>4382</v>
      </c>
      <c r="R486">
        <v>485</v>
      </c>
      <c r="S486" t="s">
        <v>4383</v>
      </c>
      <c r="T486" t="s">
        <v>2279</v>
      </c>
      <c r="U486">
        <f t="shared" si="15"/>
        <v>10</v>
      </c>
      <c r="V486" s="30" t="s">
        <v>4384</v>
      </c>
    </row>
    <row r="487" spans="1:22">
      <c r="A487">
        <v>486</v>
      </c>
      <c r="C487" s="7" t="s">
        <v>1268</v>
      </c>
      <c r="D487" t="s">
        <v>29</v>
      </c>
      <c r="E487" t="e">
        <f>LEN(#REF!)</f>
        <v>#REF!</v>
      </c>
      <c r="F487" s="49" t="s">
        <v>4385</v>
      </c>
      <c r="K487" s="55" t="s">
        <v>4386</v>
      </c>
      <c r="M487">
        <f t="shared" si="14"/>
        <v>8</v>
      </c>
      <c r="N487" s="30" t="s">
        <v>4387</v>
      </c>
      <c r="R487">
        <v>486</v>
      </c>
      <c r="S487" t="s">
        <v>4388</v>
      </c>
      <c r="T487" t="s">
        <v>2279</v>
      </c>
      <c r="U487">
        <f t="shared" si="15"/>
        <v>10</v>
      </c>
      <c r="V487" s="30" t="s">
        <v>4389</v>
      </c>
    </row>
    <row r="488" spans="1:22">
      <c r="A488">
        <v>487</v>
      </c>
      <c r="C488" s="7" t="s">
        <v>1270</v>
      </c>
      <c r="D488" t="s">
        <v>29</v>
      </c>
      <c r="E488" t="e">
        <f>LEN(#REF!)</f>
        <v>#REF!</v>
      </c>
      <c r="F488" s="49" t="s">
        <v>4390</v>
      </c>
      <c r="K488" s="55" t="s">
        <v>4391</v>
      </c>
      <c r="M488">
        <f t="shared" si="14"/>
        <v>5</v>
      </c>
      <c r="N488" s="30" t="s">
        <v>4392</v>
      </c>
      <c r="R488">
        <v>487</v>
      </c>
      <c r="S488" t="s">
        <v>4393</v>
      </c>
      <c r="T488" t="s">
        <v>2279</v>
      </c>
      <c r="U488">
        <f t="shared" si="15"/>
        <v>8</v>
      </c>
      <c r="V488" s="30" t="s">
        <v>4394</v>
      </c>
    </row>
    <row r="489" spans="1:22">
      <c r="A489">
        <v>488</v>
      </c>
      <c r="C489" s="7" t="s">
        <v>1272</v>
      </c>
      <c r="D489" t="s">
        <v>29</v>
      </c>
      <c r="E489" t="e">
        <f>LEN(#REF!)</f>
        <v>#REF!</v>
      </c>
      <c r="F489" s="49" t="s">
        <v>4395</v>
      </c>
      <c r="K489" s="55" t="s">
        <v>4396</v>
      </c>
      <c r="M489">
        <f t="shared" si="14"/>
        <v>5</v>
      </c>
      <c r="N489" s="30" t="s">
        <v>4397</v>
      </c>
      <c r="R489">
        <v>488</v>
      </c>
      <c r="S489" t="s">
        <v>4398</v>
      </c>
      <c r="T489" t="s">
        <v>2279</v>
      </c>
      <c r="U489">
        <f t="shared" si="15"/>
        <v>8</v>
      </c>
      <c r="V489" s="30" t="s">
        <v>4399</v>
      </c>
    </row>
    <row r="490" spans="1:22">
      <c r="A490">
        <v>489</v>
      </c>
      <c r="C490" s="7" t="s">
        <v>1274</v>
      </c>
      <c r="D490" t="s">
        <v>29</v>
      </c>
      <c r="E490" t="e">
        <f>LEN(#REF!)</f>
        <v>#REF!</v>
      </c>
      <c r="F490" s="49" t="s">
        <v>4400</v>
      </c>
      <c r="K490" s="55" t="s">
        <v>4401</v>
      </c>
      <c r="M490">
        <f t="shared" si="14"/>
        <v>8</v>
      </c>
      <c r="N490" s="30" t="s">
        <v>4402</v>
      </c>
      <c r="R490">
        <v>489</v>
      </c>
      <c r="S490" t="s">
        <v>4403</v>
      </c>
      <c r="T490" t="s">
        <v>2279</v>
      </c>
      <c r="U490">
        <f t="shared" si="15"/>
        <v>15</v>
      </c>
      <c r="V490" s="30" t="s">
        <v>4404</v>
      </c>
    </row>
    <row r="491" spans="1:22">
      <c r="A491">
        <v>490</v>
      </c>
      <c r="C491" s="7" t="s">
        <v>1276</v>
      </c>
      <c r="D491" t="s">
        <v>29</v>
      </c>
      <c r="E491" t="e">
        <f>LEN(#REF!)</f>
        <v>#REF!</v>
      </c>
      <c r="F491" s="49" t="s">
        <v>4405</v>
      </c>
      <c r="K491" s="55" t="s">
        <v>4406</v>
      </c>
      <c r="M491">
        <f t="shared" si="14"/>
        <v>10</v>
      </c>
      <c r="N491" s="30" t="s">
        <v>4407</v>
      </c>
      <c r="R491">
        <v>490</v>
      </c>
      <c r="S491" t="s">
        <v>4408</v>
      </c>
      <c r="T491" t="s">
        <v>2279</v>
      </c>
      <c r="U491">
        <f t="shared" si="15"/>
        <v>8</v>
      </c>
      <c r="V491" s="30" t="s">
        <v>4409</v>
      </c>
    </row>
    <row r="492" spans="1:22">
      <c r="A492">
        <v>491</v>
      </c>
      <c r="C492" s="7" t="s">
        <v>4410</v>
      </c>
      <c r="D492" t="s">
        <v>29</v>
      </c>
      <c r="E492" t="e">
        <f>LEN(#REF!)</f>
        <v>#REF!</v>
      </c>
      <c r="F492" s="49" t="s">
        <v>4411</v>
      </c>
      <c r="K492" s="55" t="s">
        <v>4412</v>
      </c>
      <c r="M492">
        <f t="shared" si="14"/>
        <v>6</v>
      </c>
      <c r="N492" s="30" t="s">
        <v>4413</v>
      </c>
      <c r="R492">
        <v>491</v>
      </c>
      <c r="S492" t="s">
        <v>4414</v>
      </c>
      <c r="T492" t="s">
        <v>2279</v>
      </c>
      <c r="U492">
        <f t="shared" si="15"/>
        <v>13</v>
      </c>
      <c r="V492" s="30" t="s">
        <v>4415</v>
      </c>
    </row>
    <row r="493" spans="1:22">
      <c r="A493">
        <v>492</v>
      </c>
      <c r="C493" s="7" t="s">
        <v>1280</v>
      </c>
      <c r="D493" t="s">
        <v>29</v>
      </c>
      <c r="E493" t="e">
        <f>LEN(#REF!)</f>
        <v>#REF!</v>
      </c>
      <c r="F493" s="49" t="s">
        <v>4416</v>
      </c>
      <c r="K493" s="55" t="s">
        <v>4417</v>
      </c>
      <c r="M493">
        <f t="shared" si="14"/>
        <v>8</v>
      </c>
      <c r="N493" s="30" t="s">
        <v>4418</v>
      </c>
      <c r="R493">
        <v>492</v>
      </c>
      <c r="S493" t="s">
        <v>4419</v>
      </c>
      <c r="T493" t="s">
        <v>2279</v>
      </c>
      <c r="U493">
        <f t="shared" si="15"/>
        <v>10</v>
      </c>
      <c r="V493" s="30" t="s">
        <v>4420</v>
      </c>
    </row>
    <row r="494" spans="1:22">
      <c r="A494">
        <v>493</v>
      </c>
      <c r="C494" s="7" t="s">
        <v>1282</v>
      </c>
      <c r="D494" t="s">
        <v>29</v>
      </c>
      <c r="E494" t="e">
        <f>LEN(#REF!)</f>
        <v>#REF!</v>
      </c>
      <c r="F494" s="49" t="s">
        <v>4421</v>
      </c>
      <c r="K494" s="55" t="s">
        <v>4422</v>
      </c>
      <c r="M494">
        <f t="shared" si="14"/>
        <v>6</v>
      </c>
      <c r="N494" s="30" t="s">
        <v>4423</v>
      </c>
      <c r="R494">
        <v>493</v>
      </c>
      <c r="S494" t="s">
        <v>4424</v>
      </c>
      <c r="T494" t="s">
        <v>2279</v>
      </c>
      <c r="U494">
        <f t="shared" si="15"/>
        <v>8</v>
      </c>
      <c r="V494" s="30" t="s">
        <v>4425</v>
      </c>
    </row>
    <row r="495" spans="1:22">
      <c r="A495">
        <v>494</v>
      </c>
      <c r="C495" s="7" t="s">
        <v>1284</v>
      </c>
      <c r="D495" t="s">
        <v>29</v>
      </c>
      <c r="E495" t="e">
        <f>LEN(#REF!)</f>
        <v>#REF!</v>
      </c>
      <c r="F495" s="49" t="s">
        <v>4426</v>
      </c>
      <c r="K495" s="55" t="s">
        <v>4427</v>
      </c>
      <c r="M495">
        <f t="shared" si="14"/>
        <v>6</v>
      </c>
      <c r="N495" s="31" t="s">
        <v>4428</v>
      </c>
      <c r="R495">
        <v>494</v>
      </c>
      <c r="S495" t="s">
        <v>4429</v>
      </c>
      <c r="T495" t="s">
        <v>2279</v>
      </c>
      <c r="U495">
        <f t="shared" si="15"/>
        <v>10</v>
      </c>
      <c r="V495" s="30" t="s">
        <v>4430</v>
      </c>
    </row>
    <row r="496" spans="1:22">
      <c r="A496">
        <v>495</v>
      </c>
      <c r="C496" s="7" t="s">
        <v>1286</v>
      </c>
      <c r="D496" t="s">
        <v>29</v>
      </c>
      <c r="E496" t="e">
        <f>LEN(#REF!)</f>
        <v>#REF!</v>
      </c>
      <c r="F496" s="49" t="s">
        <v>4431</v>
      </c>
      <c r="K496" s="55">
        <v>147258</v>
      </c>
      <c r="M496">
        <f t="shared" si="14"/>
        <v>6</v>
      </c>
      <c r="N496" s="31" t="s">
        <v>4432</v>
      </c>
      <c r="R496">
        <v>495</v>
      </c>
      <c r="S496" t="s">
        <v>4433</v>
      </c>
      <c r="T496" t="s">
        <v>2279</v>
      </c>
      <c r="U496">
        <f t="shared" si="15"/>
        <v>8</v>
      </c>
      <c r="V496" s="30" t="s">
        <v>4434</v>
      </c>
    </row>
    <row r="497" spans="1:22">
      <c r="A497">
        <v>496</v>
      </c>
      <c r="C497" s="7" t="s">
        <v>4435</v>
      </c>
      <c r="D497" t="s">
        <v>29</v>
      </c>
      <c r="E497" t="e">
        <f>LEN(#REF!)</f>
        <v>#REF!</v>
      </c>
      <c r="F497" s="49" t="s">
        <v>4436</v>
      </c>
      <c r="K497" s="55" t="s">
        <v>4437</v>
      </c>
      <c r="M497">
        <f t="shared" si="14"/>
        <v>6</v>
      </c>
      <c r="N497" s="30" t="s">
        <v>4438</v>
      </c>
      <c r="R497">
        <v>496</v>
      </c>
      <c r="S497" t="s">
        <v>4439</v>
      </c>
      <c r="T497" t="s">
        <v>2279</v>
      </c>
      <c r="U497">
        <f t="shared" si="15"/>
        <v>10</v>
      </c>
      <c r="V497" s="30" t="s">
        <v>4440</v>
      </c>
    </row>
    <row r="498" spans="1:22">
      <c r="A498">
        <v>497</v>
      </c>
      <c r="C498" s="7" t="s">
        <v>1290</v>
      </c>
      <c r="D498" t="s">
        <v>29</v>
      </c>
      <c r="E498" t="e">
        <f>LEN(#REF!)</f>
        <v>#REF!</v>
      </c>
      <c r="F498" s="49" t="s">
        <v>4441</v>
      </c>
      <c r="K498" s="55" t="s">
        <v>4442</v>
      </c>
      <c r="M498">
        <f t="shared" si="14"/>
        <v>7</v>
      </c>
      <c r="N498" s="30" t="s">
        <v>4443</v>
      </c>
      <c r="R498">
        <v>497</v>
      </c>
      <c r="S498" t="s">
        <v>4444</v>
      </c>
      <c r="T498" t="s">
        <v>2279</v>
      </c>
      <c r="U498">
        <f t="shared" si="15"/>
        <v>8</v>
      </c>
      <c r="V498" s="30" t="s">
        <v>4445</v>
      </c>
    </row>
    <row r="499" spans="1:22">
      <c r="A499">
        <v>498</v>
      </c>
      <c r="C499" s="7" t="s">
        <v>1292</v>
      </c>
      <c r="D499" t="s">
        <v>29</v>
      </c>
      <c r="E499" t="e">
        <f>LEN(#REF!)</f>
        <v>#REF!</v>
      </c>
      <c r="F499" s="49" t="s">
        <v>4446</v>
      </c>
      <c r="K499" s="55" t="s">
        <v>4447</v>
      </c>
      <c r="M499">
        <f t="shared" si="14"/>
        <v>6</v>
      </c>
      <c r="N499" s="30" t="s">
        <v>4448</v>
      </c>
      <c r="R499">
        <v>498</v>
      </c>
      <c r="S499" t="s">
        <v>4449</v>
      </c>
      <c r="T499" t="s">
        <v>2279</v>
      </c>
      <c r="U499">
        <f t="shared" si="15"/>
        <v>13</v>
      </c>
      <c r="V499" s="30" t="s">
        <v>4450</v>
      </c>
    </row>
    <row r="500" spans="1:22">
      <c r="A500">
        <v>499</v>
      </c>
      <c r="C500" s="7" t="s">
        <v>1294</v>
      </c>
      <c r="D500" t="s">
        <v>29</v>
      </c>
      <c r="E500" t="e">
        <f>LEN(#REF!)</f>
        <v>#REF!</v>
      </c>
      <c r="F500" s="49" t="s">
        <v>4451</v>
      </c>
      <c r="K500" s="55" t="s">
        <v>4452</v>
      </c>
      <c r="M500">
        <f t="shared" si="14"/>
        <v>8</v>
      </c>
      <c r="N500" s="30" t="s">
        <v>4453</v>
      </c>
      <c r="R500">
        <v>499</v>
      </c>
      <c r="S500" t="s">
        <v>4454</v>
      </c>
      <c r="T500" t="s">
        <v>2279</v>
      </c>
      <c r="U500">
        <f t="shared" si="15"/>
        <v>8</v>
      </c>
      <c r="V500" s="30" t="s">
        <v>4455</v>
      </c>
    </row>
    <row r="501" spans="1:22">
      <c r="A501">
        <v>500</v>
      </c>
      <c r="C501" s="7" t="s">
        <v>1296</v>
      </c>
      <c r="D501" t="s">
        <v>29</v>
      </c>
      <c r="E501" t="e">
        <f>LEN(#REF!)</f>
        <v>#REF!</v>
      </c>
      <c r="F501" s="49" t="s">
        <v>4456</v>
      </c>
      <c r="K501" s="55" t="s">
        <v>4457</v>
      </c>
      <c r="M501">
        <f t="shared" si="14"/>
        <v>6</v>
      </c>
      <c r="N501" s="30" t="s">
        <v>4458</v>
      </c>
      <c r="R501">
        <v>500</v>
      </c>
      <c r="S501" t="s">
        <v>4459</v>
      </c>
      <c r="T501" t="s">
        <v>2279</v>
      </c>
      <c r="U501">
        <f t="shared" si="15"/>
        <v>8</v>
      </c>
      <c r="V501" s="30" t="s">
        <v>4460</v>
      </c>
    </row>
    <row r="502" spans="1:22">
      <c r="A502">
        <v>501</v>
      </c>
      <c r="C502" s="7" t="s">
        <v>4461</v>
      </c>
      <c r="D502" t="s">
        <v>29</v>
      </c>
      <c r="E502" t="e">
        <f>LEN(#REF!)</f>
        <v>#REF!</v>
      </c>
      <c r="F502" s="49" t="s">
        <v>4462</v>
      </c>
      <c r="K502" s="55" t="s">
        <v>4463</v>
      </c>
      <c r="M502">
        <f t="shared" si="14"/>
        <v>6</v>
      </c>
      <c r="N502" s="30" t="s">
        <v>4464</v>
      </c>
      <c r="R502">
        <v>501</v>
      </c>
      <c r="S502" t="s">
        <v>4465</v>
      </c>
      <c r="T502" t="s">
        <v>2279</v>
      </c>
      <c r="U502">
        <f t="shared" si="15"/>
        <v>8</v>
      </c>
      <c r="V502" s="30" t="s">
        <v>4466</v>
      </c>
    </row>
    <row r="503" spans="1:22">
      <c r="A503">
        <v>502</v>
      </c>
      <c r="C503" s="7" t="s">
        <v>1300</v>
      </c>
      <c r="D503" t="s">
        <v>29</v>
      </c>
      <c r="E503" t="e">
        <f>LEN(#REF!)</f>
        <v>#REF!</v>
      </c>
      <c r="F503" s="49" t="s">
        <v>4467</v>
      </c>
      <c r="K503" s="55" t="s">
        <v>4468</v>
      </c>
      <c r="M503">
        <f t="shared" si="14"/>
        <v>6</v>
      </c>
      <c r="N503" s="30" t="s">
        <v>4469</v>
      </c>
      <c r="R503">
        <v>502</v>
      </c>
      <c r="S503" t="s">
        <v>4470</v>
      </c>
      <c r="T503" t="s">
        <v>2279</v>
      </c>
      <c r="U503">
        <f t="shared" si="15"/>
        <v>8</v>
      </c>
      <c r="V503" s="30" t="s">
        <v>4471</v>
      </c>
    </row>
    <row r="504" spans="1:22">
      <c r="A504">
        <v>503</v>
      </c>
      <c r="C504" s="7" t="s">
        <v>1302</v>
      </c>
      <c r="D504" t="s">
        <v>29</v>
      </c>
      <c r="E504" t="e">
        <f>LEN(#REF!)</f>
        <v>#REF!</v>
      </c>
      <c r="F504" s="49" t="s">
        <v>4472</v>
      </c>
      <c r="K504" s="55" t="s">
        <v>4473</v>
      </c>
      <c r="M504">
        <f t="shared" si="14"/>
        <v>10</v>
      </c>
      <c r="N504" s="30" t="s">
        <v>4474</v>
      </c>
      <c r="R504">
        <v>503</v>
      </c>
      <c r="S504" t="s">
        <v>4475</v>
      </c>
      <c r="T504" t="s">
        <v>2279</v>
      </c>
      <c r="U504">
        <f t="shared" si="15"/>
        <v>8</v>
      </c>
      <c r="V504" s="30" t="s">
        <v>4476</v>
      </c>
    </row>
    <row r="505" spans="1:22">
      <c r="A505">
        <v>504</v>
      </c>
      <c r="C505" s="7" t="s">
        <v>1304</v>
      </c>
      <c r="D505" t="s">
        <v>29</v>
      </c>
      <c r="E505" t="e">
        <f>LEN(#REF!)</f>
        <v>#REF!</v>
      </c>
      <c r="F505" s="49" t="s">
        <v>4477</v>
      </c>
      <c r="K505" s="55" t="s">
        <v>4478</v>
      </c>
      <c r="M505">
        <f t="shared" si="14"/>
        <v>6</v>
      </c>
      <c r="N505" s="31" t="s">
        <v>4479</v>
      </c>
      <c r="R505">
        <v>504</v>
      </c>
      <c r="S505" t="s">
        <v>4480</v>
      </c>
      <c r="T505" t="s">
        <v>2279</v>
      </c>
      <c r="U505">
        <f t="shared" si="15"/>
        <v>9</v>
      </c>
      <c r="V505" s="30" t="s">
        <v>4481</v>
      </c>
    </row>
    <row r="506" spans="1:22">
      <c r="A506">
        <v>505</v>
      </c>
      <c r="C506" s="7" t="s">
        <v>1306</v>
      </c>
      <c r="D506" t="s">
        <v>29</v>
      </c>
      <c r="E506" t="e">
        <f>LEN(#REF!)</f>
        <v>#REF!</v>
      </c>
      <c r="F506" s="49" t="s">
        <v>4482</v>
      </c>
      <c r="K506" s="55" t="s">
        <v>4483</v>
      </c>
      <c r="M506">
        <f t="shared" si="14"/>
        <v>6</v>
      </c>
      <c r="N506" s="30" t="s">
        <v>4484</v>
      </c>
      <c r="R506">
        <v>505</v>
      </c>
      <c r="S506" t="s">
        <v>4485</v>
      </c>
      <c r="T506" t="s">
        <v>2279</v>
      </c>
      <c r="U506">
        <f t="shared" si="15"/>
        <v>15</v>
      </c>
      <c r="V506" s="30" t="s">
        <v>4486</v>
      </c>
    </row>
    <row r="507" spans="1:22">
      <c r="A507">
        <v>506</v>
      </c>
      <c r="C507" s="7" t="s">
        <v>1308</v>
      </c>
      <c r="D507" t="s">
        <v>29</v>
      </c>
      <c r="E507" t="e">
        <f>LEN(#REF!)</f>
        <v>#REF!</v>
      </c>
      <c r="F507" s="49" t="s">
        <v>4487</v>
      </c>
      <c r="K507" s="55">
        <v>147852</v>
      </c>
      <c r="M507">
        <f t="shared" si="14"/>
        <v>6</v>
      </c>
      <c r="N507" s="30" t="s">
        <v>4488</v>
      </c>
      <c r="R507">
        <v>506</v>
      </c>
      <c r="S507" t="s">
        <v>4489</v>
      </c>
      <c r="T507" t="s">
        <v>2279</v>
      </c>
      <c r="U507">
        <f t="shared" si="15"/>
        <v>12</v>
      </c>
      <c r="V507" s="30" t="s">
        <v>4490</v>
      </c>
    </row>
    <row r="508" spans="1:22">
      <c r="A508">
        <v>507</v>
      </c>
      <c r="C508" s="7" t="s">
        <v>1310</v>
      </c>
      <c r="D508" t="s">
        <v>29</v>
      </c>
      <c r="E508" t="e">
        <f>LEN(#REF!)</f>
        <v>#REF!</v>
      </c>
      <c r="F508" s="49" t="s">
        <v>4491</v>
      </c>
      <c r="K508" s="55" t="s">
        <v>4492</v>
      </c>
      <c r="M508">
        <f t="shared" si="14"/>
        <v>6</v>
      </c>
      <c r="N508" s="30" t="s">
        <v>4493</v>
      </c>
      <c r="R508">
        <v>507</v>
      </c>
      <c r="S508" t="s">
        <v>4494</v>
      </c>
      <c r="T508" t="s">
        <v>2279</v>
      </c>
      <c r="U508">
        <f t="shared" si="15"/>
        <v>13</v>
      </c>
      <c r="V508" s="31" t="s">
        <v>4495</v>
      </c>
    </row>
    <row r="509" spans="1:22">
      <c r="A509">
        <v>508</v>
      </c>
      <c r="C509" s="7" t="s">
        <v>1312</v>
      </c>
      <c r="D509" t="s">
        <v>29</v>
      </c>
      <c r="E509" t="e">
        <f>LEN(#REF!)</f>
        <v>#REF!</v>
      </c>
      <c r="F509" s="49" t="s">
        <v>4496</v>
      </c>
      <c r="K509" s="55" t="s">
        <v>4497</v>
      </c>
      <c r="M509">
        <f t="shared" si="14"/>
        <v>6</v>
      </c>
      <c r="N509" s="30" t="s">
        <v>4498</v>
      </c>
      <c r="R509">
        <v>508</v>
      </c>
      <c r="S509" t="s">
        <v>4499</v>
      </c>
      <c r="T509" t="s">
        <v>2279</v>
      </c>
      <c r="U509">
        <f t="shared" si="15"/>
        <v>10</v>
      </c>
      <c r="V509" s="30" t="s">
        <v>4500</v>
      </c>
    </row>
    <row r="510" spans="1:22">
      <c r="A510">
        <v>509</v>
      </c>
      <c r="C510" s="7" t="s">
        <v>1314</v>
      </c>
      <c r="D510" t="s">
        <v>29</v>
      </c>
      <c r="E510" t="e">
        <f>LEN(#REF!)</f>
        <v>#REF!</v>
      </c>
      <c r="F510" s="49" t="s">
        <v>4501</v>
      </c>
      <c r="K510" s="55" t="s">
        <v>4502</v>
      </c>
      <c r="M510">
        <f t="shared" si="14"/>
        <v>8</v>
      </c>
      <c r="N510" s="30" t="s">
        <v>4503</v>
      </c>
      <c r="R510">
        <v>509</v>
      </c>
      <c r="S510" t="s">
        <v>4504</v>
      </c>
      <c r="T510" t="s">
        <v>2279</v>
      </c>
      <c r="U510">
        <f t="shared" si="15"/>
        <v>13</v>
      </c>
      <c r="V510" s="30" t="s">
        <v>4505</v>
      </c>
    </row>
    <row r="511" spans="1:22">
      <c r="A511">
        <v>510</v>
      </c>
      <c r="C511" s="7" t="s">
        <v>1316</v>
      </c>
      <c r="D511" t="s">
        <v>29</v>
      </c>
      <c r="E511" t="e">
        <f>LEN(#REF!)</f>
        <v>#REF!</v>
      </c>
      <c r="F511" s="49" t="s">
        <v>4506</v>
      </c>
      <c r="K511" s="55" t="s">
        <v>4507</v>
      </c>
      <c r="M511">
        <f t="shared" si="14"/>
        <v>5</v>
      </c>
      <c r="N511" s="30" t="s">
        <v>4508</v>
      </c>
      <c r="R511">
        <v>510</v>
      </c>
      <c r="S511" t="s">
        <v>4509</v>
      </c>
      <c r="T511" t="s">
        <v>2279</v>
      </c>
      <c r="U511">
        <f t="shared" si="15"/>
        <v>14</v>
      </c>
      <c r="V511" s="30" t="s">
        <v>4510</v>
      </c>
    </row>
    <row r="512" spans="1:22">
      <c r="A512">
        <v>511</v>
      </c>
      <c r="C512" s="7" t="s">
        <v>1318</v>
      </c>
      <c r="D512" t="s">
        <v>29</v>
      </c>
      <c r="E512" t="e">
        <f>LEN(#REF!)</f>
        <v>#REF!</v>
      </c>
      <c r="F512" s="49" t="s">
        <v>4511</v>
      </c>
      <c r="K512" s="55" t="s">
        <v>4512</v>
      </c>
      <c r="M512">
        <f t="shared" si="14"/>
        <v>6</v>
      </c>
      <c r="N512" s="30" t="s">
        <v>4513</v>
      </c>
      <c r="R512">
        <v>511</v>
      </c>
      <c r="S512" t="s">
        <v>4514</v>
      </c>
      <c r="T512" t="s">
        <v>2279</v>
      </c>
      <c r="U512">
        <f t="shared" si="15"/>
        <v>8</v>
      </c>
      <c r="V512" s="30" t="s">
        <v>4515</v>
      </c>
    </row>
    <row r="513" spans="1:22">
      <c r="A513">
        <v>512</v>
      </c>
      <c r="C513" s="7" t="s">
        <v>1320</v>
      </c>
      <c r="D513" t="s">
        <v>29</v>
      </c>
      <c r="E513" t="e">
        <f>LEN(#REF!)</f>
        <v>#REF!</v>
      </c>
      <c r="F513" s="49" t="s">
        <v>4516</v>
      </c>
      <c r="K513" s="55" t="s">
        <v>4517</v>
      </c>
      <c r="M513">
        <f t="shared" si="14"/>
        <v>7</v>
      </c>
      <c r="N513" s="30" t="s">
        <v>4518</v>
      </c>
      <c r="R513">
        <v>512</v>
      </c>
      <c r="S513" t="s">
        <v>4519</v>
      </c>
      <c r="T513" t="s">
        <v>2279</v>
      </c>
      <c r="U513">
        <f t="shared" si="15"/>
        <v>14</v>
      </c>
      <c r="V513" s="30" t="s">
        <v>4520</v>
      </c>
    </row>
    <row r="514" spans="1:22">
      <c r="A514">
        <v>513</v>
      </c>
      <c r="C514" s="7" t="s">
        <v>1322</v>
      </c>
      <c r="D514" t="s">
        <v>29</v>
      </c>
      <c r="E514" t="e">
        <f>LEN(#REF!)</f>
        <v>#REF!</v>
      </c>
      <c r="F514" s="49" t="s">
        <v>4521</v>
      </c>
      <c r="K514" s="55" t="s">
        <v>4522</v>
      </c>
      <c r="M514">
        <f t="shared" si="14"/>
        <v>6</v>
      </c>
      <c r="N514" s="30" t="s">
        <v>4523</v>
      </c>
      <c r="R514">
        <v>513</v>
      </c>
      <c r="S514" t="s">
        <v>4524</v>
      </c>
      <c r="T514" t="s">
        <v>2279</v>
      </c>
      <c r="U514">
        <f t="shared" si="15"/>
        <v>8</v>
      </c>
      <c r="V514" s="30" t="s">
        <v>4525</v>
      </c>
    </row>
    <row r="515" spans="1:22">
      <c r="A515">
        <v>514</v>
      </c>
      <c r="C515" s="7" t="s">
        <v>1324</v>
      </c>
      <c r="D515" t="s">
        <v>29</v>
      </c>
      <c r="E515" t="e">
        <f>LEN(#REF!)</f>
        <v>#REF!</v>
      </c>
      <c r="F515" s="49" t="s">
        <v>4526</v>
      </c>
      <c r="K515" s="55">
        <v>444444</v>
      </c>
      <c r="M515">
        <f t="shared" ref="M515:M578" si="16">LEN(K515)</f>
        <v>6</v>
      </c>
      <c r="N515" s="30" t="s">
        <v>4527</v>
      </c>
      <c r="R515">
        <v>514</v>
      </c>
      <c r="S515" t="s">
        <v>4528</v>
      </c>
      <c r="T515" t="s">
        <v>2279</v>
      </c>
      <c r="U515">
        <f t="shared" ref="U515:U578" si="17">LEN(S515)</f>
        <v>14</v>
      </c>
      <c r="V515" s="30" t="s">
        <v>4529</v>
      </c>
    </row>
    <row r="516" spans="1:22">
      <c r="A516">
        <v>515</v>
      </c>
      <c r="C516" s="7" t="s">
        <v>1326</v>
      </c>
      <c r="D516" t="s">
        <v>29</v>
      </c>
      <c r="E516" t="e">
        <f>LEN(#REF!)</f>
        <v>#REF!</v>
      </c>
      <c r="F516" s="49" t="s">
        <v>4530</v>
      </c>
      <c r="K516" s="55" t="s">
        <v>4531</v>
      </c>
      <c r="M516">
        <f t="shared" si="16"/>
        <v>6</v>
      </c>
      <c r="N516" s="30" t="s">
        <v>4532</v>
      </c>
      <c r="R516">
        <v>515</v>
      </c>
      <c r="S516" t="s">
        <v>4533</v>
      </c>
      <c r="T516" t="s">
        <v>2279</v>
      </c>
      <c r="U516">
        <f t="shared" si="17"/>
        <v>11</v>
      </c>
      <c r="V516" s="30" t="s">
        <v>4534</v>
      </c>
    </row>
    <row r="517" spans="1:22">
      <c r="A517">
        <v>516</v>
      </c>
      <c r="C517" s="7" t="s">
        <v>1328</v>
      </c>
      <c r="D517" t="s">
        <v>29</v>
      </c>
      <c r="E517" t="e">
        <f>LEN(#REF!)</f>
        <v>#REF!</v>
      </c>
      <c r="F517" s="49" t="s">
        <v>4535</v>
      </c>
      <c r="K517" s="55" t="s">
        <v>4536</v>
      </c>
      <c r="M517">
        <f t="shared" si="16"/>
        <v>6</v>
      </c>
      <c r="N517" s="30" t="s">
        <v>4537</v>
      </c>
      <c r="R517">
        <v>516</v>
      </c>
      <c r="S517" t="s">
        <v>4538</v>
      </c>
      <c r="T517" t="s">
        <v>2279</v>
      </c>
      <c r="U517">
        <f t="shared" si="17"/>
        <v>8</v>
      </c>
      <c r="V517" s="30" t="s">
        <v>4539</v>
      </c>
    </row>
    <row r="518" spans="1:22">
      <c r="A518">
        <v>517</v>
      </c>
      <c r="C518" s="7" t="s">
        <v>1330</v>
      </c>
      <c r="D518" t="s">
        <v>29</v>
      </c>
      <c r="E518" t="e">
        <f>LEN(#REF!)</f>
        <v>#REF!</v>
      </c>
      <c r="F518" s="49" t="s">
        <v>4540</v>
      </c>
      <c r="K518" s="55" t="s">
        <v>4541</v>
      </c>
      <c r="M518">
        <f t="shared" si="16"/>
        <v>6</v>
      </c>
      <c r="N518" s="30" t="s">
        <v>4542</v>
      </c>
      <c r="R518">
        <v>517</v>
      </c>
      <c r="S518" t="s">
        <v>4543</v>
      </c>
      <c r="T518" t="s">
        <v>2279</v>
      </c>
      <c r="U518">
        <f t="shared" si="17"/>
        <v>14</v>
      </c>
      <c r="V518" s="30" t="s">
        <v>4544</v>
      </c>
    </row>
    <row r="519" spans="1:22">
      <c r="A519">
        <v>518</v>
      </c>
      <c r="C519" s="7" t="s">
        <v>1332</v>
      </c>
      <c r="D519" t="s">
        <v>29</v>
      </c>
      <c r="E519" t="e">
        <f>LEN(#REF!)</f>
        <v>#REF!</v>
      </c>
      <c r="F519" s="49" t="s">
        <v>4545</v>
      </c>
      <c r="K519" s="55" t="s">
        <v>4546</v>
      </c>
      <c r="M519">
        <f t="shared" si="16"/>
        <v>7</v>
      </c>
      <c r="N519" s="30" t="s">
        <v>4547</v>
      </c>
      <c r="R519">
        <v>518</v>
      </c>
      <c r="S519" t="s">
        <v>4548</v>
      </c>
      <c r="T519" t="s">
        <v>2279</v>
      </c>
      <c r="U519">
        <f t="shared" si="17"/>
        <v>9</v>
      </c>
      <c r="V519" s="30" t="s">
        <v>4549</v>
      </c>
    </row>
    <row r="520" spans="1:22">
      <c r="A520">
        <v>519</v>
      </c>
      <c r="C520" s="7" t="s">
        <v>1334</v>
      </c>
      <c r="D520" t="s">
        <v>29</v>
      </c>
      <c r="E520" t="e">
        <f>LEN(#REF!)</f>
        <v>#REF!</v>
      </c>
      <c r="F520" s="49" t="s">
        <v>4550</v>
      </c>
      <c r="K520" s="55" t="s">
        <v>4551</v>
      </c>
      <c r="M520">
        <f t="shared" si="16"/>
        <v>6</v>
      </c>
      <c r="N520" s="30" t="s">
        <v>4552</v>
      </c>
      <c r="R520">
        <v>519</v>
      </c>
      <c r="S520" t="s">
        <v>4553</v>
      </c>
      <c r="T520" t="s">
        <v>2279</v>
      </c>
      <c r="U520">
        <f t="shared" si="17"/>
        <v>8</v>
      </c>
      <c r="V520" s="30" t="s">
        <v>4554</v>
      </c>
    </row>
    <row r="521" spans="1:22">
      <c r="A521">
        <v>520</v>
      </c>
      <c r="C521" s="7" t="s">
        <v>1336</v>
      </c>
      <c r="D521" t="s">
        <v>29</v>
      </c>
      <c r="E521" t="e">
        <f>LEN(#REF!)</f>
        <v>#REF!</v>
      </c>
      <c r="F521" s="49" t="s">
        <v>4555</v>
      </c>
      <c r="K521" s="55" t="s">
        <v>4556</v>
      </c>
      <c r="M521">
        <f t="shared" si="16"/>
        <v>7</v>
      </c>
      <c r="N521" s="30" t="s">
        <v>4557</v>
      </c>
      <c r="R521">
        <v>520</v>
      </c>
      <c r="S521" t="s">
        <v>4558</v>
      </c>
      <c r="T521" t="s">
        <v>2279</v>
      </c>
      <c r="U521">
        <f t="shared" si="17"/>
        <v>8</v>
      </c>
      <c r="V521" s="30" t="s">
        <v>4559</v>
      </c>
    </row>
    <row r="522" spans="1:22">
      <c r="A522">
        <v>521</v>
      </c>
      <c r="C522" s="7" t="s">
        <v>1338</v>
      </c>
      <c r="D522" t="s">
        <v>29</v>
      </c>
      <c r="E522" t="e">
        <f>LEN(#REF!)</f>
        <v>#REF!</v>
      </c>
      <c r="F522" s="49" t="s">
        <v>4560</v>
      </c>
      <c r="K522" s="55" t="s">
        <v>4561</v>
      </c>
      <c r="M522">
        <f t="shared" si="16"/>
        <v>7</v>
      </c>
      <c r="N522" s="30" t="s">
        <v>4562</v>
      </c>
      <c r="R522">
        <v>521</v>
      </c>
      <c r="S522" t="s">
        <v>4563</v>
      </c>
      <c r="T522" t="s">
        <v>2279</v>
      </c>
      <c r="U522">
        <f t="shared" si="17"/>
        <v>16</v>
      </c>
      <c r="V522" s="30" t="s">
        <v>4564</v>
      </c>
    </row>
    <row r="523" spans="1:22">
      <c r="A523">
        <v>522</v>
      </c>
      <c r="C523" s="7" t="s">
        <v>1340</v>
      </c>
      <c r="D523" t="s">
        <v>29</v>
      </c>
      <c r="E523" t="e">
        <f>LEN(#REF!)</f>
        <v>#REF!</v>
      </c>
      <c r="F523" s="49" t="s">
        <v>4565</v>
      </c>
      <c r="K523" s="55" t="s">
        <v>4566</v>
      </c>
      <c r="M523">
        <f t="shared" si="16"/>
        <v>6</v>
      </c>
      <c r="N523" s="30" t="s">
        <v>4567</v>
      </c>
      <c r="R523">
        <v>522</v>
      </c>
      <c r="S523" t="s">
        <v>4568</v>
      </c>
      <c r="T523" t="s">
        <v>2279</v>
      </c>
      <c r="U523">
        <f t="shared" si="17"/>
        <v>9</v>
      </c>
      <c r="V523" s="30" t="s">
        <v>4569</v>
      </c>
    </row>
    <row r="524" spans="1:22">
      <c r="A524">
        <v>523</v>
      </c>
      <c r="C524" s="7" t="s">
        <v>1342</v>
      </c>
      <c r="D524" t="s">
        <v>29</v>
      </c>
      <c r="E524" t="e">
        <f>LEN(#REF!)</f>
        <v>#REF!</v>
      </c>
      <c r="F524" s="49" t="s">
        <v>4570</v>
      </c>
      <c r="K524" s="55" t="s">
        <v>4571</v>
      </c>
      <c r="M524">
        <f t="shared" si="16"/>
        <v>6</v>
      </c>
      <c r="N524" s="30" t="s">
        <v>4572</v>
      </c>
      <c r="R524">
        <v>523</v>
      </c>
      <c r="S524" t="s">
        <v>4573</v>
      </c>
      <c r="T524" t="s">
        <v>2279</v>
      </c>
      <c r="U524">
        <f t="shared" si="17"/>
        <v>12</v>
      </c>
      <c r="V524" s="30" t="s">
        <v>4574</v>
      </c>
    </row>
    <row r="525" spans="1:22">
      <c r="A525">
        <v>524</v>
      </c>
      <c r="C525" s="7" t="s">
        <v>1344</v>
      </c>
      <c r="D525" t="s">
        <v>29</v>
      </c>
      <c r="E525" t="e">
        <f>LEN(#REF!)</f>
        <v>#REF!</v>
      </c>
      <c r="F525" s="49" t="s">
        <v>4575</v>
      </c>
      <c r="K525" s="55" t="s">
        <v>4576</v>
      </c>
      <c r="M525">
        <f t="shared" si="16"/>
        <v>6</v>
      </c>
      <c r="N525" s="30" t="s">
        <v>4577</v>
      </c>
      <c r="R525">
        <v>524</v>
      </c>
      <c r="S525" t="s">
        <v>4578</v>
      </c>
      <c r="T525" t="s">
        <v>2279</v>
      </c>
      <c r="U525">
        <f t="shared" si="17"/>
        <v>8</v>
      </c>
      <c r="V525" s="30" t="s">
        <v>4579</v>
      </c>
    </row>
    <row r="526" spans="1:22">
      <c r="A526">
        <v>525</v>
      </c>
      <c r="C526" s="7" t="s">
        <v>1346</v>
      </c>
      <c r="D526" t="s">
        <v>29</v>
      </c>
      <c r="E526" t="e">
        <f>LEN(#REF!)</f>
        <v>#REF!</v>
      </c>
      <c r="F526" s="49" t="s">
        <v>4580</v>
      </c>
      <c r="K526" s="55">
        <v>54321</v>
      </c>
      <c r="M526">
        <f t="shared" si="16"/>
        <v>5</v>
      </c>
      <c r="N526" s="30" t="s">
        <v>4581</v>
      </c>
      <c r="R526">
        <v>525</v>
      </c>
      <c r="S526" t="s">
        <v>4582</v>
      </c>
      <c r="T526" t="s">
        <v>2279</v>
      </c>
      <c r="U526">
        <f t="shared" si="17"/>
        <v>11</v>
      </c>
      <c r="V526" s="30" t="s">
        <v>4583</v>
      </c>
    </row>
    <row r="527" spans="1:22">
      <c r="A527">
        <v>526</v>
      </c>
      <c r="C527" s="7" t="s">
        <v>4584</v>
      </c>
      <c r="D527" t="s">
        <v>29</v>
      </c>
      <c r="E527" t="e">
        <f>LEN(#REF!)</f>
        <v>#REF!</v>
      </c>
      <c r="F527" s="49" t="s">
        <v>4585</v>
      </c>
      <c r="K527" s="55" t="s">
        <v>4586</v>
      </c>
      <c r="M527">
        <f t="shared" si="16"/>
        <v>7</v>
      </c>
      <c r="N527" s="30" t="s">
        <v>4587</v>
      </c>
      <c r="R527">
        <v>526</v>
      </c>
      <c r="S527" t="s">
        <v>4588</v>
      </c>
      <c r="T527" t="s">
        <v>2279</v>
      </c>
      <c r="U527">
        <f t="shared" si="17"/>
        <v>9</v>
      </c>
      <c r="V527" s="30" t="s">
        <v>4589</v>
      </c>
    </row>
    <row r="528" spans="1:22">
      <c r="A528">
        <v>527</v>
      </c>
      <c r="C528" s="7" t="s">
        <v>1350</v>
      </c>
      <c r="D528" t="s">
        <v>29</v>
      </c>
      <c r="E528" t="e">
        <f>LEN(#REF!)</f>
        <v>#REF!</v>
      </c>
      <c r="F528" s="49" t="s">
        <v>4590</v>
      </c>
      <c r="K528" s="55" t="s">
        <v>4591</v>
      </c>
      <c r="M528">
        <f t="shared" si="16"/>
        <v>7</v>
      </c>
      <c r="N528" s="30" t="s">
        <v>4592</v>
      </c>
      <c r="R528">
        <v>527</v>
      </c>
      <c r="S528" t="s">
        <v>4593</v>
      </c>
      <c r="T528" t="s">
        <v>2279</v>
      </c>
      <c r="U528">
        <f t="shared" si="17"/>
        <v>8</v>
      </c>
      <c r="V528" s="30" t="s">
        <v>4594</v>
      </c>
    </row>
    <row r="529" spans="1:22">
      <c r="A529">
        <v>528</v>
      </c>
      <c r="C529" s="7" t="s">
        <v>1352</v>
      </c>
      <c r="D529" t="s">
        <v>29</v>
      </c>
      <c r="E529" t="e">
        <f>LEN(#REF!)</f>
        <v>#REF!</v>
      </c>
      <c r="F529" s="49" t="s">
        <v>4595</v>
      </c>
      <c r="K529" s="55" t="s">
        <v>4596</v>
      </c>
      <c r="M529">
        <f t="shared" si="16"/>
        <v>6</v>
      </c>
      <c r="N529" s="30" t="s">
        <v>4597</v>
      </c>
      <c r="R529">
        <v>528</v>
      </c>
      <c r="S529" t="s">
        <v>4598</v>
      </c>
      <c r="T529" t="s">
        <v>2279</v>
      </c>
      <c r="U529">
        <f t="shared" si="17"/>
        <v>10</v>
      </c>
      <c r="V529" s="30" t="s">
        <v>4599</v>
      </c>
    </row>
    <row r="530" spans="1:22">
      <c r="A530">
        <v>529</v>
      </c>
      <c r="C530" s="7" t="s">
        <v>1354</v>
      </c>
      <c r="D530" t="s">
        <v>29</v>
      </c>
      <c r="E530" t="e">
        <f>LEN(#REF!)</f>
        <v>#REF!</v>
      </c>
      <c r="F530" s="49" t="s">
        <v>4600</v>
      </c>
      <c r="K530" s="55" t="s">
        <v>4601</v>
      </c>
      <c r="M530">
        <f t="shared" si="16"/>
        <v>10</v>
      </c>
      <c r="N530" s="30" t="s">
        <v>4602</v>
      </c>
      <c r="R530">
        <v>529</v>
      </c>
      <c r="S530" t="s">
        <v>4603</v>
      </c>
      <c r="T530" t="s">
        <v>2279</v>
      </c>
      <c r="U530">
        <f t="shared" si="17"/>
        <v>8</v>
      </c>
      <c r="V530" s="30" t="s">
        <v>4604</v>
      </c>
    </row>
    <row r="531" spans="1:22">
      <c r="A531">
        <v>530</v>
      </c>
      <c r="C531" s="7" t="s">
        <v>1356</v>
      </c>
      <c r="D531" t="s">
        <v>29</v>
      </c>
      <c r="E531" t="e">
        <f>LEN(#REF!)</f>
        <v>#REF!</v>
      </c>
      <c r="F531" s="49" t="s">
        <v>4605</v>
      </c>
      <c r="K531" s="55" t="s">
        <v>4606</v>
      </c>
      <c r="M531">
        <f t="shared" si="16"/>
        <v>7</v>
      </c>
      <c r="N531" s="30" t="s">
        <v>4607</v>
      </c>
      <c r="R531">
        <v>530</v>
      </c>
      <c r="S531" t="s">
        <v>4608</v>
      </c>
      <c r="T531" t="s">
        <v>2279</v>
      </c>
      <c r="U531">
        <f t="shared" si="17"/>
        <v>8</v>
      </c>
      <c r="V531" s="30" t="s">
        <v>4609</v>
      </c>
    </row>
    <row r="532" spans="1:22">
      <c r="A532">
        <v>531</v>
      </c>
      <c r="C532" s="7" t="s">
        <v>1358</v>
      </c>
      <c r="D532" t="s">
        <v>29</v>
      </c>
      <c r="E532" t="e">
        <f>LEN(#REF!)</f>
        <v>#REF!</v>
      </c>
      <c r="F532" s="49" t="s">
        <v>4610</v>
      </c>
      <c r="K532" s="55" t="s">
        <v>4611</v>
      </c>
      <c r="M532">
        <f t="shared" si="16"/>
        <v>7</v>
      </c>
      <c r="N532" s="30" t="s">
        <v>4612</v>
      </c>
      <c r="R532">
        <v>531</v>
      </c>
      <c r="S532" t="s">
        <v>4613</v>
      </c>
      <c r="T532" t="s">
        <v>2279</v>
      </c>
      <c r="U532">
        <f t="shared" si="17"/>
        <v>11</v>
      </c>
      <c r="V532" s="30" t="s">
        <v>4614</v>
      </c>
    </row>
    <row r="533" spans="1:22">
      <c r="A533">
        <v>532</v>
      </c>
      <c r="C533" s="7" t="s">
        <v>1360</v>
      </c>
      <c r="D533" t="s">
        <v>29</v>
      </c>
      <c r="E533" t="e">
        <f>LEN(#REF!)</f>
        <v>#REF!</v>
      </c>
      <c r="F533" s="49" t="s">
        <v>4615</v>
      </c>
      <c r="K533" s="55">
        <v>456123</v>
      </c>
      <c r="M533">
        <f t="shared" si="16"/>
        <v>6</v>
      </c>
      <c r="N533" s="30" t="s">
        <v>4616</v>
      </c>
      <c r="R533">
        <v>532</v>
      </c>
      <c r="S533" t="s">
        <v>4617</v>
      </c>
      <c r="T533" t="s">
        <v>2279</v>
      </c>
      <c r="U533">
        <f t="shared" si="17"/>
        <v>10</v>
      </c>
      <c r="V533" s="30" t="s">
        <v>4618</v>
      </c>
    </row>
    <row r="534" spans="1:22">
      <c r="A534">
        <v>533</v>
      </c>
      <c r="C534" s="7" t="s">
        <v>1362</v>
      </c>
      <c r="D534" t="s">
        <v>29</v>
      </c>
      <c r="E534" t="e">
        <f>LEN(#REF!)</f>
        <v>#REF!</v>
      </c>
      <c r="F534" s="49" t="s">
        <v>4619</v>
      </c>
      <c r="K534" s="55" t="s">
        <v>4620</v>
      </c>
      <c r="M534">
        <f t="shared" si="16"/>
        <v>6</v>
      </c>
      <c r="N534" s="30" t="s">
        <v>4621</v>
      </c>
      <c r="R534">
        <v>533</v>
      </c>
      <c r="S534" t="s">
        <v>4622</v>
      </c>
      <c r="T534" t="s">
        <v>2279</v>
      </c>
      <c r="U534">
        <f t="shared" si="17"/>
        <v>8</v>
      </c>
      <c r="V534" s="30" t="s">
        <v>4623</v>
      </c>
    </row>
    <row r="535" spans="1:22">
      <c r="A535">
        <v>534</v>
      </c>
      <c r="C535" s="7" t="s">
        <v>1364</v>
      </c>
      <c r="D535" t="s">
        <v>29</v>
      </c>
      <c r="E535" t="e">
        <f>LEN(#REF!)</f>
        <v>#REF!</v>
      </c>
      <c r="F535" s="49" t="s">
        <v>4624</v>
      </c>
      <c r="K535" s="55" t="s">
        <v>4625</v>
      </c>
      <c r="M535">
        <f t="shared" si="16"/>
        <v>6</v>
      </c>
      <c r="N535" s="30" t="s">
        <v>4626</v>
      </c>
      <c r="R535">
        <v>534</v>
      </c>
      <c r="S535" t="s">
        <v>4627</v>
      </c>
      <c r="T535" t="s">
        <v>2279</v>
      </c>
      <c r="U535">
        <f t="shared" si="17"/>
        <v>9</v>
      </c>
      <c r="V535" s="30" t="s">
        <v>4628</v>
      </c>
    </row>
    <row r="536" spans="1:22">
      <c r="A536">
        <v>535</v>
      </c>
      <c r="C536" s="7" t="s">
        <v>1366</v>
      </c>
      <c r="D536" t="s">
        <v>29</v>
      </c>
      <c r="E536" t="e">
        <f>LEN(#REF!)</f>
        <v>#REF!</v>
      </c>
      <c r="F536" s="49" t="s">
        <v>4629</v>
      </c>
      <c r="K536" s="55" t="s">
        <v>4630</v>
      </c>
      <c r="M536">
        <f t="shared" si="16"/>
        <v>5</v>
      </c>
      <c r="N536" s="30" t="s">
        <v>4631</v>
      </c>
      <c r="R536">
        <v>535</v>
      </c>
      <c r="S536" t="s">
        <v>4632</v>
      </c>
      <c r="T536" t="s">
        <v>2279</v>
      </c>
      <c r="U536">
        <f t="shared" si="17"/>
        <v>8</v>
      </c>
      <c r="V536" s="30" t="s">
        <v>4633</v>
      </c>
    </row>
    <row r="537" spans="1:22">
      <c r="A537">
        <v>536</v>
      </c>
      <c r="C537" s="7" t="s">
        <v>1368</v>
      </c>
      <c r="D537" t="s">
        <v>29</v>
      </c>
      <c r="E537" t="e">
        <f>LEN(#REF!)</f>
        <v>#REF!</v>
      </c>
      <c r="F537" s="49" t="s">
        <v>4634</v>
      </c>
      <c r="K537" s="55" t="s">
        <v>4635</v>
      </c>
      <c r="M537">
        <f t="shared" si="16"/>
        <v>7</v>
      </c>
      <c r="N537" s="30" t="s">
        <v>4636</v>
      </c>
      <c r="R537">
        <v>536</v>
      </c>
      <c r="S537" t="s">
        <v>4637</v>
      </c>
      <c r="T537" t="s">
        <v>2279</v>
      </c>
      <c r="U537">
        <f t="shared" si="17"/>
        <v>9</v>
      </c>
      <c r="V537" s="30" t="s">
        <v>4638</v>
      </c>
    </row>
    <row r="538" spans="1:22">
      <c r="A538">
        <v>537</v>
      </c>
      <c r="C538" s="7" t="s">
        <v>1230</v>
      </c>
      <c r="D538" t="s">
        <v>29</v>
      </c>
      <c r="E538" t="e">
        <f>LEN(#REF!)</f>
        <v>#REF!</v>
      </c>
      <c r="F538" s="49" t="s">
        <v>4290</v>
      </c>
      <c r="K538" s="55" t="s">
        <v>4639</v>
      </c>
      <c r="M538">
        <f t="shared" si="16"/>
        <v>5</v>
      </c>
      <c r="N538" s="30" t="s">
        <v>4640</v>
      </c>
      <c r="R538">
        <v>537</v>
      </c>
      <c r="S538" t="s">
        <v>4641</v>
      </c>
      <c r="T538" t="s">
        <v>2279</v>
      </c>
      <c r="U538">
        <f t="shared" si="17"/>
        <v>8</v>
      </c>
      <c r="V538" s="30" t="s">
        <v>4642</v>
      </c>
    </row>
    <row r="539" spans="1:22">
      <c r="A539">
        <v>538</v>
      </c>
      <c r="C539" s="7" t="s">
        <v>1370</v>
      </c>
      <c r="D539" t="s">
        <v>29</v>
      </c>
      <c r="E539" t="e">
        <f>LEN(#REF!)</f>
        <v>#REF!</v>
      </c>
      <c r="F539" s="49" t="s">
        <v>4643</v>
      </c>
      <c r="K539" s="55">
        <v>102030</v>
      </c>
      <c r="M539">
        <f t="shared" si="16"/>
        <v>6</v>
      </c>
      <c r="N539" s="30" t="s">
        <v>4644</v>
      </c>
      <c r="R539">
        <v>538</v>
      </c>
      <c r="S539" t="s">
        <v>4645</v>
      </c>
      <c r="T539" t="s">
        <v>2279</v>
      </c>
      <c r="U539">
        <f t="shared" si="17"/>
        <v>8</v>
      </c>
      <c r="V539" s="30" t="s">
        <v>4646</v>
      </c>
    </row>
    <row r="540" spans="1:22">
      <c r="A540">
        <v>539</v>
      </c>
      <c r="C540" s="7" t="s">
        <v>1372</v>
      </c>
      <c r="D540" t="s">
        <v>29</v>
      </c>
      <c r="E540" t="e">
        <f>LEN(#REF!)</f>
        <v>#REF!</v>
      </c>
      <c r="F540" s="49" t="s">
        <v>4647</v>
      </c>
      <c r="K540" s="55" t="s">
        <v>4648</v>
      </c>
      <c r="M540">
        <f t="shared" si="16"/>
        <v>6</v>
      </c>
      <c r="N540" s="30" t="s">
        <v>4649</v>
      </c>
      <c r="R540">
        <v>539</v>
      </c>
      <c r="S540" t="s">
        <v>4650</v>
      </c>
      <c r="T540" t="s">
        <v>2279</v>
      </c>
      <c r="U540">
        <f t="shared" si="17"/>
        <v>9</v>
      </c>
      <c r="V540" s="30" t="s">
        <v>4651</v>
      </c>
    </row>
    <row r="541" spans="1:22">
      <c r="A541">
        <v>540</v>
      </c>
      <c r="C541" s="7" t="s">
        <v>1374</v>
      </c>
      <c r="D541" t="s">
        <v>29</v>
      </c>
      <c r="E541" t="e">
        <f>LEN(#REF!)</f>
        <v>#REF!</v>
      </c>
      <c r="F541" s="49" t="s">
        <v>4652</v>
      </c>
      <c r="K541" s="55" t="s">
        <v>4653</v>
      </c>
      <c r="M541">
        <f t="shared" si="16"/>
        <v>8</v>
      </c>
      <c r="N541" s="30" t="s">
        <v>4654</v>
      </c>
      <c r="R541">
        <v>540</v>
      </c>
      <c r="S541" t="s">
        <v>4655</v>
      </c>
      <c r="T541" t="s">
        <v>2279</v>
      </c>
      <c r="U541">
        <f t="shared" si="17"/>
        <v>9</v>
      </c>
      <c r="V541" s="30" t="s">
        <v>4656</v>
      </c>
    </row>
    <row r="542" spans="1:22">
      <c r="A542">
        <v>541</v>
      </c>
      <c r="C542" s="7" t="s">
        <v>1376</v>
      </c>
      <c r="D542" t="s">
        <v>29</v>
      </c>
      <c r="E542" t="e">
        <f>LEN(#REF!)</f>
        <v>#REF!</v>
      </c>
      <c r="F542" s="49" t="s">
        <v>4657</v>
      </c>
      <c r="K542" s="55" t="s">
        <v>4658</v>
      </c>
      <c r="M542">
        <f t="shared" si="16"/>
        <v>7</v>
      </c>
      <c r="N542" s="30" t="s">
        <v>4659</v>
      </c>
      <c r="R542">
        <v>541</v>
      </c>
      <c r="S542" t="s">
        <v>4660</v>
      </c>
      <c r="T542" t="s">
        <v>2279</v>
      </c>
      <c r="U542">
        <f t="shared" si="17"/>
        <v>8</v>
      </c>
      <c r="V542" s="30" t="s">
        <v>4661</v>
      </c>
    </row>
    <row r="543" spans="1:22">
      <c r="A543">
        <v>542</v>
      </c>
      <c r="C543" s="7" t="s">
        <v>1378</v>
      </c>
      <c r="D543" t="s">
        <v>29</v>
      </c>
      <c r="E543" t="e">
        <f>LEN(#REF!)</f>
        <v>#REF!</v>
      </c>
      <c r="F543" s="49" t="s">
        <v>4662</v>
      </c>
      <c r="K543" s="55" t="s">
        <v>4663</v>
      </c>
      <c r="M543">
        <f t="shared" si="16"/>
        <v>6</v>
      </c>
      <c r="N543" s="30" t="s">
        <v>4664</v>
      </c>
      <c r="R543">
        <v>542</v>
      </c>
      <c r="S543" t="s">
        <v>4665</v>
      </c>
      <c r="T543" t="s">
        <v>2279</v>
      </c>
      <c r="U543">
        <f t="shared" si="17"/>
        <v>8</v>
      </c>
      <c r="V543" s="30" t="s">
        <v>4666</v>
      </c>
    </row>
    <row r="544" spans="1:22">
      <c r="A544">
        <v>543</v>
      </c>
      <c r="C544" s="7" t="s">
        <v>1262</v>
      </c>
      <c r="D544" t="s">
        <v>29</v>
      </c>
      <c r="E544" t="e">
        <f>LEN(#REF!)</f>
        <v>#REF!</v>
      </c>
      <c r="F544" s="49" t="s">
        <v>4370</v>
      </c>
      <c r="K544" s="55" t="s">
        <v>4667</v>
      </c>
      <c r="M544">
        <f t="shared" si="16"/>
        <v>6</v>
      </c>
      <c r="N544" s="30" t="s">
        <v>4668</v>
      </c>
      <c r="R544">
        <v>543</v>
      </c>
      <c r="S544" t="s">
        <v>4669</v>
      </c>
      <c r="T544" t="s">
        <v>2279</v>
      </c>
      <c r="U544">
        <f t="shared" si="17"/>
        <v>8</v>
      </c>
      <c r="V544" s="30" t="s">
        <v>4670</v>
      </c>
    </row>
    <row r="545" spans="1:22">
      <c r="A545">
        <v>544</v>
      </c>
      <c r="C545" s="7" t="s">
        <v>1380</v>
      </c>
      <c r="D545" t="s">
        <v>29</v>
      </c>
      <c r="E545" t="e">
        <f>LEN(#REF!)</f>
        <v>#REF!</v>
      </c>
      <c r="F545" s="49" t="s">
        <v>4671</v>
      </c>
      <c r="K545" s="55" t="s">
        <v>4672</v>
      </c>
      <c r="M545">
        <f t="shared" si="16"/>
        <v>7</v>
      </c>
      <c r="N545" s="30" t="s">
        <v>4673</v>
      </c>
      <c r="R545">
        <v>544</v>
      </c>
      <c r="S545" t="s">
        <v>4674</v>
      </c>
      <c r="T545" t="s">
        <v>2279</v>
      </c>
      <c r="U545">
        <f t="shared" si="17"/>
        <v>9</v>
      </c>
      <c r="V545" s="30" t="s">
        <v>4675</v>
      </c>
    </row>
    <row r="546" spans="1:22">
      <c r="A546">
        <v>545</v>
      </c>
      <c r="C546" s="7" t="s">
        <v>1382</v>
      </c>
      <c r="D546" t="s">
        <v>29</v>
      </c>
      <c r="E546" t="e">
        <f>LEN(#REF!)</f>
        <v>#REF!</v>
      </c>
      <c r="F546" s="49" t="s">
        <v>4676</v>
      </c>
      <c r="K546" s="55" t="s">
        <v>4677</v>
      </c>
      <c r="M546">
        <f t="shared" si="16"/>
        <v>6</v>
      </c>
      <c r="N546" s="30" t="s">
        <v>4678</v>
      </c>
      <c r="R546">
        <v>545</v>
      </c>
      <c r="S546" t="s">
        <v>4679</v>
      </c>
      <c r="T546" t="s">
        <v>2279</v>
      </c>
      <c r="U546">
        <f t="shared" si="17"/>
        <v>12</v>
      </c>
      <c r="V546" s="30" t="s">
        <v>4680</v>
      </c>
    </row>
    <row r="547" spans="1:22">
      <c r="A547">
        <v>546</v>
      </c>
      <c r="C547" s="7" t="s">
        <v>1384</v>
      </c>
      <c r="D547" t="s">
        <v>29</v>
      </c>
      <c r="E547" t="e">
        <f>LEN(#REF!)</f>
        <v>#REF!</v>
      </c>
      <c r="F547" s="49" t="s">
        <v>4681</v>
      </c>
      <c r="K547" s="55" t="s">
        <v>4682</v>
      </c>
      <c r="M547">
        <f t="shared" si="16"/>
        <v>6</v>
      </c>
      <c r="N547" s="30" t="s">
        <v>4683</v>
      </c>
      <c r="R547">
        <v>546</v>
      </c>
      <c r="S547" t="s">
        <v>4684</v>
      </c>
      <c r="T547" t="s">
        <v>2279</v>
      </c>
      <c r="U547">
        <f t="shared" si="17"/>
        <v>12</v>
      </c>
      <c r="V547" s="30" t="s">
        <v>4685</v>
      </c>
    </row>
    <row r="548" spans="1:22">
      <c r="A548">
        <v>547</v>
      </c>
      <c r="C548" s="7" t="s">
        <v>1386</v>
      </c>
      <c r="D548" t="s">
        <v>29</v>
      </c>
      <c r="E548" t="e">
        <f>LEN(#REF!)</f>
        <v>#REF!</v>
      </c>
      <c r="F548" s="49" t="s">
        <v>4686</v>
      </c>
      <c r="K548" s="55" t="s">
        <v>4687</v>
      </c>
      <c r="M548">
        <f t="shared" si="16"/>
        <v>7</v>
      </c>
      <c r="N548" s="30" t="s">
        <v>4688</v>
      </c>
      <c r="R548">
        <v>547</v>
      </c>
      <c r="S548" t="s">
        <v>4689</v>
      </c>
      <c r="T548" t="s">
        <v>2279</v>
      </c>
      <c r="U548">
        <f t="shared" si="17"/>
        <v>8</v>
      </c>
      <c r="V548" s="31" t="s">
        <v>4690</v>
      </c>
    </row>
    <row r="549" spans="1:22">
      <c r="A549">
        <v>548</v>
      </c>
      <c r="C549" s="7" t="s">
        <v>1388</v>
      </c>
      <c r="D549" t="s">
        <v>29</v>
      </c>
      <c r="E549" t="e">
        <f>LEN(#REF!)</f>
        <v>#REF!</v>
      </c>
      <c r="F549" s="49" t="s">
        <v>4691</v>
      </c>
      <c r="K549" s="55" t="s">
        <v>4692</v>
      </c>
      <c r="M549">
        <f t="shared" si="16"/>
        <v>7</v>
      </c>
      <c r="N549" s="30" t="s">
        <v>4693</v>
      </c>
      <c r="R549">
        <v>548</v>
      </c>
      <c r="S549" t="s">
        <v>4694</v>
      </c>
      <c r="T549" t="s">
        <v>2279</v>
      </c>
      <c r="U549">
        <f t="shared" si="17"/>
        <v>8</v>
      </c>
      <c r="V549" s="30" t="s">
        <v>4695</v>
      </c>
    </row>
    <row r="550" spans="1:22">
      <c r="A550">
        <v>549</v>
      </c>
      <c r="C550" s="7" t="s">
        <v>1390</v>
      </c>
      <c r="D550" t="s">
        <v>29</v>
      </c>
      <c r="E550" t="e">
        <f>LEN(#REF!)</f>
        <v>#REF!</v>
      </c>
      <c r="F550" s="49" t="s">
        <v>4696</v>
      </c>
      <c r="K550" s="55" t="s">
        <v>4697</v>
      </c>
      <c r="M550">
        <f t="shared" si="16"/>
        <v>7</v>
      </c>
      <c r="N550" s="30" t="s">
        <v>4698</v>
      </c>
      <c r="R550">
        <v>549</v>
      </c>
      <c r="S550" t="s">
        <v>4699</v>
      </c>
      <c r="T550" t="s">
        <v>2279</v>
      </c>
      <c r="U550">
        <f t="shared" si="17"/>
        <v>10</v>
      </c>
      <c r="V550" s="30" t="s">
        <v>4700</v>
      </c>
    </row>
    <row r="551" spans="1:22">
      <c r="A551">
        <v>550</v>
      </c>
      <c r="C551" s="7" t="s">
        <v>1392</v>
      </c>
      <c r="D551" t="s">
        <v>29</v>
      </c>
      <c r="E551" t="e">
        <f>LEN(#REF!)</f>
        <v>#REF!</v>
      </c>
      <c r="F551" s="49" t="s">
        <v>4701</v>
      </c>
      <c r="K551" s="55" t="s">
        <v>4702</v>
      </c>
      <c r="M551">
        <f t="shared" si="16"/>
        <v>5</v>
      </c>
      <c r="N551" s="30" t="s">
        <v>4703</v>
      </c>
      <c r="R551">
        <v>550</v>
      </c>
      <c r="S551" t="s">
        <v>4704</v>
      </c>
      <c r="T551" t="s">
        <v>2279</v>
      </c>
      <c r="U551">
        <f t="shared" si="17"/>
        <v>13</v>
      </c>
      <c r="V551" s="30" t="s">
        <v>4705</v>
      </c>
    </row>
    <row r="552" spans="1:22">
      <c r="A552">
        <v>551</v>
      </c>
      <c r="C552" s="7" t="s">
        <v>1394</v>
      </c>
      <c r="D552" t="s">
        <v>29</v>
      </c>
      <c r="E552" t="e">
        <f>LEN(#REF!)</f>
        <v>#REF!</v>
      </c>
      <c r="F552" s="49" t="s">
        <v>4706</v>
      </c>
      <c r="K552" s="55" t="s">
        <v>4707</v>
      </c>
      <c r="M552">
        <f t="shared" si="16"/>
        <v>6</v>
      </c>
      <c r="N552" s="30" t="s">
        <v>4708</v>
      </c>
      <c r="R552">
        <v>551</v>
      </c>
      <c r="S552" t="s">
        <v>4709</v>
      </c>
      <c r="T552" t="s">
        <v>2279</v>
      </c>
      <c r="U552">
        <f t="shared" si="17"/>
        <v>10</v>
      </c>
      <c r="V552" s="30" t="s">
        <v>4710</v>
      </c>
    </row>
    <row r="553" spans="1:22">
      <c r="A553">
        <v>552</v>
      </c>
      <c r="C553" s="7" t="s">
        <v>1396</v>
      </c>
      <c r="D553" t="s">
        <v>29</v>
      </c>
      <c r="E553" t="e">
        <f>LEN(#REF!)</f>
        <v>#REF!</v>
      </c>
      <c r="F553" s="49" t="s">
        <v>4711</v>
      </c>
      <c r="K553" s="55">
        <v>212121</v>
      </c>
      <c r="M553">
        <f t="shared" si="16"/>
        <v>6</v>
      </c>
      <c r="N553" s="30" t="s">
        <v>4712</v>
      </c>
      <c r="R553">
        <v>552</v>
      </c>
      <c r="S553" t="s">
        <v>4713</v>
      </c>
      <c r="T553" t="s">
        <v>2279</v>
      </c>
      <c r="U553">
        <f t="shared" si="17"/>
        <v>12</v>
      </c>
      <c r="V553" s="30" t="s">
        <v>4714</v>
      </c>
    </row>
    <row r="554" spans="1:22">
      <c r="A554">
        <v>553</v>
      </c>
      <c r="C554" s="7" t="s">
        <v>1398</v>
      </c>
      <c r="D554" t="s">
        <v>29</v>
      </c>
      <c r="E554" t="e">
        <f>LEN(#REF!)</f>
        <v>#REF!</v>
      </c>
      <c r="F554" s="49" t="s">
        <v>4715</v>
      </c>
      <c r="K554" s="55" t="s">
        <v>4716</v>
      </c>
      <c r="M554">
        <f t="shared" si="16"/>
        <v>8</v>
      </c>
      <c r="N554" s="30" t="s">
        <v>4717</v>
      </c>
      <c r="R554">
        <v>553</v>
      </c>
      <c r="S554" t="s">
        <v>4718</v>
      </c>
      <c r="T554" t="s">
        <v>2279</v>
      </c>
      <c r="U554">
        <f t="shared" si="17"/>
        <v>10</v>
      </c>
      <c r="V554" s="30" t="s">
        <v>4719</v>
      </c>
    </row>
    <row r="555" spans="1:22">
      <c r="A555">
        <v>554</v>
      </c>
      <c r="C555" s="7" t="s">
        <v>1400</v>
      </c>
      <c r="D555" t="s">
        <v>29</v>
      </c>
      <c r="E555" t="e">
        <f>LEN(#REF!)</f>
        <v>#REF!</v>
      </c>
      <c r="F555" s="49" t="s">
        <v>4720</v>
      </c>
      <c r="K555" s="55" t="s">
        <v>4721</v>
      </c>
      <c r="M555">
        <f t="shared" si="16"/>
        <v>6</v>
      </c>
      <c r="N555" s="30" t="s">
        <v>4722</v>
      </c>
      <c r="R555">
        <v>554</v>
      </c>
      <c r="S555" t="s">
        <v>4723</v>
      </c>
      <c r="T555" t="s">
        <v>2279</v>
      </c>
      <c r="U555">
        <f t="shared" si="17"/>
        <v>8</v>
      </c>
      <c r="V555" s="30" t="s">
        <v>4724</v>
      </c>
    </row>
    <row r="556" spans="1:22">
      <c r="A556">
        <v>555</v>
      </c>
      <c r="C556" s="7" t="s">
        <v>1402</v>
      </c>
      <c r="D556" t="s">
        <v>29</v>
      </c>
      <c r="E556" t="e">
        <f>LEN(#REF!)</f>
        <v>#REF!</v>
      </c>
      <c r="F556" s="49" t="s">
        <v>4725</v>
      </c>
      <c r="K556" s="55" t="s">
        <v>4726</v>
      </c>
      <c r="M556">
        <f t="shared" si="16"/>
        <v>8</v>
      </c>
      <c r="N556" s="30" t="s">
        <v>4727</v>
      </c>
      <c r="R556">
        <v>555</v>
      </c>
      <c r="S556" t="s">
        <v>4728</v>
      </c>
      <c r="T556" t="s">
        <v>2279</v>
      </c>
      <c r="U556">
        <f t="shared" si="17"/>
        <v>17</v>
      </c>
      <c r="V556" s="30" t="s">
        <v>4729</v>
      </c>
    </row>
    <row r="557" spans="1:22">
      <c r="A557">
        <v>556</v>
      </c>
      <c r="C557" s="7" t="s">
        <v>1404</v>
      </c>
      <c r="D557" t="s">
        <v>29</v>
      </c>
      <c r="E557" t="e">
        <f>LEN(#REF!)</f>
        <v>#REF!</v>
      </c>
      <c r="F557" s="49" t="s">
        <v>4730</v>
      </c>
      <c r="K557" s="55" t="s">
        <v>4731</v>
      </c>
      <c r="M557">
        <f t="shared" si="16"/>
        <v>7</v>
      </c>
      <c r="N557" s="30" t="s">
        <v>4732</v>
      </c>
      <c r="R557">
        <v>556</v>
      </c>
      <c r="S557" t="s">
        <v>4733</v>
      </c>
      <c r="T557" t="s">
        <v>2279</v>
      </c>
      <c r="U557">
        <f t="shared" si="17"/>
        <v>10</v>
      </c>
      <c r="V557" s="30" t="s">
        <v>4734</v>
      </c>
    </row>
    <row r="558" spans="1:22">
      <c r="A558">
        <v>557</v>
      </c>
      <c r="C558" s="7" t="s">
        <v>1406</v>
      </c>
      <c r="D558" t="s">
        <v>29</v>
      </c>
      <c r="E558" t="e">
        <f>LEN(#REF!)</f>
        <v>#REF!</v>
      </c>
      <c r="F558" s="49" t="s">
        <v>4735</v>
      </c>
      <c r="K558" s="55" t="s">
        <v>4736</v>
      </c>
      <c r="M558">
        <f t="shared" si="16"/>
        <v>7</v>
      </c>
      <c r="N558" s="30" t="s">
        <v>4737</v>
      </c>
      <c r="R558">
        <v>557</v>
      </c>
      <c r="S558" t="s">
        <v>4738</v>
      </c>
      <c r="T558" t="s">
        <v>2279</v>
      </c>
      <c r="U558">
        <f t="shared" si="17"/>
        <v>9</v>
      </c>
      <c r="V558" s="30" t="s">
        <v>4739</v>
      </c>
    </row>
    <row r="559" spans="1:22">
      <c r="A559">
        <v>558</v>
      </c>
      <c r="C559" s="7" t="s">
        <v>4740</v>
      </c>
      <c r="D559" t="s">
        <v>29</v>
      </c>
      <c r="E559" t="e">
        <f>LEN(#REF!)</f>
        <v>#REF!</v>
      </c>
      <c r="F559" s="49" t="s">
        <v>4741</v>
      </c>
      <c r="K559" s="55" t="s">
        <v>4742</v>
      </c>
      <c r="M559">
        <f t="shared" si="16"/>
        <v>7</v>
      </c>
      <c r="N559" s="30" t="s">
        <v>4743</v>
      </c>
      <c r="R559">
        <v>558</v>
      </c>
      <c r="S559" t="s">
        <v>4744</v>
      </c>
      <c r="T559" t="s">
        <v>2279</v>
      </c>
      <c r="U559">
        <f t="shared" si="17"/>
        <v>13</v>
      </c>
      <c r="V559" s="30" t="s">
        <v>4745</v>
      </c>
    </row>
    <row r="560" spans="1:22">
      <c r="A560">
        <v>559</v>
      </c>
      <c r="C560" s="7" t="s">
        <v>1410</v>
      </c>
      <c r="D560" t="s">
        <v>29</v>
      </c>
      <c r="E560" t="e">
        <f>LEN(#REF!)</f>
        <v>#REF!</v>
      </c>
      <c r="F560" s="49" t="s">
        <v>4746</v>
      </c>
      <c r="K560" s="55" t="s">
        <v>4747</v>
      </c>
      <c r="M560">
        <f t="shared" si="16"/>
        <v>6</v>
      </c>
      <c r="N560" s="30" t="s">
        <v>4748</v>
      </c>
      <c r="R560">
        <v>559</v>
      </c>
      <c r="S560" t="s">
        <v>4749</v>
      </c>
      <c r="T560" t="s">
        <v>2279</v>
      </c>
      <c r="U560">
        <f t="shared" si="17"/>
        <v>10</v>
      </c>
      <c r="V560" s="30" t="s">
        <v>4750</v>
      </c>
    </row>
    <row r="561" spans="1:22">
      <c r="A561">
        <v>560</v>
      </c>
      <c r="C561" s="7" t="s">
        <v>1412</v>
      </c>
      <c r="D561" t="s">
        <v>29</v>
      </c>
      <c r="E561" t="e">
        <f>LEN(#REF!)</f>
        <v>#REF!</v>
      </c>
      <c r="F561" s="49" t="s">
        <v>4751</v>
      </c>
      <c r="K561" s="55" t="s">
        <v>4752</v>
      </c>
      <c r="M561">
        <f t="shared" si="16"/>
        <v>5</v>
      </c>
      <c r="N561" s="30" t="s">
        <v>4753</v>
      </c>
      <c r="R561">
        <v>560</v>
      </c>
      <c r="S561" t="s">
        <v>4754</v>
      </c>
      <c r="T561" t="s">
        <v>2279</v>
      </c>
      <c r="U561">
        <f t="shared" si="17"/>
        <v>9</v>
      </c>
      <c r="V561" s="30" t="s">
        <v>4755</v>
      </c>
    </row>
    <row r="562" spans="1:22">
      <c r="A562">
        <v>561</v>
      </c>
      <c r="C562" s="7" t="s">
        <v>4756</v>
      </c>
      <c r="D562" t="s">
        <v>29</v>
      </c>
      <c r="E562" t="e">
        <f>LEN(#REF!)</f>
        <v>#REF!</v>
      </c>
      <c r="F562" s="49" t="s">
        <v>4757</v>
      </c>
      <c r="K562" s="55" t="s">
        <v>4758</v>
      </c>
      <c r="M562">
        <f t="shared" si="16"/>
        <v>6</v>
      </c>
      <c r="N562" s="30" t="s">
        <v>4759</v>
      </c>
      <c r="R562">
        <v>561</v>
      </c>
      <c r="S562" t="s">
        <v>4760</v>
      </c>
      <c r="T562" t="s">
        <v>2279</v>
      </c>
      <c r="U562">
        <f t="shared" si="17"/>
        <v>8</v>
      </c>
      <c r="V562" s="30" t="s">
        <v>4761</v>
      </c>
    </row>
    <row r="563" spans="1:22">
      <c r="A563">
        <v>562</v>
      </c>
      <c r="C563" s="7" t="s">
        <v>4762</v>
      </c>
      <c r="D563" t="s">
        <v>29</v>
      </c>
      <c r="E563" t="e">
        <f>LEN(#REF!)</f>
        <v>#REF!</v>
      </c>
      <c r="F563" s="49" t="s">
        <v>4763</v>
      </c>
      <c r="K563" s="55" t="s">
        <v>4764</v>
      </c>
      <c r="M563">
        <f t="shared" si="16"/>
        <v>8</v>
      </c>
      <c r="N563" s="30" t="s">
        <v>4765</v>
      </c>
      <c r="R563">
        <v>562</v>
      </c>
      <c r="S563" t="s">
        <v>4766</v>
      </c>
      <c r="T563" t="s">
        <v>2279</v>
      </c>
      <c r="U563">
        <f t="shared" si="17"/>
        <v>10</v>
      </c>
      <c r="V563" s="30" t="s">
        <v>4767</v>
      </c>
    </row>
    <row r="564" spans="1:22">
      <c r="A564">
        <v>563</v>
      </c>
      <c r="C564" s="7" t="s">
        <v>1418</v>
      </c>
      <c r="D564" t="s">
        <v>29</v>
      </c>
      <c r="E564" t="e">
        <f>LEN(#REF!)</f>
        <v>#REF!</v>
      </c>
      <c r="F564" s="49" t="s">
        <v>4768</v>
      </c>
      <c r="K564" s="55" t="s">
        <v>4769</v>
      </c>
      <c r="M564">
        <f t="shared" si="16"/>
        <v>6</v>
      </c>
      <c r="N564" s="30" t="s">
        <v>4770</v>
      </c>
      <c r="R564">
        <v>563</v>
      </c>
      <c r="S564" t="s">
        <v>4771</v>
      </c>
      <c r="T564" t="s">
        <v>2279</v>
      </c>
      <c r="U564">
        <f t="shared" si="17"/>
        <v>8</v>
      </c>
      <c r="V564" s="30" t="s">
        <v>4772</v>
      </c>
    </row>
    <row r="565" spans="1:22">
      <c r="A565">
        <v>564</v>
      </c>
      <c r="C565" s="7" t="s">
        <v>1420</v>
      </c>
      <c r="D565" t="s">
        <v>29</v>
      </c>
      <c r="E565" t="e">
        <f>LEN(#REF!)</f>
        <v>#REF!</v>
      </c>
      <c r="F565" s="49" t="s">
        <v>4773</v>
      </c>
      <c r="K565" s="55" t="s">
        <v>4774</v>
      </c>
      <c r="M565">
        <f t="shared" si="16"/>
        <v>6</v>
      </c>
      <c r="N565" s="30" t="s">
        <v>4775</v>
      </c>
      <c r="R565">
        <v>564</v>
      </c>
      <c r="S565" t="s">
        <v>4776</v>
      </c>
      <c r="T565" t="s">
        <v>2279</v>
      </c>
      <c r="U565">
        <f t="shared" si="17"/>
        <v>10</v>
      </c>
      <c r="V565" s="30" t="s">
        <v>4777</v>
      </c>
    </row>
    <row r="566" spans="1:22">
      <c r="A566">
        <v>565</v>
      </c>
      <c r="C566" s="7" t="s">
        <v>1422</v>
      </c>
      <c r="D566" t="s">
        <v>29</v>
      </c>
      <c r="E566" t="e">
        <f>LEN(#REF!)</f>
        <v>#REF!</v>
      </c>
      <c r="F566" s="49" t="s">
        <v>4778</v>
      </c>
      <c r="K566" s="55" t="s">
        <v>4779</v>
      </c>
      <c r="M566">
        <f t="shared" si="16"/>
        <v>7</v>
      </c>
      <c r="N566" s="30" t="s">
        <v>4780</v>
      </c>
      <c r="R566">
        <v>565</v>
      </c>
      <c r="S566" t="s">
        <v>4781</v>
      </c>
      <c r="T566" t="s">
        <v>2279</v>
      </c>
      <c r="U566">
        <f t="shared" si="17"/>
        <v>11</v>
      </c>
      <c r="V566" s="30" t="s">
        <v>4782</v>
      </c>
    </row>
    <row r="567" spans="1:22">
      <c r="A567">
        <v>566</v>
      </c>
      <c r="C567" s="7" t="s">
        <v>4783</v>
      </c>
      <c r="D567" t="s">
        <v>29</v>
      </c>
      <c r="E567" t="e">
        <f>LEN(#REF!)</f>
        <v>#REF!</v>
      </c>
      <c r="F567" s="49" t="s">
        <v>4784</v>
      </c>
      <c r="K567" s="55" t="s">
        <v>4785</v>
      </c>
      <c r="M567">
        <f t="shared" si="16"/>
        <v>7</v>
      </c>
      <c r="N567" s="30" t="s">
        <v>4786</v>
      </c>
      <c r="R567">
        <v>566</v>
      </c>
      <c r="S567" t="s">
        <v>4787</v>
      </c>
      <c r="T567" t="s">
        <v>2279</v>
      </c>
      <c r="U567">
        <f t="shared" si="17"/>
        <v>8</v>
      </c>
      <c r="V567" s="30" t="s">
        <v>4788</v>
      </c>
    </row>
    <row r="568" spans="1:22">
      <c r="A568">
        <v>567</v>
      </c>
      <c r="C568" s="7" t="s">
        <v>1426</v>
      </c>
      <c r="D568" t="s">
        <v>29</v>
      </c>
      <c r="E568" t="e">
        <f>LEN(#REF!)</f>
        <v>#REF!</v>
      </c>
      <c r="F568" s="49" t="s">
        <v>4789</v>
      </c>
      <c r="K568" s="55" t="s">
        <v>4790</v>
      </c>
      <c r="M568">
        <f t="shared" si="16"/>
        <v>8</v>
      </c>
      <c r="N568" s="30" t="s">
        <v>4791</v>
      </c>
      <c r="R568">
        <v>567</v>
      </c>
      <c r="S568" t="s">
        <v>4792</v>
      </c>
      <c r="T568" t="s">
        <v>2279</v>
      </c>
      <c r="U568">
        <f t="shared" si="17"/>
        <v>8</v>
      </c>
      <c r="V568" s="31" t="s">
        <v>4793</v>
      </c>
    </row>
    <row r="569" spans="1:22">
      <c r="A569">
        <v>568</v>
      </c>
      <c r="C569" s="7" t="s">
        <v>1428</v>
      </c>
      <c r="D569" t="s">
        <v>29</v>
      </c>
      <c r="E569" t="e">
        <f>LEN(#REF!)</f>
        <v>#REF!</v>
      </c>
      <c r="F569" s="49" t="s">
        <v>4794</v>
      </c>
      <c r="K569" s="55" t="s">
        <v>4795</v>
      </c>
      <c r="M569">
        <f t="shared" si="16"/>
        <v>7</v>
      </c>
      <c r="N569" s="30" t="s">
        <v>4796</v>
      </c>
      <c r="R569">
        <v>568</v>
      </c>
      <c r="S569" t="s">
        <v>4797</v>
      </c>
      <c r="T569" t="s">
        <v>2279</v>
      </c>
      <c r="U569">
        <f t="shared" si="17"/>
        <v>9</v>
      </c>
      <c r="V569" s="30" t="s">
        <v>4798</v>
      </c>
    </row>
    <row r="570" spans="1:22">
      <c r="A570">
        <v>569</v>
      </c>
      <c r="C570" s="7" t="s">
        <v>1430</v>
      </c>
      <c r="D570" t="s">
        <v>29</v>
      </c>
      <c r="E570" t="e">
        <f>LEN(#REF!)</f>
        <v>#REF!</v>
      </c>
      <c r="F570" s="49" t="s">
        <v>4799</v>
      </c>
      <c r="K570" s="55" t="s">
        <v>4800</v>
      </c>
      <c r="M570">
        <f t="shared" si="16"/>
        <v>10</v>
      </c>
      <c r="N570" s="30" t="s">
        <v>4801</v>
      </c>
      <c r="R570">
        <v>569</v>
      </c>
      <c r="S570" t="s">
        <v>4802</v>
      </c>
      <c r="T570" t="s">
        <v>2279</v>
      </c>
      <c r="U570">
        <f t="shared" si="17"/>
        <v>13</v>
      </c>
      <c r="V570" s="30" t="s">
        <v>4803</v>
      </c>
    </row>
    <row r="571" spans="1:22">
      <c r="A571">
        <v>570</v>
      </c>
      <c r="C571" s="7" t="s">
        <v>4804</v>
      </c>
      <c r="D571" t="s">
        <v>29</v>
      </c>
      <c r="E571" t="e">
        <f>LEN(#REF!)</f>
        <v>#REF!</v>
      </c>
      <c r="F571" s="49" t="s">
        <v>4805</v>
      </c>
      <c r="K571" s="55" t="s">
        <v>4806</v>
      </c>
      <c r="M571">
        <f t="shared" si="16"/>
        <v>6</v>
      </c>
      <c r="N571" s="30" t="s">
        <v>4807</v>
      </c>
      <c r="R571">
        <v>570</v>
      </c>
      <c r="S571" t="s">
        <v>4808</v>
      </c>
      <c r="T571" t="s">
        <v>2279</v>
      </c>
      <c r="U571">
        <f t="shared" si="17"/>
        <v>9</v>
      </c>
      <c r="V571" s="31" t="s">
        <v>4809</v>
      </c>
    </row>
    <row r="572" spans="1:22">
      <c r="A572">
        <v>571</v>
      </c>
      <c r="C572" s="7" t="s">
        <v>1434</v>
      </c>
      <c r="D572" t="s">
        <v>29</v>
      </c>
      <c r="E572" t="e">
        <f>LEN(#REF!)</f>
        <v>#REF!</v>
      </c>
      <c r="F572" s="49" t="s">
        <v>4810</v>
      </c>
      <c r="K572" s="55" t="s">
        <v>4811</v>
      </c>
      <c r="M572">
        <f t="shared" si="16"/>
        <v>6</v>
      </c>
      <c r="N572" s="30" t="s">
        <v>4812</v>
      </c>
      <c r="R572">
        <v>571</v>
      </c>
      <c r="S572" t="s">
        <v>4813</v>
      </c>
      <c r="T572" t="s">
        <v>2279</v>
      </c>
      <c r="U572">
        <f t="shared" si="17"/>
        <v>12</v>
      </c>
      <c r="V572" s="30" t="s">
        <v>4814</v>
      </c>
    </row>
    <row r="573" spans="1:22">
      <c r="A573">
        <v>572</v>
      </c>
      <c r="C573" s="7" t="s">
        <v>1436</v>
      </c>
      <c r="D573" t="s">
        <v>29</v>
      </c>
      <c r="E573" t="e">
        <f>LEN(#REF!)</f>
        <v>#REF!</v>
      </c>
      <c r="F573" s="49" t="s">
        <v>4815</v>
      </c>
      <c r="K573" s="55" t="s">
        <v>4816</v>
      </c>
      <c r="M573">
        <f t="shared" si="16"/>
        <v>8</v>
      </c>
      <c r="N573" s="30" t="s">
        <v>4817</v>
      </c>
      <c r="R573">
        <v>572</v>
      </c>
      <c r="S573" t="s">
        <v>4818</v>
      </c>
      <c r="T573" t="s">
        <v>2279</v>
      </c>
      <c r="U573">
        <f t="shared" si="17"/>
        <v>9</v>
      </c>
      <c r="V573" s="30" t="s">
        <v>4819</v>
      </c>
    </row>
    <row r="574" spans="1:22">
      <c r="A574">
        <v>573</v>
      </c>
      <c r="C574" s="7" t="s">
        <v>1438</v>
      </c>
      <c r="D574" t="s">
        <v>29</v>
      </c>
      <c r="E574" t="e">
        <f>LEN(#REF!)</f>
        <v>#REF!</v>
      </c>
      <c r="F574" s="49" t="s">
        <v>4820</v>
      </c>
      <c r="K574" s="55" t="s">
        <v>4821</v>
      </c>
      <c r="M574">
        <f t="shared" si="16"/>
        <v>6</v>
      </c>
      <c r="N574" s="30" t="s">
        <v>4822</v>
      </c>
      <c r="R574">
        <v>573</v>
      </c>
      <c r="S574" t="s">
        <v>4823</v>
      </c>
      <c r="T574" t="s">
        <v>2279</v>
      </c>
      <c r="U574">
        <f t="shared" si="17"/>
        <v>9</v>
      </c>
      <c r="V574" s="30" t="s">
        <v>4824</v>
      </c>
    </row>
    <row r="575" spans="1:22">
      <c r="A575">
        <v>574</v>
      </c>
      <c r="C575" s="7" t="s">
        <v>1440</v>
      </c>
      <c r="D575" t="s">
        <v>29</v>
      </c>
      <c r="E575" t="e">
        <f>LEN(#REF!)</f>
        <v>#REF!</v>
      </c>
      <c r="F575" s="49" t="s">
        <v>4825</v>
      </c>
      <c r="K575" s="55" t="s">
        <v>4826</v>
      </c>
      <c r="M575">
        <f t="shared" si="16"/>
        <v>6</v>
      </c>
      <c r="N575" s="30" t="s">
        <v>4827</v>
      </c>
      <c r="R575">
        <v>574</v>
      </c>
      <c r="S575" t="s">
        <v>4828</v>
      </c>
      <c r="T575" t="s">
        <v>2279</v>
      </c>
      <c r="U575">
        <f t="shared" si="17"/>
        <v>14</v>
      </c>
      <c r="V575" s="30" t="s">
        <v>4829</v>
      </c>
    </row>
    <row r="576" spans="1:22">
      <c r="A576">
        <v>575</v>
      </c>
      <c r="C576" s="7" t="s">
        <v>1442</v>
      </c>
      <c r="D576" t="s">
        <v>29</v>
      </c>
      <c r="E576" t="e">
        <f>LEN(#REF!)</f>
        <v>#REF!</v>
      </c>
      <c r="F576" s="49" t="s">
        <v>4830</v>
      </c>
      <c r="K576" s="55" t="s">
        <v>4831</v>
      </c>
      <c r="M576">
        <f t="shared" si="16"/>
        <v>6</v>
      </c>
      <c r="N576" s="30" t="s">
        <v>4832</v>
      </c>
      <c r="R576">
        <v>575</v>
      </c>
      <c r="S576" t="s">
        <v>4833</v>
      </c>
      <c r="T576" t="s">
        <v>2279</v>
      </c>
      <c r="U576">
        <f t="shared" si="17"/>
        <v>14</v>
      </c>
      <c r="V576" s="30" t="s">
        <v>4834</v>
      </c>
    </row>
    <row r="577" spans="1:22">
      <c r="A577">
        <v>576</v>
      </c>
      <c r="C577" s="7" t="s">
        <v>1444</v>
      </c>
      <c r="D577" t="s">
        <v>29</v>
      </c>
      <c r="E577" t="e">
        <f>LEN(#REF!)</f>
        <v>#REF!</v>
      </c>
      <c r="F577" s="49" t="s">
        <v>4835</v>
      </c>
      <c r="K577" s="55" t="s">
        <v>4836</v>
      </c>
      <c r="M577">
        <f t="shared" si="16"/>
        <v>6</v>
      </c>
      <c r="N577" s="30" t="s">
        <v>4837</v>
      </c>
      <c r="R577">
        <v>576</v>
      </c>
      <c r="S577" t="s">
        <v>4838</v>
      </c>
      <c r="T577" t="s">
        <v>2279</v>
      </c>
      <c r="U577">
        <f t="shared" si="17"/>
        <v>8</v>
      </c>
      <c r="V577" s="30" t="s">
        <v>4839</v>
      </c>
    </row>
    <row r="578" spans="1:22">
      <c r="A578">
        <v>577</v>
      </c>
      <c r="C578" s="7" t="s">
        <v>1446</v>
      </c>
      <c r="D578" t="s">
        <v>29</v>
      </c>
      <c r="E578" t="e">
        <f>LEN(#REF!)</f>
        <v>#REF!</v>
      </c>
      <c r="F578" s="49" t="s">
        <v>4840</v>
      </c>
      <c r="K578" s="55" t="s">
        <v>4841</v>
      </c>
      <c r="M578">
        <f t="shared" si="16"/>
        <v>6</v>
      </c>
      <c r="N578" s="30" t="s">
        <v>4842</v>
      </c>
      <c r="R578">
        <v>577</v>
      </c>
      <c r="S578" t="s">
        <v>4843</v>
      </c>
      <c r="T578" t="s">
        <v>2279</v>
      </c>
      <c r="U578">
        <f t="shared" si="17"/>
        <v>8</v>
      </c>
      <c r="V578" s="30" t="s">
        <v>4844</v>
      </c>
    </row>
    <row r="579" spans="1:22">
      <c r="A579">
        <v>578</v>
      </c>
      <c r="C579" s="7" t="s">
        <v>1448</v>
      </c>
      <c r="D579" t="s">
        <v>29</v>
      </c>
      <c r="E579" t="e">
        <f>LEN(#REF!)</f>
        <v>#REF!</v>
      </c>
      <c r="F579" s="49" t="s">
        <v>4845</v>
      </c>
      <c r="K579" s="55" t="s">
        <v>4846</v>
      </c>
      <c r="M579">
        <f t="shared" ref="M579:M642" si="18">LEN(K579)</f>
        <v>7</v>
      </c>
      <c r="N579" s="30" t="s">
        <v>4847</v>
      </c>
      <c r="R579">
        <v>578</v>
      </c>
      <c r="S579" t="s">
        <v>4848</v>
      </c>
      <c r="T579" t="s">
        <v>2279</v>
      </c>
      <c r="U579">
        <f t="shared" ref="U579:U642" si="19">LEN(S579)</f>
        <v>8</v>
      </c>
      <c r="V579" s="30" t="s">
        <v>4849</v>
      </c>
    </row>
    <row r="580" spans="1:22">
      <c r="A580">
        <v>579</v>
      </c>
      <c r="C580" s="7" t="s">
        <v>1450</v>
      </c>
      <c r="D580" t="s">
        <v>29</v>
      </c>
      <c r="E580" t="e">
        <f>LEN(#REF!)</f>
        <v>#REF!</v>
      </c>
      <c r="F580" s="49" t="s">
        <v>4850</v>
      </c>
      <c r="K580" s="55" t="s">
        <v>4851</v>
      </c>
      <c r="M580">
        <f t="shared" si="18"/>
        <v>6</v>
      </c>
      <c r="N580" s="30" t="s">
        <v>4852</v>
      </c>
      <c r="R580">
        <v>579</v>
      </c>
      <c r="S580" t="s">
        <v>4853</v>
      </c>
      <c r="T580" t="s">
        <v>2279</v>
      </c>
      <c r="U580">
        <f t="shared" si="19"/>
        <v>23</v>
      </c>
      <c r="V580" s="30" t="s">
        <v>4854</v>
      </c>
    </row>
    <row r="581" spans="1:22">
      <c r="A581">
        <v>580</v>
      </c>
      <c r="C581" s="7" t="s">
        <v>1452</v>
      </c>
      <c r="D581" t="s">
        <v>29</v>
      </c>
      <c r="E581" t="e">
        <f>LEN(#REF!)</f>
        <v>#REF!</v>
      </c>
      <c r="F581" s="49" t="s">
        <v>4855</v>
      </c>
      <c r="K581" s="55" t="s">
        <v>4856</v>
      </c>
      <c r="M581">
        <f t="shared" si="18"/>
        <v>5</v>
      </c>
      <c r="N581" s="30" t="s">
        <v>4857</v>
      </c>
      <c r="R581">
        <v>580</v>
      </c>
      <c r="S581" t="s">
        <v>4858</v>
      </c>
      <c r="T581" t="s">
        <v>2279</v>
      </c>
      <c r="U581">
        <f t="shared" si="19"/>
        <v>8</v>
      </c>
      <c r="V581" s="30" t="s">
        <v>4859</v>
      </c>
    </row>
    <row r="582" spans="1:22">
      <c r="A582">
        <v>581</v>
      </c>
      <c r="C582" s="7" t="s">
        <v>1454</v>
      </c>
      <c r="D582" t="s">
        <v>29</v>
      </c>
      <c r="E582" t="e">
        <f>LEN(#REF!)</f>
        <v>#REF!</v>
      </c>
      <c r="F582" s="49" t="s">
        <v>4860</v>
      </c>
      <c r="K582" s="55" t="s">
        <v>4861</v>
      </c>
      <c r="M582">
        <f t="shared" si="18"/>
        <v>8</v>
      </c>
      <c r="N582" s="30" t="s">
        <v>4862</v>
      </c>
      <c r="R582">
        <v>581</v>
      </c>
      <c r="S582" t="s">
        <v>4863</v>
      </c>
      <c r="T582" t="s">
        <v>2279</v>
      </c>
      <c r="U582">
        <f t="shared" si="19"/>
        <v>8</v>
      </c>
      <c r="V582" s="30" t="s">
        <v>4864</v>
      </c>
    </row>
    <row r="583" spans="1:22">
      <c r="A583">
        <v>582</v>
      </c>
      <c r="C583" s="7" t="s">
        <v>1456</v>
      </c>
      <c r="D583" t="s">
        <v>29</v>
      </c>
      <c r="E583" t="e">
        <f>LEN(#REF!)</f>
        <v>#REF!</v>
      </c>
      <c r="F583" s="49" t="s">
        <v>4865</v>
      </c>
      <c r="K583" s="55" t="s">
        <v>4866</v>
      </c>
      <c r="M583">
        <f t="shared" si="18"/>
        <v>7</v>
      </c>
      <c r="N583" s="30" t="s">
        <v>4867</v>
      </c>
      <c r="R583">
        <v>582</v>
      </c>
      <c r="S583" t="s">
        <v>4868</v>
      </c>
      <c r="T583" t="s">
        <v>2279</v>
      </c>
      <c r="U583">
        <f t="shared" si="19"/>
        <v>10</v>
      </c>
      <c r="V583" s="30" t="s">
        <v>4869</v>
      </c>
    </row>
    <row r="584" spans="1:22">
      <c r="A584">
        <v>583</v>
      </c>
      <c r="C584" s="7" t="s">
        <v>1458</v>
      </c>
      <c r="D584" t="s">
        <v>29</v>
      </c>
      <c r="E584" t="e">
        <f>LEN(#REF!)</f>
        <v>#REF!</v>
      </c>
      <c r="F584" s="49" t="s">
        <v>4870</v>
      </c>
      <c r="K584" s="55" t="s">
        <v>4871</v>
      </c>
      <c r="M584">
        <f t="shared" si="18"/>
        <v>7</v>
      </c>
      <c r="N584" s="30" t="s">
        <v>4872</v>
      </c>
      <c r="R584">
        <v>583</v>
      </c>
      <c r="S584" t="s">
        <v>4873</v>
      </c>
      <c r="T584" t="s">
        <v>2279</v>
      </c>
      <c r="U584">
        <f t="shared" si="19"/>
        <v>10</v>
      </c>
      <c r="V584" s="30" t="s">
        <v>4874</v>
      </c>
    </row>
    <row r="585" spans="1:22">
      <c r="A585">
        <v>584</v>
      </c>
      <c r="C585" s="7" t="s">
        <v>1460</v>
      </c>
      <c r="D585" t="s">
        <v>29</v>
      </c>
      <c r="E585" t="e">
        <f>LEN(#REF!)</f>
        <v>#REF!</v>
      </c>
      <c r="F585" s="49" t="s">
        <v>4875</v>
      </c>
      <c r="K585" s="55" t="s">
        <v>4876</v>
      </c>
      <c r="M585">
        <f t="shared" si="18"/>
        <v>7</v>
      </c>
      <c r="N585" s="30" t="s">
        <v>4877</v>
      </c>
      <c r="R585">
        <v>584</v>
      </c>
      <c r="S585" t="s">
        <v>4878</v>
      </c>
      <c r="T585" t="s">
        <v>2279</v>
      </c>
      <c r="U585">
        <f t="shared" si="19"/>
        <v>12</v>
      </c>
      <c r="V585" s="30" t="s">
        <v>4879</v>
      </c>
    </row>
    <row r="586" spans="1:22">
      <c r="A586">
        <v>585</v>
      </c>
      <c r="C586" s="7" t="s">
        <v>1462</v>
      </c>
      <c r="D586" t="s">
        <v>29</v>
      </c>
      <c r="E586" t="e">
        <f>LEN(#REF!)</f>
        <v>#REF!</v>
      </c>
      <c r="F586" s="49" t="s">
        <v>4880</v>
      </c>
      <c r="K586" s="55" t="s">
        <v>4881</v>
      </c>
      <c r="M586">
        <f t="shared" si="18"/>
        <v>8</v>
      </c>
      <c r="N586" s="30" t="s">
        <v>4882</v>
      </c>
      <c r="R586">
        <v>585</v>
      </c>
      <c r="S586" t="s">
        <v>4883</v>
      </c>
      <c r="T586" t="s">
        <v>2279</v>
      </c>
      <c r="U586">
        <f t="shared" si="19"/>
        <v>8</v>
      </c>
      <c r="V586" s="30" t="s">
        <v>4884</v>
      </c>
    </row>
    <row r="587" spans="1:22">
      <c r="A587">
        <v>586</v>
      </c>
      <c r="C587" s="7" t="s">
        <v>1464</v>
      </c>
      <c r="D587" t="s">
        <v>29</v>
      </c>
      <c r="E587" t="e">
        <f>LEN(#REF!)</f>
        <v>#REF!</v>
      </c>
      <c r="F587" s="49" t="s">
        <v>4885</v>
      </c>
      <c r="K587" s="55" t="s">
        <v>4886</v>
      </c>
      <c r="M587">
        <f t="shared" si="18"/>
        <v>6</v>
      </c>
      <c r="N587" s="30" t="s">
        <v>4887</v>
      </c>
      <c r="R587">
        <v>586</v>
      </c>
      <c r="S587" t="s">
        <v>4888</v>
      </c>
      <c r="T587" t="s">
        <v>2279</v>
      </c>
      <c r="U587">
        <f t="shared" si="19"/>
        <v>8</v>
      </c>
      <c r="V587" s="30" t="s">
        <v>4889</v>
      </c>
    </row>
    <row r="588" spans="1:22">
      <c r="A588">
        <v>587</v>
      </c>
      <c r="C588" s="7" t="s">
        <v>1466</v>
      </c>
      <c r="D588" t="s">
        <v>29</v>
      </c>
      <c r="E588" t="e">
        <f>LEN(#REF!)</f>
        <v>#REF!</v>
      </c>
      <c r="F588" s="49" t="s">
        <v>4890</v>
      </c>
      <c r="K588" s="55" t="s">
        <v>4891</v>
      </c>
      <c r="M588">
        <f t="shared" si="18"/>
        <v>6</v>
      </c>
      <c r="N588" s="30" t="s">
        <v>4892</v>
      </c>
      <c r="R588">
        <v>587</v>
      </c>
      <c r="S588" t="s">
        <v>4893</v>
      </c>
      <c r="T588" t="s">
        <v>2279</v>
      </c>
      <c r="U588">
        <f t="shared" si="19"/>
        <v>8</v>
      </c>
      <c r="V588" s="30" t="s">
        <v>4894</v>
      </c>
    </row>
    <row r="589" spans="1:22">
      <c r="A589">
        <v>588</v>
      </c>
      <c r="C589" s="7" t="s">
        <v>1468</v>
      </c>
      <c r="D589" t="s">
        <v>29</v>
      </c>
      <c r="E589" t="e">
        <f>LEN(#REF!)</f>
        <v>#REF!</v>
      </c>
      <c r="F589" s="49" t="s">
        <v>4895</v>
      </c>
      <c r="K589" s="55" t="s">
        <v>4896</v>
      </c>
      <c r="M589">
        <f t="shared" si="18"/>
        <v>6</v>
      </c>
      <c r="N589" s="30" t="s">
        <v>4897</v>
      </c>
      <c r="R589">
        <v>588</v>
      </c>
      <c r="S589" t="s">
        <v>4898</v>
      </c>
      <c r="T589" t="s">
        <v>2279</v>
      </c>
      <c r="U589">
        <f t="shared" si="19"/>
        <v>8</v>
      </c>
      <c r="V589" s="30" t="s">
        <v>4899</v>
      </c>
    </row>
    <row r="590" spans="1:22">
      <c r="A590">
        <v>589</v>
      </c>
      <c r="C590" s="7" t="s">
        <v>1470</v>
      </c>
      <c r="D590" t="s">
        <v>29</v>
      </c>
      <c r="E590" t="e">
        <f>LEN(#REF!)</f>
        <v>#REF!</v>
      </c>
      <c r="F590" s="49" t="s">
        <v>4900</v>
      </c>
      <c r="K590" s="55" t="s">
        <v>4901</v>
      </c>
      <c r="M590">
        <f t="shared" si="18"/>
        <v>6</v>
      </c>
      <c r="N590" s="30" t="s">
        <v>4902</v>
      </c>
      <c r="R590">
        <v>589</v>
      </c>
      <c r="S590" t="s">
        <v>4903</v>
      </c>
      <c r="T590" t="s">
        <v>2279</v>
      </c>
      <c r="U590">
        <f t="shared" si="19"/>
        <v>9</v>
      </c>
      <c r="V590" s="30" t="s">
        <v>4904</v>
      </c>
    </row>
    <row r="591" spans="1:22">
      <c r="A591">
        <v>590</v>
      </c>
      <c r="C591" s="7" t="s">
        <v>1472</v>
      </c>
      <c r="D591" t="s">
        <v>29</v>
      </c>
      <c r="E591" t="e">
        <f>LEN(#REF!)</f>
        <v>#REF!</v>
      </c>
      <c r="F591" s="49" t="s">
        <v>4905</v>
      </c>
      <c r="K591" s="55" t="s">
        <v>4906</v>
      </c>
      <c r="M591">
        <f t="shared" si="18"/>
        <v>6</v>
      </c>
      <c r="N591" s="30" t="s">
        <v>4907</v>
      </c>
      <c r="R591">
        <v>590</v>
      </c>
      <c r="S591" t="s">
        <v>4908</v>
      </c>
      <c r="T591" t="s">
        <v>2279</v>
      </c>
      <c r="U591">
        <f t="shared" si="19"/>
        <v>9</v>
      </c>
      <c r="V591" s="30" t="s">
        <v>4909</v>
      </c>
    </row>
    <row r="592" spans="1:22">
      <c r="A592">
        <v>591</v>
      </c>
      <c r="C592" s="7" t="s">
        <v>1474</v>
      </c>
      <c r="D592" t="s">
        <v>29</v>
      </c>
      <c r="E592" t="e">
        <f>LEN(#REF!)</f>
        <v>#REF!</v>
      </c>
      <c r="F592" s="49" t="s">
        <v>4910</v>
      </c>
      <c r="K592" s="55" t="s">
        <v>4911</v>
      </c>
      <c r="M592">
        <f t="shared" si="18"/>
        <v>8</v>
      </c>
      <c r="N592" s="30" t="s">
        <v>4912</v>
      </c>
      <c r="R592">
        <v>591</v>
      </c>
      <c r="S592" t="s">
        <v>4913</v>
      </c>
      <c r="T592" t="s">
        <v>2279</v>
      </c>
      <c r="U592">
        <f t="shared" si="19"/>
        <v>8</v>
      </c>
      <c r="V592" s="30" t="s">
        <v>4914</v>
      </c>
    </row>
    <row r="593" spans="1:22">
      <c r="A593">
        <v>592</v>
      </c>
      <c r="C593" s="7" t="s">
        <v>1476</v>
      </c>
      <c r="D593" t="s">
        <v>29</v>
      </c>
      <c r="E593" t="e">
        <f>LEN(#REF!)</f>
        <v>#REF!</v>
      </c>
      <c r="F593" s="49" t="s">
        <v>4915</v>
      </c>
      <c r="K593" s="55" t="s">
        <v>4916</v>
      </c>
      <c r="M593">
        <f t="shared" si="18"/>
        <v>7</v>
      </c>
      <c r="N593" s="30" t="s">
        <v>4917</v>
      </c>
      <c r="R593">
        <v>592</v>
      </c>
      <c r="S593" t="s">
        <v>4918</v>
      </c>
      <c r="T593" t="s">
        <v>2279</v>
      </c>
      <c r="U593">
        <f t="shared" si="19"/>
        <v>8</v>
      </c>
      <c r="V593" s="30" t="s">
        <v>4919</v>
      </c>
    </row>
    <row r="594" spans="1:22">
      <c r="A594">
        <v>593</v>
      </c>
      <c r="C594" s="7" t="s">
        <v>1478</v>
      </c>
      <c r="D594" t="s">
        <v>29</v>
      </c>
      <c r="E594" t="e">
        <f>LEN(#REF!)</f>
        <v>#REF!</v>
      </c>
      <c r="F594" s="49" t="s">
        <v>4920</v>
      </c>
      <c r="K594" s="55">
        <v>999999999</v>
      </c>
      <c r="M594">
        <f t="shared" si="18"/>
        <v>9</v>
      </c>
      <c r="N594" s="30" t="s">
        <v>4921</v>
      </c>
      <c r="R594">
        <v>593</v>
      </c>
      <c r="S594" t="s">
        <v>4922</v>
      </c>
      <c r="T594" t="s">
        <v>2279</v>
      </c>
      <c r="U594">
        <f t="shared" si="19"/>
        <v>8</v>
      </c>
      <c r="V594" s="30" t="s">
        <v>4923</v>
      </c>
    </row>
    <row r="595" spans="1:22">
      <c r="A595">
        <v>594</v>
      </c>
      <c r="C595" s="7" t="s">
        <v>1480</v>
      </c>
      <c r="D595" t="s">
        <v>29</v>
      </c>
      <c r="E595" t="e">
        <f>LEN(#REF!)</f>
        <v>#REF!</v>
      </c>
      <c r="F595" s="49" t="s">
        <v>4924</v>
      </c>
      <c r="K595" s="55" t="s">
        <v>4925</v>
      </c>
      <c r="M595">
        <f t="shared" si="18"/>
        <v>6</v>
      </c>
      <c r="N595" s="30" t="s">
        <v>4926</v>
      </c>
      <c r="R595">
        <v>594</v>
      </c>
      <c r="S595" t="s">
        <v>4927</v>
      </c>
      <c r="T595" t="s">
        <v>2279</v>
      </c>
      <c r="U595">
        <f t="shared" si="19"/>
        <v>8</v>
      </c>
      <c r="V595" s="30" t="s">
        <v>4928</v>
      </c>
    </row>
    <row r="596" spans="1:22">
      <c r="A596">
        <v>595</v>
      </c>
      <c r="C596" s="7" t="s">
        <v>1482</v>
      </c>
      <c r="D596" t="s">
        <v>29</v>
      </c>
      <c r="E596" t="e">
        <f>LEN(#REF!)</f>
        <v>#REF!</v>
      </c>
      <c r="F596" s="49" t="s">
        <v>4929</v>
      </c>
      <c r="K596" s="55" t="s">
        <v>4930</v>
      </c>
      <c r="M596">
        <f t="shared" si="18"/>
        <v>7</v>
      </c>
      <c r="N596" s="30" t="s">
        <v>4931</v>
      </c>
      <c r="R596">
        <v>595</v>
      </c>
      <c r="S596" t="s">
        <v>4932</v>
      </c>
      <c r="T596" t="s">
        <v>2279</v>
      </c>
      <c r="U596">
        <f t="shared" si="19"/>
        <v>9</v>
      </c>
      <c r="V596" s="30" t="s">
        <v>4933</v>
      </c>
    </row>
    <row r="597" spans="1:22">
      <c r="A597">
        <v>596</v>
      </c>
      <c r="C597" s="7" t="s">
        <v>1484</v>
      </c>
      <c r="D597" t="s">
        <v>29</v>
      </c>
      <c r="E597" t="e">
        <f>LEN(#REF!)</f>
        <v>#REF!</v>
      </c>
      <c r="F597" s="49" t="s">
        <v>4934</v>
      </c>
      <c r="K597" s="55" t="s">
        <v>4935</v>
      </c>
      <c r="M597">
        <f t="shared" si="18"/>
        <v>8</v>
      </c>
      <c r="N597" s="30" t="s">
        <v>4936</v>
      </c>
      <c r="R597">
        <v>596</v>
      </c>
      <c r="S597" t="s">
        <v>4937</v>
      </c>
      <c r="T597" t="s">
        <v>2279</v>
      </c>
      <c r="U597">
        <f t="shared" si="19"/>
        <v>9</v>
      </c>
      <c r="V597" s="30" t="s">
        <v>4938</v>
      </c>
    </row>
    <row r="598" spans="1:22">
      <c r="A598">
        <v>597</v>
      </c>
      <c r="C598" s="7" t="s">
        <v>1486</v>
      </c>
      <c r="D598" t="s">
        <v>29</v>
      </c>
      <c r="E598" t="e">
        <f>LEN(#REF!)</f>
        <v>#REF!</v>
      </c>
      <c r="F598" s="49" t="s">
        <v>4939</v>
      </c>
      <c r="K598" s="55" t="s">
        <v>4940</v>
      </c>
      <c r="M598">
        <f t="shared" si="18"/>
        <v>8</v>
      </c>
      <c r="N598" s="30" t="s">
        <v>4941</v>
      </c>
      <c r="R598">
        <v>597</v>
      </c>
      <c r="S598" t="s">
        <v>4942</v>
      </c>
      <c r="T598" t="s">
        <v>2279</v>
      </c>
      <c r="U598">
        <f t="shared" si="19"/>
        <v>8</v>
      </c>
      <c r="V598" s="30" t="s">
        <v>4943</v>
      </c>
    </row>
    <row r="599" spans="1:22">
      <c r="A599">
        <v>598</v>
      </c>
      <c r="C599" s="7" t="s">
        <v>1488</v>
      </c>
      <c r="D599" t="s">
        <v>29</v>
      </c>
      <c r="E599" t="e">
        <f>LEN(#REF!)</f>
        <v>#REF!</v>
      </c>
      <c r="F599" s="49" t="s">
        <v>4944</v>
      </c>
      <c r="K599" s="55" t="s">
        <v>4945</v>
      </c>
      <c r="M599">
        <f t="shared" si="18"/>
        <v>10</v>
      </c>
      <c r="N599" s="30" t="s">
        <v>4946</v>
      </c>
      <c r="R599">
        <v>598</v>
      </c>
      <c r="S599" t="s">
        <v>4947</v>
      </c>
      <c r="T599" t="s">
        <v>2279</v>
      </c>
      <c r="U599">
        <f t="shared" si="19"/>
        <v>8</v>
      </c>
      <c r="V599" s="31" t="s">
        <v>4948</v>
      </c>
    </row>
    <row r="600" spans="1:22">
      <c r="A600">
        <v>599</v>
      </c>
      <c r="C600" s="7" t="s">
        <v>1490</v>
      </c>
      <c r="D600" t="s">
        <v>29</v>
      </c>
      <c r="E600" t="e">
        <f>LEN(#REF!)</f>
        <v>#REF!</v>
      </c>
      <c r="F600" s="49" t="s">
        <v>4949</v>
      </c>
      <c r="K600" s="55" t="s">
        <v>4950</v>
      </c>
      <c r="M600">
        <f t="shared" si="18"/>
        <v>5</v>
      </c>
      <c r="N600" s="30" t="s">
        <v>4951</v>
      </c>
      <c r="R600">
        <v>599</v>
      </c>
      <c r="S600" t="s">
        <v>4952</v>
      </c>
      <c r="T600" t="s">
        <v>2279</v>
      </c>
      <c r="U600">
        <f t="shared" si="19"/>
        <v>11</v>
      </c>
      <c r="V600" s="30" t="s">
        <v>4953</v>
      </c>
    </row>
    <row r="601" spans="1:22">
      <c r="A601">
        <v>600</v>
      </c>
      <c r="C601" s="7" t="s">
        <v>1492</v>
      </c>
      <c r="D601" t="s">
        <v>29</v>
      </c>
      <c r="E601" t="e">
        <f>LEN(#REF!)</f>
        <v>#REF!</v>
      </c>
      <c r="F601" s="49" t="s">
        <v>4954</v>
      </c>
      <c r="K601" s="55" t="s">
        <v>4955</v>
      </c>
      <c r="M601">
        <f t="shared" si="18"/>
        <v>8</v>
      </c>
      <c r="N601" s="30" t="s">
        <v>4956</v>
      </c>
      <c r="R601">
        <v>600</v>
      </c>
      <c r="S601" t="s">
        <v>4957</v>
      </c>
      <c r="T601" t="s">
        <v>2279</v>
      </c>
      <c r="U601">
        <f t="shared" si="19"/>
        <v>8</v>
      </c>
      <c r="V601" s="31" t="s">
        <v>4958</v>
      </c>
    </row>
    <row r="602" spans="1:22">
      <c r="A602">
        <v>601</v>
      </c>
      <c r="C602" s="7" t="s">
        <v>1494</v>
      </c>
      <c r="D602" t="s">
        <v>29</v>
      </c>
      <c r="E602" t="e">
        <f>LEN(#REF!)</f>
        <v>#REF!</v>
      </c>
      <c r="F602" s="49" t="s">
        <v>4959</v>
      </c>
      <c r="K602" s="55" t="s">
        <v>4960</v>
      </c>
      <c r="M602">
        <f t="shared" si="18"/>
        <v>7</v>
      </c>
      <c r="N602" s="30" t="s">
        <v>4961</v>
      </c>
      <c r="R602">
        <v>601</v>
      </c>
      <c r="S602" t="s">
        <v>4962</v>
      </c>
      <c r="T602" t="s">
        <v>2279</v>
      </c>
      <c r="U602">
        <f t="shared" si="19"/>
        <v>11</v>
      </c>
      <c r="V602" s="30" t="s">
        <v>4963</v>
      </c>
    </row>
    <row r="603" spans="1:22">
      <c r="A603">
        <v>602</v>
      </c>
      <c r="C603" s="7" t="s">
        <v>1496</v>
      </c>
      <c r="D603" t="s">
        <v>29</v>
      </c>
      <c r="E603" t="e">
        <f>LEN(#REF!)</f>
        <v>#REF!</v>
      </c>
      <c r="F603" s="49" t="s">
        <v>4964</v>
      </c>
      <c r="K603" s="55" t="s">
        <v>4965</v>
      </c>
      <c r="M603">
        <f t="shared" si="18"/>
        <v>7</v>
      </c>
      <c r="N603" s="30" t="s">
        <v>4966</v>
      </c>
      <c r="R603">
        <v>602</v>
      </c>
      <c r="S603" t="s">
        <v>4967</v>
      </c>
      <c r="T603" t="s">
        <v>2279</v>
      </c>
      <c r="U603">
        <f t="shared" si="19"/>
        <v>8</v>
      </c>
      <c r="V603" s="30" t="s">
        <v>4968</v>
      </c>
    </row>
    <row r="604" spans="1:22">
      <c r="A604">
        <v>603</v>
      </c>
      <c r="C604" s="7" t="s">
        <v>4969</v>
      </c>
      <c r="D604" t="s">
        <v>29</v>
      </c>
      <c r="E604" t="e">
        <f>LEN(#REF!)</f>
        <v>#REF!</v>
      </c>
      <c r="F604" s="49" t="s">
        <v>4970</v>
      </c>
      <c r="K604" s="55" t="s">
        <v>4971</v>
      </c>
      <c r="M604">
        <f t="shared" si="18"/>
        <v>7</v>
      </c>
      <c r="N604" s="30" t="s">
        <v>4972</v>
      </c>
      <c r="R604">
        <v>603</v>
      </c>
      <c r="S604" t="s">
        <v>4973</v>
      </c>
      <c r="T604" t="s">
        <v>2279</v>
      </c>
      <c r="U604">
        <f t="shared" si="19"/>
        <v>8</v>
      </c>
      <c r="V604" s="30" t="s">
        <v>4974</v>
      </c>
    </row>
    <row r="605" spans="1:22">
      <c r="A605">
        <v>604</v>
      </c>
      <c r="C605" s="7" t="s">
        <v>1500</v>
      </c>
      <c r="D605" t="s">
        <v>29</v>
      </c>
      <c r="E605" t="e">
        <f>LEN(#REF!)</f>
        <v>#REF!</v>
      </c>
      <c r="F605" s="49" t="s">
        <v>4975</v>
      </c>
      <c r="K605" s="55" t="s">
        <v>4976</v>
      </c>
      <c r="M605">
        <f t="shared" si="18"/>
        <v>7</v>
      </c>
      <c r="N605" s="30" t="s">
        <v>4977</v>
      </c>
      <c r="R605">
        <v>604</v>
      </c>
      <c r="S605" t="s">
        <v>4978</v>
      </c>
      <c r="T605" t="s">
        <v>2279</v>
      </c>
      <c r="U605">
        <f t="shared" si="19"/>
        <v>8</v>
      </c>
      <c r="V605" s="30" t="s">
        <v>4979</v>
      </c>
    </row>
    <row r="606" spans="1:22">
      <c r="A606">
        <v>605</v>
      </c>
      <c r="C606" s="7" t="s">
        <v>4980</v>
      </c>
      <c r="D606" t="s">
        <v>29</v>
      </c>
      <c r="E606" t="e">
        <f>LEN(#REF!)</f>
        <v>#REF!</v>
      </c>
      <c r="F606" s="49" t="s">
        <v>4981</v>
      </c>
      <c r="K606" s="55" t="s">
        <v>4982</v>
      </c>
      <c r="M606">
        <f t="shared" si="18"/>
        <v>6</v>
      </c>
      <c r="N606" s="30" t="s">
        <v>4983</v>
      </c>
      <c r="R606">
        <v>605</v>
      </c>
      <c r="S606" t="s">
        <v>4984</v>
      </c>
      <c r="T606" t="s">
        <v>2279</v>
      </c>
      <c r="U606">
        <f t="shared" si="19"/>
        <v>10</v>
      </c>
      <c r="V606" s="30" t="s">
        <v>4985</v>
      </c>
    </row>
    <row r="607" spans="1:22">
      <c r="A607">
        <v>606</v>
      </c>
      <c r="C607" s="7" t="s">
        <v>1504</v>
      </c>
      <c r="D607" t="s">
        <v>29</v>
      </c>
      <c r="E607" t="e">
        <f>LEN(#REF!)</f>
        <v>#REF!</v>
      </c>
      <c r="F607" s="49" t="s">
        <v>4986</v>
      </c>
      <c r="K607" s="55" t="s">
        <v>4987</v>
      </c>
      <c r="M607">
        <f t="shared" si="18"/>
        <v>8</v>
      </c>
      <c r="N607" s="30" t="s">
        <v>4988</v>
      </c>
      <c r="R607">
        <v>606</v>
      </c>
      <c r="S607" t="s">
        <v>4989</v>
      </c>
      <c r="T607" t="s">
        <v>2279</v>
      </c>
      <c r="U607">
        <f t="shared" si="19"/>
        <v>14</v>
      </c>
      <c r="V607" s="30" t="s">
        <v>4990</v>
      </c>
    </row>
    <row r="608" spans="1:22">
      <c r="A608">
        <v>607</v>
      </c>
      <c r="C608" s="7" t="s">
        <v>1506</v>
      </c>
      <c r="D608" t="s">
        <v>29</v>
      </c>
      <c r="E608" t="e">
        <f>LEN(#REF!)</f>
        <v>#REF!</v>
      </c>
      <c r="F608" s="49" t="s">
        <v>4991</v>
      </c>
      <c r="K608" s="55" t="s">
        <v>4992</v>
      </c>
      <c r="M608">
        <f t="shared" si="18"/>
        <v>8</v>
      </c>
      <c r="N608" s="30" t="s">
        <v>4993</v>
      </c>
      <c r="R608">
        <v>607</v>
      </c>
      <c r="S608" t="s">
        <v>4994</v>
      </c>
      <c r="T608" t="s">
        <v>2279</v>
      </c>
      <c r="U608">
        <f t="shared" si="19"/>
        <v>10</v>
      </c>
      <c r="V608" s="30" t="s">
        <v>4995</v>
      </c>
    </row>
    <row r="609" spans="1:22">
      <c r="A609">
        <v>608</v>
      </c>
      <c r="C609" s="7" t="s">
        <v>1508</v>
      </c>
      <c r="D609" t="s">
        <v>29</v>
      </c>
      <c r="E609" t="e">
        <f>LEN(#REF!)</f>
        <v>#REF!</v>
      </c>
      <c r="F609" s="49" t="s">
        <v>4996</v>
      </c>
      <c r="K609" s="55" t="s">
        <v>4997</v>
      </c>
      <c r="M609">
        <f t="shared" si="18"/>
        <v>6</v>
      </c>
      <c r="N609" s="30" t="s">
        <v>4998</v>
      </c>
      <c r="R609">
        <v>608</v>
      </c>
      <c r="S609" t="s">
        <v>4999</v>
      </c>
      <c r="T609" t="s">
        <v>2279</v>
      </c>
      <c r="U609">
        <f t="shared" si="19"/>
        <v>9</v>
      </c>
      <c r="V609" s="30" t="s">
        <v>5000</v>
      </c>
    </row>
    <row r="610" spans="1:22">
      <c r="A610">
        <v>609</v>
      </c>
      <c r="C610" s="7" t="s">
        <v>1510</v>
      </c>
      <c r="D610" t="s">
        <v>29</v>
      </c>
      <c r="E610" t="e">
        <f>LEN(#REF!)</f>
        <v>#REF!</v>
      </c>
      <c r="F610" s="49" t="s">
        <v>5001</v>
      </c>
      <c r="K610" s="55" t="s">
        <v>5002</v>
      </c>
      <c r="M610">
        <f t="shared" si="18"/>
        <v>6</v>
      </c>
      <c r="N610" s="30" t="s">
        <v>5003</v>
      </c>
      <c r="R610">
        <v>609</v>
      </c>
      <c r="S610" t="s">
        <v>5004</v>
      </c>
      <c r="T610" t="s">
        <v>2279</v>
      </c>
      <c r="U610">
        <f t="shared" si="19"/>
        <v>8</v>
      </c>
      <c r="V610" s="30" t="s">
        <v>5005</v>
      </c>
    </row>
    <row r="611" spans="1:22">
      <c r="A611">
        <v>610</v>
      </c>
      <c r="C611" s="7" t="s">
        <v>1512</v>
      </c>
      <c r="D611" t="s">
        <v>29</v>
      </c>
      <c r="E611" t="e">
        <f>LEN(#REF!)</f>
        <v>#REF!</v>
      </c>
      <c r="F611" s="49" t="s">
        <v>5006</v>
      </c>
      <c r="K611" s="55" t="s">
        <v>5007</v>
      </c>
      <c r="M611">
        <f t="shared" si="18"/>
        <v>6</v>
      </c>
      <c r="N611" s="30" t="s">
        <v>5008</v>
      </c>
      <c r="R611">
        <v>610</v>
      </c>
      <c r="S611" t="s">
        <v>5009</v>
      </c>
      <c r="T611" t="s">
        <v>2279</v>
      </c>
      <c r="U611">
        <f t="shared" si="19"/>
        <v>9</v>
      </c>
      <c r="V611" s="30" t="s">
        <v>5010</v>
      </c>
    </row>
    <row r="612" spans="1:22">
      <c r="A612">
        <v>611</v>
      </c>
      <c r="C612" s="7" t="s">
        <v>1514</v>
      </c>
      <c r="D612" t="s">
        <v>29</v>
      </c>
      <c r="E612" t="e">
        <f>LEN(#REF!)</f>
        <v>#REF!</v>
      </c>
      <c r="F612" s="49" t="s">
        <v>5011</v>
      </c>
      <c r="K612" s="55" t="s">
        <v>5012</v>
      </c>
      <c r="M612">
        <f t="shared" si="18"/>
        <v>8</v>
      </c>
      <c r="N612" s="30" t="s">
        <v>5013</v>
      </c>
      <c r="R612">
        <v>611</v>
      </c>
      <c r="S612" t="s">
        <v>5014</v>
      </c>
      <c r="T612" t="s">
        <v>2279</v>
      </c>
      <c r="U612">
        <f t="shared" si="19"/>
        <v>8</v>
      </c>
      <c r="V612" s="30" t="s">
        <v>5015</v>
      </c>
    </row>
    <row r="613" spans="1:22">
      <c r="A613">
        <v>612</v>
      </c>
      <c r="C613" s="7" t="s">
        <v>1516</v>
      </c>
      <c r="D613" t="s">
        <v>29</v>
      </c>
      <c r="E613" t="e">
        <f>LEN(#REF!)</f>
        <v>#REF!</v>
      </c>
      <c r="F613" s="49" t="s">
        <v>5016</v>
      </c>
      <c r="K613" s="55" t="s">
        <v>5017</v>
      </c>
      <c r="M613">
        <f t="shared" si="18"/>
        <v>6</v>
      </c>
      <c r="N613" s="30" t="s">
        <v>5018</v>
      </c>
      <c r="R613">
        <v>612</v>
      </c>
      <c r="S613" t="s">
        <v>5019</v>
      </c>
      <c r="T613" t="s">
        <v>2279</v>
      </c>
      <c r="U613">
        <f t="shared" si="19"/>
        <v>10</v>
      </c>
      <c r="V613" s="30" t="s">
        <v>5020</v>
      </c>
    </row>
    <row r="614" spans="1:22">
      <c r="A614">
        <v>613</v>
      </c>
      <c r="C614" s="7" t="s">
        <v>1518</v>
      </c>
      <c r="D614" t="s">
        <v>29</v>
      </c>
      <c r="E614" t="e">
        <f>LEN(#REF!)</f>
        <v>#REF!</v>
      </c>
      <c r="F614" s="49" t="s">
        <v>5021</v>
      </c>
      <c r="K614" s="55" t="s">
        <v>5022</v>
      </c>
      <c r="M614">
        <f t="shared" si="18"/>
        <v>7</v>
      </c>
      <c r="N614" s="30" t="s">
        <v>5023</v>
      </c>
      <c r="R614">
        <v>613</v>
      </c>
      <c r="S614" t="s">
        <v>5024</v>
      </c>
      <c r="T614" t="s">
        <v>2279</v>
      </c>
      <c r="U614">
        <f t="shared" si="19"/>
        <v>16</v>
      </c>
      <c r="V614" s="30" t="s">
        <v>5025</v>
      </c>
    </row>
    <row r="615" spans="1:22">
      <c r="A615">
        <v>614</v>
      </c>
      <c r="C615" s="7" t="s">
        <v>1520</v>
      </c>
      <c r="D615" t="s">
        <v>29</v>
      </c>
      <c r="E615" t="e">
        <f>LEN(#REF!)</f>
        <v>#REF!</v>
      </c>
      <c r="F615" s="49" t="s">
        <v>5026</v>
      </c>
      <c r="K615" s="55" t="s">
        <v>5027</v>
      </c>
      <c r="M615">
        <f t="shared" si="18"/>
        <v>5</v>
      </c>
      <c r="N615" s="30" t="s">
        <v>5028</v>
      </c>
      <c r="R615">
        <v>614</v>
      </c>
      <c r="S615" t="s">
        <v>5029</v>
      </c>
      <c r="T615" t="s">
        <v>2279</v>
      </c>
      <c r="U615">
        <f t="shared" si="19"/>
        <v>13</v>
      </c>
      <c r="V615" s="30" t="s">
        <v>5030</v>
      </c>
    </row>
    <row r="616" spans="1:22">
      <c r="A616">
        <v>615</v>
      </c>
      <c r="C616" s="7" t="s">
        <v>1522</v>
      </c>
      <c r="D616" t="s">
        <v>29</v>
      </c>
      <c r="E616" t="e">
        <f>LEN(#REF!)</f>
        <v>#REF!</v>
      </c>
      <c r="F616" s="49" t="s">
        <v>5031</v>
      </c>
      <c r="K616" s="55" t="s">
        <v>5032</v>
      </c>
      <c r="M616">
        <f t="shared" si="18"/>
        <v>9</v>
      </c>
      <c r="N616" s="30" t="s">
        <v>5033</v>
      </c>
      <c r="R616">
        <v>615</v>
      </c>
      <c r="S616" t="s">
        <v>5034</v>
      </c>
      <c r="T616" t="s">
        <v>2279</v>
      </c>
      <c r="U616">
        <f t="shared" si="19"/>
        <v>10</v>
      </c>
      <c r="V616" s="30" t="s">
        <v>5035</v>
      </c>
    </row>
    <row r="617" spans="1:22">
      <c r="A617">
        <v>616</v>
      </c>
      <c r="C617" s="7" t="s">
        <v>1524</v>
      </c>
      <c r="D617" t="s">
        <v>29</v>
      </c>
      <c r="E617" t="e">
        <f>LEN(#REF!)</f>
        <v>#REF!</v>
      </c>
      <c r="F617" s="49" t="s">
        <v>5036</v>
      </c>
      <c r="K617" s="55" t="s">
        <v>5037</v>
      </c>
      <c r="M617">
        <f t="shared" si="18"/>
        <v>8</v>
      </c>
      <c r="N617" s="30" t="s">
        <v>5038</v>
      </c>
      <c r="R617">
        <v>616</v>
      </c>
      <c r="S617" t="s">
        <v>5039</v>
      </c>
      <c r="T617" t="s">
        <v>2279</v>
      </c>
      <c r="U617">
        <f t="shared" si="19"/>
        <v>14</v>
      </c>
      <c r="V617" s="31" t="s">
        <v>5040</v>
      </c>
    </row>
    <row r="618" spans="1:22">
      <c r="A618">
        <v>617</v>
      </c>
      <c r="C618" s="7" t="s">
        <v>5041</v>
      </c>
      <c r="D618" t="s">
        <v>29</v>
      </c>
      <c r="E618" t="e">
        <f>LEN(#REF!)</f>
        <v>#REF!</v>
      </c>
      <c r="F618" s="49" t="s">
        <v>5042</v>
      </c>
      <c r="K618" s="55" t="s">
        <v>5043</v>
      </c>
      <c r="M618">
        <f t="shared" si="18"/>
        <v>7</v>
      </c>
      <c r="N618" s="30" t="s">
        <v>5044</v>
      </c>
      <c r="R618">
        <v>617</v>
      </c>
      <c r="S618" t="s">
        <v>5045</v>
      </c>
      <c r="T618" t="s">
        <v>2279</v>
      </c>
      <c r="U618">
        <f t="shared" si="19"/>
        <v>11</v>
      </c>
      <c r="V618" s="30" t="s">
        <v>5046</v>
      </c>
    </row>
    <row r="619" spans="1:22">
      <c r="A619">
        <v>618</v>
      </c>
      <c r="C619" s="7" t="s">
        <v>1528</v>
      </c>
      <c r="D619" t="s">
        <v>29</v>
      </c>
      <c r="E619" t="e">
        <f>LEN(#REF!)</f>
        <v>#REF!</v>
      </c>
      <c r="F619" s="49" t="s">
        <v>5047</v>
      </c>
      <c r="K619" s="55" t="s">
        <v>5048</v>
      </c>
      <c r="M619">
        <f t="shared" si="18"/>
        <v>7</v>
      </c>
      <c r="N619" s="30" t="s">
        <v>5049</v>
      </c>
      <c r="R619">
        <v>618</v>
      </c>
      <c r="S619" t="s">
        <v>5050</v>
      </c>
      <c r="T619" t="s">
        <v>2279</v>
      </c>
      <c r="U619">
        <f t="shared" si="19"/>
        <v>10</v>
      </c>
      <c r="V619" s="30" t="s">
        <v>5051</v>
      </c>
    </row>
    <row r="620" spans="1:22">
      <c r="A620">
        <v>619</v>
      </c>
      <c r="C620" s="7" t="s">
        <v>1530</v>
      </c>
      <c r="D620" t="s">
        <v>29</v>
      </c>
      <c r="E620" t="e">
        <f>LEN(#REF!)</f>
        <v>#REF!</v>
      </c>
      <c r="F620" s="49" t="s">
        <v>5052</v>
      </c>
      <c r="K620" s="55" t="s">
        <v>5053</v>
      </c>
      <c r="M620">
        <f t="shared" si="18"/>
        <v>6</v>
      </c>
      <c r="N620" s="30" t="s">
        <v>5054</v>
      </c>
      <c r="R620">
        <v>619</v>
      </c>
      <c r="S620" t="s">
        <v>5055</v>
      </c>
      <c r="T620" t="s">
        <v>2279</v>
      </c>
      <c r="U620">
        <f t="shared" si="19"/>
        <v>8</v>
      </c>
      <c r="V620" s="30" t="s">
        <v>5056</v>
      </c>
    </row>
    <row r="621" spans="1:22">
      <c r="A621">
        <v>620</v>
      </c>
      <c r="C621" s="7" t="s">
        <v>1532</v>
      </c>
      <c r="D621" t="s">
        <v>29</v>
      </c>
      <c r="E621" t="e">
        <f>LEN(#REF!)</f>
        <v>#REF!</v>
      </c>
      <c r="F621" s="49" t="s">
        <v>5057</v>
      </c>
      <c r="K621" s="55" t="s">
        <v>5058</v>
      </c>
      <c r="M621">
        <f t="shared" si="18"/>
        <v>8</v>
      </c>
      <c r="N621" s="30" t="s">
        <v>5059</v>
      </c>
      <c r="R621">
        <v>620</v>
      </c>
      <c r="S621" t="s">
        <v>5060</v>
      </c>
      <c r="T621" t="s">
        <v>2279</v>
      </c>
      <c r="U621">
        <f t="shared" si="19"/>
        <v>8</v>
      </c>
      <c r="V621" s="30" t="s">
        <v>5061</v>
      </c>
    </row>
    <row r="622" spans="1:22">
      <c r="A622">
        <v>621</v>
      </c>
      <c r="C622" s="7" t="s">
        <v>1534</v>
      </c>
      <c r="D622" t="s">
        <v>29</v>
      </c>
      <c r="E622" t="e">
        <f>LEN(#REF!)</f>
        <v>#REF!</v>
      </c>
      <c r="F622" s="49" t="s">
        <v>5062</v>
      </c>
      <c r="K622" s="55" t="s">
        <v>5063</v>
      </c>
      <c r="M622">
        <f t="shared" si="18"/>
        <v>6</v>
      </c>
      <c r="N622" s="30" t="s">
        <v>5064</v>
      </c>
      <c r="R622">
        <v>621</v>
      </c>
      <c r="S622" t="s">
        <v>5065</v>
      </c>
      <c r="T622" t="s">
        <v>2279</v>
      </c>
      <c r="U622">
        <f t="shared" si="19"/>
        <v>10</v>
      </c>
      <c r="V622" s="31" t="s">
        <v>5066</v>
      </c>
    </row>
    <row r="623" spans="1:22">
      <c r="A623">
        <v>622</v>
      </c>
      <c r="C623" s="7" t="s">
        <v>1536</v>
      </c>
      <c r="D623" t="s">
        <v>29</v>
      </c>
      <c r="E623" t="e">
        <f>LEN(#REF!)</f>
        <v>#REF!</v>
      </c>
      <c r="F623" s="49" t="s">
        <v>5067</v>
      </c>
      <c r="K623" s="55" t="s">
        <v>5068</v>
      </c>
      <c r="M623">
        <f t="shared" si="18"/>
        <v>6</v>
      </c>
      <c r="N623" s="30" t="s">
        <v>5069</v>
      </c>
      <c r="R623">
        <v>622</v>
      </c>
      <c r="S623" t="s">
        <v>5070</v>
      </c>
      <c r="T623" t="s">
        <v>2279</v>
      </c>
      <c r="U623">
        <f t="shared" si="19"/>
        <v>10</v>
      </c>
      <c r="V623" s="30" t="s">
        <v>5071</v>
      </c>
    </row>
    <row r="624" spans="1:22">
      <c r="A624">
        <v>623</v>
      </c>
      <c r="C624" s="7" t="s">
        <v>1538</v>
      </c>
      <c r="D624" t="s">
        <v>29</v>
      </c>
      <c r="E624" t="e">
        <f>LEN(#REF!)</f>
        <v>#REF!</v>
      </c>
      <c r="F624" s="49" t="s">
        <v>5072</v>
      </c>
      <c r="K624" s="55" t="s">
        <v>5073</v>
      </c>
      <c r="M624">
        <f t="shared" si="18"/>
        <v>10</v>
      </c>
      <c r="N624" s="30" t="s">
        <v>5074</v>
      </c>
      <c r="R624">
        <v>623</v>
      </c>
      <c r="S624" t="s">
        <v>5075</v>
      </c>
      <c r="T624" t="s">
        <v>2279</v>
      </c>
      <c r="U624">
        <f t="shared" si="19"/>
        <v>10</v>
      </c>
      <c r="V624" s="30" t="s">
        <v>5076</v>
      </c>
    </row>
    <row r="625" spans="1:22">
      <c r="A625">
        <v>624</v>
      </c>
      <c r="C625" s="7" t="s">
        <v>1540</v>
      </c>
      <c r="D625" t="s">
        <v>29</v>
      </c>
      <c r="E625" t="e">
        <f>LEN(#REF!)</f>
        <v>#REF!</v>
      </c>
      <c r="F625" s="49" t="s">
        <v>5077</v>
      </c>
      <c r="K625" s="55" t="s">
        <v>5078</v>
      </c>
      <c r="M625">
        <f t="shared" si="18"/>
        <v>6</v>
      </c>
      <c r="N625" s="30" t="s">
        <v>5079</v>
      </c>
      <c r="R625">
        <v>624</v>
      </c>
      <c r="S625" t="s">
        <v>5080</v>
      </c>
      <c r="T625" t="s">
        <v>2279</v>
      </c>
      <c r="U625">
        <f t="shared" si="19"/>
        <v>8</v>
      </c>
      <c r="V625" s="30" t="s">
        <v>5081</v>
      </c>
    </row>
    <row r="626" spans="1:22">
      <c r="A626">
        <v>625</v>
      </c>
      <c r="C626" s="7" t="s">
        <v>5082</v>
      </c>
      <c r="D626" t="s">
        <v>29</v>
      </c>
      <c r="E626" t="e">
        <f>LEN(#REF!)</f>
        <v>#REF!</v>
      </c>
      <c r="F626" s="49" t="s">
        <v>5083</v>
      </c>
      <c r="K626" s="55" t="s">
        <v>5084</v>
      </c>
      <c r="M626">
        <f t="shared" si="18"/>
        <v>6</v>
      </c>
      <c r="N626" s="30" t="s">
        <v>5085</v>
      </c>
      <c r="R626">
        <v>625</v>
      </c>
      <c r="S626" t="s">
        <v>5086</v>
      </c>
      <c r="T626" t="s">
        <v>2279</v>
      </c>
      <c r="U626">
        <f t="shared" si="19"/>
        <v>8</v>
      </c>
      <c r="V626" s="30" t="s">
        <v>5087</v>
      </c>
    </row>
    <row r="627" spans="1:22">
      <c r="A627">
        <v>626</v>
      </c>
      <c r="C627" s="7" t="s">
        <v>1544</v>
      </c>
      <c r="D627" t="s">
        <v>29</v>
      </c>
      <c r="E627" t="e">
        <f>LEN(#REF!)</f>
        <v>#REF!</v>
      </c>
      <c r="F627" s="49" t="s">
        <v>5088</v>
      </c>
      <c r="K627" s="55" t="s">
        <v>5089</v>
      </c>
      <c r="M627">
        <f t="shared" si="18"/>
        <v>6</v>
      </c>
      <c r="N627" s="30" t="s">
        <v>5090</v>
      </c>
      <c r="R627">
        <v>626</v>
      </c>
      <c r="S627" t="s">
        <v>5091</v>
      </c>
      <c r="T627" t="s">
        <v>2279</v>
      </c>
      <c r="U627">
        <f t="shared" si="19"/>
        <v>8</v>
      </c>
      <c r="V627" s="30" t="s">
        <v>5092</v>
      </c>
    </row>
    <row r="628" spans="1:22">
      <c r="A628">
        <v>627</v>
      </c>
      <c r="C628" s="7" t="s">
        <v>1546</v>
      </c>
      <c r="D628" t="s">
        <v>29</v>
      </c>
      <c r="E628" t="e">
        <f>LEN(#REF!)</f>
        <v>#REF!</v>
      </c>
      <c r="F628" s="49" t="s">
        <v>5093</v>
      </c>
      <c r="K628" s="55" t="s">
        <v>5094</v>
      </c>
      <c r="M628">
        <f t="shared" si="18"/>
        <v>6</v>
      </c>
      <c r="N628" s="30" t="s">
        <v>5095</v>
      </c>
      <c r="R628">
        <v>627</v>
      </c>
      <c r="S628" t="s">
        <v>5096</v>
      </c>
      <c r="T628" t="s">
        <v>2279</v>
      </c>
      <c r="U628">
        <f t="shared" si="19"/>
        <v>8</v>
      </c>
      <c r="V628" s="30" t="s">
        <v>5097</v>
      </c>
    </row>
    <row r="629" spans="1:22">
      <c r="A629">
        <v>628</v>
      </c>
      <c r="C629" s="7" t="s">
        <v>1548</v>
      </c>
      <c r="D629" t="s">
        <v>29</v>
      </c>
      <c r="E629" t="e">
        <f>LEN(#REF!)</f>
        <v>#REF!</v>
      </c>
      <c r="F629" s="49" t="s">
        <v>5098</v>
      </c>
      <c r="K629" s="55" t="s">
        <v>5099</v>
      </c>
      <c r="M629">
        <f t="shared" si="18"/>
        <v>9</v>
      </c>
      <c r="N629" s="30" t="s">
        <v>5100</v>
      </c>
      <c r="R629">
        <v>628</v>
      </c>
      <c r="S629" t="s">
        <v>5101</v>
      </c>
      <c r="T629" t="s">
        <v>2279</v>
      </c>
      <c r="U629">
        <f t="shared" si="19"/>
        <v>8</v>
      </c>
      <c r="V629" s="30" t="s">
        <v>5102</v>
      </c>
    </row>
    <row r="630" spans="1:22">
      <c r="A630">
        <v>629</v>
      </c>
      <c r="C630" s="7" t="s">
        <v>1550</v>
      </c>
      <c r="D630" t="s">
        <v>29</v>
      </c>
      <c r="E630" t="e">
        <f>LEN(#REF!)</f>
        <v>#REF!</v>
      </c>
      <c r="F630" s="49" t="s">
        <v>5103</v>
      </c>
      <c r="K630" s="55" t="s">
        <v>5104</v>
      </c>
      <c r="M630">
        <f t="shared" si="18"/>
        <v>6</v>
      </c>
      <c r="N630" s="31" t="s">
        <v>5105</v>
      </c>
      <c r="R630">
        <v>629</v>
      </c>
      <c r="S630" t="s">
        <v>5106</v>
      </c>
      <c r="T630" t="s">
        <v>2279</v>
      </c>
      <c r="U630">
        <f t="shared" si="19"/>
        <v>8</v>
      </c>
      <c r="V630" s="30" t="s">
        <v>5107</v>
      </c>
    </row>
    <row r="631" spans="1:22">
      <c r="A631">
        <v>630</v>
      </c>
      <c r="C631" s="7" t="s">
        <v>1552</v>
      </c>
      <c r="D631" t="s">
        <v>29</v>
      </c>
      <c r="E631" t="e">
        <f>LEN(#REF!)</f>
        <v>#REF!</v>
      </c>
      <c r="F631" s="49" t="s">
        <v>5108</v>
      </c>
      <c r="K631" s="55" t="s">
        <v>5109</v>
      </c>
      <c r="M631">
        <f t="shared" si="18"/>
        <v>7</v>
      </c>
      <c r="N631" s="30" t="s">
        <v>5110</v>
      </c>
      <c r="R631">
        <v>630</v>
      </c>
      <c r="S631" t="s">
        <v>5111</v>
      </c>
      <c r="T631" t="s">
        <v>2279</v>
      </c>
      <c r="U631">
        <f t="shared" si="19"/>
        <v>11</v>
      </c>
      <c r="V631" s="30" t="s">
        <v>5112</v>
      </c>
    </row>
    <row r="632" spans="1:22">
      <c r="A632">
        <v>631</v>
      </c>
      <c r="C632" s="7" t="s">
        <v>1554</v>
      </c>
      <c r="D632" t="s">
        <v>29</v>
      </c>
      <c r="E632" t="e">
        <f>LEN(#REF!)</f>
        <v>#REF!</v>
      </c>
      <c r="F632" s="49" t="s">
        <v>5113</v>
      </c>
      <c r="K632" s="55" t="s">
        <v>5114</v>
      </c>
      <c r="M632">
        <f t="shared" si="18"/>
        <v>5</v>
      </c>
      <c r="N632" s="30" t="s">
        <v>5115</v>
      </c>
      <c r="R632">
        <v>631</v>
      </c>
      <c r="S632" t="s">
        <v>5116</v>
      </c>
      <c r="T632" t="s">
        <v>2279</v>
      </c>
      <c r="U632">
        <f t="shared" si="19"/>
        <v>8</v>
      </c>
      <c r="V632" s="30" t="s">
        <v>5117</v>
      </c>
    </row>
    <row r="633" spans="1:22">
      <c r="A633">
        <v>632</v>
      </c>
      <c r="C633" s="7" t="s">
        <v>1556</v>
      </c>
      <c r="D633" t="s">
        <v>29</v>
      </c>
      <c r="E633" t="e">
        <f>LEN(#REF!)</f>
        <v>#REF!</v>
      </c>
      <c r="F633" s="49" t="s">
        <v>5118</v>
      </c>
      <c r="K633" s="55" t="s">
        <v>5119</v>
      </c>
      <c r="M633">
        <f t="shared" si="18"/>
        <v>5</v>
      </c>
      <c r="N633" s="30" t="s">
        <v>5120</v>
      </c>
      <c r="R633">
        <v>632</v>
      </c>
      <c r="S633" t="s">
        <v>5121</v>
      </c>
      <c r="T633" t="s">
        <v>2279</v>
      </c>
      <c r="U633">
        <f t="shared" si="19"/>
        <v>10</v>
      </c>
      <c r="V633" s="30" t="s">
        <v>5122</v>
      </c>
    </row>
    <row r="634" spans="1:22">
      <c r="A634">
        <v>633</v>
      </c>
      <c r="C634" s="7" t="s">
        <v>1558</v>
      </c>
      <c r="D634" t="s">
        <v>29</v>
      </c>
      <c r="E634" t="e">
        <f>LEN(#REF!)</f>
        <v>#REF!</v>
      </c>
      <c r="F634" s="49" t="s">
        <v>5123</v>
      </c>
      <c r="K634" s="55" t="s">
        <v>5124</v>
      </c>
      <c r="M634">
        <f t="shared" si="18"/>
        <v>6</v>
      </c>
      <c r="N634" s="30" t="s">
        <v>5125</v>
      </c>
      <c r="R634">
        <v>633</v>
      </c>
      <c r="S634" t="s">
        <v>5126</v>
      </c>
      <c r="T634" t="s">
        <v>2279</v>
      </c>
      <c r="U634">
        <f t="shared" si="19"/>
        <v>10</v>
      </c>
      <c r="V634" s="30" t="s">
        <v>5127</v>
      </c>
    </row>
    <row r="635" spans="1:22">
      <c r="A635">
        <v>634</v>
      </c>
      <c r="C635" s="7" t="s">
        <v>1560</v>
      </c>
      <c r="D635" t="s">
        <v>29</v>
      </c>
      <c r="E635" t="e">
        <f>LEN(#REF!)</f>
        <v>#REF!</v>
      </c>
      <c r="F635" s="49" t="s">
        <v>5128</v>
      </c>
      <c r="K635" s="55" t="s">
        <v>5129</v>
      </c>
      <c r="M635">
        <f t="shared" si="18"/>
        <v>7</v>
      </c>
      <c r="N635" s="30" t="s">
        <v>5130</v>
      </c>
      <c r="R635">
        <v>634</v>
      </c>
      <c r="S635" t="s">
        <v>5131</v>
      </c>
      <c r="T635" t="s">
        <v>2279</v>
      </c>
      <c r="U635">
        <f t="shared" si="19"/>
        <v>11</v>
      </c>
      <c r="V635" s="30" t="s">
        <v>5132</v>
      </c>
    </row>
    <row r="636" spans="1:22">
      <c r="A636">
        <v>635</v>
      </c>
      <c r="C636" s="7" t="s">
        <v>1562</v>
      </c>
      <c r="D636" t="s">
        <v>29</v>
      </c>
      <c r="E636" t="e">
        <f>LEN(#REF!)</f>
        <v>#REF!</v>
      </c>
      <c r="F636" s="49" t="s">
        <v>5133</v>
      </c>
      <c r="K636" s="55" t="s">
        <v>5134</v>
      </c>
      <c r="M636">
        <f t="shared" si="18"/>
        <v>6</v>
      </c>
      <c r="N636" s="30" t="s">
        <v>5135</v>
      </c>
      <c r="R636">
        <v>635</v>
      </c>
      <c r="S636" t="s">
        <v>5136</v>
      </c>
      <c r="T636" t="s">
        <v>2279</v>
      </c>
      <c r="U636">
        <f t="shared" si="19"/>
        <v>12</v>
      </c>
      <c r="V636" s="30" t="s">
        <v>5137</v>
      </c>
    </row>
    <row r="637" spans="1:22">
      <c r="A637">
        <v>636</v>
      </c>
      <c r="C637" s="7" t="s">
        <v>1564</v>
      </c>
      <c r="D637" t="s">
        <v>29</v>
      </c>
      <c r="E637" t="e">
        <f>LEN(#REF!)</f>
        <v>#REF!</v>
      </c>
      <c r="F637" s="49" t="s">
        <v>5138</v>
      </c>
      <c r="K637" s="55" t="s">
        <v>5139</v>
      </c>
      <c r="M637">
        <f t="shared" si="18"/>
        <v>5</v>
      </c>
      <c r="N637" s="30" t="s">
        <v>5140</v>
      </c>
      <c r="R637">
        <v>636</v>
      </c>
      <c r="S637" t="s">
        <v>5141</v>
      </c>
      <c r="T637" t="s">
        <v>2279</v>
      </c>
      <c r="U637">
        <f t="shared" si="19"/>
        <v>9</v>
      </c>
      <c r="V637" s="30" t="s">
        <v>5142</v>
      </c>
    </row>
    <row r="638" spans="1:22">
      <c r="A638">
        <v>637</v>
      </c>
      <c r="C638" s="7" t="s">
        <v>1566</v>
      </c>
      <c r="D638" t="s">
        <v>29</v>
      </c>
      <c r="E638" t="e">
        <f>LEN(#REF!)</f>
        <v>#REF!</v>
      </c>
      <c r="F638" s="49" t="s">
        <v>5143</v>
      </c>
      <c r="K638" s="55" t="s">
        <v>5144</v>
      </c>
      <c r="M638">
        <f t="shared" si="18"/>
        <v>8</v>
      </c>
      <c r="N638" s="30" t="s">
        <v>5145</v>
      </c>
      <c r="R638">
        <v>637</v>
      </c>
      <c r="S638" t="s">
        <v>5146</v>
      </c>
      <c r="T638" t="s">
        <v>2279</v>
      </c>
      <c r="U638">
        <f t="shared" si="19"/>
        <v>11</v>
      </c>
      <c r="V638" s="30" t="s">
        <v>5147</v>
      </c>
    </row>
    <row r="639" spans="1:22">
      <c r="A639">
        <v>638</v>
      </c>
      <c r="C639" s="7" t="s">
        <v>1568</v>
      </c>
      <c r="D639" t="s">
        <v>29</v>
      </c>
      <c r="E639" t="e">
        <f>LEN(#REF!)</f>
        <v>#REF!</v>
      </c>
      <c r="F639" s="49" t="s">
        <v>5148</v>
      </c>
      <c r="K639" s="55" t="s">
        <v>5149</v>
      </c>
      <c r="M639">
        <f t="shared" si="18"/>
        <v>5</v>
      </c>
      <c r="N639" s="30" t="s">
        <v>5150</v>
      </c>
      <c r="R639">
        <v>638</v>
      </c>
      <c r="S639" t="s">
        <v>5151</v>
      </c>
      <c r="T639" t="s">
        <v>2279</v>
      </c>
      <c r="U639">
        <f t="shared" si="19"/>
        <v>9</v>
      </c>
      <c r="V639" s="30" t="s">
        <v>5152</v>
      </c>
    </row>
    <row r="640" spans="1:22">
      <c r="A640">
        <v>639</v>
      </c>
      <c r="C640" s="7" t="s">
        <v>1570</v>
      </c>
      <c r="D640" t="s">
        <v>29</v>
      </c>
      <c r="E640" t="e">
        <f>LEN(#REF!)</f>
        <v>#REF!</v>
      </c>
      <c r="F640" s="49" t="s">
        <v>5153</v>
      </c>
      <c r="K640" s="55" t="s">
        <v>5154</v>
      </c>
      <c r="M640">
        <f t="shared" si="18"/>
        <v>7</v>
      </c>
      <c r="N640" s="30" t="s">
        <v>5155</v>
      </c>
      <c r="R640">
        <v>639</v>
      </c>
      <c r="S640" t="s">
        <v>5156</v>
      </c>
      <c r="T640" t="s">
        <v>2279</v>
      </c>
      <c r="U640">
        <f t="shared" si="19"/>
        <v>9</v>
      </c>
      <c r="V640" s="30" t="s">
        <v>5157</v>
      </c>
    </row>
    <row r="641" spans="1:22">
      <c r="A641">
        <v>640</v>
      </c>
      <c r="C641" s="7" t="s">
        <v>1572</v>
      </c>
      <c r="D641" t="s">
        <v>29</v>
      </c>
      <c r="E641" t="e">
        <f>LEN(#REF!)</f>
        <v>#REF!</v>
      </c>
      <c r="F641" s="49" t="s">
        <v>5158</v>
      </c>
      <c r="K641" s="55" t="s">
        <v>5159</v>
      </c>
      <c r="M641">
        <f t="shared" si="18"/>
        <v>7</v>
      </c>
      <c r="N641" s="30" t="s">
        <v>5160</v>
      </c>
      <c r="R641">
        <v>640</v>
      </c>
      <c r="S641" t="s">
        <v>5161</v>
      </c>
      <c r="T641" t="s">
        <v>2279</v>
      </c>
      <c r="U641">
        <f t="shared" si="19"/>
        <v>9</v>
      </c>
      <c r="V641" s="30" t="s">
        <v>5162</v>
      </c>
    </row>
    <row r="642" spans="1:22">
      <c r="A642">
        <v>641</v>
      </c>
      <c r="C642" s="7" t="s">
        <v>1574</v>
      </c>
      <c r="D642" t="s">
        <v>29</v>
      </c>
      <c r="E642" t="e">
        <f>LEN(#REF!)</f>
        <v>#REF!</v>
      </c>
      <c r="F642" s="49" t="s">
        <v>5163</v>
      </c>
      <c r="K642" s="55" t="s">
        <v>5164</v>
      </c>
      <c r="M642">
        <f t="shared" si="18"/>
        <v>9</v>
      </c>
      <c r="N642" s="30" t="s">
        <v>5165</v>
      </c>
      <c r="R642">
        <v>641</v>
      </c>
      <c r="S642" t="s">
        <v>5166</v>
      </c>
      <c r="T642" t="s">
        <v>2279</v>
      </c>
      <c r="U642">
        <f t="shared" si="19"/>
        <v>8</v>
      </c>
      <c r="V642" s="30" t="s">
        <v>5167</v>
      </c>
    </row>
    <row r="643" spans="1:22">
      <c r="A643">
        <v>642</v>
      </c>
      <c r="C643" s="7" t="s">
        <v>1576</v>
      </c>
      <c r="D643" t="s">
        <v>29</v>
      </c>
      <c r="E643" t="e">
        <f>LEN(#REF!)</f>
        <v>#REF!</v>
      </c>
      <c r="F643" s="49" t="s">
        <v>5168</v>
      </c>
      <c r="K643" s="55" t="s">
        <v>5169</v>
      </c>
      <c r="M643">
        <f t="shared" ref="M643:M706" si="20">LEN(K643)</f>
        <v>8</v>
      </c>
      <c r="N643" s="30" t="s">
        <v>5170</v>
      </c>
      <c r="R643">
        <v>642</v>
      </c>
      <c r="S643" t="s">
        <v>5171</v>
      </c>
      <c r="T643" t="s">
        <v>2279</v>
      </c>
      <c r="U643">
        <f t="shared" ref="U643:U706" si="21">LEN(S643)</f>
        <v>8</v>
      </c>
      <c r="V643" s="30" t="s">
        <v>5172</v>
      </c>
    </row>
    <row r="644" spans="1:22">
      <c r="A644">
        <v>643</v>
      </c>
      <c r="C644" s="7" t="s">
        <v>1578</v>
      </c>
      <c r="D644" t="s">
        <v>29</v>
      </c>
      <c r="E644" t="e">
        <f>LEN(#REF!)</f>
        <v>#REF!</v>
      </c>
      <c r="F644" s="49" t="s">
        <v>5173</v>
      </c>
      <c r="K644" s="55" t="s">
        <v>5174</v>
      </c>
      <c r="M644">
        <f t="shared" si="20"/>
        <v>6</v>
      </c>
      <c r="N644" s="30" t="s">
        <v>5175</v>
      </c>
      <c r="R644">
        <v>643</v>
      </c>
      <c r="S644" t="s">
        <v>5176</v>
      </c>
      <c r="T644" t="s">
        <v>2279</v>
      </c>
      <c r="U644">
        <f t="shared" si="21"/>
        <v>8</v>
      </c>
      <c r="V644" s="30" t="s">
        <v>5177</v>
      </c>
    </row>
    <row r="645" spans="1:22">
      <c r="A645">
        <v>644</v>
      </c>
      <c r="C645" s="7" t="s">
        <v>1580</v>
      </c>
      <c r="D645" t="s">
        <v>29</v>
      </c>
      <c r="E645" t="e">
        <f>LEN(#REF!)</f>
        <v>#REF!</v>
      </c>
      <c r="F645" s="49" t="s">
        <v>5178</v>
      </c>
      <c r="K645" s="55" t="s">
        <v>5179</v>
      </c>
      <c r="M645">
        <f t="shared" si="20"/>
        <v>6</v>
      </c>
      <c r="N645" s="30" t="s">
        <v>5180</v>
      </c>
      <c r="R645">
        <v>644</v>
      </c>
      <c r="S645" t="s">
        <v>5181</v>
      </c>
      <c r="T645" t="s">
        <v>2279</v>
      </c>
      <c r="U645">
        <f t="shared" si="21"/>
        <v>8</v>
      </c>
      <c r="V645" s="30" t="s">
        <v>5182</v>
      </c>
    </row>
    <row r="646" spans="1:22">
      <c r="A646">
        <v>645</v>
      </c>
      <c r="C646" s="7" t="s">
        <v>1582</v>
      </c>
      <c r="D646" t="s">
        <v>29</v>
      </c>
      <c r="E646" t="e">
        <f>LEN(#REF!)</f>
        <v>#REF!</v>
      </c>
      <c r="F646" s="49" t="s">
        <v>5183</v>
      </c>
      <c r="K646" s="55" t="s">
        <v>5184</v>
      </c>
      <c r="M646">
        <f t="shared" si="20"/>
        <v>8</v>
      </c>
      <c r="N646" s="30" t="s">
        <v>5185</v>
      </c>
      <c r="R646">
        <v>645</v>
      </c>
      <c r="S646" t="s">
        <v>5186</v>
      </c>
      <c r="T646" t="s">
        <v>2279</v>
      </c>
      <c r="U646">
        <f t="shared" si="21"/>
        <v>10</v>
      </c>
      <c r="V646" s="30" t="s">
        <v>5187</v>
      </c>
    </row>
    <row r="647" spans="1:22">
      <c r="A647">
        <v>646</v>
      </c>
      <c r="C647" s="7" t="s">
        <v>1584</v>
      </c>
      <c r="D647" t="s">
        <v>29</v>
      </c>
      <c r="E647" t="e">
        <f>LEN(#REF!)</f>
        <v>#REF!</v>
      </c>
      <c r="F647" s="49" t="s">
        <v>5188</v>
      </c>
      <c r="K647" s="55" t="s">
        <v>5189</v>
      </c>
      <c r="M647">
        <f t="shared" si="20"/>
        <v>7</v>
      </c>
      <c r="N647" s="30" t="s">
        <v>5190</v>
      </c>
      <c r="R647">
        <v>646</v>
      </c>
      <c r="S647" t="s">
        <v>5191</v>
      </c>
      <c r="T647" t="s">
        <v>2279</v>
      </c>
      <c r="U647">
        <f t="shared" si="21"/>
        <v>12</v>
      </c>
      <c r="V647" s="30" t="s">
        <v>5192</v>
      </c>
    </row>
    <row r="648" spans="1:22">
      <c r="A648">
        <v>647</v>
      </c>
      <c r="C648" s="7" t="s">
        <v>1586</v>
      </c>
      <c r="D648" t="s">
        <v>29</v>
      </c>
      <c r="E648" t="e">
        <f>LEN(#REF!)</f>
        <v>#REF!</v>
      </c>
      <c r="F648" s="49" t="s">
        <v>5193</v>
      </c>
      <c r="K648" s="55" t="s">
        <v>5194</v>
      </c>
      <c r="M648">
        <f t="shared" si="20"/>
        <v>6</v>
      </c>
      <c r="N648" s="30" t="s">
        <v>5195</v>
      </c>
      <c r="R648">
        <v>647</v>
      </c>
      <c r="S648" t="s">
        <v>5196</v>
      </c>
      <c r="T648" t="s">
        <v>2279</v>
      </c>
      <c r="U648">
        <f t="shared" si="21"/>
        <v>8</v>
      </c>
      <c r="V648" s="30" t="s">
        <v>5197</v>
      </c>
    </row>
    <row r="649" spans="1:22">
      <c r="A649">
        <v>648</v>
      </c>
      <c r="C649" s="7" t="s">
        <v>1588</v>
      </c>
      <c r="D649" t="s">
        <v>29</v>
      </c>
      <c r="E649" t="e">
        <f>LEN(#REF!)</f>
        <v>#REF!</v>
      </c>
      <c r="F649" s="49" t="s">
        <v>5198</v>
      </c>
      <c r="K649" s="55" t="s">
        <v>5199</v>
      </c>
      <c r="M649">
        <f t="shared" si="20"/>
        <v>6</v>
      </c>
      <c r="N649" s="30" t="s">
        <v>5200</v>
      </c>
      <c r="R649">
        <v>648</v>
      </c>
      <c r="S649" t="s">
        <v>5201</v>
      </c>
      <c r="T649" t="s">
        <v>2279</v>
      </c>
      <c r="U649">
        <f t="shared" si="21"/>
        <v>9</v>
      </c>
      <c r="V649" s="30" t="s">
        <v>5202</v>
      </c>
    </row>
    <row r="650" spans="1:22">
      <c r="A650">
        <v>649</v>
      </c>
      <c r="C650" s="7" t="s">
        <v>1590</v>
      </c>
      <c r="D650" t="s">
        <v>29</v>
      </c>
      <c r="E650" t="e">
        <f>LEN(#REF!)</f>
        <v>#REF!</v>
      </c>
      <c r="F650" s="49" t="s">
        <v>5203</v>
      </c>
      <c r="K650" s="55" t="s">
        <v>5204</v>
      </c>
      <c r="M650">
        <f t="shared" si="20"/>
        <v>6</v>
      </c>
      <c r="N650" s="30" t="s">
        <v>5205</v>
      </c>
      <c r="R650">
        <v>649</v>
      </c>
      <c r="S650" t="s">
        <v>5206</v>
      </c>
      <c r="T650" t="s">
        <v>2279</v>
      </c>
      <c r="U650">
        <f t="shared" si="21"/>
        <v>8</v>
      </c>
      <c r="V650" s="30" t="s">
        <v>5207</v>
      </c>
    </row>
    <row r="651" spans="1:22">
      <c r="A651">
        <v>650</v>
      </c>
      <c r="C651" s="7" t="s">
        <v>1592</v>
      </c>
      <c r="D651" t="s">
        <v>29</v>
      </c>
      <c r="E651" t="e">
        <f>LEN(#REF!)</f>
        <v>#REF!</v>
      </c>
      <c r="F651" s="49" t="s">
        <v>5208</v>
      </c>
      <c r="K651" s="55" t="s">
        <v>5209</v>
      </c>
      <c r="M651">
        <f t="shared" si="20"/>
        <v>5</v>
      </c>
      <c r="N651" s="30" t="s">
        <v>5210</v>
      </c>
      <c r="R651">
        <v>650</v>
      </c>
      <c r="S651" t="s">
        <v>5211</v>
      </c>
      <c r="T651" t="s">
        <v>2279</v>
      </c>
      <c r="U651">
        <f t="shared" si="21"/>
        <v>8</v>
      </c>
      <c r="V651" s="30" t="s">
        <v>5212</v>
      </c>
    </row>
    <row r="652" spans="1:22">
      <c r="A652">
        <v>651</v>
      </c>
      <c r="C652" s="7" t="s">
        <v>1594</v>
      </c>
      <c r="D652" t="s">
        <v>29</v>
      </c>
      <c r="E652" t="e">
        <f>LEN(#REF!)</f>
        <v>#REF!</v>
      </c>
      <c r="F652" s="49" t="s">
        <v>5213</v>
      </c>
      <c r="K652" s="55" t="s">
        <v>5214</v>
      </c>
      <c r="M652">
        <f t="shared" si="20"/>
        <v>5</v>
      </c>
      <c r="N652" s="30" t="s">
        <v>5215</v>
      </c>
      <c r="R652">
        <v>651</v>
      </c>
      <c r="S652" t="s">
        <v>5216</v>
      </c>
      <c r="T652" t="s">
        <v>2279</v>
      </c>
      <c r="U652">
        <f t="shared" si="21"/>
        <v>8</v>
      </c>
      <c r="V652" s="30" t="s">
        <v>5217</v>
      </c>
    </row>
    <row r="653" spans="1:22">
      <c r="A653">
        <v>652</v>
      </c>
      <c r="C653" s="7" t="s">
        <v>1596</v>
      </c>
      <c r="D653" t="s">
        <v>29</v>
      </c>
      <c r="E653" t="e">
        <f>LEN(#REF!)</f>
        <v>#REF!</v>
      </c>
      <c r="F653" s="49" t="s">
        <v>5218</v>
      </c>
      <c r="K653" s="55" t="s">
        <v>5219</v>
      </c>
      <c r="M653">
        <f t="shared" si="20"/>
        <v>9</v>
      </c>
      <c r="N653" s="30" t="s">
        <v>5220</v>
      </c>
      <c r="R653">
        <v>652</v>
      </c>
      <c r="S653" t="s">
        <v>5221</v>
      </c>
      <c r="T653" t="s">
        <v>2279</v>
      </c>
      <c r="U653">
        <f t="shared" si="21"/>
        <v>8</v>
      </c>
      <c r="V653" s="30" t="s">
        <v>5222</v>
      </c>
    </row>
    <row r="654" spans="1:22">
      <c r="A654">
        <v>653</v>
      </c>
      <c r="C654" s="7" t="s">
        <v>1598</v>
      </c>
      <c r="D654" t="s">
        <v>29</v>
      </c>
      <c r="E654" t="e">
        <f>LEN(#REF!)</f>
        <v>#REF!</v>
      </c>
      <c r="F654" s="49" t="s">
        <v>5223</v>
      </c>
      <c r="K654" s="55" t="s">
        <v>5224</v>
      </c>
      <c r="M654">
        <f t="shared" si="20"/>
        <v>6</v>
      </c>
      <c r="N654" s="30" t="s">
        <v>5225</v>
      </c>
      <c r="R654">
        <v>653</v>
      </c>
      <c r="S654" t="s">
        <v>5226</v>
      </c>
      <c r="T654" t="s">
        <v>2279</v>
      </c>
      <c r="U654">
        <f t="shared" si="21"/>
        <v>8</v>
      </c>
      <c r="V654" s="30" t="s">
        <v>5227</v>
      </c>
    </row>
    <row r="655" spans="1:22">
      <c r="A655">
        <v>654</v>
      </c>
      <c r="C655" s="7" t="s">
        <v>1600</v>
      </c>
      <c r="D655" t="s">
        <v>29</v>
      </c>
      <c r="E655" t="e">
        <f>LEN(#REF!)</f>
        <v>#REF!</v>
      </c>
      <c r="F655" s="49" t="s">
        <v>5228</v>
      </c>
      <c r="K655" s="55" t="s">
        <v>5229</v>
      </c>
      <c r="M655">
        <f t="shared" si="20"/>
        <v>5</v>
      </c>
      <c r="N655" s="30" t="s">
        <v>5230</v>
      </c>
      <c r="R655">
        <v>654</v>
      </c>
      <c r="S655" t="s">
        <v>5231</v>
      </c>
      <c r="T655" t="s">
        <v>2279</v>
      </c>
      <c r="U655">
        <f t="shared" si="21"/>
        <v>13</v>
      </c>
      <c r="V655" s="30" t="s">
        <v>5232</v>
      </c>
    </row>
    <row r="656" spans="1:22">
      <c r="A656">
        <v>655</v>
      </c>
      <c r="C656" s="7" t="s">
        <v>1602</v>
      </c>
      <c r="D656" t="s">
        <v>29</v>
      </c>
      <c r="E656" t="e">
        <f>LEN(#REF!)</f>
        <v>#REF!</v>
      </c>
      <c r="F656" s="49" t="s">
        <v>5233</v>
      </c>
      <c r="K656" s="55" t="s">
        <v>5234</v>
      </c>
      <c r="M656">
        <f t="shared" si="20"/>
        <v>6</v>
      </c>
      <c r="N656" s="30" t="s">
        <v>5235</v>
      </c>
      <c r="R656">
        <v>655</v>
      </c>
      <c r="S656" t="s">
        <v>5236</v>
      </c>
      <c r="T656" t="s">
        <v>2279</v>
      </c>
      <c r="U656">
        <f t="shared" si="21"/>
        <v>10</v>
      </c>
      <c r="V656" s="30" t="s">
        <v>5237</v>
      </c>
    </row>
    <row r="657" spans="1:22">
      <c r="A657">
        <v>656</v>
      </c>
      <c r="C657" s="7" t="s">
        <v>1604</v>
      </c>
      <c r="D657" t="s">
        <v>29</v>
      </c>
      <c r="E657" t="e">
        <f>LEN(#REF!)</f>
        <v>#REF!</v>
      </c>
      <c r="F657" s="49" t="s">
        <v>5238</v>
      </c>
      <c r="K657" s="55" t="s">
        <v>5239</v>
      </c>
      <c r="M657">
        <f t="shared" si="20"/>
        <v>8</v>
      </c>
      <c r="N657" s="30" t="s">
        <v>5240</v>
      </c>
      <c r="R657">
        <v>656</v>
      </c>
      <c r="S657" t="s">
        <v>5241</v>
      </c>
      <c r="T657" t="s">
        <v>2279</v>
      </c>
      <c r="U657">
        <f t="shared" si="21"/>
        <v>8</v>
      </c>
      <c r="V657" s="30" t="s">
        <v>5242</v>
      </c>
    </row>
    <row r="658" spans="1:22">
      <c r="A658">
        <v>657</v>
      </c>
      <c r="C658" s="7" t="s">
        <v>1606</v>
      </c>
      <c r="D658" t="s">
        <v>29</v>
      </c>
      <c r="E658" t="e">
        <f>LEN(#REF!)</f>
        <v>#REF!</v>
      </c>
      <c r="F658" s="49" t="s">
        <v>5243</v>
      </c>
      <c r="K658" s="55" t="s">
        <v>5244</v>
      </c>
      <c r="M658">
        <f t="shared" si="20"/>
        <v>9</v>
      </c>
      <c r="N658" s="30" t="s">
        <v>5245</v>
      </c>
      <c r="R658">
        <v>657</v>
      </c>
      <c r="S658" t="s">
        <v>5246</v>
      </c>
      <c r="T658" t="s">
        <v>2279</v>
      </c>
      <c r="U658">
        <f t="shared" si="21"/>
        <v>15</v>
      </c>
      <c r="V658" s="30" t="s">
        <v>5247</v>
      </c>
    </row>
    <row r="659" spans="1:22">
      <c r="A659">
        <v>658</v>
      </c>
      <c r="C659" s="7" t="s">
        <v>1608</v>
      </c>
      <c r="D659" t="s">
        <v>29</v>
      </c>
      <c r="E659" t="e">
        <f>LEN(#REF!)</f>
        <v>#REF!</v>
      </c>
      <c r="F659" s="49" t="s">
        <v>5248</v>
      </c>
      <c r="K659" s="55" t="s">
        <v>5249</v>
      </c>
      <c r="M659">
        <f t="shared" si="20"/>
        <v>8</v>
      </c>
      <c r="N659" s="30" t="s">
        <v>5250</v>
      </c>
      <c r="R659">
        <v>658</v>
      </c>
      <c r="S659" t="s">
        <v>5251</v>
      </c>
      <c r="T659" t="s">
        <v>2279</v>
      </c>
      <c r="U659">
        <f t="shared" si="21"/>
        <v>9</v>
      </c>
      <c r="V659" s="30" t="s">
        <v>5252</v>
      </c>
    </row>
    <row r="660" spans="1:22">
      <c r="A660">
        <v>659</v>
      </c>
      <c r="C660" s="7" t="s">
        <v>1610</v>
      </c>
      <c r="D660" t="s">
        <v>29</v>
      </c>
      <c r="E660" t="e">
        <f>LEN(#REF!)</f>
        <v>#REF!</v>
      </c>
      <c r="F660" s="49" t="s">
        <v>5253</v>
      </c>
      <c r="K660" s="55" t="s">
        <v>5254</v>
      </c>
      <c r="M660">
        <f t="shared" si="20"/>
        <v>7</v>
      </c>
      <c r="N660" s="30" t="s">
        <v>5255</v>
      </c>
      <c r="R660">
        <v>659</v>
      </c>
      <c r="S660" t="s">
        <v>5256</v>
      </c>
      <c r="T660" t="s">
        <v>2279</v>
      </c>
      <c r="U660">
        <f t="shared" si="21"/>
        <v>9</v>
      </c>
      <c r="V660" s="30" t="s">
        <v>5257</v>
      </c>
    </row>
    <row r="661" spans="1:22">
      <c r="A661">
        <v>660</v>
      </c>
      <c r="C661" s="7" t="s">
        <v>1612</v>
      </c>
      <c r="D661" t="s">
        <v>29</v>
      </c>
      <c r="E661" t="e">
        <f>LEN(#REF!)</f>
        <v>#REF!</v>
      </c>
      <c r="F661" s="49" t="s">
        <v>5258</v>
      </c>
      <c r="K661" s="55" t="s">
        <v>5259</v>
      </c>
      <c r="M661">
        <f t="shared" si="20"/>
        <v>8</v>
      </c>
      <c r="N661" s="30" t="s">
        <v>5260</v>
      </c>
      <c r="R661">
        <v>660</v>
      </c>
      <c r="S661" t="s">
        <v>5261</v>
      </c>
      <c r="T661" t="s">
        <v>2279</v>
      </c>
      <c r="U661">
        <f t="shared" si="21"/>
        <v>8</v>
      </c>
      <c r="V661" s="30" t="s">
        <v>5262</v>
      </c>
    </row>
    <row r="662" spans="1:22">
      <c r="A662">
        <v>661</v>
      </c>
      <c r="C662" s="7" t="s">
        <v>1614</v>
      </c>
      <c r="D662" t="s">
        <v>29</v>
      </c>
      <c r="E662" t="e">
        <f>LEN(#REF!)</f>
        <v>#REF!</v>
      </c>
      <c r="F662" s="49" t="s">
        <v>5263</v>
      </c>
      <c r="K662" s="55" t="s">
        <v>5264</v>
      </c>
      <c r="M662">
        <f t="shared" si="20"/>
        <v>7</v>
      </c>
      <c r="N662" s="30" t="s">
        <v>5265</v>
      </c>
      <c r="R662">
        <v>661</v>
      </c>
      <c r="S662" t="s">
        <v>5266</v>
      </c>
      <c r="T662" t="s">
        <v>2279</v>
      </c>
      <c r="U662">
        <f t="shared" si="21"/>
        <v>9</v>
      </c>
      <c r="V662" s="30" t="s">
        <v>5267</v>
      </c>
    </row>
    <row r="663" spans="1:22">
      <c r="A663">
        <v>662</v>
      </c>
      <c r="C663" s="7" t="s">
        <v>1616</v>
      </c>
      <c r="D663" t="s">
        <v>29</v>
      </c>
      <c r="E663" t="e">
        <f>LEN(#REF!)</f>
        <v>#REF!</v>
      </c>
      <c r="F663" s="49" t="s">
        <v>5268</v>
      </c>
      <c r="K663" s="55" t="s">
        <v>5269</v>
      </c>
      <c r="M663">
        <f t="shared" si="20"/>
        <v>6</v>
      </c>
      <c r="N663" s="30" t="s">
        <v>5270</v>
      </c>
      <c r="R663">
        <v>662</v>
      </c>
      <c r="S663" t="s">
        <v>5271</v>
      </c>
      <c r="T663" t="s">
        <v>2279</v>
      </c>
      <c r="U663">
        <f t="shared" si="21"/>
        <v>10</v>
      </c>
      <c r="V663" s="30" t="s">
        <v>5272</v>
      </c>
    </row>
    <row r="664" spans="1:22">
      <c r="A664">
        <v>663</v>
      </c>
      <c r="C664" s="7" t="s">
        <v>5273</v>
      </c>
      <c r="D664" t="s">
        <v>29</v>
      </c>
      <c r="E664" t="e">
        <f>LEN(#REF!)</f>
        <v>#REF!</v>
      </c>
      <c r="F664" s="49" t="s">
        <v>5274</v>
      </c>
      <c r="K664" s="55" t="s">
        <v>5275</v>
      </c>
      <c r="M664">
        <f t="shared" si="20"/>
        <v>6</v>
      </c>
      <c r="N664" s="30" t="s">
        <v>5276</v>
      </c>
      <c r="R664">
        <v>663</v>
      </c>
      <c r="S664" t="s">
        <v>5277</v>
      </c>
      <c r="T664" t="s">
        <v>2279</v>
      </c>
      <c r="U664">
        <f t="shared" si="21"/>
        <v>8</v>
      </c>
      <c r="V664" s="30" t="s">
        <v>5278</v>
      </c>
    </row>
    <row r="665" spans="1:22">
      <c r="A665">
        <v>664</v>
      </c>
      <c r="C665" s="7" t="s">
        <v>1620</v>
      </c>
      <c r="D665" t="s">
        <v>29</v>
      </c>
      <c r="E665" t="e">
        <f>LEN(#REF!)</f>
        <v>#REF!</v>
      </c>
      <c r="F665" s="49" t="s">
        <v>5279</v>
      </c>
      <c r="K665" s="55" t="s">
        <v>5280</v>
      </c>
      <c r="M665">
        <f t="shared" si="20"/>
        <v>7</v>
      </c>
      <c r="N665" s="30" t="s">
        <v>5281</v>
      </c>
      <c r="R665">
        <v>664</v>
      </c>
      <c r="S665" t="s">
        <v>5282</v>
      </c>
      <c r="T665" t="s">
        <v>2279</v>
      </c>
      <c r="U665">
        <f t="shared" si="21"/>
        <v>9</v>
      </c>
      <c r="V665" s="30" t="s">
        <v>5283</v>
      </c>
    </row>
    <row r="666" spans="1:22">
      <c r="A666">
        <v>665</v>
      </c>
      <c r="C666" s="7" t="s">
        <v>5284</v>
      </c>
      <c r="D666" t="s">
        <v>29</v>
      </c>
      <c r="E666" t="e">
        <f>LEN(#REF!)</f>
        <v>#REF!</v>
      </c>
      <c r="F666" s="49" t="s">
        <v>5285</v>
      </c>
      <c r="K666" s="55" t="s">
        <v>5286</v>
      </c>
      <c r="M666">
        <f t="shared" si="20"/>
        <v>8</v>
      </c>
      <c r="N666" s="30" t="s">
        <v>5287</v>
      </c>
      <c r="R666">
        <v>665</v>
      </c>
      <c r="S666" t="s">
        <v>5288</v>
      </c>
      <c r="T666" t="s">
        <v>2279</v>
      </c>
      <c r="U666">
        <f t="shared" si="21"/>
        <v>8</v>
      </c>
      <c r="V666" s="31" t="s">
        <v>5289</v>
      </c>
    </row>
    <row r="667" spans="1:22">
      <c r="A667">
        <v>666</v>
      </c>
      <c r="C667" s="7" t="s">
        <v>1624</v>
      </c>
      <c r="D667" t="s">
        <v>29</v>
      </c>
      <c r="E667" t="e">
        <f>LEN(#REF!)</f>
        <v>#REF!</v>
      </c>
      <c r="F667" s="49" t="s">
        <v>5290</v>
      </c>
      <c r="K667" s="55" t="s">
        <v>5291</v>
      </c>
      <c r="M667">
        <f t="shared" si="20"/>
        <v>7</v>
      </c>
      <c r="N667" s="30" t="s">
        <v>5292</v>
      </c>
      <c r="R667">
        <v>666</v>
      </c>
      <c r="S667" t="s">
        <v>5293</v>
      </c>
      <c r="T667" t="s">
        <v>2279</v>
      </c>
      <c r="U667">
        <f t="shared" si="21"/>
        <v>12</v>
      </c>
      <c r="V667" s="30" t="s">
        <v>5294</v>
      </c>
    </row>
    <row r="668" spans="1:22">
      <c r="A668">
        <v>667</v>
      </c>
      <c r="C668" s="7" t="s">
        <v>1626</v>
      </c>
      <c r="D668" t="s">
        <v>29</v>
      </c>
      <c r="E668" t="e">
        <f>LEN(#REF!)</f>
        <v>#REF!</v>
      </c>
      <c r="F668" s="49" t="s">
        <v>5295</v>
      </c>
      <c r="K668" s="55" t="s">
        <v>5296</v>
      </c>
      <c r="M668">
        <f t="shared" si="20"/>
        <v>6</v>
      </c>
      <c r="N668" s="30" t="s">
        <v>5297</v>
      </c>
      <c r="R668">
        <v>667</v>
      </c>
      <c r="S668" t="s">
        <v>5298</v>
      </c>
      <c r="T668" t="s">
        <v>2279</v>
      </c>
      <c r="U668">
        <f t="shared" si="21"/>
        <v>9</v>
      </c>
      <c r="V668" s="30" t="s">
        <v>5299</v>
      </c>
    </row>
    <row r="669" spans="1:22">
      <c r="A669">
        <v>668</v>
      </c>
      <c r="C669" s="7" t="s">
        <v>1628</v>
      </c>
      <c r="D669" t="s">
        <v>29</v>
      </c>
      <c r="E669" t="e">
        <f>LEN(#REF!)</f>
        <v>#REF!</v>
      </c>
      <c r="F669" s="49" t="s">
        <v>5300</v>
      </c>
      <c r="K669" s="55" t="s">
        <v>5301</v>
      </c>
      <c r="M669">
        <f t="shared" si="20"/>
        <v>6</v>
      </c>
      <c r="N669" s="30" t="s">
        <v>5302</v>
      </c>
      <c r="R669">
        <v>668</v>
      </c>
      <c r="S669" t="s">
        <v>5303</v>
      </c>
      <c r="T669" t="s">
        <v>2279</v>
      </c>
      <c r="U669">
        <f t="shared" si="21"/>
        <v>13</v>
      </c>
      <c r="V669" s="30" t="s">
        <v>5304</v>
      </c>
    </row>
    <row r="670" spans="1:22">
      <c r="A670">
        <v>669</v>
      </c>
      <c r="C670" s="7" t="s">
        <v>1630</v>
      </c>
      <c r="D670" t="s">
        <v>29</v>
      </c>
      <c r="E670" t="e">
        <f>LEN(#REF!)</f>
        <v>#REF!</v>
      </c>
      <c r="F670" s="49" t="s">
        <v>5305</v>
      </c>
      <c r="K670" s="55" t="s">
        <v>5306</v>
      </c>
      <c r="M670">
        <f t="shared" si="20"/>
        <v>8</v>
      </c>
      <c r="N670" s="30" t="s">
        <v>5307</v>
      </c>
      <c r="R670">
        <v>669</v>
      </c>
      <c r="S670" t="s">
        <v>5308</v>
      </c>
      <c r="T670" t="s">
        <v>2279</v>
      </c>
      <c r="U670">
        <f t="shared" si="21"/>
        <v>16</v>
      </c>
      <c r="V670" s="30" t="s">
        <v>5309</v>
      </c>
    </row>
    <row r="671" spans="1:22">
      <c r="A671">
        <v>670</v>
      </c>
      <c r="C671" s="7" t="s">
        <v>1632</v>
      </c>
      <c r="D671" t="s">
        <v>29</v>
      </c>
      <c r="E671" t="e">
        <f>LEN(#REF!)</f>
        <v>#REF!</v>
      </c>
      <c r="F671" s="49" t="s">
        <v>5310</v>
      </c>
      <c r="K671" s="55" t="s">
        <v>5311</v>
      </c>
      <c r="M671">
        <f t="shared" si="20"/>
        <v>11</v>
      </c>
      <c r="N671" s="30" t="s">
        <v>5312</v>
      </c>
      <c r="R671">
        <v>670</v>
      </c>
      <c r="S671" t="s">
        <v>5313</v>
      </c>
      <c r="T671" t="s">
        <v>2279</v>
      </c>
      <c r="U671">
        <f t="shared" si="21"/>
        <v>10</v>
      </c>
      <c r="V671" s="30" t="s">
        <v>5314</v>
      </c>
    </row>
    <row r="672" spans="1:22">
      <c r="A672">
        <v>671</v>
      </c>
      <c r="C672" s="7" t="s">
        <v>1634</v>
      </c>
      <c r="D672" t="s">
        <v>29</v>
      </c>
      <c r="E672" t="e">
        <f>LEN(#REF!)</f>
        <v>#REF!</v>
      </c>
      <c r="F672" s="49" t="s">
        <v>5315</v>
      </c>
      <c r="K672" s="55" t="s">
        <v>5316</v>
      </c>
      <c r="M672">
        <f t="shared" si="20"/>
        <v>6</v>
      </c>
      <c r="N672" s="30" t="s">
        <v>5317</v>
      </c>
      <c r="R672">
        <v>671</v>
      </c>
      <c r="S672" t="s">
        <v>5318</v>
      </c>
      <c r="T672" t="s">
        <v>2279</v>
      </c>
      <c r="U672">
        <f t="shared" si="21"/>
        <v>8</v>
      </c>
      <c r="V672" s="30" t="s">
        <v>5319</v>
      </c>
    </row>
    <row r="673" spans="1:22">
      <c r="A673">
        <v>672</v>
      </c>
      <c r="C673" s="7" t="s">
        <v>1636</v>
      </c>
      <c r="D673" t="s">
        <v>29</v>
      </c>
      <c r="E673" t="e">
        <f>LEN(#REF!)</f>
        <v>#REF!</v>
      </c>
      <c r="F673" s="49" t="s">
        <v>5320</v>
      </c>
      <c r="K673" s="55" t="s">
        <v>5321</v>
      </c>
      <c r="M673">
        <f t="shared" si="20"/>
        <v>5</v>
      </c>
      <c r="N673" s="30" t="s">
        <v>5322</v>
      </c>
      <c r="R673">
        <v>672</v>
      </c>
      <c r="S673" t="s">
        <v>5323</v>
      </c>
      <c r="T673" t="s">
        <v>2279</v>
      </c>
      <c r="U673">
        <f t="shared" si="21"/>
        <v>9</v>
      </c>
      <c r="V673" s="30" t="s">
        <v>5324</v>
      </c>
    </row>
    <row r="674" spans="1:22">
      <c r="A674">
        <v>673</v>
      </c>
      <c r="C674" s="7" t="s">
        <v>1638</v>
      </c>
      <c r="D674" t="s">
        <v>29</v>
      </c>
      <c r="E674" t="e">
        <f>LEN(#REF!)</f>
        <v>#REF!</v>
      </c>
      <c r="F674" s="49" t="s">
        <v>5325</v>
      </c>
      <c r="K674" s="55" t="s">
        <v>5326</v>
      </c>
      <c r="M674">
        <f t="shared" si="20"/>
        <v>7</v>
      </c>
      <c r="N674" s="30" t="s">
        <v>5327</v>
      </c>
      <c r="R674">
        <v>673</v>
      </c>
      <c r="S674" t="s">
        <v>5328</v>
      </c>
      <c r="T674" t="s">
        <v>2279</v>
      </c>
      <c r="U674">
        <f t="shared" si="21"/>
        <v>9</v>
      </c>
      <c r="V674" s="30" t="s">
        <v>5329</v>
      </c>
    </row>
    <row r="675" spans="1:22">
      <c r="A675">
        <v>674</v>
      </c>
      <c r="C675" s="7" t="s">
        <v>5330</v>
      </c>
      <c r="D675" t="s">
        <v>29</v>
      </c>
      <c r="E675" t="e">
        <f>LEN(#REF!)</f>
        <v>#REF!</v>
      </c>
      <c r="F675" s="49" t="s">
        <v>5331</v>
      </c>
      <c r="K675" s="55" t="s">
        <v>5332</v>
      </c>
      <c r="M675">
        <f t="shared" si="20"/>
        <v>5</v>
      </c>
      <c r="N675" s="30" t="s">
        <v>5333</v>
      </c>
      <c r="R675">
        <v>674</v>
      </c>
      <c r="S675" t="s">
        <v>5334</v>
      </c>
      <c r="T675" t="s">
        <v>2279</v>
      </c>
      <c r="U675">
        <f t="shared" si="21"/>
        <v>8</v>
      </c>
      <c r="V675" s="30" t="s">
        <v>5335</v>
      </c>
    </row>
    <row r="676" spans="1:22">
      <c r="A676">
        <v>675</v>
      </c>
      <c r="C676" s="7" t="s">
        <v>1642</v>
      </c>
      <c r="D676" t="s">
        <v>29</v>
      </c>
      <c r="E676" t="e">
        <f>LEN(#REF!)</f>
        <v>#REF!</v>
      </c>
      <c r="F676" s="49" t="s">
        <v>5336</v>
      </c>
      <c r="K676" s="55" t="s">
        <v>5337</v>
      </c>
      <c r="M676">
        <f t="shared" si="20"/>
        <v>6</v>
      </c>
      <c r="N676" s="30" t="s">
        <v>5338</v>
      </c>
      <c r="R676">
        <v>675</v>
      </c>
      <c r="S676" t="s">
        <v>5339</v>
      </c>
      <c r="T676" t="s">
        <v>2279</v>
      </c>
      <c r="U676">
        <f t="shared" si="21"/>
        <v>11</v>
      </c>
      <c r="V676" s="30" t="s">
        <v>5340</v>
      </c>
    </row>
    <row r="677" spans="1:22">
      <c r="A677">
        <v>676</v>
      </c>
      <c r="C677" s="7" t="s">
        <v>1644</v>
      </c>
      <c r="D677" t="s">
        <v>29</v>
      </c>
      <c r="E677" t="e">
        <f>LEN(#REF!)</f>
        <v>#REF!</v>
      </c>
      <c r="F677" s="49" t="s">
        <v>5341</v>
      </c>
      <c r="K677" s="55" t="s">
        <v>5342</v>
      </c>
      <c r="M677">
        <f t="shared" si="20"/>
        <v>6</v>
      </c>
      <c r="N677" s="30" t="s">
        <v>5343</v>
      </c>
      <c r="R677">
        <v>676</v>
      </c>
      <c r="S677" t="s">
        <v>5344</v>
      </c>
      <c r="T677" t="s">
        <v>2279</v>
      </c>
      <c r="U677">
        <f t="shared" si="21"/>
        <v>13</v>
      </c>
      <c r="V677" s="30" t="s">
        <v>5345</v>
      </c>
    </row>
    <row r="678" spans="1:22">
      <c r="A678">
        <v>677</v>
      </c>
      <c r="C678" s="7" t="s">
        <v>1646</v>
      </c>
      <c r="D678" t="s">
        <v>29</v>
      </c>
      <c r="E678" t="e">
        <f>LEN(#REF!)</f>
        <v>#REF!</v>
      </c>
      <c r="F678" s="49" t="s">
        <v>5346</v>
      </c>
      <c r="K678" s="55" t="s">
        <v>5347</v>
      </c>
      <c r="M678">
        <f t="shared" si="20"/>
        <v>6</v>
      </c>
      <c r="N678" s="30" t="s">
        <v>5348</v>
      </c>
      <c r="R678">
        <v>677</v>
      </c>
      <c r="S678" t="s">
        <v>5349</v>
      </c>
      <c r="T678" t="s">
        <v>2279</v>
      </c>
      <c r="U678">
        <f t="shared" si="21"/>
        <v>11</v>
      </c>
      <c r="V678" s="30" t="s">
        <v>5350</v>
      </c>
    </row>
    <row r="679" spans="1:22">
      <c r="A679">
        <v>678</v>
      </c>
      <c r="C679" s="7" t="s">
        <v>1648</v>
      </c>
      <c r="D679" t="s">
        <v>29</v>
      </c>
      <c r="E679" t="e">
        <f>LEN(#REF!)</f>
        <v>#REF!</v>
      </c>
      <c r="F679" s="49" t="s">
        <v>5351</v>
      </c>
      <c r="K679" s="55" t="s">
        <v>5352</v>
      </c>
      <c r="M679">
        <f t="shared" si="20"/>
        <v>6</v>
      </c>
      <c r="N679" s="30" t="s">
        <v>5353</v>
      </c>
      <c r="R679">
        <v>678</v>
      </c>
      <c r="S679" t="s">
        <v>5354</v>
      </c>
      <c r="T679" t="s">
        <v>2279</v>
      </c>
      <c r="U679">
        <f t="shared" si="21"/>
        <v>12</v>
      </c>
      <c r="V679" s="30" t="s">
        <v>5355</v>
      </c>
    </row>
    <row r="680" spans="1:22">
      <c r="A680">
        <v>679</v>
      </c>
      <c r="C680" s="7" t="s">
        <v>1650</v>
      </c>
      <c r="D680" t="s">
        <v>29</v>
      </c>
      <c r="E680" t="e">
        <f>LEN(#REF!)</f>
        <v>#REF!</v>
      </c>
      <c r="F680" s="49" t="s">
        <v>5356</v>
      </c>
      <c r="K680" s="55" t="s">
        <v>5357</v>
      </c>
      <c r="M680">
        <f t="shared" si="20"/>
        <v>6</v>
      </c>
      <c r="N680" s="30" t="s">
        <v>5358</v>
      </c>
      <c r="R680">
        <v>679</v>
      </c>
      <c r="S680" t="s">
        <v>5359</v>
      </c>
      <c r="T680" t="s">
        <v>2279</v>
      </c>
      <c r="U680">
        <f t="shared" si="21"/>
        <v>8</v>
      </c>
      <c r="V680" s="30" t="s">
        <v>5360</v>
      </c>
    </row>
    <row r="681" spans="1:22">
      <c r="A681">
        <v>680</v>
      </c>
      <c r="C681" s="7" t="s">
        <v>1652</v>
      </c>
      <c r="D681" t="s">
        <v>29</v>
      </c>
      <c r="E681" t="e">
        <f>LEN(#REF!)</f>
        <v>#REF!</v>
      </c>
      <c r="F681" s="49" t="s">
        <v>5361</v>
      </c>
      <c r="K681" s="55" t="s">
        <v>5362</v>
      </c>
      <c r="M681">
        <f t="shared" si="20"/>
        <v>6</v>
      </c>
      <c r="N681" s="30" t="s">
        <v>5363</v>
      </c>
      <c r="R681">
        <v>680</v>
      </c>
      <c r="S681" t="s">
        <v>5364</v>
      </c>
      <c r="T681" t="s">
        <v>2279</v>
      </c>
      <c r="U681">
        <f t="shared" si="21"/>
        <v>8</v>
      </c>
      <c r="V681" s="30" t="s">
        <v>5365</v>
      </c>
    </row>
    <row r="682" spans="1:22">
      <c r="A682">
        <v>681</v>
      </c>
      <c r="C682" s="7" t="s">
        <v>1654</v>
      </c>
      <c r="D682" t="s">
        <v>29</v>
      </c>
      <c r="E682" t="e">
        <f>LEN(#REF!)</f>
        <v>#REF!</v>
      </c>
      <c r="F682" s="49" t="s">
        <v>5366</v>
      </c>
      <c r="K682" s="55" t="s">
        <v>5367</v>
      </c>
      <c r="M682">
        <f t="shared" si="20"/>
        <v>7</v>
      </c>
      <c r="N682" s="30" t="s">
        <v>5368</v>
      </c>
      <c r="R682">
        <v>681</v>
      </c>
      <c r="S682" t="s">
        <v>5369</v>
      </c>
      <c r="T682" t="s">
        <v>2279</v>
      </c>
      <c r="U682">
        <f t="shared" si="21"/>
        <v>8</v>
      </c>
      <c r="V682" s="30" t="s">
        <v>5370</v>
      </c>
    </row>
    <row r="683" spans="1:22">
      <c r="A683">
        <v>682</v>
      </c>
      <c r="C683" s="7" t="s">
        <v>1656</v>
      </c>
      <c r="D683" t="s">
        <v>29</v>
      </c>
      <c r="E683" t="e">
        <f>LEN(#REF!)</f>
        <v>#REF!</v>
      </c>
      <c r="F683" s="49" t="s">
        <v>5371</v>
      </c>
      <c r="K683" s="55" t="s">
        <v>5372</v>
      </c>
      <c r="M683">
        <f t="shared" si="20"/>
        <v>6</v>
      </c>
      <c r="N683" s="30" t="s">
        <v>5373</v>
      </c>
      <c r="R683">
        <v>682</v>
      </c>
      <c r="S683" t="s">
        <v>5374</v>
      </c>
      <c r="T683" t="s">
        <v>2279</v>
      </c>
      <c r="U683">
        <f t="shared" si="21"/>
        <v>10</v>
      </c>
      <c r="V683" s="30" t="s">
        <v>5375</v>
      </c>
    </row>
    <row r="684" spans="1:22">
      <c r="A684">
        <v>683</v>
      </c>
      <c r="C684" s="7" t="s">
        <v>1658</v>
      </c>
      <c r="D684" t="s">
        <v>29</v>
      </c>
      <c r="E684" t="e">
        <f>LEN(#REF!)</f>
        <v>#REF!</v>
      </c>
      <c r="F684" s="49" t="s">
        <v>5376</v>
      </c>
      <c r="K684" s="55" t="s">
        <v>5377</v>
      </c>
      <c r="M684">
        <f t="shared" si="20"/>
        <v>7</v>
      </c>
      <c r="N684" s="30" t="s">
        <v>5378</v>
      </c>
      <c r="R684">
        <v>683</v>
      </c>
      <c r="S684" t="s">
        <v>5379</v>
      </c>
      <c r="T684" t="s">
        <v>2279</v>
      </c>
      <c r="U684">
        <f t="shared" si="21"/>
        <v>9</v>
      </c>
      <c r="V684" s="30" t="s">
        <v>5380</v>
      </c>
    </row>
    <row r="685" spans="1:22">
      <c r="A685">
        <v>684</v>
      </c>
      <c r="C685" s="7" t="s">
        <v>1660</v>
      </c>
      <c r="D685" t="s">
        <v>29</v>
      </c>
      <c r="E685" t="e">
        <f>LEN(#REF!)</f>
        <v>#REF!</v>
      </c>
      <c r="F685" s="49" t="s">
        <v>5381</v>
      </c>
      <c r="K685" s="55">
        <v>10203</v>
      </c>
      <c r="M685">
        <f t="shared" si="20"/>
        <v>5</v>
      </c>
      <c r="N685" s="30" t="s">
        <v>5382</v>
      </c>
      <c r="R685">
        <v>684</v>
      </c>
      <c r="S685" t="s">
        <v>5383</v>
      </c>
      <c r="T685" t="s">
        <v>2279</v>
      </c>
      <c r="U685">
        <f t="shared" si="21"/>
        <v>8</v>
      </c>
      <c r="V685" s="30" t="s">
        <v>5384</v>
      </c>
    </row>
    <row r="686" spans="1:22">
      <c r="A686">
        <v>685</v>
      </c>
      <c r="C686" s="7" t="s">
        <v>1662</v>
      </c>
      <c r="D686" t="s">
        <v>29</v>
      </c>
      <c r="E686" t="e">
        <f>LEN(#REF!)</f>
        <v>#REF!</v>
      </c>
      <c r="F686" s="49" t="s">
        <v>5385</v>
      </c>
      <c r="K686" s="55" t="s">
        <v>5386</v>
      </c>
      <c r="M686">
        <f t="shared" si="20"/>
        <v>6</v>
      </c>
      <c r="N686" s="30" t="s">
        <v>5387</v>
      </c>
      <c r="R686">
        <v>685</v>
      </c>
      <c r="S686" t="s">
        <v>5388</v>
      </c>
      <c r="T686" t="s">
        <v>2279</v>
      </c>
      <c r="U686">
        <f t="shared" si="21"/>
        <v>8</v>
      </c>
      <c r="V686" s="30" t="s">
        <v>5389</v>
      </c>
    </row>
    <row r="687" spans="1:22">
      <c r="A687">
        <v>686</v>
      </c>
      <c r="C687" s="7" t="s">
        <v>1664</v>
      </c>
      <c r="D687" t="s">
        <v>29</v>
      </c>
      <c r="E687" t="e">
        <f>LEN(#REF!)</f>
        <v>#REF!</v>
      </c>
      <c r="F687" s="49" t="s">
        <v>5390</v>
      </c>
      <c r="K687" s="55" t="s">
        <v>5391</v>
      </c>
      <c r="M687">
        <f t="shared" si="20"/>
        <v>7</v>
      </c>
      <c r="N687" s="30" t="s">
        <v>5392</v>
      </c>
      <c r="R687">
        <v>686</v>
      </c>
      <c r="S687" t="s">
        <v>5393</v>
      </c>
      <c r="T687" t="s">
        <v>2279</v>
      </c>
      <c r="U687">
        <f t="shared" si="21"/>
        <v>9</v>
      </c>
      <c r="V687" s="30" t="s">
        <v>5394</v>
      </c>
    </row>
    <row r="688" spans="1:22">
      <c r="A688">
        <v>687</v>
      </c>
      <c r="C688" s="7" t="s">
        <v>1666</v>
      </c>
      <c r="D688" t="s">
        <v>29</v>
      </c>
      <c r="E688" t="e">
        <f>LEN(#REF!)</f>
        <v>#REF!</v>
      </c>
      <c r="F688" s="49" t="s">
        <v>5395</v>
      </c>
      <c r="K688" s="55" t="s">
        <v>5396</v>
      </c>
      <c r="M688">
        <f t="shared" si="20"/>
        <v>10</v>
      </c>
      <c r="N688" s="30" t="s">
        <v>5397</v>
      </c>
      <c r="R688">
        <v>687</v>
      </c>
      <c r="S688" t="s">
        <v>5398</v>
      </c>
      <c r="T688" t="s">
        <v>2279</v>
      </c>
      <c r="U688">
        <f t="shared" si="21"/>
        <v>8</v>
      </c>
      <c r="V688" s="30" t="s">
        <v>5399</v>
      </c>
    </row>
    <row r="689" spans="1:22">
      <c r="A689">
        <v>688</v>
      </c>
      <c r="C689" s="7" t="s">
        <v>1668</v>
      </c>
      <c r="D689" t="s">
        <v>29</v>
      </c>
      <c r="E689" t="e">
        <f>LEN(#REF!)</f>
        <v>#REF!</v>
      </c>
      <c r="F689" s="49" t="s">
        <v>5400</v>
      </c>
      <c r="K689" s="55" t="s">
        <v>5401</v>
      </c>
      <c r="M689">
        <f t="shared" si="20"/>
        <v>9</v>
      </c>
      <c r="N689" s="30" t="s">
        <v>5402</v>
      </c>
      <c r="R689">
        <v>688</v>
      </c>
      <c r="S689" t="s">
        <v>5403</v>
      </c>
      <c r="T689" t="s">
        <v>2279</v>
      </c>
      <c r="U689">
        <f t="shared" si="21"/>
        <v>9</v>
      </c>
      <c r="V689" s="30" t="s">
        <v>5404</v>
      </c>
    </row>
    <row r="690" spans="1:22">
      <c r="A690">
        <v>689</v>
      </c>
      <c r="C690" s="7" t="s">
        <v>1670</v>
      </c>
      <c r="D690" t="s">
        <v>29</v>
      </c>
      <c r="E690" t="e">
        <f>LEN(#REF!)</f>
        <v>#REF!</v>
      </c>
      <c r="F690" s="49" t="s">
        <v>5405</v>
      </c>
      <c r="K690" s="55" t="s">
        <v>5406</v>
      </c>
      <c r="M690">
        <f t="shared" si="20"/>
        <v>8</v>
      </c>
      <c r="N690" s="30" t="s">
        <v>5407</v>
      </c>
      <c r="R690">
        <v>689</v>
      </c>
      <c r="S690" t="s">
        <v>5408</v>
      </c>
      <c r="T690" t="s">
        <v>2279</v>
      </c>
      <c r="U690">
        <f t="shared" si="21"/>
        <v>8</v>
      </c>
      <c r="V690" s="30" t="s">
        <v>5409</v>
      </c>
    </row>
    <row r="691" spans="1:22">
      <c r="A691">
        <v>690</v>
      </c>
      <c r="C691" s="7" t="s">
        <v>1672</v>
      </c>
      <c r="D691" t="s">
        <v>29</v>
      </c>
      <c r="E691" t="e">
        <f>LEN(#REF!)</f>
        <v>#REF!</v>
      </c>
      <c r="F691" s="49" t="s">
        <v>5410</v>
      </c>
      <c r="K691" s="55" t="s">
        <v>5411</v>
      </c>
      <c r="M691">
        <f t="shared" si="20"/>
        <v>6</v>
      </c>
      <c r="N691" s="30" t="s">
        <v>5412</v>
      </c>
      <c r="R691">
        <v>690</v>
      </c>
      <c r="S691" t="s">
        <v>5413</v>
      </c>
      <c r="T691" t="s">
        <v>2279</v>
      </c>
      <c r="U691">
        <f t="shared" si="21"/>
        <v>8</v>
      </c>
      <c r="V691" s="30" t="s">
        <v>5414</v>
      </c>
    </row>
    <row r="692" spans="1:22">
      <c r="A692">
        <v>691</v>
      </c>
      <c r="C692" s="7" t="s">
        <v>1674</v>
      </c>
      <c r="D692" t="s">
        <v>29</v>
      </c>
      <c r="E692" t="e">
        <f>LEN(#REF!)</f>
        <v>#REF!</v>
      </c>
      <c r="F692" s="49" t="s">
        <v>5415</v>
      </c>
      <c r="K692" s="55" t="s">
        <v>5416</v>
      </c>
      <c r="M692">
        <f t="shared" si="20"/>
        <v>5</v>
      </c>
      <c r="N692" s="30" t="s">
        <v>5417</v>
      </c>
      <c r="R692">
        <v>691</v>
      </c>
      <c r="S692" t="s">
        <v>5418</v>
      </c>
      <c r="T692" t="s">
        <v>2279</v>
      </c>
      <c r="U692">
        <f t="shared" si="21"/>
        <v>9</v>
      </c>
      <c r="V692" s="30" t="s">
        <v>5419</v>
      </c>
    </row>
    <row r="693" spans="1:22">
      <c r="A693">
        <v>692</v>
      </c>
      <c r="C693" s="7" t="s">
        <v>1676</v>
      </c>
      <c r="D693" t="s">
        <v>29</v>
      </c>
      <c r="E693" t="e">
        <f>LEN(#REF!)</f>
        <v>#REF!</v>
      </c>
      <c r="F693" s="49" t="s">
        <v>5420</v>
      </c>
      <c r="K693" s="55" t="s">
        <v>5421</v>
      </c>
      <c r="M693">
        <f t="shared" si="20"/>
        <v>5</v>
      </c>
      <c r="N693" s="30" t="s">
        <v>5422</v>
      </c>
      <c r="R693">
        <v>692</v>
      </c>
      <c r="S693" t="s">
        <v>5423</v>
      </c>
      <c r="T693" t="s">
        <v>2279</v>
      </c>
      <c r="U693">
        <f t="shared" si="21"/>
        <v>20</v>
      </c>
      <c r="V693" s="31" t="s">
        <v>5424</v>
      </c>
    </row>
    <row r="694" spans="1:22">
      <c r="A694">
        <v>693</v>
      </c>
      <c r="C694" s="7" t="s">
        <v>1678</v>
      </c>
      <c r="D694" t="s">
        <v>29</v>
      </c>
      <c r="E694" t="e">
        <f>LEN(#REF!)</f>
        <v>#REF!</v>
      </c>
      <c r="F694" s="49" t="s">
        <v>5425</v>
      </c>
      <c r="K694" s="55" t="s">
        <v>5426</v>
      </c>
      <c r="M694">
        <f t="shared" si="20"/>
        <v>5</v>
      </c>
      <c r="N694" s="30" t="s">
        <v>5427</v>
      </c>
      <c r="R694">
        <v>693</v>
      </c>
      <c r="S694" t="s">
        <v>5428</v>
      </c>
      <c r="T694" t="s">
        <v>2279</v>
      </c>
      <c r="U694">
        <f t="shared" si="21"/>
        <v>10</v>
      </c>
      <c r="V694" s="30" t="s">
        <v>5429</v>
      </c>
    </row>
    <row r="695" spans="1:22">
      <c r="A695">
        <v>694</v>
      </c>
      <c r="C695" s="7" t="s">
        <v>1680</v>
      </c>
      <c r="D695" t="s">
        <v>29</v>
      </c>
      <c r="E695" t="e">
        <f>LEN(#REF!)</f>
        <v>#REF!</v>
      </c>
      <c r="F695" s="49" t="s">
        <v>5430</v>
      </c>
      <c r="K695" s="55" t="s">
        <v>5431</v>
      </c>
      <c r="M695">
        <f t="shared" si="20"/>
        <v>6</v>
      </c>
      <c r="N695" s="30" t="s">
        <v>5432</v>
      </c>
      <c r="R695">
        <v>694</v>
      </c>
      <c r="S695" t="s">
        <v>5433</v>
      </c>
      <c r="T695" t="s">
        <v>2279</v>
      </c>
      <c r="U695">
        <f t="shared" si="21"/>
        <v>9</v>
      </c>
      <c r="V695" s="30" t="s">
        <v>5434</v>
      </c>
    </row>
    <row r="696" spans="1:22">
      <c r="A696">
        <v>695</v>
      </c>
      <c r="C696" s="7" t="s">
        <v>1682</v>
      </c>
      <c r="D696" t="s">
        <v>29</v>
      </c>
      <c r="E696" t="e">
        <f>LEN(#REF!)</f>
        <v>#REF!</v>
      </c>
      <c r="F696" s="49" t="s">
        <v>5435</v>
      </c>
      <c r="K696" s="55" t="s">
        <v>5436</v>
      </c>
      <c r="M696">
        <f t="shared" si="20"/>
        <v>7</v>
      </c>
      <c r="N696" s="30" t="s">
        <v>5437</v>
      </c>
      <c r="R696">
        <v>695</v>
      </c>
      <c r="S696" t="s">
        <v>5438</v>
      </c>
      <c r="T696" t="s">
        <v>2279</v>
      </c>
      <c r="U696">
        <f t="shared" si="21"/>
        <v>9</v>
      </c>
      <c r="V696" s="30" t="s">
        <v>5439</v>
      </c>
    </row>
    <row r="697" spans="1:22">
      <c r="A697">
        <v>696</v>
      </c>
      <c r="C697" s="7" t="s">
        <v>1684</v>
      </c>
      <c r="D697" t="s">
        <v>29</v>
      </c>
      <c r="E697" t="e">
        <f>LEN(#REF!)</f>
        <v>#REF!</v>
      </c>
      <c r="F697" s="49" t="s">
        <v>5440</v>
      </c>
      <c r="K697" s="55" t="s">
        <v>5441</v>
      </c>
      <c r="M697">
        <f t="shared" si="20"/>
        <v>6</v>
      </c>
      <c r="N697" s="30" t="s">
        <v>5442</v>
      </c>
      <c r="R697">
        <v>696</v>
      </c>
      <c r="S697" t="s">
        <v>5443</v>
      </c>
      <c r="T697" t="s">
        <v>2279</v>
      </c>
      <c r="U697">
        <f t="shared" si="21"/>
        <v>8</v>
      </c>
      <c r="V697" s="30" t="s">
        <v>5444</v>
      </c>
    </row>
    <row r="698" spans="1:22">
      <c r="A698">
        <v>697</v>
      </c>
      <c r="C698" s="7" t="s">
        <v>1686</v>
      </c>
      <c r="D698" t="s">
        <v>29</v>
      </c>
      <c r="E698" t="e">
        <f>LEN(#REF!)</f>
        <v>#REF!</v>
      </c>
      <c r="F698" s="49" t="s">
        <v>5445</v>
      </c>
      <c r="K698" s="55" t="s">
        <v>5446</v>
      </c>
      <c r="M698">
        <f t="shared" si="20"/>
        <v>7</v>
      </c>
      <c r="N698" s="30" t="s">
        <v>5447</v>
      </c>
      <c r="R698">
        <v>697</v>
      </c>
      <c r="S698" t="s">
        <v>5448</v>
      </c>
      <c r="T698" t="s">
        <v>2279</v>
      </c>
      <c r="U698">
        <f t="shared" si="21"/>
        <v>8</v>
      </c>
      <c r="V698" s="30" t="s">
        <v>5449</v>
      </c>
    </row>
    <row r="699" spans="1:22">
      <c r="A699">
        <v>698</v>
      </c>
      <c r="C699" s="7" t="s">
        <v>1688</v>
      </c>
      <c r="D699" t="s">
        <v>29</v>
      </c>
      <c r="E699" t="e">
        <f>LEN(#REF!)</f>
        <v>#REF!</v>
      </c>
      <c r="F699" s="49" t="s">
        <v>5450</v>
      </c>
      <c r="K699" s="55" t="s">
        <v>5451</v>
      </c>
      <c r="M699">
        <f t="shared" si="20"/>
        <v>7</v>
      </c>
      <c r="N699" s="30" t="s">
        <v>5452</v>
      </c>
      <c r="R699">
        <v>698</v>
      </c>
      <c r="S699" t="s">
        <v>5453</v>
      </c>
      <c r="T699" t="s">
        <v>2279</v>
      </c>
      <c r="U699">
        <f t="shared" si="21"/>
        <v>11</v>
      </c>
      <c r="V699" s="30" t="s">
        <v>5454</v>
      </c>
    </row>
    <row r="700" spans="1:22">
      <c r="A700">
        <v>699</v>
      </c>
      <c r="C700" s="7" t="s">
        <v>1690</v>
      </c>
      <c r="D700" t="s">
        <v>29</v>
      </c>
      <c r="E700" t="e">
        <f>LEN(#REF!)</f>
        <v>#REF!</v>
      </c>
      <c r="F700" s="49" t="s">
        <v>5455</v>
      </c>
      <c r="K700" s="55" t="s">
        <v>5456</v>
      </c>
      <c r="M700">
        <f t="shared" si="20"/>
        <v>8</v>
      </c>
      <c r="N700" s="30" t="s">
        <v>5457</v>
      </c>
      <c r="R700">
        <v>699</v>
      </c>
      <c r="S700" t="s">
        <v>5458</v>
      </c>
      <c r="T700" t="s">
        <v>2279</v>
      </c>
      <c r="U700">
        <f t="shared" si="21"/>
        <v>16</v>
      </c>
      <c r="V700" s="30" t="s">
        <v>5459</v>
      </c>
    </row>
    <row r="701" spans="1:22">
      <c r="A701">
        <v>700</v>
      </c>
      <c r="C701" s="7" t="s">
        <v>1692</v>
      </c>
      <c r="D701" t="s">
        <v>29</v>
      </c>
      <c r="E701" t="e">
        <f>LEN(#REF!)</f>
        <v>#REF!</v>
      </c>
      <c r="F701" s="49" t="s">
        <v>5460</v>
      </c>
      <c r="K701" s="55" t="s">
        <v>5461</v>
      </c>
      <c r="M701">
        <f t="shared" si="20"/>
        <v>6</v>
      </c>
      <c r="N701" s="30" t="s">
        <v>5462</v>
      </c>
      <c r="R701">
        <v>700</v>
      </c>
      <c r="S701" t="s">
        <v>5463</v>
      </c>
      <c r="T701" t="s">
        <v>2279</v>
      </c>
      <c r="U701">
        <f t="shared" si="21"/>
        <v>8</v>
      </c>
      <c r="V701" s="30" t="s">
        <v>5464</v>
      </c>
    </row>
    <row r="702" spans="1:22">
      <c r="A702">
        <v>701</v>
      </c>
      <c r="C702" s="7" t="s">
        <v>1694</v>
      </c>
      <c r="D702" t="s">
        <v>29</v>
      </c>
      <c r="E702" t="e">
        <f>LEN(#REF!)</f>
        <v>#REF!</v>
      </c>
      <c r="F702" s="49" t="s">
        <v>5465</v>
      </c>
      <c r="K702" s="55" t="s">
        <v>5466</v>
      </c>
      <c r="M702">
        <f t="shared" si="20"/>
        <v>6</v>
      </c>
      <c r="N702" s="30" t="s">
        <v>5467</v>
      </c>
      <c r="R702">
        <v>701</v>
      </c>
      <c r="S702" t="s">
        <v>5468</v>
      </c>
      <c r="T702" t="s">
        <v>2279</v>
      </c>
      <c r="U702">
        <f t="shared" si="21"/>
        <v>9</v>
      </c>
      <c r="V702" s="30" t="s">
        <v>5469</v>
      </c>
    </row>
    <row r="703" spans="1:22">
      <c r="A703">
        <v>702</v>
      </c>
      <c r="C703" s="7" t="s">
        <v>1696</v>
      </c>
      <c r="D703" t="s">
        <v>29</v>
      </c>
      <c r="E703" t="e">
        <f>LEN(#REF!)</f>
        <v>#REF!</v>
      </c>
      <c r="F703" s="49" t="s">
        <v>5470</v>
      </c>
      <c r="K703" s="55" t="s">
        <v>5471</v>
      </c>
      <c r="M703">
        <f t="shared" si="20"/>
        <v>7</v>
      </c>
      <c r="N703" s="30" t="s">
        <v>5472</v>
      </c>
      <c r="R703">
        <v>702</v>
      </c>
      <c r="S703" t="s">
        <v>5473</v>
      </c>
      <c r="T703" t="s">
        <v>2279</v>
      </c>
      <c r="U703">
        <f t="shared" si="21"/>
        <v>8</v>
      </c>
      <c r="V703" s="30" t="s">
        <v>5474</v>
      </c>
    </row>
    <row r="704" spans="1:22">
      <c r="A704">
        <v>703</v>
      </c>
      <c r="C704" s="7" t="s">
        <v>1698</v>
      </c>
      <c r="D704" t="s">
        <v>29</v>
      </c>
      <c r="E704" t="e">
        <f>LEN(#REF!)</f>
        <v>#REF!</v>
      </c>
      <c r="F704" s="49" t="s">
        <v>5475</v>
      </c>
      <c r="K704" s="55" t="s">
        <v>5476</v>
      </c>
      <c r="M704">
        <f t="shared" si="20"/>
        <v>9</v>
      </c>
      <c r="N704" s="30" t="s">
        <v>5477</v>
      </c>
      <c r="R704">
        <v>703</v>
      </c>
      <c r="S704" t="s">
        <v>5478</v>
      </c>
      <c r="T704" t="s">
        <v>2279</v>
      </c>
      <c r="U704">
        <f t="shared" si="21"/>
        <v>12</v>
      </c>
      <c r="V704" s="30" t="s">
        <v>5479</v>
      </c>
    </row>
    <row r="705" spans="1:22">
      <c r="A705">
        <v>704</v>
      </c>
      <c r="C705" s="7" t="s">
        <v>1700</v>
      </c>
      <c r="D705" t="s">
        <v>29</v>
      </c>
      <c r="E705" t="e">
        <f>LEN(#REF!)</f>
        <v>#REF!</v>
      </c>
      <c r="F705" s="49" t="s">
        <v>5480</v>
      </c>
      <c r="K705" s="55" t="s">
        <v>5481</v>
      </c>
      <c r="M705">
        <f t="shared" si="20"/>
        <v>7</v>
      </c>
      <c r="N705" s="30" t="s">
        <v>5482</v>
      </c>
      <c r="R705">
        <v>704</v>
      </c>
      <c r="S705" t="s">
        <v>5483</v>
      </c>
      <c r="T705" t="s">
        <v>2279</v>
      </c>
      <c r="U705">
        <f t="shared" si="21"/>
        <v>12</v>
      </c>
      <c r="V705" s="31" t="s">
        <v>5484</v>
      </c>
    </row>
    <row r="706" spans="1:22">
      <c r="A706">
        <v>705</v>
      </c>
      <c r="C706" s="7" t="s">
        <v>1702</v>
      </c>
      <c r="D706" t="s">
        <v>29</v>
      </c>
      <c r="E706" t="e">
        <f>LEN(#REF!)</f>
        <v>#REF!</v>
      </c>
      <c r="F706" s="49" t="s">
        <v>5485</v>
      </c>
      <c r="K706" s="55" t="s">
        <v>5486</v>
      </c>
      <c r="M706">
        <f t="shared" si="20"/>
        <v>6</v>
      </c>
      <c r="N706" s="30" t="s">
        <v>5487</v>
      </c>
      <c r="R706">
        <v>705</v>
      </c>
      <c r="S706" t="s">
        <v>5488</v>
      </c>
      <c r="T706" t="s">
        <v>2279</v>
      </c>
      <c r="U706">
        <f t="shared" si="21"/>
        <v>10</v>
      </c>
      <c r="V706" s="30" t="s">
        <v>5489</v>
      </c>
    </row>
    <row r="707" spans="1:22">
      <c r="A707">
        <v>706</v>
      </c>
      <c r="C707" s="7" t="s">
        <v>1704</v>
      </c>
      <c r="D707" t="s">
        <v>29</v>
      </c>
      <c r="E707" t="e">
        <f>LEN(#REF!)</f>
        <v>#REF!</v>
      </c>
      <c r="F707" s="49" t="s">
        <v>5490</v>
      </c>
      <c r="K707" s="55" t="s">
        <v>5491</v>
      </c>
      <c r="M707">
        <f t="shared" ref="M707:M770" si="22">LEN(K707)</f>
        <v>7</v>
      </c>
      <c r="N707" s="30" t="s">
        <v>5492</v>
      </c>
      <c r="R707">
        <v>706</v>
      </c>
      <c r="S707" t="s">
        <v>5493</v>
      </c>
      <c r="T707" t="s">
        <v>2279</v>
      </c>
      <c r="U707">
        <f t="shared" ref="U707:U770" si="23">LEN(S707)</f>
        <v>8</v>
      </c>
      <c r="V707" s="31" t="s">
        <v>5494</v>
      </c>
    </row>
    <row r="708" spans="1:22">
      <c r="A708">
        <v>707</v>
      </c>
      <c r="C708" s="7" t="s">
        <v>1706</v>
      </c>
      <c r="D708" t="s">
        <v>29</v>
      </c>
      <c r="E708" t="e">
        <f>LEN(#REF!)</f>
        <v>#REF!</v>
      </c>
      <c r="F708" s="49" t="s">
        <v>5495</v>
      </c>
      <c r="K708" s="55" t="s">
        <v>5496</v>
      </c>
      <c r="M708">
        <f t="shared" si="22"/>
        <v>7</v>
      </c>
      <c r="N708" s="30" t="s">
        <v>5497</v>
      </c>
      <c r="R708">
        <v>707</v>
      </c>
      <c r="S708" t="s">
        <v>5498</v>
      </c>
      <c r="T708" t="s">
        <v>2279</v>
      </c>
      <c r="U708">
        <f t="shared" si="23"/>
        <v>9</v>
      </c>
      <c r="V708" s="30" t="s">
        <v>5499</v>
      </c>
    </row>
    <row r="709" spans="1:22">
      <c r="A709">
        <v>708</v>
      </c>
      <c r="C709" s="7" t="s">
        <v>1708</v>
      </c>
      <c r="D709" t="s">
        <v>29</v>
      </c>
      <c r="E709" t="e">
        <f>LEN(#REF!)</f>
        <v>#REF!</v>
      </c>
      <c r="F709" s="49" t="s">
        <v>5500</v>
      </c>
      <c r="K709" s="55" t="s">
        <v>5501</v>
      </c>
      <c r="M709">
        <f t="shared" si="22"/>
        <v>5</v>
      </c>
      <c r="N709" s="30" t="s">
        <v>5502</v>
      </c>
      <c r="R709">
        <v>708</v>
      </c>
      <c r="S709" t="s">
        <v>5503</v>
      </c>
      <c r="T709" t="s">
        <v>2279</v>
      </c>
      <c r="U709">
        <f t="shared" si="23"/>
        <v>8</v>
      </c>
      <c r="V709" s="30" t="s">
        <v>5504</v>
      </c>
    </row>
    <row r="710" spans="1:22">
      <c r="A710">
        <v>709</v>
      </c>
      <c r="C710" s="7" t="s">
        <v>1710</v>
      </c>
      <c r="D710" t="s">
        <v>29</v>
      </c>
      <c r="E710" t="e">
        <f>LEN(#REF!)</f>
        <v>#REF!</v>
      </c>
      <c r="F710" s="49" t="s">
        <v>5505</v>
      </c>
      <c r="K710" s="55" t="s">
        <v>5506</v>
      </c>
      <c r="M710">
        <f t="shared" si="22"/>
        <v>5</v>
      </c>
      <c r="N710" s="30" t="s">
        <v>5507</v>
      </c>
      <c r="R710">
        <v>709</v>
      </c>
      <c r="S710" t="s">
        <v>5508</v>
      </c>
      <c r="T710" t="s">
        <v>2279</v>
      </c>
      <c r="U710">
        <f t="shared" si="23"/>
        <v>8</v>
      </c>
      <c r="V710" s="30" t="s">
        <v>5509</v>
      </c>
    </row>
    <row r="711" spans="1:22">
      <c r="A711">
        <v>710</v>
      </c>
      <c r="C711" s="7" t="s">
        <v>1712</v>
      </c>
      <c r="D711" t="s">
        <v>29</v>
      </c>
      <c r="E711" t="e">
        <f>LEN(#REF!)</f>
        <v>#REF!</v>
      </c>
      <c r="F711" s="49" t="s">
        <v>5510</v>
      </c>
      <c r="K711" s="55" t="s">
        <v>5511</v>
      </c>
      <c r="M711">
        <f t="shared" si="22"/>
        <v>5</v>
      </c>
      <c r="N711" s="30" t="s">
        <v>5512</v>
      </c>
      <c r="R711">
        <v>710</v>
      </c>
      <c r="S711" t="s">
        <v>5513</v>
      </c>
      <c r="T711" t="s">
        <v>2279</v>
      </c>
      <c r="U711">
        <f t="shared" si="23"/>
        <v>8</v>
      </c>
      <c r="V711" s="31" t="s">
        <v>5514</v>
      </c>
    </row>
    <row r="712" spans="1:22">
      <c r="A712">
        <v>711</v>
      </c>
      <c r="C712" s="7" t="s">
        <v>1714</v>
      </c>
      <c r="D712" t="s">
        <v>29</v>
      </c>
      <c r="E712" t="e">
        <f>LEN(#REF!)</f>
        <v>#REF!</v>
      </c>
      <c r="F712" s="49" t="s">
        <v>5515</v>
      </c>
      <c r="K712" s="55">
        <v>123789</v>
      </c>
      <c r="M712">
        <f t="shared" si="22"/>
        <v>6</v>
      </c>
      <c r="N712" s="30" t="s">
        <v>5516</v>
      </c>
      <c r="R712">
        <v>711</v>
      </c>
      <c r="S712" t="s">
        <v>5517</v>
      </c>
      <c r="T712" t="s">
        <v>2279</v>
      </c>
      <c r="U712">
        <f t="shared" si="23"/>
        <v>11</v>
      </c>
      <c r="V712" s="30" t="s">
        <v>5518</v>
      </c>
    </row>
    <row r="713" spans="1:22">
      <c r="A713">
        <v>712</v>
      </c>
      <c r="C713" s="7" t="s">
        <v>1716</v>
      </c>
      <c r="D713" t="s">
        <v>29</v>
      </c>
      <c r="E713" t="e">
        <f>LEN(#REF!)</f>
        <v>#REF!</v>
      </c>
      <c r="F713" s="49" t="s">
        <v>5519</v>
      </c>
      <c r="K713" s="55" t="s">
        <v>5520</v>
      </c>
      <c r="M713">
        <f t="shared" si="22"/>
        <v>6</v>
      </c>
      <c r="N713" s="30" t="s">
        <v>5521</v>
      </c>
      <c r="R713">
        <v>712</v>
      </c>
      <c r="S713" t="s">
        <v>5522</v>
      </c>
      <c r="T713" t="s">
        <v>2279</v>
      </c>
      <c r="U713">
        <f t="shared" si="23"/>
        <v>8</v>
      </c>
      <c r="V713" s="30" t="s">
        <v>5523</v>
      </c>
    </row>
    <row r="714" spans="1:22">
      <c r="A714">
        <v>713</v>
      </c>
      <c r="C714" s="7" t="s">
        <v>1718</v>
      </c>
      <c r="D714" t="s">
        <v>29</v>
      </c>
      <c r="E714" t="e">
        <f>LEN(#REF!)</f>
        <v>#REF!</v>
      </c>
      <c r="F714" s="49" t="s">
        <v>5524</v>
      </c>
      <c r="K714" s="55" t="s">
        <v>5525</v>
      </c>
      <c r="M714">
        <f t="shared" si="22"/>
        <v>8</v>
      </c>
      <c r="N714" s="30" t="s">
        <v>5526</v>
      </c>
      <c r="R714">
        <v>713</v>
      </c>
      <c r="S714" t="s">
        <v>5527</v>
      </c>
      <c r="T714" t="s">
        <v>2279</v>
      </c>
      <c r="U714">
        <f t="shared" si="23"/>
        <v>9</v>
      </c>
      <c r="V714" s="30" t="s">
        <v>5528</v>
      </c>
    </row>
    <row r="715" spans="1:22">
      <c r="A715">
        <v>714</v>
      </c>
      <c r="C715" s="7" t="s">
        <v>1720</v>
      </c>
      <c r="D715" t="s">
        <v>29</v>
      </c>
      <c r="E715" t="e">
        <f>LEN(#REF!)</f>
        <v>#REF!</v>
      </c>
      <c r="F715" s="49" t="s">
        <v>5529</v>
      </c>
      <c r="K715" s="55" t="s">
        <v>5530</v>
      </c>
      <c r="M715">
        <f t="shared" si="22"/>
        <v>10</v>
      </c>
      <c r="N715" s="30" t="s">
        <v>5531</v>
      </c>
      <c r="R715">
        <v>714</v>
      </c>
      <c r="S715" t="s">
        <v>5532</v>
      </c>
      <c r="T715" t="s">
        <v>2279</v>
      </c>
      <c r="U715">
        <f t="shared" si="23"/>
        <v>10</v>
      </c>
      <c r="V715" s="30" t="s">
        <v>5533</v>
      </c>
    </row>
    <row r="716" spans="1:22">
      <c r="A716">
        <v>715</v>
      </c>
      <c r="C716" s="7" t="s">
        <v>1722</v>
      </c>
      <c r="D716" t="s">
        <v>29</v>
      </c>
      <c r="E716" t="e">
        <f>LEN(#REF!)</f>
        <v>#REF!</v>
      </c>
      <c r="F716" s="49" t="s">
        <v>5534</v>
      </c>
      <c r="K716" s="55" t="s">
        <v>5535</v>
      </c>
      <c r="M716">
        <f t="shared" si="22"/>
        <v>6</v>
      </c>
      <c r="N716" s="30" t="s">
        <v>5536</v>
      </c>
      <c r="R716">
        <v>715</v>
      </c>
      <c r="S716" t="s">
        <v>5537</v>
      </c>
      <c r="T716" t="s">
        <v>2279</v>
      </c>
      <c r="U716">
        <f t="shared" si="23"/>
        <v>15</v>
      </c>
      <c r="V716" s="30" t="s">
        <v>5538</v>
      </c>
    </row>
    <row r="717" spans="1:22">
      <c r="A717">
        <v>716</v>
      </c>
      <c r="C717" s="7" t="s">
        <v>1724</v>
      </c>
      <c r="D717" t="s">
        <v>29</v>
      </c>
      <c r="E717" t="e">
        <f>LEN(#REF!)</f>
        <v>#REF!</v>
      </c>
      <c r="F717" s="49" t="s">
        <v>5539</v>
      </c>
      <c r="K717" s="55" t="s">
        <v>5540</v>
      </c>
      <c r="M717">
        <f t="shared" si="22"/>
        <v>7</v>
      </c>
      <c r="N717" s="30" t="s">
        <v>5541</v>
      </c>
      <c r="R717">
        <v>716</v>
      </c>
      <c r="S717" t="s">
        <v>5542</v>
      </c>
      <c r="T717" t="s">
        <v>2279</v>
      </c>
      <c r="U717">
        <f t="shared" si="23"/>
        <v>14</v>
      </c>
      <c r="V717" s="30" t="s">
        <v>5543</v>
      </c>
    </row>
    <row r="718" spans="1:22">
      <c r="A718">
        <v>717</v>
      </c>
      <c r="C718" s="7" t="s">
        <v>1726</v>
      </c>
      <c r="D718" t="s">
        <v>29</v>
      </c>
      <c r="E718" t="e">
        <f>LEN(#REF!)</f>
        <v>#REF!</v>
      </c>
      <c r="F718" s="49" t="s">
        <v>5544</v>
      </c>
      <c r="K718" s="55" t="s">
        <v>5545</v>
      </c>
      <c r="M718">
        <f t="shared" si="22"/>
        <v>5</v>
      </c>
      <c r="N718" s="30" t="s">
        <v>5546</v>
      </c>
      <c r="R718">
        <v>717</v>
      </c>
      <c r="S718" t="s">
        <v>5547</v>
      </c>
      <c r="T718" t="s">
        <v>2279</v>
      </c>
      <c r="U718">
        <f t="shared" si="23"/>
        <v>10</v>
      </c>
      <c r="V718" s="31" t="s">
        <v>5548</v>
      </c>
    </row>
    <row r="719" spans="1:22">
      <c r="A719">
        <v>718</v>
      </c>
      <c r="C719" s="7" t="s">
        <v>1728</v>
      </c>
      <c r="D719" t="s">
        <v>29</v>
      </c>
      <c r="E719" t="e">
        <f>LEN(#REF!)</f>
        <v>#REF!</v>
      </c>
      <c r="F719" s="49" t="s">
        <v>5549</v>
      </c>
      <c r="K719" s="55" t="s">
        <v>5550</v>
      </c>
      <c r="M719">
        <f t="shared" si="22"/>
        <v>7</v>
      </c>
      <c r="N719" s="30" t="s">
        <v>5551</v>
      </c>
      <c r="R719">
        <v>718</v>
      </c>
      <c r="S719" t="s">
        <v>5552</v>
      </c>
      <c r="T719" t="s">
        <v>2279</v>
      </c>
      <c r="U719">
        <f t="shared" si="23"/>
        <v>10</v>
      </c>
      <c r="V719" s="30" t="s">
        <v>5553</v>
      </c>
    </row>
    <row r="720" spans="1:22">
      <c r="A720">
        <v>719</v>
      </c>
      <c r="C720" s="7" t="s">
        <v>1730</v>
      </c>
      <c r="D720" t="s">
        <v>29</v>
      </c>
      <c r="E720" t="e">
        <f>LEN(#REF!)</f>
        <v>#REF!</v>
      </c>
      <c r="F720" s="49" t="s">
        <v>5554</v>
      </c>
      <c r="K720" s="55" t="s">
        <v>5555</v>
      </c>
      <c r="M720">
        <f t="shared" si="22"/>
        <v>9</v>
      </c>
      <c r="N720" s="30" t="s">
        <v>5556</v>
      </c>
      <c r="R720">
        <v>719</v>
      </c>
      <c r="S720" t="s">
        <v>5557</v>
      </c>
      <c r="T720" t="s">
        <v>2279</v>
      </c>
      <c r="U720">
        <f t="shared" si="23"/>
        <v>12</v>
      </c>
      <c r="V720" s="30" t="s">
        <v>5558</v>
      </c>
    </row>
    <row r="721" spans="1:22">
      <c r="A721">
        <v>720</v>
      </c>
      <c r="C721" s="7" t="s">
        <v>1732</v>
      </c>
      <c r="D721" t="s">
        <v>29</v>
      </c>
      <c r="E721" t="e">
        <f>LEN(#REF!)</f>
        <v>#REF!</v>
      </c>
      <c r="F721" s="49" t="s">
        <v>5559</v>
      </c>
      <c r="K721" s="55" t="s">
        <v>5560</v>
      </c>
      <c r="M721">
        <f t="shared" si="22"/>
        <v>7</v>
      </c>
      <c r="N721" s="30" t="s">
        <v>5561</v>
      </c>
      <c r="R721">
        <v>720</v>
      </c>
      <c r="S721" t="s">
        <v>5562</v>
      </c>
      <c r="T721" t="s">
        <v>2279</v>
      </c>
      <c r="U721">
        <f t="shared" si="23"/>
        <v>8</v>
      </c>
      <c r="V721" s="30" t="s">
        <v>5563</v>
      </c>
    </row>
    <row r="722" spans="1:22">
      <c r="A722">
        <v>721</v>
      </c>
      <c r="C722" s="7" t="s">
        <v>1734</v>
      </c>
      <c r="D722" t="s">
        <v>29</v>
      </c>
      <c r="E722" t="e">
        <f>LEN(#REF!)</f>
        <v>#REF!</v>
      </c>
      <c r="F722" s="49" t="s">
        <v>5564</v>
      </c>
      <c r="K722" s="55" t="s">
        <v>5565</v>
      </c>
      <c r="M722">
        <f t="shared" si="22"/>
        <v>7</v>
      </c>
      <c r="N722" s="30" t="s">
        <v>5566</v>
      </c>
      <c r="R722">
        <v>721</v>
      </c>
      <c r="S722" t="s">
        <v>5567</v>
      </c>
      <c r="T722" t="s">
        <v>2279</v>
      </c>
      <c r="U722">
        <f t="shared" si="23"/>
        <v>8</v>
      </c>
      <c r="V722" s="30" t="s">
        <v>5568</v>
      </c>
    </row>
    <row r="723" spans="1:22">
      <c r="A723">
        <v>722</v>
      </c>
      <c r="C723" s="7" t="s">
        <v>1736</v>
      </c>
      <c r="D723" t="s">
        <v>29</v>
      </c>
      <c r="E723" t="e">
        <f>LEN(#REF!)</f>
        <v>#REF!</v>
      </c>
      <c r="F723" s="49" t="s">
        <v>5569</v>
      </c>
      <c r="K723" s="55" t="s">
        <v>5570</v>
      </c>
      <c r="M723">
        <f t="shared" si="22"/>
        <v>8</v>
      </c>
      <c r="N723" s="30" t="s">
        <v>5571</v>
      </c>
      <c r="R723">
        <v>722</v>
      </c>
      <c r="S723" t="s">
        <v>5572</v>
      </c>
      <c r="T723" t="s">
        <v>2279</v>
      </c>
      <c r="U723">
        <f t="shared" si="23"/>
        <v>9</v>
      </c>
      <c r="V723" s="30" t="s">
        <v>5573</v>
      </c>
    </row>
    <row r="724" spans="1:22">
      <c r="A724">
        <v>723</v>
      </c>
      <c r="C724" s="7" t="s">
        <v>1738</v>
      </c>
      <c r="D724" t="s">
        <v>29</v>
      </c>
      <c r="E724" t="e">
        <f>LEN(#REF!)</f>
        <v>#REF!</v>
      </c>
      <c r="F724" s="49" t="s">
        <v>5574</v>
      </c>
      <c r="K724" s="55" t="s">
        <v>5575</v>
      </c>
      <c r="M724">
        <f t="shared" si="22"/>
        <v>7</v>
      </c>
      <c r="N724" s="30" t="s">
        <v>5576</v>
      </c>
      <c r="R724">
        <v>723</v>
      </c>
      <c r="S724" t="s">
        <v>5577</v>
      </c>
      <c r="T724" t="s">
        <v>2279</v>
      </c>
      <c r="U724">
        <f t="shared" si="23"/>
        <v>11</v>
      </c>
      <c r="V724" s="30" t="s">
        <v>5578</v>
      </c>
    </row>
    <row r="725" spans="1:22">
      <c r="A725">
        <v>724</v>
      </c>
      <c r="C725" s="7" t="s">
        <v>1740</v>
      </c>
      <c r="D725" t="s">
        <v>29</v>
      </c>
      <c r="E725" t="e">
        <f>LEN(#REF!)</f>
        <v>#REF!</v>
      </c>
      <c r="F725" s="49" t="s">
        <v>5579</v>
      </c>
      <c r="K725" s="55" t="s">
        <v>5580</v>
      </c>
      <c r="M725">
        <f t="shared" si="22"/>
        <v>8</v>
      </c>
      <c r="N725" s="30" t="s">
        <v>5581</v>
      </c>
      <c r="R725">
        <v>724</v>
      </c>
      <c r="S725" t="s">
        <v>5582</v>
      </c>
      <c r="T725" t="s">
        <v>2279</v>
      </c>
      <c r="U725">
        <f t="shared" si="23"/>
        <v>8</v>
      </c>
      <c r="V725" s="30" t="s">
        <v>5583</v>
      </c>
    </row>
    <row r="726" spans="1:22">
      <c r="A726">
        <v>725</v>
      </c>
      <c r="C726" s="7" t="s">
        <v>1742</v>
      </c>
      <c r="D726" t="s">
        <v>29</v>
      </c>
      <c r="E726" t="e">
        <f>LEN(#REF!)</f>
        <v>#REF!</v>
      </c>
      <c r="F726" s="49" t="s">
        <v>5584</v>
      </c>
      <c r="K726" s="55" t="s">
        <v>5585</v>
      </c>
      <c r="M726">
        <f t="shared" si="22"/>
        <v>7</v>
      </c>
      <c r="N726" s="30" t="s">
        <v>5586</v>
      </c>
      <c r="R726">
        <v>725</v>
      </c>
      <c r="S726" t="s">
        <v>5587</v>
      </c>
      <c r="T726" t="s">
        <v>2279</v>
      </c>
      <c r="U726">
        <f t="shared" si="23"/>
        <v>8</v>
      </c>
      <c r="V726" s="30" t="s">
        <v>5588</v>
      </c>
    </row>
    <row r="727" spans="1:22">
      <c r="A727">
        <v>726</v>
      </c>
      <c r="C727" s="7" t="s">
        <v>1744</v>
      </c>
      <c r="D727" t="s">
        <v>29</v>
      </c>
      <c r="E727" t="e">
        <f>LEN(#REF!)</f>
        <v>#REF!</v>
      </c>
      <c r="F727" s="49" t="s">
        <v>5589</v>
      </c>
      <c r="K727" s="55" t="s">
        <v>5590</v>
      </c>
      <c r="M727">
        <f t="shared" si="22"/>
        <v>6</v>
      </c>
      <c r="N727" s="30" t="s">
        <v>5591</v>
      </c>
      <c r="R727">
        <v>726</v>
      </c>
      <c r="S727" t="s">
        <v>5592</v>
      </c>
      <c r="T727" t="s">
        <v>2279</v>
      </c>
      <c r="U727">
        <f t="shared" si="23"/>
        <v>9</v>
      </c>
      <c r="V727" s="30" t="s">
        <v>5593</v>
      </c>
    </row>
    <row r="728" spans="1:22">
      <c r="A728">
        <v>727</v>
      </c>
      <c r="C728" s="7" t="s">
        <v>1746</v>
      </c>
      <c r="D728" t="s">
        <v>29</v>
      </c>
      <c r="E728" t="e">
        <f>LEN(#REF!)</f>
        <v>#REF!</v>
      </c>
      <c r="F728" s="49" t="s">
        <v>5594</v>
      </c>
      <c r="K728" s="55" t="s">
        <v>5595</v>
      </c>
      <c r="M728">
        <f t="shared" si="22"/>
        <v>7</v>
      </c>
      <c r="N728" s="30" t="s">
        <v>5596</v>
      </c>
      <c r="R728">
        <v>727</v>
      </c>
      <c r="S728" t="s">
        <v>5597</v>
      </c>
      <c r="T728" t="s">
        <v>2279</v>
      </c>
      <c r="U728">
        <f t="shared" si="23"/>
        <v>10</v>
      </c>
      <c r="V728" s="30" t="s">
        <v>5598</v>
      </c>
    </row>
    <row r="729" spans="1:22">
      <c r="A729">
        <v>728</v>
      </c>
      <c r="C729" s="7" t="s">
        <v>1748</v>
      </c>
      <c r="D729" t="s">
        <v>29</v>
      </c>
      <c r="E729" t="e">
        <f>LEN(#REF!)</f>
        <v>#REF!</v>
      </c>
      <c r="F729" s="49" t="s">
        <v>5599</v>
      </c>
      <c r="K729" s="55" t="s">
        <v>5600</v>
      </c>
      <c r="M729">
        <f t="shared" si="22"/>
        <v>6</v>
      </c>
      <c r="N729" s="30" t="s">
        <v>5601</v>
      </c>
      <c r="R729">
        <v>728</v>
      </c>
      <c r="S729" t="s">
        <v>5602</v>
      </c>
      <c r="T729" t="s">
        <v>2279</v>
      </c>
      <c r="U729">
        <f t="shared" si="23"/>
        <v>8</v>
      </c>
      <c r="V729" s="30" t="s">
        <v>5603</v>
      </c>
    </row>
    <row r="730" spans="1:22">
      <c r="A730">
        <v>729</v>
      </c>
      <c r="C730" s="7" t="s">
        <v>1750</v>
      </c>
      <c r="D730" t="s">
        <v>29</v>
      </c>
      <c r="E730" t="e">
        <f>LEN(#REF!)</f>
        <v>#REF!</v>
      </c>
      <c r="F730" s="49" t="s">
        <v>5604</v>
      </c>
      <c r="K730" s="55" t="s">
        <v>5605</v>
      </c>
      <c r="M730">
        <f t="shared" si="22"/>
        <v>7</v>
      </c>
      <c r="N730" s="30" t="s">
        <v>5606</v>
      </c>
      <c r="R730">
        <v>729</v>
      </c>
      <c r="S730" t="s">
        <v>5607</v>
      </c>
      <c r="T730" t="s">
        <v>2279</v>
      </c>
      <c r="U730">
        <f t="shared" si="23"/>
        <v>17</v>
      </c>
      <c r="V730" s="30" t="s">
        <v>5608</v>
      </c>
    </row>
    <row r="731" spans="1:22">
      <c r="A731">
        <v>730</v>
      </c>
      <c r="C731" s="7" t="s">
        <v>1752</v>
      </c>
      <c r="D731" t="s">
        <v>29</v>
      </c>
      <c r="E731" t="e">
        <f>LEN(#REF!)</f>
        <v>#REF!</v>
      </c>
      <c r="F731" s="49" t="s">
        <v>5609</v>
      </c>
      <c r="K731" s="55" t="s">
        <v>5610</v>
      </c>
      <c r="M731">
        <f t="shared" si="22"/>
        <v>8</v>
      </c>
      <c r="N731" s="30" t="s">
        <v>5611</v>
      </c>
      <c r="R731">
        <v>730</v>
      </c>
      <c r="S731" t="s">
        <v>5612</v>
      </c>
      <c r="T731" t="s">
        <v>2279</v>
      </c>
      <c r="U731">
        <f t="shared" si="23"/>
        <v>9</v>
      </c>
      <c r="V731" s="30" t="s">
        <v>5613</v>
      </c>
    </row>
    <row r="732" spans="1:22">
      <c r="A732">
        <v>731</v>
      </c>
      <c r="C732" s="7" t="s">
        <v>1754</v>
      </c>
      <c r="D732" t="s">
        <v>29</v>
      </c>
      <c r="E732" t="e">
        <f>LEN(#REF!)</f>
        <v>#REF!</v>
      </c>
      <c r="F732" s="49" t="s">
        <v>5614</v>
      </c>
      <c r="K732" s="55" t="s">
        <v>5615</v>
      </c>
      <c r="M732">
        <f t="shared" si="22"/>
        <v>5</v>
      </c>
      <c r="N732" s="30" t="s">
        <v>5616</v>
      </c>
      <c r="R732">
        <v>731</v>
      </c>
      <c r="S732" t="s">
        <v>5617</v>
      </c>
      <c r="T732" t="s">
        <v>2279</v>
      </c>
      <c r="U732">
        <f t="shared" si="23"/>
        <v>8</v>
      </c>
      <c r="V732" s="30" t="s">
        <v>5618</v>
      </c>
    </row>
    <row r="733" spans="1:22">
      <c r="A733">
        <v>732</v>
      </c>
      <c r="C733" s="7" t="s">
        <v>1756</v>
      </c>
      <c r="D733" t="s">
        <v>29</v>
      </c>
      <c r="E733" t="e">
        <f>LEN(#REF!)</f>
        <v>#REF!</v>
      </c>
      <c r="F733" s="49" t="s">
        <v>5619</v>
      </c>
      <c r="K733" s="55" t="s">
        <v>5620</v>
      </c>
      <c r="M733">
        <f t="shared" si="22"/>
        <v>7</v>
      </c>
      <c r="N733" s="30" t="s">
        <v>5621</v>
      </c>
      <c r="R733">
        <v>732</v>
      </c>
      <c r="S733" t="s">
        <v>5622</v>
      </c>
      <c r="T733" t="s">
        <v>2279</v>
      </c>
      <c r="U733">
        <f t="shared" si="23"/>
        <v>10</v>
      </c>
      <c r="V733" s="30" t="s">
        <v>5623</v>
      </c>
    </row>
    <row r="734" spans="1:22">
      <c r="A734">
        <v>733</v>
      </c>
      <c r="C734" s="7" t="s">
        <v>1758</v>
      </c>
      <c r="D734" t="s">
        <v>29</v>
      </c>
      <c r="E734" t="e">
        <f>LEN(#REF!)</f>
        <v>#REF!</v>
      </c>
      <c r="F734" s="49" t="s">
        <v>5624</v>
      </c>
      <c r="K734" s="55" t="s">
        <v>5625</v>
      </c>
      <c r="M734">
        <f t="shared" si="22"/>
        <v>6</v>
      </c>
      <c r="N734" s="30" t="s">
        <v>5626</v>
      </c>
      <c r="R734">
        <v>733</v>
      </c>
      <c r="S734" t="s">
        <v>5627</v>
      </c>
      <c r="T734" t="s">
        <v>2279</v>
      </c>
      <c r="U734">
        <f t="shared" si="23"/>
        <v>8</v>
      </c>
      <c r="V734" s="30" t="s">
        <v>5628</v>
      </c>
    </row>
    <row r="735" spans="1:22">
      <c r="A735">
        <v>734</v>
      </c>
      <c r="C735" s="7" t="s">
        <v>1760</v>
      </c>
      <c r="D735" t="s">
        <v>29</v>
      </c>
      <c r="E735" t="e">
        <f>LEN(#REF!)</f>
        <v>#REF!</v>
      </c>
      <c r="F735" s="49" t="s">
        <v>5629</v>
      </c>
      <c r="K735" s="55" t="s">
        <v>5630</v>
      </c>
      <c r="M735">
        <f t="shared" si="22"/>
        <v>6</v>
      </c>
      <c r="N735" s="30" t="s">
        <v>5631</v>
      </c>
      <c r="R735">
        <v>734</v>
      </c>
      <c r="S735" t="s">
        <v>5632</v>
      </c>
      <c r="T735" t="s">
        <v>2279</v>
      </c>
      <c r="U735">
        <f t="shared" si="23"/>
        <v>9</v>
      </c>
      <c r="V735" s="30" t="s">
        <v>5633</v>
      </c>
    </row>
    <row r="736" spans="1:22">
      <c r="A736">
        <v>735</v>
      </c>
      <c r="C736" s="7" t="s">
        <v>1762</v>
      </c>
      <c r="D736" t="s">
        <v>29</v>
      </c>
      <c r="E736" t="e">
        <f>LEN(#REF!)</f>
        <v>#REF!</v>
      </c>
      <c r="F736" s="49" t="s">
        <v>5634</v>
      </c>
      <c r="K736" s="55" t="s">
        <v>5635</v>
      </c>
      <c r="M736">
        <f t="shared" si="22"/>
        <v>6</v>
      </c>
      <c r="N736" s="30" t="s">
        <v>5636</v>
      </c>
      <c r="R736">
        <v>735</v>
      </c>
      <c r="S736" t="s">
        <v>5637</v>
      </c>
      <c r="T736" t="s">
        <v>2279</v>
      </c>
      <c r="U736">
        <f t="shared" si="23"/>
        <v>8</v>
      </c>
      <c r="V736" s="30" t="s">
        <v>5638</v>
      </c>
    </row>
    <row r="737" spans="1:22">
      <c r="A737">
        <v>736</v>
      </c>
      <c r="C737" s="7" t="s">
        <v>1764</v>
      </c>
      <c r="D737" t="s">
        <v>29</v>
      </c>
      <c r="E737" t="e">
        <f>LEN(#REF!)</f>
        <v>#REF!</v>
      </c>
      <c r="F737" s="49" t="s">
        <v>5639</v>
      </c>
      <c r="K737" s="55" t="s">
        <v>5640</v>
      </c>
      <c r="M737">
        <f t="shared" si="22"/>
        <v>6</v>
      </c>
      <c r="N737" s="30" t="s">
        <v>5641</v>
      </c>
      <c r="R737">
        <v>736</v>
      </c>
      <c r="S737" t="s">
        <v>5642</v>
      </c>
      <c r="T737" t="s">
        <v>2279</v>
      </c>
      <c r="U737">
        <f t="shared" si="23"/>
        <v>8</v>
      </c>
      <c r="V737" s="30" t="s">
        <v>5643</v>
      </c>
    </row>
    <row r="738" spans="1:22">
      <c r="A738">
        <v>737</v>
      </c>
      <c r="C738" s="7" t="s">
        <v>1766</v>
      </c>
      <c r="D738" t="s">
        <v>29</v>
      </c>
      <c r="E738" t="e">
        <f>LEN(#REF!)</f>
        <v>#REF!</v>
      </c>
      <c r="F738" s="49" t="s">
        <v>5644</v>
      </c>
      <c r="K738" s="55" t="s">
        <v>5645</v>
      </c>
      <c r="M738">
        <f t="shared" si="22"/>
        <v>6</v>
      </c>
      <c r="N738" s="30" t="s">
        <v>5646</v>
      </c>
      <c r="R738">
        <v>737</v>
      </c>
      <c r="S738" t="s">
        <v>5647</v>
      </c>
      <c r="T738" t="s">
        <v>2279</v>
      </c>
      <c r="U738">
        <f t="shared" si="23"/>
        <v>9</v>
      </c>
      <c r="V738" s="30" t="s">
        <v>5648</v>
      </c>
    </row>
    <row r="739" spans="1:22">
      <c r="A739">
        <v>738</v>
      </c>
      <c r="C739" s="7" t="s">
        <v>1768</v>
      </c>
      <c r="D739" t="s">
        <v>29</v>
      </c>
      <c r="E739" t="e">
        <f>LEN(#REF!)</f>
        <v>#REF!</v>
      </c>
      <c r="F739" s="49" t="s">
        <v>5649</v>
      </c>
      <c r="K739" s="55" t="s">
        <v>5650</v>
      </c>
      <c r="M739">
        <f t="shared" si="22"/>
        <v>8</v>
      </c>
      <c r="N739" s="30" t="s">
        <v>5651</v>
      </c>
      <c r="R739">
        <v>738</v>
      </c>
      <c r="S739" t="s">
        <v>5652</v>
      </c>
      <c r="T739" t="s">
        <v>2279</v>
      </c>
      <c r="U739">
        <f t="shared" si="23"/>
        <v>8</v>
      </c>
      <c r="V739" s="30" t="s">
        <v>5653</v>
      </c>
    </row>
    <row r="740" spans="1:22">
      <c r="A740">
        <v>739</v>
      </c>
      <c r="C740" s="7" t="s">
        <v>1770</v>
      </c>
      <c r="D740" t="s">
        <v>29</v>
      </c>
      <c r="E740" t="e">
        <f>LEN(#REF!)</f>
        <v>#REF!</v>
      </c>
      <c r="F740" s="49" t="s">
        <v>5654</v>
      </c>
      <c r="K740" s="55" t="s">
        <v>5655</v>
      </c>
      <c r="M740">
        <f t="shared" si="22"/>
        <v>6</v>
      </c>
      <c r="N740" s="30" t="s">
        <v>5656</v>
      </c>
      <c r="R740">
        <v>739</v>
      </c>
      <c r="S740" t="s">
        <v>5657</v>
      </c>
      <c r="T740" t="s">
        <v>2279</v>
      </c>
      <c r="U740">
        <f t="shared" si="23"/>
        <v>8</v>
      </c>
      <c r="V740" s="30" t="s">
        <v>5658</v>
      </c>
    </row>
    <row r="741" spans="1:22">
      <c r="A741">
        <v>740</v>
      </c>
      <c r="C741" s="7" t="s">
        <v>1772</v>
      </c>
      <c r="D741" t="s">
        <v>29</v>
      </c>
      <c r="E741" t="e">
        <f>LEN(#REF!)</f>
        <v>#REF!</v>
      </c>
      <c r="F741" s="49" t="s">
        <v>5659</v>
      </c>
      <c r="K741" s="55" t="s">
        <v>5660</v>
      </c>
      <c r="M741">
        <f t="shared" si="22"/>
        <v>9</v>
      </c>
      <c r="N741" s="30" t="s">
        <v>5661</v>
      </c>
      <c r="R741">
        <v>740</v>
      </c>
      <c r="S741" t="s">
        <v>5662</v>
      </c>
      <c r="T741" t="s">
        <v>2279</v>
      </c>
      <c r="U741">
        <f t="shared" si="23"/>
        <v>11</v>
      </c>
      <c r="V741" s="30" t="s">
        <v>5663</v>
      </c>
    </row>
    <row r="742" spans="1:22">
      <c r="A742">
        <v>741</v>
      </c>
      <c r="C742" s="7" t="s">
        <v>1186</v>
      </c>
      <c r="D742" t="s">
        <v>29</v>
      </c>
      <c r="E742" t="e">
        <f>LEN(#REF!)</f>
        <v>#REF!</v>
      </c>
      <c r="F742" s="49" t="s">
        <v>4176</v>
      </c>
      <c r="K742" s="55" t="s">
        <v>5664</v>
      </c>
      <c r="M742">
        <f t="shared" si="22"/>
        <v>5</v>
      </c>
      <c r="N742" s="30" t="s">
        <v>5665</v>
      </c>
      <c r="R742">
        <v>741</v>
      </c>
      <c r="S742" t="s">
        <v>5666</v>
      </c>
      <c r="T742" t="s">
        <v>2279</v>
      </c>
      <c r="U742">
        <f t="shared" si="23"/>
        <v>8</v>
      </c>
      <c r="V742" s="30" t="s">
        <v>5667</v>
      </c>
    </row>
    <row r="743" spans="1:22">
      <c r="A743">
        <v>742</v>
      </c>
      <c r="C743" s="7" t="s">
        <v>1774</v>
      </c>
      <c r="D743" t="s">
        <v>29</v>
      </c>
      <c r="E743" t="e">
        <f>LEN(#REF!)</f>
        <v>#REF!</v>
      </c>
      <c r="F743" s="49" t="s">
        <v>5668</v>
      </c>
      <c r="K743" s="55" t="s">
        <v>5669</v>
      </c>
      <c r="M743">
        <f t="shared" si="22"/>
        <v>6</v>
      </c>
      <c r="N743" s="30" t="s">
        <v>5670</v>
      </c>
      <c r="R743">
        <v>742</v>
      </c>
      <c r="S743" t="s">
        <v>5671</v>
      </c>
      <c r="T743" t="s">
        <v>2279</v>
      </c>
      <c r="U743">
        <f t="shared" si="23"/>
        <v>8</v>
      </c>
      <c r="V743" s="30" t="s">
        <v>5672</v>
      </c>
    </row>
    <row r="744" spans="1:22">
      <c r="A744">
        <v>743</v>
      </c>
      <c r="C744" s="7" t="s">
        <v>1776</v>
      </c>
      <c r="D744" t="s">
        <v>29</v>
      </c>
      <c r="E744" t="e">
        <f>LEN(#REF!)</f>
        <v>#REF!</v>
      </c>
      <c r="F744" s="49" t="s">
        <v>5673</v>
      </c>
      <c r="K744" s="55" t="s">
        <v>5674</v>
      </c>
      <c r="M744">
        <f t="shared" si="22"/>
        <v>6</v>
      </c>
      <c r="N744" s="30" t="s">
        <v>5675</v>
      </c>
      <c r="R744">
        <v>743</v>
      </c>
      <c r="S744" t="s">
        <v>5676</v>
      </c>
      <c r="T744" t="s">
        <v>2279</v>
      </c>
      <c r="U744">
        <f t="shared" si="23"/>
        <v>10</v>
      </c>
      <c r="V744" s="30" t="s">
        <v>5677</v>
      </c>
    </row>
    <row r="745" spans="1:22">
      <c r="A745">
        <v>744</v>
      </c>
      <c r="C745" s="7" t="s">
        <v>1778</v>
      </c>
      <c r="D745" t="s">
        <v>29</v>
      </c>
      <c r="E745" t="e">
        <f>LEN(#REF!)</f>
        <v>#REF!</v>
      </c>
      <c r="F745" s="49" t="s">
        <v>5678</v>
      </c>
      <c r="K745" s="55" t="s">
        <v>5679</v>
      </c>
      <c r="M745">
        <f t="shared" si="22"/>
        <v>6</v>
      </c>
      <c r="N745" s="30" t="s">
        <v>5680</v>
      </c>
      <c r="R745">
        <v>744</v>
      </c>
      <c r="S745" t="s">
        <v>5681</v>
      </c>
      <c r="T745" t="s">
        <v>2279</v>
      </c>
      <c r="U745">
        <f t="shared" si="23"/>
        <v>13</v>
      </c>
      <c r="V745" s="30" t="s">
        <v>5682</v>
      </c>
    </row>
    <row r="746" spans="1:22">
      <c r="A746">
        <v>745</v>
      </c>
      <c r="C746" s="7" t="s">
        <v>1780</v>
      </c>
      <c r="D746" t="s">
        <v>29</v>
      </c>
      <c r="E746" t="e">
        <f>LEN(#REF!)</f>
        <v>#REF!</v>
      </c>
      <c r="F746" s="49" t="s">
        <v>5683</v>
      </c>
      <c r="K746" s="55" t="s">
        <v>5684</v>
      </c>
      <c r="M746">
        <f t="shared" si="22"/>
        <v>6</v>
      </c>
      <c r="N746" s="30" t="s">
        <v>5685</v>
      </c>
      <c r="R746">
        <v>745</v>
      </c>
      <c r="S746" t="s">
        <v>5686</v>
      </c>
      <c r="T746" t="s">
        <v>2279</v>
      </c>
      <c r="U746">
        <f t="shared" si="23"/>
        <v>8</v>
      </c>
      <c r="V746" s="30" t="s">
        <v>5687</v>
      </c>
    </row>
    <row r="747" spans="1:22">
      <c r="A747">
        <v>746</v>
      </c>
      <c r="C747" s="7" t="s">
        <v>1782</v>
      </c>
      <c r="D747" t="s">
        <v>29</v>
      </c>
      <c r="E747" t="e">
        <f>LEN(#REF!)</f>
        <v>#REF!</v>
      </c>
      <c r="F747" s="49" t="s">
        <v>5688</v>
      </c>
      <c r="K747" s="55" t="s">
        <v>5689</v>
      </c>
      <c r="M747">
        <f t="shared" si="22"/>
        <v>8</v>
      </c>
      <c r="N747" s="30" t="s">
        <v>5690</v>
      </c>
      <c r="R747">
        <v>746</v>
      </c>
      <c r="S747" t="s">
        <v>5691</v>
      </c>
      <c r="T747" t="s">
        <v>2279</v>
      </c>
      <c r="U747">
        <f t="shared" si="23"/>
        <v>9</v>
      </c>
      <c r="V747" s="30" t="s">
        <v>5692</v>
      </c>
    </row>
    <row r="748" spans="1:22">
      <c r="A748">
        <v>747</v>
      </c>
      <c r="C748" s="7" t="s">
        <v>1192</v>
      </c>
      <c r="D748" t="s">
        <v>29</v>
      </c>
      <c r="E748" t="e">
        <f>LEN(#REF!)</f>
        <v>#REF!</v>
      </c>
      <c r="F748" s="49" t="s">
        <v>4195</v>
      </c>
      <c r="K748" s="55" t="s">
        <v>5693</v>
      </c>
      <c r="M748">
        <f t="shared" si="22"/>
        <v>6</v>
      </c>
      <c r="N748" s="30" t="s">
        <v>5694</v>
      </c>
      <c r="R748">
        <v>747</v>
      </c>
      <c r="S748" t="s">
        <v>5695</v>
      </c>
      <c r="T748" t="s">
        <v>2279</v>
      </c>
      <c r="U748">
        <f t="shared" si="23"/>
        <v>11</v>
      </c>
      <c r="V748" s="30" t="s">
        <v>5696</v>
      </c>
    </row>
    <row r="749" spans="1:22">
      <c r="A749">
        <v>748</v>
      </c>
      <c r="C749" s="7" t="s">
        <v>1784</v>
      </c>
      <c r="D749" t="s">
        <v>29</v>
      </c>
      <c r="E749" t="e">
        <f>LEN(#REF!)</f>
        <v>#REF!</v>
      </c>
      <c r="F749" s="49" t="s">
        <v>5697</v>
      </c>
      <c r="K749" s="55" t="s">
        <v>5698</v>
      </c>
      <c r="M749">
        <f t="shared" si="22"/>
        <v>7</v>
      </c>
      <c r="N749" s="30" t="s">
        <v>5699</v>
      </c>
      <c r="R749">
        <v>748</v>
      </c>
      <c r="S749" t="s">
        <v>5700</v>
      </c>
      <c r="T749" t="s">
        <v>2279</v>
      </c>
      <c r="U749">
        <f t="shared" si="23"/>
        <v>8</v>
      </c>
      <c r="V749" s="30" t="s">
        <v>5701</v>
      </c>
    </row>
    <row r="750" spans="1:22">
      <c r="A750">
        <v>749</v>
      </c>
      <c r="C750" s="7" t="s">
        <v>1786</v>
      </c>
      <c r="D750" t="s">
        <v>29</v>
      </c>
      <c r="E750" t="e">
        <f>LEN(#REF!)</f>
        <v>#REF!</v>
      </c>
      <c r="F750" s="49" t="s">
        <v>5702</v>
      </c>
      <c r="K750" s="55" t="s">
        <v>5703</v>
      </c>
      <c r="M750">
        <f t="shared" si="22"/>
        <v>6</v>
      </c>
      <c r="N750" s="30" t="s">
        <v>5704</v>
      </c>
      <c r="R750">
        <v>749</v>
      </c>
      <c r="S750" t="s">
        <v>5705</v>
      </c>
      <c r="T750" t="s">
        <v>2279</v>
      </c>
      <c r="U750">
        <f t="shared" si="23"/>
        <v>9</v>
      </c>
      <c r="V750" s="30" t="s">
        <v>5706</v>
      </c>
    </row>
    <row r="751" spans="1:22">
      <c r="A751">
        <v>750</v>
      </c>
      <c r="C751" s="7" t="s">
        <v>1788</v>
      </c>
      <c r="D751" t="s">
        <v>29</v>
      </c>
      <c r="E751" t="e">
        <f>LEN(#REF!)</f>
        <v>#REF!</v>
      </c>
      <c r="F751" s="49" t="s">
        <v>5707</v>
      </c>
      <c r="K751" s="55" t="s">
        <v>5708</v>
      </c>
      <c r="M751">
        <f t="shared" si="22"/>
        <v>8</v>
      </c>
      <c r="N751" s="30" t="s">
        <v>5709</v>
      </c>
      <c r="R751">
        <v>750</v>
      </c>
      <c r="S751" t="s">
        <v>5710</v>
      </c>
      <c r="T751" t="s">
        <v>2279</v>
      </c>
      <c r="U751">
        <f t="shared" si="23"/>
        <v>8</v>
      </c>
      <c r="V751" s="30" t="s">
        <v>5711</v>
      </c>
    </row>
    <row r="752" spans="1:22">
      <c r="A752">
        <v>751</v>
      </c>
      <c r="C752" s="7" t="s">
        <v>1790</v>
      </c>
      <c r="D752" t="s">
        <v>29</v>
      </c>
      <c r="E752" t="e">
        <f>LEN(#REF!)</f>
        <v>#REF!</v>
      </c>
      <c r="F752" s="49" t="s">
        <v>5712</v>
      </c>
      <c r="K752" s="55" t="s">
        <v>5713</v>
      </c>
      <c r="M752">
        <f t="shared" si="22"/>
        <v>6</v>
      </c>
      <c r="N752" s="30" t="s">
        <v>5714</v>
      </c>
      <c r="R752">
        <v>751</v>
      </c>
      <c r="S752" t="s">
        <v>5715</v>
      </c>
      <c r="T752" t="s">
        <v>2279</v>
      </c>
      <c r="U752">
        <f t="shared" si="23"/>
        <v>8</v>
      </c>
      <c r="V752" s="31" t="s">
        <v>5716</v>
      </c>
    </row>
    <row r="753" spans="1:22">
      <c r="A753">
        <v>752</v>
      </c>
      <c r="C753" s="7" t="s">
        <v>1792</v>
      </c>
      <c r="D753" t="s">
        <v>29</v>
      </c>
      <c r="E753" t="e">
        <f>LEN(#REF!)</f>
        <v>#REF!</v>
      </c>
      <c r="F753" s="49" t="s">
        <v>5717</v>
      </c>
      <c r="K753" s="55" t="s">
        <v>5718</v>
      </c>
      <c r="M753">
        <f t="shared" si="22"/>
        <v>6</v>
      </c>
      <c r="N753" s="30" t="s">
        <v>5719</v>
      </c>
      <c r="R753">
        <v>752</v>
      </c>
      <c r="S753" t="s">
        <v>5720</v>
      </c>
      <c r="T753" t="s">
        <v>2279</v>
      </c>
      <c r="U753">
        <f t="shared" si="23"/>
        <v>8</v>
      </c>
      <c r="V753" s="30" t="s">
        <v>5721</v>
      </c>
    </row>
    <row r="754" spans="1:22">
      <c r="A754">
        <v>753</v>
      </c>
      <c r="C754" s="7" t="s">
        <v>1794</v>
      </c>
      <c r="D754" t="s">
        <v>29</v>
      </c>
      <c r="E754" t="e">
        <f>LEN(#REF!)</f>
        <v>#REF!</v>
      </c>
      <c r="F754" s="49" t="s">
        <v>5722</v>
      </c>
      <c r="K754" s="55" t="s">
        <v>5723</v>
      </c>
      <c r="M754">
        <f t="shared" si="22"/>
        <v>8</v>
      </c>
      <c r="N754" s="30" t="s">
        <v>5724</v>
      </c>
      <c r="R754">
        <v>753</v>
      </c>
      <c r="S754" t="s">
        <v>5725</v>
      </c>
      <c r="T754" t="s">
        <v>2279</v>
      </c>
      <c r="U754">
        <f t="shared" si="23"/>
        <v>9</v>
      </c>
      <c r="V754" s="30" t="s">
        <v>5726</v>
      </c>
    </row>
    <row r="755" spans="1:22">
      <c r="A755">
        <v>754</v>
      </c>
      <c r="C755" s="7" t="s">
        <v>1796</v>
      </c>
      <c r="D755" t="s">
        <v>29</v>
      </c>
      <c r="E755" t="e">
        <f>LEN(#REF!)</f>
        <v>#REF!</v>
      </c>
      <c r="F755" s="49" t="s">
        <v>5727</v>
      </c>
      <c r="K755" s="55" t="s">
        <v>5728</v>
      </c>
      <c r="M755">
        <f t="shared" si="22"/>
        <v>8</v>
      </c>
      <c r="N755" s="30" t="s">
        <v>5729</v>
      </c>
      <c r="R755">
        <v>754</v>
      </c>
      <c r="S755" t="s">
        <v>5730</v>
      </c>
      <c r="T755" t="s">
        <v>2279</v>
      </c>
      <c r="U755">
        <f t="shared" si="23"/>
        <v>12</v>
      </c>
      <c r="V755" s="30" t="s">
        <v>5731</v>
      </c>
    </row>
    <row r="756" spans="1:22">
      <c r="A756">
        <v>755</v>
      </c>
      <c r="C756" s="7" t="s">
        <v>916</v>
      </c>
      <c r="D756" t="s">
        <v>29</v>
      </c>
      <c r="E756" t="e">
        <f>LEN(#REF!)</f>
        <v>#REF!</v>
      </c>
      <c r="F756" s="49" t="s">
        <v>3487</v>
      </c>
      <c r="K756" s="55" t="s">
        <v>5732</v>
      </c>
      <c r="M756">
        <f t="shared" si="22"/>
        <v>6</v>
      </c>
      <c r="N756" s="30" t="s">
        <v>5733</v>
      </c>
      <c r="R756">
        <v>755</v>
      </c>
      <c r="S756" t="s">
        <v>5734</v>
      </c>
      <c r="T756" t="s">
        <v>2279</v>
      </c>
      <c r="U756">
        <f t="shared" si="23"/>
        <v>19</v>
      </c>
      <c r="V756" s="30" t="s">
        <v>5735</v>
      </c>
    </row>
    <row r="757" spans="1:22">
      <c r="A757">
        <v>756</v>
      </c>
      <c r="C757" s="7" t="s">
        <v>1798</v>
      </c>
      <c r="D757" t="s">
        <v>29</v>
      </c>
      <c r="E757" t="e">
        <f>LEN(#REF!)</f>
        <v>#REF!</v>
      </c>
      <c r="F757" s="49" t="s">
        <v>5736</v>
      </c>
      <c r="K757" s="55" t="s">
        <v>5737</v>
      </c>
      <c r="M757">
        <f t="shared" si="22"/>
        <v>8</v>
      </c>
      <c r="N757" s="30" t="s">
        <v>5738</v>
      </c>
      <c r="R757">
        <v>756</v>
      </c>
      <c r="S757" t="s">
        <v>5739</v>
      </c>
      <c r="T757" t="s">
        <v>2279</v>
      </c>
      <c r="U757">
        <f t="shared" si="23"/>
        <v>17</v>
      </c>
      <c r="V757" s="30" t="s">
        <v>5740</v>
      </c>
    </row>
    <row r="758" spans="1:22">
      <c r="A758">
        <v>757</v>
      </c>
      <c r="C758" s="7" t="s">
        <v>1800</v>
      </c>
      <c r="D758" t="s">
        <v>29</v>
      </c>
      <c r="E758" t="e">
        <f>LEN(#REF!)</f>
        <v>#REF!</v>
      </c>
      <c r="F758" s="49" t="s">
        <v>5741</v>
      </c>
      <c r="K758" s="55" t="s">
        <v>5742</v>
      </c>
      <c r="M758">
        <f t="shared" si="22"/>
        <v>6</v>
      </c>
      <c r="N758" s="30" t="s">
        <v>5743</v>
      </c>
      <c r="R758">
        <v>757</v>
      </c>
      <c r="S758" t="s">
        <v>5744</v>
      </c>
      <c r="T758" t="s">
        <v>2279</v>
      </c>
      <c r="U758">
        <f t="shared" si="23"/>
        <v>16</v>
      </c>
      <c r="V758" s="30" t="s">
        <v>5745</v>
      </c>
    </row>
    <row r="759" spans="1:22">
      <c r="A759">
        <v>758</v>
      </c>
      <c r="C759" s="7" t="s">
        <v>1802</v>
      </c>
      <c r="D759" t="s">
        <v>29</v>
      </c>
      <c r="E759" t="e">
        <f>LEN(#REF!)</f>
        <v>#REF!</v>
      </c>
      <c r="F759" s="49" t="s">
        <v>5746</v>
      </c>
      <c r="K759" s="55" t="s">
        <v>5747</v>
      </c>
      <c r="M759">
        <f t="shared" si="22"/>
        <v>8</v>
      </c>
      <c r="N759" s="30" t="s">
        <v>5748</v>
      </c>
      <c r="R759">
        <v>758</v>
      </c>
      <c r="S759" t="s">
        <v>5749</v>
      </c>
      <c r="T759" t="s">
        <v>2279</v>
      </c>
      <c r="U759">
        <f t="shared" si="23"/>
        <v>8</v>
      </c>
      <c r="V759" s="30" t="s">
        <v>5750</v>
      </c>
    </row>
    <row r="760" spans="1:22">
      <c r="A760">
        <v>759</v>
      </c>
      <c r="C760" s="7" t="s">
        <v>1804</v>
      </c>
      <c r="D760" t="s">
        <v>29</v>
      </c>
      <c r="E760" t="e">
        <f>LEN(#REF!)</f>
        <v>#REF!</v>
      </c>
      <c r="F760" s="49" t="s">
        <v>5751</v>
      </c>
      <c r="K760" s="55" t="s">
        <v>5752</v>
      </c>
      <c r="M760">
        <f t="shared" si="22"/>
        <v>7</v>
      </c>
      <c r="N760" s="30" t="s">
        <v>5753</v>
      </c>
      <c r="R760">
        <v>759</v>
      </c>
      <c r="S760" t="s">
        <v>5754</v>
      </c>
      <c r="T760" t="s">
        <v>2279</v>
      </c>
      <c r="U760">
        <f t="shared" si="23"/>
        <v>10</v>
      </c>
      <c r="V760" s="30" t="s">
        <v>5755</v>
      </c>
    </row>
    <row r="761" spans="1:22">
      <c r="A761">
        <v>760</v>
      </c>
      <c r="C761" s="7" t="s">
        <v>1806</v>
      </c>
      <c r="D761" t="s">
        <v>29</v>
      </c>
      <c r="E761" t="e">
        <f>LEN(#REF!)</f>
        <v>#REF!</v>
      </c>
      <c r="F761" s="49" t="s">
        <v>5756</v>
      </c>
      <c r="K761" s="55">
        <v>12345</v>
      </c>
      <c r="M761">
        <f t="shared" si="22"/>
        <v>5</v>
      </c>
      <c r="N761" s="30" t="s">
        <v>5757</v>
      </c>
      <c r="R761">
        <v>760</v>
      </c>
      <c r="S761" t="s">
        <v>5758</v>
      </c>
      <c r="T761" t="s">
        <v>2279</v>
      </c>
      <c r="U761">
        <f t="shared" si="23"/>
        <v>10</v>
      </c>
      <c r="V761" s="30" t="s">
        <v>5759</v>
      </c>
    </row>
    <row r="762" spans="1:22">
      <c r="A762">
        <v>761</v>
      </c>
      <c r="C762" s="7" t="s">
        <v>1808</v>
      </c>
      <c r="D762" t="s">
        <v>29</v>
      </c>
      <c r="E762" t="e">
        <f>LEN(#REF!)</f>
        <v>#REF!</v>
      </c>
      <c r="F762" s="49" t="s">
        <v>5760</v>
      </c>
      <c r="K762" s="55" t="s">
        <v>5761</v>
      </c>
      <c r="M762">
        <f t="shared" si="22"/>
        <v>6</v>
      </c>
      <c r="N762" s="30" t="s">
        <v>5762</v>
      </c>
      <c r="R762">
        <v>761</v>
      </c>
      <c r="S762" t="s">
        <v>5763</v>
      </c>
      <c r="T762" t="s">
        <v>2279</v>
      </c>
      <c r="U762">
        <f t="shared" si="23"/>
        <v>8</v>
      </c>
      <c r="V762" s="30" t="s">
        <v>5764</v>
      </c>
    </row>
    <row r="763" spans="1:22">
      <c r="A763">
        <v>762</v>
      </c>
      <c r="C763" s="7" t="s">
        <v>1810</v>
      </c>
      <c r="D763" t="s">
        <v>29</v>
      </c>
      <c r="E763" t="e">
        <f>LEN(#REF!)</f>
        <v>#REF!</v>
      </c>
      <c r="F763" s="49" t="s">
        <v>5765</v>
      </c>
      <c r="K763" s="55" t="s">
        <v>5766</v>
      </c>
      <c r="M763">
        <f t="shared" si="22"/>
        <v>6</v>
      </c>
      <c r="N763" s="30" t="s">
        <v>5767</v>
      </c>
      <c r="R763">
        <v>762</v>
      </c>
      <c r="S763" t="s">
        <v>5768</v>
      </c>
      <c r="T763" t="s">
        <v>2279</v>
      </c>
      <c r="U763">
        <f t="shared" si="23"/>
        <v>9</v>
      </c>
      <c r="V763" s="30" t="s">
        <v>5769</v>
      </c>
    </row>
    <row r="764" spans="1:22">
      <c r="A764">
        <v>763</v>
      </c>
      <c r="C764" s="7" t="s">
        <v>974</v>
      </c>
      <c r="D764" t="s">
        <v>29</v>
      </c>
      <c r="E764" t="e">
        <f>LEN(#REF!)</f>
        <v>#REF!</v>
      </c>
      <c r="F764" s="49" t="s">
        <v>3630</v>
      </c>
      <c r="K764" s="55" t="s">
        <v>5770</v>
      </c>
      <c r="M764">
        <f t="shared" si="22"/>
        <v>7</v>
      </c>
      <c r="N764" s="30" t="s">
        <v>5771</v>
      </c>
      <c r="R764">
        <v>763</v>
      </c>
      <c r="S764" t="s">
        <v>5772</v>
      </c>
      <c r="T764" t="s">
        <v>2279</v>
      </c>
      <c r="U764">
        <f t="shared" si="23"/>
        <v>10</v>
      </c>
      <c r="V764" s="30" t="s">
        <v>5773</v>
      </c>
    </row>
    <row r="765" spans="1:22">
      <c r="A765">
        <v>764</v>
      </c>
      <c r="C765" s="7" t="s">
        <v>1812</v>
      </c>
      <c r="D765" t="s">
        <v>29</v>
      </c>
      <c r="E765" t="e">
        <f>LEN(#REF!)</f>
        <v>#REF!</v>
      </c>
      <c r="F765" s="49" t="s">
        <v>5774</v>
      </c>
      <c r="K765" s="55" t="s">
        <v>5775</v>
      </c>
      <c r="M765">
        <f t="shared" si="22"/>
        <v>6</v>
      </c>
      <c r="N765" s="30" t="s">
        <v>5776</v>
      </c>
      <c r="R765">
        <v>764</v>
      </c>
      <c r="S765" t="s">
        <v>5777</v>
      </c>
      <c r="T765" t="s">
        <v>2279</v>
      </c>
      <c r="U765">
        <f t="shared" si="23"/>
        <v>10</v>
      </c>
      <c r="V765" s="31" t="s">
        <v>5778</v>
      </c>
    </row>
    <row r="766" spans="1:22">
      <c r="A766">
        <v>765</v>
      </c>
      <c r="C766" s="7" t="s">
        <v>1814</v>
      </c>
      <c r="D766" t="s">
        <v>29</v>
      </c>
      <c r="E766" t="e">
        <f>LEN(#REF!)</f>
        <v>#REF!</v>
      </c>
      <c r="F766" s="49" t="s">
        <v>5779</v>
      </c>
      <c r="K766" s="55" t="s">
        <v>5780</v>
      </c>
      <c r="M766">
        <f t="shared" si="22"/>
        <v>6</v>
      </c>
      <c r="N766" s="30" t="s">
        <v>5781</v>
      </c>
      <c r="R766">
        <v>765</v>
      </c>
      <c r="S766" t="s">
        <v>5782</v>
      </c>
      <c r="T766" t="s">
        <v>2279</v>
      </c>
      <c r="U766">
        <f t="shared" si="23"/>
        <v>9</v>
      </c>
      <c r="V766" s="30" t="s">
        <v>5783</v>
      </c>
    </row>
    <row r="767" spans="1:22">
      <c r="A767">
        <v>766</v>
      </c>
      <c r="C767" s="7" t="s">
        <v>1816</v>
      </c>
      <c r="D767" t="s">
        <v>29</v>
      </c>
      <c r="E767" t="e">
        <f>LEN(#REF!)</f>
        <v>#REF!</v>
      </c>
      <c r="F767" s="49" t="s">
        <v>5784</v>
      </c>
      <c r="K767" s="55" t="s">
        <v>5785</v>
      </c>
      <c r="M767">
        <f t="shared" si="22"/>
        <v>6</v>
      </c>
      <c r="N767" s="30" t="s">
        <v>5786</v>
      </c>
      <c r="R767">
        <v>766</v>
      </c>
      <c r="S767" t="s">
        <v>5787</v>
      </c>
      <c r="T767" t="s">
        <v>2279</v>
      </c>
      <c r="U767">
        <f t="shared" si="23"/>
        <v>14</v>
      </c>
      <c r="V767" s="30" t="s">
        <v>5788</v>
      </c>
    </row>
    <row r="768" spans="1:22">
      <c r="A768">
        <v>767</v>
      </c>
      <c r="C768" s="7" t="s">
        <v>1110</v>
      </c>
      <c r="D768" t="s">
        <v>29</v>
      </c>
      <c r="E768" t="e">
        <f>LEN(#REF!)</f>
        <v>#REF!</v>
      </c>
      <c r="F768" s="49" t="s">
        <v>3987</v>
      </c>
      <c r="K768" s="55" t="s">
        <v>5789</v>
      </c>
      <c r="M768">
        <f t="shared" si="22"/>
        <v>5</v>
      </c>
      <c r="N768" s="30" t="s">
        <v>5790</v>
      </c>
      <c r="R768">
        <v>767</v>
      </c>
      <c r="S768" t="s">
        <v>5791</v>
      </c>
      <c r="T768" t="s">
        <v>2279</v>
      </c>
      <c r="U768">
        <f t="shared" si="23"/>
        <v>9</v>
      </c>
      <c r="V768" s="30" t="s">
        <v>5792</v>
      </c>
    </row>
    <row r="769" spans="1:22">
      <c r="A769">
        <v>768</v>
      </c>
      <c r="C769" s="7" t="s">
        <v>1818</v>
      </c>
      <c r="D769" t="s">
        <v>29</v>
      </c>
      <c r="E769" t="e">
        <f>LEN(#REF!)</f>
        <v>#REF!</v>
      </c>
      <c r="F769" s="49" t="s">
        <v>5793</v>
      </c>
      <c r="K769" s="55" t="s">
        <v>5794</v>
      </c>
      <c r="M769">
        <f t="shared" si="22"/>
        <v>6</v>
      </c>
      <c r="N769" s="30" t="s">
        <v>5795</v>
      </c>
      <c r="R769">
        <v>768</v>
      </c>
      <c r="S769" t="s">
        <v>5796</v>
      </c>
      <c r="T769" t="s">
        <v>2279</v>
      </c>
      <c r="U769">
        <f t="shared" si="23"/>
        <v>8</v>
      </c>
      <c r="V769" s="30" t="s">
        <v>5797</v>
      </c>
    </row>
    <row r="770" spans="1:22">
      <c r="A770">
        <v>769</v>
      </c>
      <c r="C770" s="7" t="s">
        <v>1820</v>
      </c>
      <c r="D770" t="s">
        <v>29</v>
      </c>
      <c r="E770" t="e">
        <f>LEN(#REF!)</f>
        <v>#REF!</v>
      </c>
      <c r="F770" s="49" t="s">
        <v>5798</v>
      </c>
      <c r="K770" s="55" t="s">
        <v>5799</v>
      </c>
      <c r="M770">
        <f t="shared" si="22"/>
        <v>9</v>
      </c>
      <c r="N770" s="30" t="s">
        <v>5800</v>
      </c>
      <c r="R770">
        <v>769</v>
      </c>
      <c r="S770" t="s">
        <v>5801</v>
      </c>
      <c r="T770" t="s">
        <v>2279</v>
      </c>
      <c r="U770">
        <f t="shared" si="23"/>
        <v>12</v>
      </c>
      <c r="V770" s="30" t="s">
        <v>5802</v>
      </c>
    </row>
    <row r="771" spans="1:22">
      <c r="A771">
        <v>770</v>
      </c>
      <c r="C771" s="7" t="s">
        <v>1822</v>
      </c>
      <c r="D771" t="s">
        <v>29</v>
      </c>
      <c r="E771" t="e">
        <f>LEN(#REF!)</f>
        <v>#REF!</v>
      </c>
      <c r="F771" s="49" t="s">
        <v>5803</v>
      </c>
      <c r="K771" s="55" t="s">
        <v>5804</v>
      </c>
      <c r="M771">
        <f t="shared" ref="M771:M834" si="24">LEN(K771)</f>
        <v>6</v>
      </c>
      <c r="N771" s="30" t="s">
        <v>5805</v>
      </c>
      <c r="R771">
        <v>770</v>
      </c>
      <c r="S771" t="s">
        <v>5806</v>
      </c>
      <c r="T771" t="s">
        <v>2279</v>
      </c>
      <c r="U771">
        <f t="shared" ref="U771:U834" si="25">LEN(S771)</f>
        <v>8</v>
      </c>
      <c r="V771" s="30" t="s">
        <v>5807</v>
      </c>
    </row>
    <row r="772" spans="1:22">
      <c r="A772">
        <v>771</v>
      </c>
      <c r="C772" s="7" t="s">
        <v>1824</v>
      </c>
      <c r="D772" t="s">
        <v>29</v>
      </c>
      <c r="E772" t="e">
        <f>LEN(#REF!)</f>
        <v>#REF!</v>
      </c>
      <c r="F772" s="49" t="s">
        <v>5808</v>
      </c>
      <c r="K772" s="55" t="s">
        <v>5809</v>
      </c>
      <c r="M772">
        <f t="shared" si="24"/>
        <v>7</v>
      </c>
      <c r="N772" s="30" t="s">
        <v>5810</v>
      </c>
      <c r="R772">
        <v>771</v>
      </c>
      <c r="S772" t="s">
        <v>5811</v>
      </c>
      <c r="T772" t="s">
        <v>2279</v>
      </c>
      <c r="U772">
        <f t="shared" si="25"/>
        <v>9</v>
      </c>
      <c r="V772" s="30" t="s">
        <v>5812</v>
      </c>
    </row>
    <row r="773" spans="1:22">
      <c r="A773">
        <v>772</v>
      </c>
      <c r="C773" s="7" t="s">
        <v>1826</v>
      </c>
      <c r="D773" t="s">
        <v>29</v>
      </c>
      <c r="E773" t="e">
        <f>LEN(#REF!)</f>
        <v>#REF!</v>
      </c>
      <c r="F773" s="49" t="s">
        <v>5813</v>
      </c>
      <c r="K773" s="55" t="s">
        <v>5814</v>
      </c>
      <c r="M773">
        <f t="shared" si="24"/>
        <v>8</v>
      </c>
      <c r="N773" s="30" t="s">
        <v>5815</v>
      </c>
      <c r="R773">
        <v>772</v>
      </c>
      <c r="S773" t="s">
        <v>5816</v>
      </c>
      <c r="T773" t="s">
        <v>2279</v>
      </c>
      <c r="U773">
        <f t="shared" si="25"/>
        <v>9</v>
      </c>
      <c r="V773" s="30" t="s">
        <v>5817</v>
      </c>
    </row>
    <row r="774" spans="1:22">
      <c r="A774">
        <v>773</v>
      </c>
      <c r="C774" s="7" t="s">
        <v>1706</v>
      </c>
      <c r="D774" t="s">
        <v>29</v>
      </c>
      <c r="E774" t="e">
        <f>LEN(#REF!)</f>
        <v>#REF!</v>
      </c>
      <c r="F774" s="49" t="s">
        <v>5495</v>
      </c>
      <c r="K774" s="55" t="s">
        <v>5818</v>
      </c>
      <c r="M774">
        <f t="shared" si="24"/>
        <v>6</v>
      </c>
      <c r="N774" s="30" t="s">
        <v>5819</v>
      </c>
      <c r="R774">
        <v>773</v>
      </c>
      <c r="S774" t="s">
        <v>5820</v>
      </c>
      <c r="T774" t="s">
        <v>2279</v>
      </c>
      <c r="U774">
        <f t="shared" si="25"/>
        <v>11</v>
      </c>
      <c r="V774" s="30" t="s">
        <v>5821</v>
      </c>
    </row>
    <row r="775" spans="1:22">
      <c r="A775">
        <v>774</v>
      </c>
      <c r="C775" s="7" t="s">
        <v>982</v>
      </c>
      <c r="D775" t="s">
        <v>29</v>
      </c>
      <c r="E775" t="e">
        <f>LEN(#REF!)</f>
        <v>#REF!</v>
      </c>
      <c r="F775" s="49" t="s">
        <v>3649</v>
      </c>
      <c r="K775" s="55" t="s">
        <v>5822</v>
      </c>
      <c r="M775">
        <f t="shared" si="24"/>
        <v>7</v>
      </c>
      <c r="N775" s="30" t="s">
        <v>5823</v>
      </c>
      <c r="R775">
        <v>774</v>
      </c>
      <c r="S775" t="s">
        <v>5824</v>
      </c>
      <c r="T775" t="s">
        <v>2279</v>
      </c>
      <c r="U775">
        <f t="shared" si="25"/>
        <v>13</v>
      </c>
      <c r="V775" s="30" t="s">
        <v>5825</v>
      </c>
    </row>
    <row r="776" spans="1:22">
      <c r="A776">
        <v>775</v>
      </c>
      <c r="C776" s="7" t="s">
        <v>1128</v>
      </c>
      <c r="D776" t="s">
        <v>29</v>
      </c>
      <c r="E776" t="e">
        <f>LEN(#REF!)</f>
        <v>#REF!</v>
      </c>
      <c r="F776" s="49" t="s">
        <v>4032</v>
      </c>
      <c r="K776" s="55" t="s">
        <v>5826</v>
      </c>
      <c r="M776">
        <f t="shared" si="24"/>
        <v>7</v>
      </c>
      <c r="N776" s="30" t="s">
        <v>5827</v>
      </c>
      <c r="R776">
        <v>775</v>
      </c>
      <c r="S776" t="s">
        <v>5828</v>
      </c>
      <c r="T776" t="s">
        <v>2279</v>
      </c>
      <c r="U776">
        <f t="shared" si="25"/>
        <v>13</v>
      </c>
      <c r="V776" s="30" t="s">
        <v>5829</v>
      </c>
    </row>
    <row r="777" spans="1:22">
      <c r="A777">
        <v>776</v>
      </c>
      <c r="C777" s="7" t="s">
        <v>942</v>
      </c>
      <c r="D777" t="s">
        <v>29</v>
      </c>
      <c r="E777" t="e">
        <f>LEN(#REF!)</f>
        <v>#REF!</v>
      </c>
      <c r="F777" s="49" t="s">
        <v>3551</v>
      </c>
      <c r="K777" s="55" t="s">
        <v>5830</v>
      </c>
      <c r="M777">
        <f t="shared" si="24"/>
        <v>7</v>
      </c>
      <c r="N777" s="30" t="s">
        <v>5831</v>
      </c>
      <c r="R777">
        <v>776</v>
      </c>
      <c r="S777" t="s">
        <v>5832</v>
      </c>
      <c r="T777" t="s">
        <v>2279</v>
      </c>
      <c r="U777">
        <f t="shared" si="25"/>
        <v>10</v>
      </c>
      <c r="V777" s="30" t="s">
        <v>5833</v>
      </c>
    </row>
    <row r="778" spans="1:22">
      <c r="A778">
        <v>777</v>
      </c>
      <c r="C778" s="7" t="s">
        <v>1736</v>
      </c>
      <c r="D778" t="s">
        <v>29</v>
      </c>
      <c r="E778" t="e">
        <f>LEN(#REF!)</f>
        <v>#REF!</v>
      </c>
      <c r="F778" s="49" t="s">
        <v>5569</v>
      </c>
      <c r="K778" s="55" t="s">
        <v>5834</v>
      </c>
      <c r="M778">
        <f t="shared" si="24"/>
        <v>5</v>
      </c>
      <c r="N778" s="30" t="s">
        <v>5835</v>
      </c>
      <c r="R778">
        <v>777</v>
      </c>
      <c r="S778" t="s">
        <v>5836</v>
      </c>
      <c r="T778" t="s">
        <v>2279</v>
      </c>
      <c r="U778">
        <f t="shared" si="25"/>
        <v>8</v>
      </c>
      <c r="V778" s="30" t="s">
        <v>5837</v>
      </c>
    </row>
    <row r="779" spans="1:22">
      <c r="A779">
        <v>778</v>
      </c>
      <c r="C779" s="7" t="s">
        <v>1148</v>
      </c>
      <c r="D779" t="s">
        <v>29</v>
      </c>
      <c r="E779" t="e">
        <f>LEN(#REF!)</f>
        <v>#REF!</v>
      </c>
      <c r="F779" s="49" t="s">
        <v>4079</v>
      </c>
      <c r="K779" s="55" t="s">
        <v>5838</v>
      </c>
      <c r="M779">
        <f t="shared" si="24"/>
        <v>5</v>
      </c>
      <c r="N779" s="30" t="s">
        <v>5839</v>
      </c>
      <c r="R779">
        <v>778</v>
      </c>
      <c r="S779" t="s">
        <v>5840</v>
      </c>
      <c r="T779" t="s">
        <v>2279</v>
      </c>
      <c r="U779">
        <f t="shared" si="25"/>
        <v>15</v>
      </c>
      <c r="V779" s="30" t="s">
        <v>5841</v>
      </c>
    </row>
    <row r="780" spans="1:22">
      <c r="A780">
        <v>779</v>
      </c>
      <c r="C780" s="7" t="s">
        <v>1828</v>
      </c>
      <c r="D780" t="s">
        <v>29</v>
      </c>
      <c r="E780" t="e">
        <f>LEN(#REF!)</f>
        <v>#REF!</v>
      </c>
      <c r="F780" s="49" t="s">
        <v>5842</v>
      </c>
      <c r="K780" s="55" t="s">
        <v>5843</v>
      </c>
      <c r="M780">
        <f t="shared" si="24"/>
        <v>6</v>
      </c>
      <c r="N780" s="30" t="s">
        <v>5844</v>
      </c>
      <c r="R780">
        <v>779</v>
      </c>
      <c r="S780" t="s">
        <v>5845</v>
      </c>
      <c r="T780" t="s">
        <v>2279</v>
      </c>
      <c r="U780">
        <f t="shared" si="25"/>
        <v>8</v>
      </c>
      <c r="V780" s="30" t="s">
        <v>5846</v>
      </c>
    </row>
    <row r="781" spans="1:22">
      <c r="A781">
        <v>780</v>
      </c>
      <c r="C781" s="7" t="s">
        <v>1830</v>
      </c>
      <c r="D781" t="s">
        <v>29</v>
      </c>
      <c r="E781" t="e">
        <f>LEN(#REF!)</f>
        <v>#REF!</v>
      </c>
      <c r="F781" s="49" t="s">
        <v>5847</v>
      </c>
      <c r="K781" s="55" t="s">
        <v>5848</v>
      </c>
      <c r="M781">
        <f t="shared" si="24"/>
        <v>7</v>
      </c>
      <c r="N781" s="30" t="s">
        <v>5849</v>
      </c>
      <c r="R781">
        <v>780</v>
      </c>
      <c r="S781" t="s">
        <v>5850</v>
      </c>
      <c r="T781" t="s">
        <v>2279</v>
      </c>
      <c r="U781">
        <f t="shared" si="25"/>
        <v>8</v>
      </c>
      <c r="V781" s="30" t="s">
        <v>5851</v>
      </c>
    </row>
    <row r="782" spans="1:22">
      <c r="A782">
        <v>781</v>
      </c>
      <c r="C782" s="7" t="s">
        <v>992</v>
      </c>
      <c r="D782" t="s">
        <v>29</v>
      </c>
      <c r="E782" t="e">
        <f>LEN(#REF!)</f>
        <v>#REF!</v>
      </c>
      <c r="F782" s="49" t="s">
        <v>3674</v>
      </c>
      <c r="K782" s="55" t="s">
        <v>5852</v>
      </c>
      <c r="M782">
        <f t="shared" si="24"/>
        <v>9</v>
      </c>
      <c r="N782" s="30" t="s">
        <v>5853</v>
      </c>
      <c r="R782">
        <v>781</v>
      </c>
      <c r="S782" t="s">
        <v>5854</v>
      </c>
      <c r="T782" t="s">
        <v>2279</v>
      </c>
      <c r="U782">
        <f t="shared" si="25"/>
        <v>8</v>
      </c>
      <c r="V782" s="30" t="s">
        <v>5855</v>
      </c>
    </row>
    <row r="783" spans="1:22">
      <c r="A783">
        <v>782</v>
      </c>
      <c r="C783" s="7" t="s">
        <v>1116</v>
      </c>
      <c r="D783" t="s">
        <v>29</v>
      </c>
      <c r="E783" t="e">
        <f>LEN(#REF!)</f>
        <v>#REF!</v>
      </c>
      <c r="F783" s="49" t="s">
        <v>4002</v>
      </c>
      <c r="K783" s="55">
        <v>151515</v>
      </c>
      <c r="M783">
        <f t="shared" si="24"/>
        <v>6</v>
      </c>
      <c r="N783" s="30" t="s">
        <v>5856</v>
      </c>
      <c r="R783">
        <v>782</v>
      </c>
      <c r="S783" t="s">
        <v>5857</v>
      </c>
      <c r="T783" t="s">
        <v>2279</v>
      </c>
      <c r="U783">
        <f t="shared" si="25"/>
        <v>10</v>
      </c>
      <c r="V783" s="30" t="s">
        <v>5858</v>
      </c>
    </row>
    <row r="784" spans="1:22">
      <c r="A784">
        <v>783</v>
      </c>
      <c r="C784" s="7" t="s">
        <v>1164</v>
      </c>
      <c r="D784" t="s">
        <v>29</v>
      </c>
      <c r="E784" t="e">
        <f>LEN(#REF!)</f>
        <v>#REF!</v>
      </c>
      <c r="F784" s="49" t="s">
        <v>4119</v>
      </c>
      <c r="K784" s="55" t="s">
        <v>5859</v>
      </c>
      <c r="M784">
        <f t="shared" si="24"/>
        <v>5</v>
      </c>
      <c r="N784" s="30" t="s">
        <v>5860</v>
      </c>
      <c r="R784">
        <v>783</v>
      </c>
      <c r="S784" t="s">
        <v>5861</v>
      </c>
      <c r="T784" t="s">
        <v>2279</v>
      </c>
      <c r="U784">
        <f t="shared" si="25"/>
        <v>8</v>
      </c>
      <c r="V784" s="30" t="s">
        <v>5862</v>
      </c>
    </row>
    <row r="785" spans="1:22">
      <c r="A785">
        <v>784</v>
      </c>
      <c r="C785" s="7" t="s">
        <v>1184</v>
      </c>
      <c r="D785" t="s">
        <v>29</v>
      </c>
      <c r="E785" t="e">
        <f>LEN(#REF!)</f>
        <v>#REF!</v>
      </c>
      <c r="F785" s="49" t="s">
        <v>4171</v>
      </c>
      <c r="K785" s="55" t="s">
        <v>5863</v>
      </c>
      <c r="M785">
        <f t="shared" si="24"/>
        <v>6</v>
      </c>
      <c r="N785" s="30" t="s">
        <v>5864</v>
      </c>
      <c r="R785">
        <v>784</v>
      </c>
      <c r="S785" t="s">
        <v>5865</v>
      </c>
      <c r="T785" t="s">
        <v>2279</v>
      </c>
      <c r="U785">
        <f t="shared" si="25"/>
        <v>8</v>
      </c>
      <c r="V785" s="30" t="s">
        <v>5866</v>
      </c>
    </row>
    <row r="786" spans="1:22">
      <c r="A786">
        <v>785</v>
      </c>
      <c r="C786" s="7" t="s">
        <v>1832</v>
      </c>
      <c r="D786" t="s">
        <v>29</v>
      </c>
      <c r="E786" t="e">
        <f>LEN(#REF!)</f>
        <v>#REF!</v>
      </c>
      <c r="F786" s="49" t="s">
        <v>5867</v>
      </c>
      <c r="K786" s="55">
        <v>202020</v>
      </c>
      <c r="M786">
        <f t="shared" si="24"/>
        <v>6</v>
      </c>
      <c r="N786" s="30" t="s">
        <v>5868</v>
      </c>
      <c r="R786">
        <v>785</v>
      </c>
      <c r="S786" t="s">
        <v>5869</v>
      </c>
      <c r="T786" t="s">
        <v>2279</v>
      </c>
      <c r="U786">
        <f t="shared" si="25"/>
        <v>8</v>
      </c>
      <c r="V786" s="30" t="s">
        <v>5870</v>
      </c>
    </row>
    <row r="787" spans="1:22">
      <c r="A787">
        <v>786</v>
      </c>
      <c r="C787" s="7" t="s">
        <v>1834</v>
      </c>
      <c r="D787" t="s">
        <v>29</v>
      </c>
      <c r="E787" t="e">
        <f>LEN(#REF!)</f>
        <v>#REF!</v>
      </c>
      <c r="F787" s="49" t="s">
        <v>5871</v>
      </c>
      <c r="K787" s="55" t="s">
        <v>5872</v>
      </c>
      <c r="M787">
        <f t="shared" si="24"/>
        <v>6</v>
      </c>
      <c r="N787" s="30" t="s">
        <v>5873</v>
      </c>
      <c r="R787">
        <v>786</v>
      </c>
      <c r="S787" t="s">
        <v>5874</v>
      </c>
      <c r="T787" t="s">
        <v>2279</v>
      </c>
      <c r="U787">
        <f t="shared" si="25"/>
        <v>9</v>
      </c>
      <c r="V787" s="30" t="s">
        <v>5875</v>
      </c>
    </row>
    <row r="788" spans="1:22">
      <c r="A788">
        <v>787</v>
      </c>
      <c r="C788" s="7" t="s">
        <v>1746</v>
      </c>
      <c r="D788" t="s">
        <v>29</v>
      </c>
      <c r="E788" t="e">
        <f>LEN(#REF!)</f>
        <v>#REF!</v>
      </c>
      <c r="F788" s="49" t="s">
        <v>5594</v>
      </c>
      <c r="K788" s="55" t="s">
        <v>5876</v>
      </c>
      <c r="M788">
        <f t="shared" si="24"/>
        <v>10</v>
      </c>
      <c r="N788" s="30" t="s">
        <v>5877</v>
      </c>
      <c r="R788">
        <v>787</v>
      </c>
      <c r="S788" t="s">
        <v>5878</v>
      </c>
      <c r="T788" t="s">
        <v>2279</v>
      </c>
      <c r="U788">
        <f t="shared" si="25"/>
        <v>11</v>
      </c>
      <c r="V788" s="30" t="s">
        <v>5879</v>
      </c>
    </row>
    <row r="789" spans="1:22">
      <c r="A789">
        <v>788</v>
      </c>
      <c r="C789" s="7" t="s">
        <v>1134</v>
      </c>
      <c r="D789" t="s">
        <v>29</v>
      </c>
      <c r="E789" t="e">
        <f>LEN(#REF!)</f>
        <v>#REF!</v>
      </c>
      <c r="F789" s="49" t="s">
        <v>4045</v>
      </c>
      <c r="K789" s="55" t="s">
        <v>5880</v>
      </c>
      <c r="M789">
        <f t="shared" si="24"/>
        <v>7</v>
      </c>
      <c r="N789" s="30" t="s">
        <v>5881</v>
      </c>
      <c r="R789">
        <v>788</v>
      </c>
      <c r="S789" t="s">
        <v>5882</v>
      </c>
      <c r="T789" t="s">
        <v>2279</v>
      </c>
      <c r="U789">
        <f t="shared" si="25"/>
        <v>8</v>
      </c>
      <c r="V789" s="30" t="s">
        <v>5883</v>
      </c>
    </row>
    <row r="790" spans="1:22">
      <c r="A790">
        <v>789</v>
      </c>
      <c r="C790" s="7" t="s">
        <v>1836</v>
      </c>
      <c r="D790" t="s">
        <v>29</v>
      </c>
      <c r="E790" t="e">
        <f>LEN(#REF!)</f>
        <v>#REF!</v>
      </c>
      <c r="F790" s="49" t="s">
        <v>5884</v>
      </c>
      <c r="K790" s="55" t="s">
        <v>5885</v>
      </c>
      <c r="M790">
        <f t="shared" si="24"/>
        <v>8</v>
      </c>
      <c r="N790" s="30" t="s">
        <v>5886</v>
      </c>
      <c r="R790">
        <v>789</v>
      </c>
      <c r="S790" t="s">
        <v>5887</v>
      </c>
      <c r="T790" t="s">
        <v>2279</v>
      </c>
      <c r="U790">
        <f t="shared" si="25"/>
        <v>10</v>
      </c>
      <c r="V790" s="30" t="s">
        <v>5888</v>
      </c>
    </row>
    <row r="791" spans="1:22">
      <c r="A791">
        <v>790</v>
      </c>
      <c r="C791" s="7" t="s">
        <v>1838</v>
      </c>
      <c r="D791" t="s">
        <v>29</v>
      </c>
      <c r="E791" t="e">
        <f>LEN(#REF!)</f>
        <v>#REF!</v>
      </c>
      <c r="F791" s="49" t="s">
        <v>5889</v>
      </c>
      <c r="K791" s="55" t="s">
        <v>5890</v>
      </c>
      <c r="M791">
        <f t="shared" si="24"/>
        <v>7</v>
      </c>
      <c r="N791" s="30" t="s">
        <v>5891</v>
      </c>
      <c r="R791">
        <v>790</v>
      </c>
      <c r="S791" t="s">
        <v>5892</v>
      </c>
      <c r="T791" t="s">
        <v>2279</v>
      </c>
      <c r="U791">
        <f t="shared" si="25"/>
        <v>8</v>
      </c>
      <c r="V791" s="30" t="s">
        <v>5893</v>
      </c>
    </row>
    <row r="792" spans="1:22">
      <c r="A792">
        <v>791</v>
      </c>
      <c r="C792" s="7" t="s">
        <v>1840</v>
      </c>
      <c r="D792" t="s">
        <v>29</v>
      </c>
      <c r="E792" t="e">
        <f>LEN(#REF!)</f>
        <v>#REF!</v>
      </c>
      <c r="F792" s="49" t="s">
        <v>5894</v>
      </c>
      <c r="K792" s="55" t="s">
        <v>5895</v>
      </c>
      <c r="M792">
        <f t="shared" si="24"/>
        <v>6</v>
      </c>
      <c r="N792" s="30" t="s">
        <v>5896</v>
      </c>
      <c r="R792">
        <v>791</v>
      </c>
      <c r="S792" t="s">
        <v>5897</v>
      </c>
      <c r="T792" t="s">
        <v>2279</v>
      </c>
      <c r="U792">
        <f t="shared" si="25"/>
        <v>8</v>
      </c>
      <c r="V792" s="30" t="s">
        <v>5898</v>
      </c>
    </row>
    <row r="793" spans="1:22">
      <c r="A793">
        <v>792</v>
      </c>
      <c r="C793" s="7" t="s">
        <v>1842</v>
      </c>
      <c r="D793" t="s">
        <v>29</v>
      </c>
      <c r="E793" t="e">
        <f>LEN(#REF!)</f>
        <v>#REF!</v>
      </c>
      <c r="F793" s="49" t="s">
        <v>5899</v>
      </c>
      <c r="K793" s="55" t="s">
        <v>5900</v>
      </c>
      <c r="M793">
        <f t="shared" si="24"/>
        <v>9</v>
      </c>
      <c r="N793" s="30" t="s">
        <v>5901</v>
      </c>
      <c r="R793">
        <v>792</v>
      </c>
      <c r="S793" t="s">
        <v>5902</v>
      </c>
      <c r="T793" t="s">
        <v>2279</v>
      </c>
      <c r="U793">
        <f t="shared" si="25"/>
        <v>8</v>
      </c>
      <c r="V793" s="30" t="s">
        <v>5903</v>
      </c>
    </row>
    <row r="794" spans="1:22">
      <c r="A794">
        <v>793</v>
      </c>
      <c r="C794" s="7" t="s">
        <v>1844</v>
      </c>
      <c r="D794" t="s">
        <v>29</v>
      </c>
      <c r="E794" t="e">
        <f>LEN(#REF!)</f>
        <v>#REF!</v>
      </c>
      <c r="F794" s="49" t="s">
        <v>5904</v>
      </c>
      <c r="K794" s="55" t="s">
        <v>5905</v>
      </c>
      <c r="M794">
        <f t="shared" si="24"/>
        <v>7</v>
      </c>
      <c r="N794" s="30" t="s">
        <v>5906</v>
      </c>
      <c r="R794">
        <v>793</v>
      </c>
      <c r="S794" t="s">
        <v>5907</v>
      </c>
      <c r="T794" t="s">
        <v>2279</v>
      </c>
      <c r="U794">
        <f t="shared" si="25"/>
        <v>10</v>
      </c>
      <c r="V794" s="30" t="s">
        <v>5908</v>
      </c>
    </row>
    <row r="795" spans="1:22">
      <c r="A795">
        <v>794</v>
      </c>
      <c r="C795" s="7" t="s">
        <v>1846</v>
      </c>
      <c r="D795" t="s">
        <v>29</v>
      </c>
      <c r="E795" t="e">
        <f>LEN(#REF!)</f>
        <v>#REF!</v>
      </c>
      <c r="F795" s="49" t="s">
        <v>5909</v>
      </c>
      <c r="K795" s="55" t="s">
        <v>5910</v>
      </c>
      <c r="M795">
        <f t="shared" si="24"/>
        <v>5</v>
      </c>
      <c r="N795" s="30" t="s">
        <v>5911</v>
      </c>
      <c r="R795">
        <v>794</v>
      </c>
      <c r="S795" t="s">
        <v>5912</v>
      </c>
      <c r="T795" t="s">
        <v>2279</v>
      </c>
      <c r="U795">
        <f t="shared" si="25"/>
        <v>9</v>
      </c>
      <c r="V795" s="30" t="s">
        <v>5913</v>
      </c>
    </row>
    <row r="796" spans="1:22">
      <c r="A796">
        <v>795</v>
      </c>
      <c r="C796" s="7" t="s">
        <v>1178</v>
      </c>
      <c r="D796" t="s">
        <v>29</v>
      </c>
      <c r="E796" t="e">
        <f>LEN(#REF!)</f>
        <v>#REF!</v>
      </c>
      <c r="F796" s="49" t="s">
        <v>4156</v>
      </c>
      <c r="K796" s="55" t="s">
        <v>5914</v>
      </c>
      <c r="M796">
        <f t="shared" si="24"/>
        <v>6</v>
      </c>
      <c r="N796" s="30" t="s">
        <v>5915</v>
      </c>
      <c r="R796">
        <v>795</v>
      </c>
      <c r="S796" t="s">
        <v>5916</v>
      </c>
      <c r="T796" t="s">
        <v>2279</v>
      </c>
      <c r="U796">
        <f t="shared" si="25"/>
        <v>9</v>
      </c>
      <c r="V796" s="31" t="s">
        <v>5917</v>
      </c>
    </row>
    <row r="797" spans="1:22">
      <c r="A797">
        <v>796</v>
      </c>
      <c r="C797" s="7" t="s">
        <v>1848</v>
      </c>
      <c r="D797" t="s">
        <v>29</v>
      </c>
      <c r="E797" t="e">
        <f>LEN(#REF!)</f>
        <v>#REF!</v>
      </c>
      <c r="F797" s="49" t="s">
        <v>5918</v>
      </c>
      <c r="K797" s="55" t="s">
        <v>5919</v>
      </c>
      <c r="M797">
        <f t="shared" si="24"/>
        <v>5</v>
      </c>
      <c r="N797" s="30" t="s">
        <v>5920</v>
      </c>
      <c r="R797">
        <v>796</v>
      </c>
      <c r="S797" t="s">
        <v>5921</v>
      </c>
      <c r="T797" t="s">
        <v>2279</v>
      </c>
      <c r="U797">
        <f t="shared" si="25"/>
        <v>8</v>
      </c>
      <c r="V797" s="30" t="s">
        <v>5922</v>
      </c>
    </row>
    <row r="798" spans="1:22">
      <c r="A798">
        <v>797</v>
      </c>
      <c r="C798" s="7" t="s">
        <v>1188</v>
      </c>
      <c r="D798" t="s">
        <v>29</v>
      </c>
      <c r="E798" t="e">
        <f>LEN(#REF!)</f>
        <v>#REF!</v>
      </c>
      <c r="F798" s="49" t="s">
        <v>4185</v>
      </c>
      <c r="K798" s="55" t="s">
        <v>5923</v>
      </c>
      <c r="M798">
        <f t="shared" si="24"/>
        <v>11</v>
      </c>
      <c r="N798" s="30" t="s">
        <v>5924</v>
      </c>
      <c r="R798">
        <v>797</v>
      </c>
      <c r="S798" t="s">
        <v>5925</v>
      </c>
      <c r="T798" t="s">
        <v>2279</v>
      </c>
      <c r="U798">
        <f t="shared" si="25"/>
        <v>9</v>
      </c>
      <c r="V798" s="30" t="s">
        <v>5926</v>
      </c>
    </row>
    <row r="799" spans="1:22">
      <c r="A799">
        <v>798</v>
      </c>
      <c r="C799" s="7" t="s">
        <v>1174</v>
      </c>
      <c r="D799" t="s">
        <v>29</v>
      </c>
      <c r="E799" t="e">
        <f>LEN(#REF!)</f>
        <v>#REF!</v>
      </c>
      <c r="F799" s="49" t="s">
        <v>4147</v>
      </c>
      <c r="K799" s="55" t="s">
        <v>5927</v>
      </c>
      <c r="M799">
        <f t="shared" si="24"/>
        <v>9</v>
      </c>
      <c r="N799" s="30" t="s">
        <v>5928</v>
      </c>
      <c r="R799">
        <v>798</v>
      </c>
      <c r="S799" t="s">
        <v>5929</v>
      </c>
      <c r="T799" t="s">
        <v>2279</v>
      </c>
      <c r="U799">
        <f t="shared" si="25"/>
        <v>8</v>
      </c>
      <c r="V799" s="30" t="s">
        <v>5930</v>
      </c>
    </row>
    <row r="800" spans="1:22">
      <c r="A800">
        <v>799</v>
      </c>
      <c r="C800" s="7" t="s">
        <v>1850</v>
      </c>
      <c r="D800" t="s">
        <v>29</v>
      </c>
      <c r="E800" t="e">
        <f>LEN(#REF!)</f>
        <v>#REF!</v>
      </c>
      <c r="F800" s="49" t="s">
        <v>5931</v>
      </c>
      <c r="K800" s="55" t="s">
        <v>5932</v>
      </c>
      <c r="M800">
        <f t="shared" si="24"/>
        <v>8</v>
      </c>
      <c r="N800" s="30" t="s">
        <v>5933</v>
      </c>
      <c r="R800">
        <v>799</v>
      </c>
      <c r="S800" t="s">
        <v>5934</v>
      </c>
      <c r="T800" t="s">
        <v>2279</v>
      </c>
      <c r="U800">
        <f t="shared" si="25"/>
        <v>8</v>
      </c>
      <c r="V800" s="30" t="s">
        <v>5935</v>
      </c>
    </row>
    <row r="801" spans="1:22">
      <c r="A801">
        <v>800</v>
      </c>
      <c r="C801" s="7" t="s">
        <v>1852</v>
      </c>
      <c r="D801" t="s">
        <v>29</v>
      </c>
      <c r="E801" t="e">
        <f>LEN(#REF!)</f>
        <v>#REF!</v>
      </c>
      <c r="F801" s="49" t="s">
        <v>5936</v>
      </c>
      <c r="K801" s="55" t="s">
        <v>5937</v>
      </c>
      <c r="M801">
        <f t="shared" si="24"/>
        <v>6</v>
      </c>
      <c r="N801" s="30" t="s">
        <v>5938</v>
      </c>
      <c r="R801">
        <v>800</v>
      </c>
      <c r="S801" t="s">
        <v>5939</v>
      </c>
      <c r="T801" t="s">
        <v>2279</v>
      </c>
      <c r="U801">
        <f t="shared" si="25"/>
        <v>11</v>
      </c>
      <c r="V801" s="30" t="s">
        <v>5940</v>
      </c>
    </row>
    <row r="802" spans="1:22">
      <c r="A802">
        <v>801</v>
      </c>
      <c r="C802" s="7" t="s">
        <v>1854</v>
      </c>
      <c r="D802" t="s">
        <v>29</v>
      </c>
      <c r="E802" t="e">
        <f>LEN(#REF!)</f>
        <v>#REF!</v>
      </c>
      <c r="F802" s="49" t="s">
        <v>5941</v>
      </c>
      <c r="K802" s="55" t="s">
        <v>5942</v>
      </c>
      <c r="M802">
        <f t="shared" si="24"/>
        <v>6</v>
      </c>
      <c r="N802" s="30" t="s">
        <v>5943</v>
      </c>
      <c r="R802">
        <v>801</v>
      </c>
      <c r="S802" t="s">
        <v>5944</v>
      </c>
      <c r="T802" t="s">
        <v>2279</v>
      </c>
      <c r="U802">
        <f t="shared" si="25"/>
        <v>8</v>
      </c>
      <c r="V802" s="30" t="s">
        <v>5945</v>
      </c>
    </row>
    <row r="803" spans="1:22">
      <c r="A803">
        <v>802</v>
      </c>
      <c r="C803" s="7" t="s">
        <v>1856</v>
      </c>
      <c r="D803" t="s">
        <v>29</v>
      </c>
      <c r="E803" t="e">
        <f>LEN(#REF!)</f>
        <v>#REF!</v>
      </c>
      <c r="F803" s="49" t="s">
        <v>5946</v>
      </c>
      <c r="K803" s="55" t="s">
        <v>5947</v>
      </c>
      <c r="M803">
        <f t="shared" si="24"/>
        <v>7</v>
      </c>
      <c r="N803" s="30" t="s">
        <v>5948</v>
      </c>
      <c r="R803">
        <v>802</v>
      </c>
      <c r="S803" t="s">
        <v>5949</v>
      </c>
      <c r="T803" t="s">
        <v>2279</v>
      </c>
      <c r="U803">
        <f t="shared" si="25"/>
        <v>8</v>
      </c>
      <c r="V803" s="30" t="s">
        <v>5950</v>
      </c>
    </row>
    <row r="804" spans="1:22">
      <c r="A804">
        <v>803</v>
      </c>
      <c r="C804" s="7" t="s">
        <v>1858</v>
      </c>
      <c r="D804" t="s">
        <v>29</v>
      </c>
      <c r="E804" t="e">
        <f>LEN(#REF!)</f>
        <v>#REF!</v>
      </c>
      <c r="F804" s="49" t="s">
        <v>5951</v>
      </c>
      <c r="K804" s="55" t="s">
        <v>5952</v>
      </c>
      <c r="M804">
        <f t="shared" si="24"/>
        <v>8</v>
      </c>
      <c r="N804" s="30" t="s">
        <v>5953</v>
      </c>
      <c r="R804">
        <v>803</v>
      </c>
      <c r="S804" t="s">
        <v>5954</v>
      </c>
      <c r="T804" t="s">
        <v>2279</v>
      </c>
      <c r="U804">
        <f t="shared" si="25"/>
        <v>8</v>
      </c>
      <c r="V804" s="30" t="s">
        <v>5955</v>
      </c>
    </row>
    <row r="805" spans="1:22">
      <c r="A805">
        <v>804</v>
      </c>
      <c r="C805" s="7" t="s">
        <v>1860</v>
      </c>
      <c r="D805" t="s">
        <v>29</v>
      </c>
      <c r="E805" t="e">
        <f>LEN(#REF!)</f>
        <v>#REF!</v>
      </c>
      <c r="F805" s="49" t="s">
        <v>5956</v>
      </c>
      <c r="K805" s="55" t="s">
        <v>5957</v>
      </c>
      <c r="M805">
        <f t="shared" si="24"/>
        <v>7</v>
      </c>
      <c r="N805" s="30" t="s">
        <v>5958</v>
      </c>
      <c r="R805">
        <v>804</v>
      </c>
      <c r="S805" t="s">
        <v>5959</v>
      </c>
      <c r="T805" t="s">
        <v>2279</v>
      </c>
      <c r="U805">
        <f t="shared" si="25"/>
        <v>14</v>
      </c>
      <c r="V805" s="30" t="s">
        <v>5960</v>
      </c>
    </row>
    <row r="806" spans="1:22">
      <c r="A806">
        <v>805</v>
      </c>
      <c r="C806" s="7" t="s">
        <v>1862</v>
      </c>
      <c r="D806" t="s">
        <v>29</v>
      </c>
      <c r="E806" t="e">
        <f>LEN(#REF!)</f>
        <v>#REF!</v>
      </c>
      <c r="F806" s="49" t="s">
        <v>5961</v>
      </c>
      <c r="K806" s="55" t="s">
        <v>5962</v>
      </c>
      <c r="M806">
        <f t="shared" si="24"/>
        <v>6</v>
      </c>
      <c r="N806" s="30" t="s">
        <v>5963</v>
      </c>
      <c r="R806">
        <v>805</v>
      </c>
      <c r="S806" t="s">
        <v>5964</v>
      </c>
      <c r="T806" t="s">
        <v>2279</v>
      </c>
      <c r="U806">
        <f t="shared" si="25"/>
        <v>8</v>
      </c>
      <c r="V806" s="30" t="s">
        <v>5965</v>
      </c>
    </row>
    <row r="807" spans="1:22">
      <c r="A807">
        <v>806</v>
      </c>
      <c r="C807" s="7" t="s">
        <v>1864</v>
      </c>
      <c r="D807" t="s">
        <v>29</v>
      </c>
      <c r="E807" t="e">
        <f>LEN(#REF!)</f>
        <v>#REF!</v>
      </c>
      <c r="F807" s="49" t="s">
        <v>5966</v>
      </c>
      <c r="K807" s="55" t="s">
        <v>5967</v>
      </c>
      <c r="M807">
        <f t="shared" si="24"/>
        <v>7</v>
      </c>
      <c r="N807" s="30" t="s">
        <v>5968</v>
      </c>
      <c r="R807">
        <v>806</v>
      </c>
      <c r="S807" t="s">
        <v>5969</v>
      </c>
      <c r="T807" t="s">
        <v>2279</v>
      </c>
      <c r="U807">
        <f t="shared" si="25"/>
        <v>9</v>
      </c>
      <c r="V807" s="30" t="s">
        <v>5970</v>
      </c>
    </row>
    <row r="808" spans="1:22">
      <c r="A808">
        <v>807</v>
      </c>
      <c r="C808" s="7" t="s">
        <v>1866</v>
      </c>
      <c r="D808" t="s">
        <v>29</v>
      </c>
      <c r="E808" t="e">
        <f>LEN(#REF!)</f>
        <v>#REF!</v>
      </c>
      <c r="F808" s="49" t="s">
        <v>5971</v>
      </c>
      <c r="K808" s="55" t="s">
        <v>5972</v>
      </c>
      <c r="M808">
        <f t="shared" si="24"/>
        <v>7</v>
      </c>
      <c r="N808" s="30" t="s">
        <v>5973</v>
      </c>
      <c r="R808">
        <v>807</v>
      </c>
      <c r="S808" t="s">
        <v>5974</v>
      </c>
      <c r="T808" t="s">
        <v>2279</v>
      </c>
      <c r="U808">
        <f t="shared" si="25"/>
        <v>19</v>
      </c>
      <c r="V808" s="30" t="s">
        <v>5975</v>
      </c>
    </row>
    <row r="809" spans="1:22">
      <c r="A809">
        <v>808</v>
      </c>
      <c r="C809" s="7" t="s">
        <v>1868</v>
      </c>
      <c r="D809" t="s">
        <v>29</v>
      </c>
      <c r="E809" t="e">
        <f>LEN(#REF!)</f>
        <v>#REF!</v>
      </c>
      <c r="F809" s="49" t="s">
        <v>5976</v>
      </c>
      <c r="K809" s="55">
        <v>141414</v>
      </c>
      <c r="M809">
        <f t="shared" si="24"/>
        <v>6</v>
      </c>
      <c r="N809" s="30" t="s">
        <v>5977</v>
      </c>
      <c r="R809">
        <v>808</v>
      </c>
      <c r="S809" t="s">
        <v>5978</v>
      </c>
      <c r="T809" t="s">
        <v>2279</v>
      </c>
      <c r="U809">
        <f t="shared" si="25"/>
        <v>11</v>
      </c>
      <c r="V809" s="30" t="s">
        <v>5979</v>
      </c>
    </row>
    <row r="810" spans="1:22">
      <c r="A810">
        <v>809</v>
      </c>
      <c r="C810" s="7" t="s">
        <v>1870</v>
      </c>
      <c r="D810" t="s">
        <v>29</v>
      </c>
      <c r="E810" t="e">
        <f>LEN(#REF!)</f>
        <v>#REF!</v>
      </c>
      <c r="F810" s="49" t="s">
        <v>5980</v>
      </c>
      <c r="K810" s="55">
        <v>11111111</v>
      </c>
      <c r="M810">
        <f t="shared" si="24"/>
        <v>8</v>
      </c>
      <c r="N810" s="30" t="s">
        <v>5981</v>
      </c>
      <c r="R810">
        <v>809</v>
      </c>
      <c r="S810" t="s">
        <v>5982</v>
      </c>
      <c r="T810" t="s">
        <v>2279</v>
      </c>
      <c r="U810">
        <f t="shared" si="25"/>
        <v>8</v>
      </c>
      <c r="V810" s="30" t="s">
        <v>5983</v>
      </c>
    </row>
    <row r="811" spans="1:22">
      <c r="A811">
        <v>810</v>
      </c>
      <c r="C811" s="7" t="s">
        <v>1872</v>
      </c>
      <c r="D811" t="s">
        <v>29</v>
      </c>
      <c r="E811" t="e">
        <f>LEN(#REF!)</f>
        <v>#REF!</v>
      </c>
      <c r="F811" s="49" t="s">
        <v>5984</v>
      </c>
      <c r="K811" s="55" t="s">
        <v>5985</v>
      </c>
      <c r="M811">
        <f t="shared" si="24"/>
        <v>7</v>
      </c>
      <c r="N811" s="30" t="s">
        <v>5986</v>
      </c>
      <c r="R811">
        <v>810</v>
      </c>
      <c r="S811" t="s">
        <v>5987</v>
      </c>
      <c r="T811" t="s">
        <v>2279</v>
      </c>
      <c r="U811">
        <f t="shared" si="25"/>
        <v>10</v>
      </c>
      <c r="V811" s="30" t="s">
        <v>5988</v>
      </c>
    </row>
    <row r="812" spans="1:22">
      <c r="A812">
        <v>811</v>
      </c>
      <c r="C812" s="7" t="s">
        <v>1874</v>
      </c>
      <c r="D812" t="s">
        <v>29</v>
      </c>
      <c r="E812" t="e">
        <f>LEN(#REF!)</f>
        <v>#REF!</v>
      </c>
      <c r="F812" s="49" t="s">
        <v>5989</v>
      </c>
      <c r="K812" s="55" t="s">
        <v>5990</v>
      </c>
      <c r="M812">
        <f t="shared" si="24"/>
        <v>6</v>
      </c>
      <c r="N812" s="30" t="s">
        <v>5991</v>
      </c>
      <c r="R812">
        <v>811</v>
      </c>
      <c r="S812" t="s">
        <v>5992</v>
      </c>
      <c r="T812" t="s">
        <v>2279</v>
      </c>
      <c r="U812">
        <f t="shared" si="25"/>
        <v>19</v>
      </c>
      <c r="V812" s="30" t="s">
        <v>5993</v>
      </c>
    </row>
    <row r="813" spans="1:22">
      <c r="A813">
        <v>812</v>
      </c>
      <c r="C813" s="7" t="s">
        <v>1876</v>
      </c>
      <c r="D813" t="s">
        <v>29</v>
      </c>
      <c r="E813" t="e">
        <f>LEN(#REF!)</f>
        <v>#REF!</v>
      </c>
      <c r="F813" s="49" t="s">
        <v>5994</v>
      </c>
      <c r="K813" s="55" t="s">
        <v>5995</v>
      </c>
      <c r="M813">
        <f t="shared" si="24"/>
        <v>6</v>
      </c>
      <c r="N813" s="30" t="s">
        <v>5996</v>
      </c>
      <c r="R813">
        <v>812</v>
      </c>
      <c r="S813" t="s">
        <v>5997</v>
      </c>
      <c r="T813" t="s">
        <v>2279</v>
      </c>
      <c r="U813">
        <f t="shared" si="25"/>
        <v>10</v>
      </c>
      <c r="V813" s="30" t="s">
        <v>5998</v>
      </c>
    </row>
    <row r="814" spans="1:22">
      <c r="A814">
        <v>813</v>
      </c>
      <c r="C814" s="7" t="s">
        <v>1878</v>
      </c>
      <c r="D814" t="s">
        <v>29</v>
      </c>
      <c r="E814" t="e">
        <f>LEN(#REF!)</f>
        <v>#REF!</v>
      </c>
      <c r="F814" s="49" t="s">
        <v>5999</v>
      </c>
      <c r="K814" s="55" t="s">
        <v>6000</v>
      </c>
      <c r="M814">
        <f t="shared" si="24"/>
        <v>6</v>
      </c>
      <c r="N814" s="30" t="s">
        <v>6001</v>
      </c>
      <c r="R814">
        <v>813</v>
      </c>
      <c r="S814" t="s">
        <v>6002</v>
      </c>
      <c r="T814" t="s">
        <v>2279</v>
      </c>
      <c r="U814">
        <f t="shared" si="25"/>
        <v>8</v>
      </c>
      <c r="V814" s="30" t="s">
        <v>6003</v>
      </c>
    </row>
    <row r="815" spans="1:22">
      <c r="A815">
        <v>814</v>
      </c>
      <c r="C815" s="7" t="s">
        <v>1880</v>
      </c>
      <c r="D815" t="s">
        <v>29</v>
      </c>
      <c r="E815" t="e">
        <f>LEN(#REF!)</f>
        <v>#REF!</v>
      </c>
      <c r="F815" s="49" t="s">
        <v>6004</v>
      </c>
      <c r="K815" s="55" t="s">
        <v>6005</v>
      </c>
      <c r="M815">
        <f t="shared" si="24"/>
        <v>7</v>
      </c>
      <c r="N815" s="30" t="s">
        <v>6006</v>
      </c>
      <c r="R815">
        <v>814</v>
      </c>
      <c r="S815" t="s">
        <v>6007</v>
      </c>
      <c r="T815" t="s">
        <v>2279</v>
      </c>
      <c r="U815">
        <f t="shared" si="25"/>
        <v>8</v>
      </c>
      <c r="V815" s="30" t="s">
        <v>6008</v>
      </c>
    </row>
    <row r="816" spans="1:22">
      <c r="A816">
        <v>815</v>
      </c>
      <c r="C816" s="7" t="s">
        <v>1882</v>
      </c>
      <c r="D816" t="s">
        <v>29</v>
      </c>
      <c r="E816" t="e">
        <f>LEN(#REF!)</f>
        <v>#REF!</v>
      </c>
      <c r="F816" s="49" t="s">
        <v>6009</v>
      </c>
      <c r="K816" s="55" t="s">
        <v>6010</v>
      </c>
      <c r="M816">
        <f t="shared" si="24"/>
        <v>7</v>
      </c>
      <c r="N816" s="30" t="s">
        <v>6011</v>
      </c>
      <c r="R816">
        <v>815</v>
      </c>
      <c r="S816" t="s">
        <v>6012</v>
      </c>
      <c r="T816" t="s">
        <v>2279</v>
      </c>
      <c r="U816">
        <f t="shared" si="25"/>
        <v>11</v>
      </c>
      <c r="V816" s="30" t="s">
        <v>6013</v>
      </c>
    </row>
    <row r="817" spans="1:22">
      <c r="A817">
        <v>816</v>
      </c>
      <c r="C817" s="7" t="s">
        <v>1884</v>
      </c>
      <c r="D817" t="s">
        <v>29</v>
      </c>
      <c r="E817" t="e">
        <f>LEN(#REF!)</f>
        <v>#REF!</v>
      </c>
      <c r="F817" s="49" t="s">
        <v>6014</v>
      </c>
      <c r="K817" s="55" t="s">
        <v>6015</v>
      </c>
      <c r="M817">
        <f t="shared" si="24"/>
        <v>8</v>
      </c>
      <c r="N817" s="30" t="s">
        <v>6016</v>
      </c>
      <c r="R817">
        <v>816</v>
      </c>
      <c r="S817" t="s">
        <v>6017</v>
      </c>
      <c r="T817" t="s">
        <v>2279</v>
      </c>
      <c r="U817">
        <f t="shared" si="25"/>
        <v>11</v>
      </c>
      <c r="V817" s="30" t="s">
        <v>6018</v>
      </c>
    </row>
    <row r="818" spans="1:22">
      <c r="A818">
        <v>817</v>
      </c>
      <c r="C818" s="7" t="s">
        <v>1886</v>
      </c>
      <c r="D818" t="s">
        <v>29</v>
      </c>
      <c r="E818" t="e">
        <f>LEN(#REF!)</f>
        <v>#REF!</v>
      </c>
      <c r="F818" s="49" t="s">
        <v>6019</v>
      </c>
      <c r="K818" s="55" t="s">
        <v>6020</v>
      </c>
      <c r="M818">
        <f t="shared" si="24"/>
        <v>7</v>
      </c>
      <c r="N818" s="30" t="s">
        <v>6021</v>
      </c>
      <c r="R818">
        <v>817</v>
      </c>
      <c r="S818" t="s">
        <v>6022</v>
      </c>
      <c r="T818" t="s">
        <v>2279</v>
      </c>
      <c r="U818">
        <f t="shared" si="25"/>
        <v>8</v>
      </c>
      <c r="V818" s="30" t="s">
        <v>6023</v>
      </c>
    </row>
    <row r="819" spans="1:22">
      <c r="A819">
        <v>818</v>
      </c>
      <c r="C819" s="7" t="s">
        <v>1888</v>
      </c>
      <c r="D819" t="s">
        <v>29</v>
      </c>
      <c r="E819" t="e">
        <f>LEN(#REF!)</f>
        <v>#REF!</v>
      </c>
      <c r="F819" s="49" t="s">
        <v>6024</v>
      </c>
      <c r="K819" s="55" t="s">
        <v>6025</v>
      </c>
      <c r="M819">
        <f t="shared" si="24"/>
        <v>9</v>
      </c>
      <c r="N819" s="30" t="s">
        <v>6026</v>
      </c>
      <c r="R819">
        <v>818</v>
      </c>
      <c r="S819" t="s">
        <v>6027</v>
      </c>
      <c r="T819" t="s">
        <v>2279</v>
      </c>
      <c r="U819">
        <f t="shared" si="25"/>
        <v>8</v>
      </c>
      <c r="V819" s="30" t="s">
        <v>6028</v>
      </c>
    </row>
    <row r="820" spans="1:22">
      <c r="A820">
        <v>819</v>
      </c>
      <c r="C820" s="7" t="s">
        <v>1890</v>
      </c>
      <c r="D820" t="s">
        <v>29</v>
      </c>
      <c r="E820" t="e">
        <f>LEN(#REF!)</f>
        <v>#REF!</v>
      </c>
      <c r="F820" s="49" t="s">
        <v>6029</v>
      </c>
      <c r="K820" s="55" t="s">
        <v>6030</v>
      </c>
      <c r="M820">
        <f t="shared" si="24"/>
        <v>6</v>
      </c>
      <c r="N820" s="30" t="s">
        <v>6031</v>
      </c>
      <c r="R820">
        <v>819</v>
      </c>
      <c r="S820" t="s">
        <v>6032</v>
      </c>
      <c r="T820" t="s">
        <v>2279</v>
      </c>
      <c r="U820">
        <f t="shared" si="25"/>
        <v>9</v>
      </c>
      <c r="V820" s="30" t="s">
        <v>6033</v>
      </c>
    </row>
    <row r="821" spans="1:22">
      <c r="A821">
        <v>820</v>
      </c>
      <c r="C821" s="7" t="s">
        <v>1892</v>
      </c>
      <c r="D821" t="s">
        <v>29</v>
      </c>
      <c r="E821" t="e">
        <f>LEN(#REF!)</f>
        <v>#REF!</v>
      </c>
      <c r="F821" s="49" t="s">
        <v>6034</v>
      </c>
      <c r="K821" s="55" t="s">
        <v>6035</v>
      </c>
      <c r="M821">
        <f t="shared" si="24"/>
        <v>6</v>
      </c>
      <c r="N821" s="30" t="s">
        <v>6036</v>
      </c>
      <c r="R821">
        <v>820</v>
      </c>
      <c r="S821" t="s">
        <v>6037</v>
      </c>
      <c r="T821" t="s">
        <v>2279</v>
      </c>
      <c r="U821">
        <f t="shared" si="25"/>
        <v>8</v>
      </c>
      <c r="V821" s="30" t="s">
        <v>6038</v>
      </c>
    </row>
    <row r="822" spans="1:22">
      <c r="A822">
        <v>821</v>
      </c>
      <c r="C822" s="7" t="s">
        <v>1894</v>
      </c>
      <c r="D822" t="s">
        <v>29</v>
      </c>
      <c r="E822" t="e">
        <f>LEN(#REF!)</f>
        <v>#REF!</v>
      </c>
      <c r="F822" s="49" t="s">
        <v>6039</v>
      </c>
      <c r="K822" s="55" t="s">
        <v>6040</v>
      </c>
      <c r="M822">
        <f t="shared" si="24"/>
        <v>8</v>
      </c>
      <c r="N822" s="30" t="s">
        <v>6041</v>
      </c>
      <c r="R822">
        <v>821</v>
      </c>
      <c r="S822" t="s">
        <v>6042</v>
      </c>
      <c r="T822" t="s">
        <v>2279</v>
      </c>
      <c r="U822">
        <f t="shared" si="25"/>
        <v>8</v>
      </c>
      <c r="V822" s="30" t="s">
        <v>6043</v>
      </c>
    </row>
    <row r="823" spans="1:22">
      <c r="A823">
        <v>822</v>
      </c>
      <c r="C823" s="7" t="s">
        <v>1896</v>
      </c>
      <c r="D823" t="s">
        <v>29</v>
      </c>
      <c r="E823" t="e">
        <f>LEN(#REF!)</f>
        <v>#REF!</v>
      </c>
      <c r="F823" s="49" t="s">
        <v>6044</v>
      </c>
      <c r="K823" s="55" t="s">
        <v>6045</v>
      </c>
      <c r="M823">
        <f t="shared" si="24"/>
        <v>6</v>
      </c>
      <c r="N823" s="30" t="s">
        <v>6046</v>
      </c>
      <c r="R823">
        <v>822</v>
      </c>
      <c r="S823" t="s">
        <v>6047</v>
      </c>
      <c r="T823" t="s">
        <v>2279</v>
      </c>
      <c r="U823">
        <f t="shared" si="25"/>
        <v>10</v>
      </c>
      <c r="V823" s="30" t="s">
        <v>6048</v>
      </c>
    </row>
    <row r="824" spans="1:22">
      <c r="A824">
        <v>823</v>
      </c>
      <c r="C824" s="7" t="s">
        <v>1898</v>
      </c>
      <c r="D824" t="s">
        <v>29</v>
      </c>
      <c r="E824" t="e">
        <f>LEN(#REF!)</f>
        <v>#REF!</v>
      </c>
      <c r="F824" s="49" t="s">
        <v>6049</v>
      </c>
      <c r="K824" s="55" t="s">
        <v>6050</v>
      </c>
      <c r="M824">
        <f t="shared" si="24"/>
        <v>6</v>
      </c>
      <c r="N824" s="30" t="s">
        <v>6051</v>
      </c>
      <c r="R824">
        <v>823</v>
      </c>
      <c r="S824" t="s">
        <v>6052</v>
      </c>
      <c r="T824" t="s">
        <v>2279</v>
      </c>
      <c r="U824">
        <f t="shared" si="25"/>
        <v>8</v>
      </c>
      <c r="V824" s="30" t="s">
        <v>6053</v>
      </c>
    </row>
    <row r="825" spans="1:22">
      <c r="A825">
        <v>824</v>
      </c>
      <c r="C825" s="7" t="s">
        <v>1900</v>
      </c>
      <c r="D825" t="s">
        <v>29</v>
      </c>
      <c r="E825" t="e">
        <f>LEN(#REF!)</f>
        <v>#REF!</v>
      </c>
      <c r="F825" s="49" t="s">
        <v>6054</v>
      </c>
      <c r="K825" s="55" t="s">
        <v>6055</v>
      </c>
      <c r="M825">
        <f t="shared" si="24"/>
        <v>6</v>
      </c>
      <c r="N825" s="30" t="s">
        <v>6056</v>
      </c>
      <c r="R825">
        <v>824</v>
      </c>
      <c r="S825" t="s">
        <v>6057</v>
      </c>
      <c r="T825" t="s">
        <v>2279</v>
      </c>
      <c r="U825">
        <f t="shared" si="25"/>
        <v>8</v>
      </c>
      <c r="V825" s="30" t="s">
        <v>6058</v>
      </c>
    </row>
    <row r="826" spans="1:22">
      <c r="A826">
        <v>825</v>
      </c>
      <c r="C826" s="7" t="s">
        <v>438</v>
      </c>
      <c r="D826" t="s">
        <v>29</v>
      </c>
      <c r="E826" t="e">
        <f>LEN(#REF!)</f>
        <v>#REF!</v>
      </c>
      <c r="F826" s="49" t="s">
        <v>2669</v>
      </c>
      <c r="K826" s="55" t="s">
        <v>6059</v>
      </c>
      <c r="M826">
        <f t="shared" si="24"/>
        <v>7</v>
      </c>
      <c r="N826" s="30" t="s">
        <v>6060</v>
      </c>
      <c r="R826">
        <v>825</v>
      </c>
      <c r="S826" t="s">
        <v>6061</v>
      </c>
      <c r="T826" t="s">
        <v>2279</v>
      </c>
      <c r="U826">
        <f t="shared" si="25"/>
        <v>8</v>
      </c>
      <c r="V826" s="30" t="s">
        <v>6062</v>
      </c>
    </row>
    <row r="827" spans="1:22">
      <c r="A827">
        <v>826</v>
      </c>
      <c r="C827" s="7" t="s">
        <v>1902</v>
      </c>
      <c r="D827" t="s">
        <v>29</v>
      </c>
      <c r="E827" t="e">
        <f>LEN(#REF!)</f>
        <v>#REF!</v>
      </c>
      <c r="F827" s="49" t="s">
        <v>6063</v>
      </c>
      <c r="K827" s="55" t="s">
        <v>6064</v>
      </c>
      <c r="M827">
        <f t="shared" si="24"/>
        <v>8</v>
      </c>
      <c r="N827" s="30" t="s">
        <v>6065</v>
      </c>
      <c r="R827">
        <v>826</v>
      </c>
      <c r="S827" t="s">
        <v>6066</v>
      </c>
      <c r="T827" t="s">
        <v>2279</v>
      </c>
      <c r="U827">
        <f t="shared" si="25"/>
        <v>8</v>
      </c>
      <c r="V827" s="30" t="s">
        <v>6067</v>
      </c>
    </row>
    <row r="828" spans="1:22">
      <c r="A828">
        <v>827</v>
      </c>
      <c r="C828" s="7" t="s">
        <v>1904</v>
      </c>
      <c r="D828" t="s">
        <v>29</v>
      </c>
      <c r="E828" t="e">
        <f>LEN(#REF!)</f>
        <v>#REF!</v>
      </c>
      <c r="F828" s="49" t="s">
        <v>6068</v>
      </c>
      <c r="K828" s="55" t="s">
        <v>6069</v>
      </c>
      <c r="M828">
        <f t="shared" si="24"/>
        <v>6</v>
      </c>
      <c r="N828" s="30" t="s">
        <v>6070</v>
      </c>
      <c r="R828">
        <v>827</v>
      </c>
      <c r="S828" t="s">
        <v>6071</v>
      </c>
      <c r="T828" t="s">
        <v>2279</v>
      </c>
      <c r="U828">
        <f t="shared" si="25"/>
        <v>8</v>
      </c>
      <c r="V828" s="30" t="s">
        <v>6072</v>
      </c>
    </row>
    <row r="829" spans="1:22">
      <c r="A829">
        <v>828</v>
      </c>
      <c r="C829" s="7" t="s">
        <v>1906</v>
      </c>
      <c r="D829" t="s">
        <v>29</v>
      </c>
      <c r="E829" t="e">
        <f>LEN(#REF!)</f>
        <v>#REF!</v>
      </c>
      <c r="F829" s="49" t="s">
        <v>6073</v>
      </c>
      <c r="K829" s="55" t="s">
        <v>6074</v>
      </c>
      <c r="M829">
        <f t="shared" si="24"/>
        <v>6</v>
      </c>
      <c r="N829" s="30" t="s">
        <v>6075</v>
      </c>
      <c r="R829">
        <v>828</v>
      </c>
      <c r="S829" t="s">
        <v>6076</v>
      </c>
      <c r="T829" t="s">
        <v>2279</v>
      </c>
      <c r="U829">
        <f t="shared" si="25"/>
        <v>9</v>
      </c>
      <c r="V829" s="30" t="s">
        <v>6077</v>
      </c>
    </row>
    <row r="830" spans="1:22">
      <c r="A830">
        <v>829</v>
      </c>
      <c r="C830" s="7" t="s">
        <v>1908</v>
      </c>
      <c r="D830" t="s">
        <v>29</v>
      </c>
      <c r="E830" t="e">
        <f>LEN(#REF!)</f>
        <v>#REF!</v>
      </c>
      <c r="F830" s="49" t="s">
        <v>6078</v>
      </c>
      <c r="K830" s="55" t="s">
        <v>6079</v>
      </c>
      <c r="M830">
        <f t="shared" si="24"/>
        <v>7</v>
      </c>
      <c r="N830" s="30" t="s">
        <v>6080</v>
      </c>
      <c r="R830">
        <v>829</v>
      </c>
      <c r="S830" t="s">
        <v>6081</v>
      </c>
      <c r="T830" t="s">
        <v>2279</v>
      </c>
      <c r="U830">
        <f t="shared" si="25"/>
        <v>11</v>
      </c>
      <c r="V830" s="30" t="s">
        <v>6082</v>
      </c>
    </row>
    <row r="831" spans="1:22">
      <c r="A831">
        <v>830</v>
      </c>
      <c r="C831" s="7" t="s">
        <v>1910</v>
      </c>
      <c r="D831" t="s">
        <v>29</v>
      </c>
      <c r="E831" t="e">
        <f>LEN(#REF!)</f>
        <v>#REF!</v>
      </c>
      <c r="F831" s="49" t="s">
        <v>6083</v>
      </c>
      <c r="K831" s="55" t="s">
        <v>6084</v>
      </c>
      <c r="M831">
        <f t="shared" si="24"/>
        <v>6</v>
      </c>
      <c r="N831" s="30" t="s">
        <v>6085</v>
      </c>
      <c r="R831">
        <v>830</v>
      </c>
      <c r="S831" t="s">
        <v>6086</v>
      </c>
      <c r="T831" t="s">
        <v>2279</v>
      </c>
      <c r="U831">
        <f t="shared" si="25"/>
        <v>8</v>
      </c>
      <c r="V831" s="31" t="s">
        <v>6087</v>
      </c>
    </row>
    <row r="832" spans="1:22">
      <c r="A832">
        <v>831</v>
      </c>
      <c r="C832" s="7" t="s">
        <v>1912</v>
      </c>
      <c r="D832" t="s">
        <v>29</v>
      </c>
      <c r="E832" t="e">
        <f>LEN(#REF!)</f>
        <v>#REF!</v>
      </c>
      <c r="F832" s="49" t="s">
        <v>6088</v>
      </c>
      <c r="K832" s="55" t="s">
        <v>6089</v>
      </c>
      <c r="M832">
        <f t="shared" si="24"/>
        <v>6</v>
      </c>
      <c r="N832" s="30" t="s">
        <v>6090</v>
      </c>
      <c r="R832">
        <v>831</v>
      </c>
      <c r="S832" t="s">
        <v>6091</v>
      </c>
      <c r="T832" t="s">
        <v>2279</v>
      </c>
      <c r="U832">
        <f t="shared" si="25"/>
        <v>11</v>
      </c>
      <c r="V832" s="30" t="s">
        <v>6092</v>
      </c>
    </row>
    <row r="833" spans="1:22">
      <c r="A833">
        <v>832</v>
      </c>
      <c r="C833" s="7" t="s">
        <v>1914</v>
      </c>
      <c r="D833" t="s">
        <v>29</v>
      </c>
      <c r="E833" t="e">
        <f>LEN(#REF!)</f>
        <v>#REF!</v>
      </c>
      <c r="F833" s="49" t="s">
        <v>6093</v>
      </c>
      <c r="K833" s="55" t="s">
        <v>6094</v>
      </c>
      <c r="M833">
        <f t="shared" si="24"/>
        <v>7</v>
      </c>
      <c r="N833" s="30" t="s">
        <v>6095</v>
      </c>
      <c r="R833">
        <v>832</v>
      </c>
      <c r="S833" t="s">
        <v>6096</v>
      </c>
      <c r="T833" t="s">
        <v>2279</v>
      </c>
      <c r="U833">
        <f t="shared" si="25"/>
        <v>12</v>
      </c>
      <c r="V833" s="30" t="s">
        <v>6097</v>
      </c>
    </row>
    <row r="834" spans="1:22">
      <c r="A834">
        <v>833</v>
      </c>
      <c r="C834" s="7" t="s">
        <v>1916</v>
      </c>
      <c r="D834" t="s">
        <v>29</v>
      </c>
      <c r="E834" t="e">
        <f>LEN(#REF!)</f>
        <v>#REF!</v>
      </c>
      <c r="F834" s="49" t="s">
        <v>6098</v>
      </c>
      <c r="K834" s="55" t="s">
        <v>6099</v>
      </c>
      <c r="M834">
        <f t="shared" si="24"/>
        <v>9</v>
      </c>
      <c r="N834" s="30" t="s">
        <v>6100</v>
      </c>
      <c r="R834">
        <v>833</v>
      </c>
      <c r="S834" t="s">
        <v>6101</v>
      </c>
      <c r="T834" t="s">
        <v>2279</v>
      </c>
      <c r="U834">
        <f t="shared" si="25"/>
        <v>15</v>
      </c>
      <c r="V834" s="30" t="s">
        <v>6102</v>
      </c>
    </row>
    <row r="835" spans="1:22">
      <c r="A835">
        <v>834</v>
      </c>
      <c r="C835" s="7" t="s">
        <v>1918</v>
      </c>
      <c r="D835" t="s">
        <v>29</v>
      </c>
      <c r="E835" t="e">
        <f>LEN(#REF!)</f>
        <v>#REF!</v>
      </c>
      <c r="F835" s="49" t="s">
        <v>6103</v>
      </c>
      <c r="K835" s="55" t="s">
        <v>6104</v>
      </c>
      <c r="M835">
        <f t="shared" ref="M835:M898" si="26">LEN(K835)</f>
        <v>6</v>
      </c>
      <c r="N835" s="30" t="s">
        <v>6105</v>
      </c>
      <c r="R835">
        <v>834</v>
      </c>
      <c r="S835" t="s">
        <v>6106</v>
      </c>
      <c r="T835" t="s">
        <v>2279</v>
      </c>
      <c r="U835">
        <f t="shared" ref="U835:U898" si="27">LEN(S835)</f>
        <v>8</v>
      </c>
      <c r="V835" s="30" t="s">
        <v>6107</v>
      </c>
    </row>
    <row r="836" spans="1:22">
      <c r="A836">
        <v>835</v>
      </c>
      <c r="C836" s="7" t="s">
        <v>1920</v>
      </c>
      <c r="D836" t="s">
        <v>29</v>
      </c>
      <c r="E836" t="e">
        <f>LEN(#REF!)</f>
        <v>#REF!</v>
      </c>
      <c r="F836" s="49" t="s">
        <v>6108</v>
      </c>
      <c r="K836" s="55" t="s">
        <v>6109</v>
      </c>
      <c r="M836">
        <f t="shared" si="26"/>
        <v>5</v>
      </c>
      <c r="N836" s="30" t="s">
        <v>6110</v>
      </c>
      <c r="R836">
        <v>835</v>
      </c>
      <c r="S836" t="s">
        <v>6111</v>
      </c>
      <c r="T836" t="s">
        <v>2279</v>
      </c>
      <c r="U836">
        <f t="shared" si="27"/>
        <v>11</v>
      </c>
      <c r="V836" s="30" t="s">
        <v>6112</v>
      </c>
    </row>
    <row r="837" spans="1:22">
      <c r="A837">
        <v>836</v>
      </c>
      <c r="C837" s="7" t="s">
        <v>1922</v>
      </c>
      <c r="D837" t="s">
        <v>29</v>
      </c>
      <c r="E837" t="e">
        <f>LEN(#REF!)</f>
        <v>#REF!</v>
      </c>
      <c r="F837" s="49" t="s">
        <v>6113</v>
      </c>
      <c r="K837" s="55" t="s">
        <v>6114</v>
      </c>
      <c r="M837">
        <f t="shared" si="26"/>
        <v>10</v>
      </c>
      <c r="N837" s="30" t="s">
        <v>6115</v>
      </c>
      <c r="R837">
        <v>836</v>
      </c>
      <c r="S837" t="s">
        <v>6116</v>
      </c>
      <c r="T837" t="s">
        <v>2279</v>
      </c>
      <c r="U837">
        <f t="shared" si="27"/>
        <v>13</v>
      </c>
      <c r="V837" s="30" t="s">
        <v>6117</v>
      </c>
    </row>
    <row r="838" spans="1:22">
      <c r="A838">
        <v>837</v>
      </c>
      <c r="C838" s="7" t="s">
        <v>1924</v>
      </c>
      <c r="D838" t="s">
        <v>29</v>
      </c>
      <c r="E838" t="e">
        <f>LEN(#REF!)</f>
        <v>#REF!</v>
      </c>
      <c r="F838" s="49" t="s">
        <v>6118</v>
      </c>
      <c r="K838" s="55" t="s">
        <v>6119</v>
      </c>
      <c r="M838">
        <f t="shared" si="26"/>
        <v>11</v>
      </c>
      <c r="N838" s="31" t="s">
        <v>6120</v>
      </c>
      <c r="R838">
        <v>837</v>
      </c>
      <c r="S838" t="s">
        <v>6121</v>
      </c>
      <c r="T838" t="s">
        <v>2279</v>
      </c>
      <c r="U838">
        <f t="shared" si="27"/>
        <v>8</v>
      </c>
      <c r="V838" s="30" t="s">
        <v>6122</v>
      </c>
    </row>
    <row r="839" spans="1:22">
      <c r="A839">
        <v>838</v>
      </c>
      <c r="C839" s="7" t="s">
        <v>1926</v>
      </c>
      <c r="D839" t="s">
        <v>29</v>
      </c>
      <c r="E839" t="e">
        <f>LEN(#REF!)</f>
        <v>#REF!</v>
      </c>
      <c r="F839" s="49" t="s">
        <v>6123</v>
      </c>
      <c r="K839" s="55" t="s">
        <v>6124</v>
      </c>
      <c r="M839">
        <f t="shared" si="26"/>
        <v>6</v>
      </c>
      <c r="N839" s="30" t="s">
        <v>6125</v>
      </c>
      <c r="R839">
        <v>838</v>
      </c>
      <c r="S839" t="s">
        <v>6126</v>
      </c>
      <c r="T839" t="s">
        <v>2279</v>
      </c>
      <c r="U839">
        <f t="shared" si="27"/>
        <v>8</v>
      </c>
      <c r="V839" s="30" t="s">
        <v>6127</v>
      </c>
    </row>
    <row r="840" spans="1:22">
      <c r="A840">
        <v>839</v>
      </c>
      <c r="C840" s="7" t="s">
        <v>1928</v>
      </c>
      <c r="D840" t="s">
        <v>29</v>
      </c>
      <c r="E840" t="e">
        <f>LEN(#REF!)</f>
        <v>#REF!</v>
      </c>
      <c r="F840" s="49" t="s">
        <v>6128</v>
      </c>
      <c r="K840" s="55" t="s">
        <v>6129</v>
      </c>
      <c r="M840">
        <f t="shared" si="26"/>
        <v>6</v>
      </c>
      <c r="N840" s="30" t="s">
        <v>6130</v>
      </c>
      <c r="R840">
        <v>839</v>
      </c>
      <c r="S840" t="s">
        <v>6131</v>
      </c>
      <c r="T840" t="s">
        <v>2279</v>
      </c>
      <c r="U840">
        <f t="shared" si="27"/>
        <v>8</v>
      </c>
      <c r="V840" s="30" t="s">
        <v>6132</v>
      </c>
    </row>
    <row r="841" spans="1:22">
      <c r="A841">
        <v>840</v>
      </c>
      <c r="C841" s="7" t="s">
        <v>1930</v>
      </c>
      <c r="D841" t="s">
        <v>29</v>
      </c>
      <c r="E841" t="e">
        <f>LEN(#REF!)</f>
        <v>#REF!</v>
      </c>
      <c r="F841" s="49" t="s">
        <v>6133</v>
      </c>
      <c r="K841" s="55" t="s">
        <v>6134</v>
      </c>
      <c r="M841">
        <f t="shared" si="26"/>
        <v>10</v>
      </c>
      <c r="N841" s="30" t="s">
        <v>6135</v>
      </c>
      <c r="R841">
        <v>840</v>
      </c>
      <c r="S841" t="s">
        <v>6136</v>
      </c>
      <c r="T841" t="s">
        <v>2279</v>
      </c>
      <c r="U841">
        <f t="shared" si="27"/>
        <v>9</v>
      </c>
      <c r="V841" s="30" t="s">
        <v>6137</v>
      </c>
    </row>
    <row r="842" spans="1:22">
      <c r="A842">
        <v>841</v>
      </c>
      <c r="C842" s="7" t="s">
        <v>420</v>
      </c>
      <c r="D842" t="s">
        <v>29</v>
      </c>
      <c r="E842" t="e">
        <f>LEN(#REF!)</f>
        <v>#REF!</v>
      </c>
      <c r="F842" s="49" t="s">
        <v>2597</v>
      </c>
      <c r="K842" s="55" t="s">
        <v>6138</v>
      </c>
      <c r="M842">
        <f t="shared" si="26"/>
        <v>8</v>
      </c>
      <c r="N842" s="30" t="s">
        <v>6139</v>
      </c>
      <c r="R842">
        <v>841</v>
      </c>
      <c r="S842" t="s">
        <v>6140</v>
      </c>
      <c r="T842" t="s">
        <v>2279</v>
      </c>
      <c r="U842">
        <f t="shared" si="27"/>
        <v>9</v>
      </c>
      <c r="V842" s="30" t="s">
        <v>6141</v>
      </c>
    </row>
    <row r="843" spans="1:22">
      <c r="A843">
        <v>842</v>
      </c>
      <c r="C843" s="7" t="s">
        <v>1932</v>
      </c>
      <c r="D843" t="s">
        <v>29</v>
      </c>
      <c r="E843" t="e">
        <f>LEN(#REF!)</f>
        <v>#REF!</v>
      </c>
      <c r="F843" s="49" t="s">
        <v>6142</v>
      </c>
      <c r="K843" s="55" t="s">
        <v>6143</v>
      </c>
      <c r="M843">
        <f t="shared" si="26"/>
        <v>8</v>
      </c>
      <c r="N843" s="30" t="s">
        <v>6144</v>
      </c>
      <c r="R843">
        <v>842</v>
      </c>
      <c r="S843" t="s">
        <v>6145</v>
      </c>
      <c r="T843" t="s">
        <v>2279</v>
      </c>
      <c r="U843">
        <f t="shared" si="27"/>
        <v>8</v>
      </c>
      <c r="V843" s="30" t="s">
        <v>6146</v>
      </c>
    </row>
    <row r="844" spans="1:22">
      <c r="A844">
        <v>843</v>
      </c>
      <c r="C844" s="7" t="s">
        <v>1934</v>
      </c>
      <c r="D844" t="s">
        <v>29</v>
      </c>
      <c r="E844" t="e">
        <f>LEN(#REF!)</f>
        <v>#REF!</v>
      </c>
      <c r="F844" s="49" t="s">
        <v>6147</v>
      </c>
      <c r="K844" s="55" t="s">
        <v>6148</v>
      </c>
      <c r="M844">
        <f t="shared" si="26"/>
        <v>6</v>
      </c>
      <c r="N844" s="30" t="s">
        <v>6149</v>
      </c>
      <c r="R844">
        <v>843</v>
      </c>
      <c r="S844" t="s">
        <v>6150</v>
      </c>
      <c r="T844" t="s">
        <v>2279</v>
      </c>
      <c r="U844">
        <f t="shared" si="27"/>
        <v>8</v>
      </c>
      <c r="V844" s="30" t="s">
        <v>6151</v>
      </c>
    </row>
    <row r="845" spans="1:22">
      <c r="A845">
        <v>844</v>
      </c>
      <c r="C845" s="7" t="s">
        <v>423</v>
      </c>
      <c r="D845" t="s">
        <v>29</v>
      </c>
      <c r="E845" t="e">
        <f>LEN(#REF!)</f>
        <v>#REF!</v>
      </c>
      <c r="F845" s="49" t="s">
        <v>2609</v>
      </c>
      <c r="K845" s="55" t="s">
        <v>6152</v>
      </c>
      <c r="M845">
        <f t="shared" si="26"/>
        <v>7</v>
      </c>
      <c r="N845" s="30" t="s">
        <v>6153</v>
      </c>
      <c r="R845">
        <v>844</v>
      </c>
      <c r="S845" t="s">
        <v>6154</v>
      </c>
      <c r="T845" t="s">
        <v>2279</v>
      </c>
      <c r="U845">
        <f t="shared" si="27"/>
        <v>12</v>
      </c>
      <c r="V845" s="30" t="s">
        <v>6155</v>
      </c>
    </row>
    <row r="846" spans="1:22">
      <c r="A846">
        <v>845</v>
      </c>
      <c r="C846" s="7" t="s">
        <v>422</v>
      </c>
      <c r="D846" t="s">
        <v>29</v>
      </c>
      <c r="E846" t="e">
        <f>LEN(#REF!)</f>
        <v>#REF!</v>
      </c>
      <c r="F846" s="49" t="s">
        <v>2605</v>
      </c>
      <c r="K846" s="55" t="s">
        <v>6156</v>
      </c>
      <c r="M846">
        <f t="shared" si="26"/>
        <v>7</v>
      </c>
      <c r="N846" s="30" t="s">
        <v>6157</v>
      </c>
      <c r="R846">
        <v>845</v>
      </c>
      <c r="S846" t="s">
        <v>6158</v>
      </c>
      <c r="T846" t="s">
        <v>2279</v>
      </c>
      <c r="U846">
        <f t="shared" si="27"/>
        <v>12</v>
      </c>
      <c r="V846" s="30" t="s">
        <v>6159</v>
      </c>
    </row>
    <row r="847" spans="1:22">
      <c r="A847">
        <v>846</v>
      </c>
      <c r="C847" s="7" t="s">
        <v>1937</v>
      </c>
      <c r="D847" t="s">
        <v>29</v>
      </c>
      <c r="E847" t="e">
        <f>LEN(#REF!)</f>
        <v>#REF!</v>
      </c>
      <c r="F847" s="49" t="s">
        <v>6160</v>
      </c>
      <c r="K847" s="55" t="s">
        <v>6161</v>
      </c>
      <c r="M847">
        <f t="shared" si="26"/>
        <v>10</v>
      </c>
      <c r="N847" s="30" t="s">
        <v>6162</v>
      </c>
      <c r="R847">
        <v>846</v>
      </c>
      <c r="S847" t="s">
        <v>6163</v>
      </c>
      <c r="T847" t="s">
        <v>2279</v>
      </c>
      <c r="U847">
        <f t="shared" si="27"/>
        <v>14</v>
      </c>
      <c r="V847" s="30" t="s">
        <v>6164</v>
      </c>
    </row>
    <row r="848" spans="1:22">
      <c r="A848">
        <v>847</v>
      </c>
      <c r="C848" s="7" t="s">
        <v>1939</v>
      </c>
      <c r="D848" t="s">
        <v>29</v>
      </c>
      <c r="E848" t="e">
        <f>LEN(#REF!)</f>
        <v>#REF!</v>
      </c>
      <c r="F848" s="49" t="s">
        <v>6165</v>
      </c>
      <c r="K848" s="55" t="s">
        <v>6166</v>
      </c>
      <c r="M848">
        <f t="shared" si="26"/>
        <v>6</v>
      </c>
      <c r="N848" s="30" t="s">
        <v>6167</v>
      </c>
      <c r="R848">
        <v>847</v>
      </c>
      <c r="S848" t="s">
        <v>6168</v>
      </c>
      <c r="T848" t="s">
        <v>2279</v>
      </c>
      <c r="U848">
        <f t="shared" si="27"/>
        <v>8</v>
      </c>
      <c r="V848" s="30" t="s">
        <v>6169</v>
      </c>
    </row>
    <row r="849" spans="1:22">
      <c r="A849">
        <v>848</v>
      </c>
      <c r="C849" s="7" t="s">
        <v>1941</v>
      </c>
      <c r="D849" t="s">
        <v>29</v>
      </c>
      <c r="E849" t="e">
        <f>LEN(#REF!)</f>
        <v>#REF!</v>
      </c>
      <c r="F849" s="49" t="s">
        <v>6170</v>
      </c>
      <c r="K849" s="55" t="s">
        <v>6171</v>
      </c>
      <c r="M849">
        <f t="shared" si="26"/>
        <v>10</v>
      </c>
      <c r="N849" s="30" t="s">
        <v>6172</v>
      </c>
      <c r="R849">
        <v>848</v>
      </c>
      <c r="S849" t="s">
        <v>6173</v>
      </c>
      <c r="T849" t="s">
        <v>2279</v>
      </c>
      <c r="U849">
        <f t="shared" si="27"/>
        <v>18</v>
      </c>
      <c r="V849" s="30" t="s">
        <v>6174</v>
      </c>
    </row>
    <row r="850" spans="1:22">
      <c r="A850">
        <v>849</v>
      </c>
      <c r="C850" s="7" t="s">
        <v>1943</v>
      </c>
      <c r="D850" t="s">
        <v>29</v>
      </c>
      <c r="E850" t="e">
        <f>LEN(#REF!)</f>
        <v>#REF!</v>
      </c>
      <c r="F850" s="49" t="s">
        <v>6175</v>
      </c>
      <c r="K850" s="55" t="s">
        <v>6176</v>
      </c>
      <c r="M850">
        <f t="shared" si="26"/>
        <v>6</v>
      </c>
      <c r="N850" s="30" t="s">
        <v>6177</v>
      </c>
      <c r="R850">
        <v>849</v>
      </c>
      <c r="S850" t="s">
        <v>6178</v>
      </c>
      <c r="T850" t="s">
        <v>2279</v>
      </c>
      <c r="U850">
        <f t="shared" si="27"/>
        <v>11</v>
      </c>
      <c r="V850" s="30" t="s">
        <v>6179</v>
      </c>
    </row>
    <row r="851" spans="1:22">
      <c r="A851">
        <v>850</v>
      </c>
      <c r="C851" s="7" t="s">
        <v>1945</v>
      </c>
      <c r="D851" t="s">
        <v>29</v>
      </c>
      <c r="E851" t="e">
        <f>LEN(#REF!)</f>
        <v>#REF!</v>
      </c>
      <c r="F851" s="49" t="s">
        <v>6180</v>
      </c>
      <c r="K851" s="55" t="s">
        <v>6181</v>
      </c>
      <c r="M851">
        <f t="shared" si="26"/>
        <v>6</v>
      </c>
      <c r="N851" s="30" t="s">
        <v>6182</v>
      </c>
      <c r="R851">
        <v>850</v>
      </c>
      <c r="S851" t="s">
        <v>6183</v>
      </c>
      <c r="T851" t="s">
        <v>2279</v>
      </c>
      <c r="U851">
        <f t="shared" si="27"/>
        <v>9</v>
      </c>
      <c r="V851" s="30" t="s">
        <v>6184</v>
      </c>
    </row>
    <row r="852" spans="1:22">
      <c r="A852">
        <v>851</v>
      </c>
      <c r="C852" s="7" t="s">
        <v>1947</v>
      </c>
      <c r="D852" t="s">
        <v>29</v>
      </c>
      <c r="E852" t="e">
        <f>LEN(#REF!)</f>
        <v>#REF!</v>
      </c>
      <c r="F852" s="49" t="s">
        <v>6185</v>
      </c>
      <c r="K852" s="55" t="s">
        <v>6186</v>
      </c>
      <c r="M852">
        <f t="shared" si="26"/>
        <v>6</v>
      </c>
      <c r="N852" s="30" t="s">
        <v>6187</v>
      </c>
      <c r="R852">
        <v>851</v>
      </c>
      <c r="S852" t="s">
        <v>6188</v>
      </c>
      <c r="T852" t="s">
        <v>2279</v>
      </c>
      <c r="U852">
        <f t="shared" si="27"/>
        <v>11</v>
      </c>
      <c r="V852" s="30" t="s">
        <v>6189</v>
      </c>
    </row>
    <row r="853" spans="1:22">
      <c r="A853">
        <v>852</v>
      </c>
      <c r="C853" s="7" t="s">
        <v>1949</v>
      </c>
      <c r="D853" t="s">
        <v>29</v>
      </c>
      <c r="E853" t="e">
        <f>LEN(#REF!)</f>
        <v>#REF!</v>
      </c>
      <c r="F853" s="49" t="s">
        <v>6190</v>
      </c>
      <c r="K853" s="55" t="s">
        <v>6191</v>
      </c>
      <c r="M853">
        <f t="shared" si="26"/>
        <v>6</v>
      </c>
      <c r="N853" s="30" t="s">
        <v>6192</v>
      </c>
      <c r="R853">
        <v>852</v>
      </c>
      <c r="S853" t="s">
        <v>6193</v>
      </c>
      <c r="T853" t="s">
        <v>2279</v>
      </c>
      <c r="U853">
        <f t="shared" si="27"/>
        <v>8</v>
      </c>
      <c r="V853" s="30" t="s">
        <v>6194</v>
      </c>
    </row>
    <row r="854" spans="1:22">
      <c r="A854">
        <v>853</v>
      </c>
      <c r="C854" s="7" t="s">
        <v>1951</v>
      </c>
      <c r="D854" t="s">
        <v>29</v>
      </c>
      <c r="E854" t="e">
        <f>LEN(#REF!)</f>
        <v>#REF!</v>
      </c>
      <c r="F854" s="49" t="s">
        <v>6195</v>
      </c>
      <c r="K854" s="55" t="s">
        <v>6196</v>
      </c>
      <c r="M854">
        <f t="shared" si="26"/>
        <v>6</v>
      </c>
      <c r="N854" s="30" t="s">
        <v>6197</v>
      </c>
      <c r="R854">
        <v>853</v>
      </c>
      <c r="S854" t="s">
        <v>6198</v>
      </c>
      <c r="T854" t="s">
        <v>2279</v>
      </c>
      <c r="U854">
        <f t="shared" si="27"/>
        <v>10</v>
      </c>
      <c r="V854" s="31" t="s">
        <v>6199</v>
      </c>
    </row>
    <row r="855" spans="1:22">
      <c r="A855">
        <v>854</v>
      </c>
      <c r="C855" s="7" t="s">
        <v>1953</v>
      </c>
      <c r="D855" t="s">
        <v>29</v>
      </c>
      <c r="E855" t="e">
        <f>LEN(#REF!)</f>
        <v>#REF!</v>
      </c>
      <c r="F855" s="49" t="s">
        <v>6200</v>
      </c>
      <c r="K855" s="55" t="s">
        <v>6201</v>
      </c>
      <c r="M855">
        <f t="shared" si="26"/>
        <v>5</v>
      </c>
      <c r="N855" s="30" t="s">
        <v>6202</v>
      </c>
      <c r="R855">
        <v>854</v>
      </c>
      <c r="S855" t="s">
        <v>6203</v>
      </c>
      <c r="T855" t="s">
        <v>2279</v>
      </c>
      <c r="U855">
        <f t="shared" si="27"/>
        <v>12</v>
      </c>
      <c r="V855" s="30" t="s">
        <v>6204</v>
      </c>
    </row>
    <row r="856" spans="1:22">
      <c r="A856">
        <v>855</v>
      </c>
      <c r="C856" s="7" t="s">
        <v>1955</v>
      </c>
      <c r="D856" t="s">
        <v>29</v>
      </c>
      <c r="E856" t="e">
        <f>LEN(#REF!)</f>
        <v>#REF!</v>
      </c>
      <c r="F856" s="49" t="s">
        <v>6205</v>
      </c>
      <c r="K856" s="55" t="s">
        <v>6206</v>
      </c>
      <c r="M856">
        <f t="shared" si="26"/>
        <v>7</v>
      </c>
      <c r="N856" s="30" t="s">
        <v>6207</v>
      </c>
      <c r="R856">
        <v>855</v>
      </c>
      <c r="S856" t="s">
        <v>6208</v>
      </c>
      <c r="T856" t="s">
        <v>2279</v>
      </c>
      <c r="U856">
        <f t="shared" si="27"/>
        <v>9</v>
      </c>
      <c r="V856" s="30" t="s">
        <v>6209</v>
      </c>
    </row>
    <row r="857" spans="1:22">
      <c r="A857">
        <v>856</v>
      </c>
      <c r="C857" s="7" t="s">
        <v>1957</v>
      </c>
      <c r="D857" t="s">
        <v>29</v>
      </c>
      <c r="E857" t="e">
        <f>LEN(#REF!)</f>
        <v>#REF!</v>
      </c>
      <c r="F857" s="49" t="s">
        <v>6210</v>
      </c>
      <c r="K857" s="55" t="s">
        <v>6211</v>
      </c>
      <c r="M857">
        <f t="shared" si="26"/>
        <v>6</v>
      </c>
      <c r="N857" s="30" t="s">
        <v>6212</v>
      </c>
      <c r="R857">
        <v>856</v>
      </c>
      <c r="S857" t="s">
        <v>6213</v>
      </c>
      <c r="T857" t="s">
        <v>2279</v>
      </c>
      <c r="U857">
        <f t="shared" si="27"/>
        <v>12</v>
      </c>
      <c r="V857" s="30" t="s">
        <v>6214</v>
      </c>
    </row>
    <row r="858" spans="1:22">
      <c r="A858">
        <v>857</v>
      </c>
      <c r="C858" s="7" t="s">
        <v>1959</v>
      </c>
      <c r="D858" t="s">
        <v>29</v>
      </c>
      <c r="E858" t="e">
        <f>LEN(#REF!)</f>
        <v>#REF!</v>
      </c>
      <c r="F858" s="49" t="s">
        <v>6215</v>
      </c>
      <c r="K858" s="55" t="s">
        <v>6216</v>
      </c>
      <c r="M858">
        <f t="shared" si="26"/>
        <v>6</v>
      </c>
      <c r="N858" s="30" t="s">
        <v>6217</v>
      </c>
      <c r="R858">
        <v>857</v>
      </c>
      <c r="S858" t="s">
        <v>6218</v>
      </c>
      <c r="T858" t="s">
        <v>2279</v>
      </c>
      <c r="U858">
        <f t="shared" si="27"/>
        <v>10</v>
      </c>
      <c r="V858" s="30" t="s">
        <v>6219</v>
      </c>
    </row>
    <row r="859" spans="1:22">
      <c r="A859">
        <v>858</v>
      </c>
      <c r="C859" s="7" t="s">
        <v>1961</v>
      </c>
      <c r="D859" t="s">
        <v>29</v>
      </c>
      <c r="E859" t="e">
        <f>LEN(#REF!)</f>
        <v>#REF!</v>
      </c>
      <c r="F859" s="49" t="s">
        <v>6220</v>
      </c>
      <c r="K859" s="55" t="s">
        <v>6221</v>
      </c>
      <c r="M859">
        <f t="shared" si="26"/>
        <v>7</v>
      </c>
      <c r="N859" s="30" t="s">
        <v>6222</v>
      </c>
      <c r="R859">
        <v>858</v>
      </c>
      <c r="S859" t="s">
        <v>6223</v>
      </c>
      <c r="T859" t="s">
        <v>2279</v>
      </c>
      <c r="U859">
        <f t="shared" si="27"/>
        <v>10</v>
      </c>
      <c r="V859" s="30" t="s">
        <v>6224</v>
      </c>
    </row>
    <row r="860" spans="1:22">
      <c r="A860">
        <v>859</v>
      </c>
      <c r="C860" s="7" t="s">
        <v>1963</v>
      </c>
      <c r="D860" t="s">
        <v>29</v>
      </c>
      <c r="E860" t="e">
        <f>LEN(#REF!)</f>
        <v>#REF!</v>
      </c>
      <c r="F860" s="49" t="s">
        <v>6225</v>
      </c>
      <c r="K860" s="55" t="s">
        <v>6226</v>
      </c>
      <c r="M860">
        <f t="shared" si="26"/>
        <v>6</v>
      </c>
      <c r="N860" s="30" t="s">
        <v>6227</v>
      </c>
      <c r="R860">
        <v>859</v>
      </c>
      <c r="S860" t="s">
        <v>6228</v>
      </c>
      <c r="T860" t="s">
        <v>2279</v>
      </c>
      <c r="U860">
        <f t="shared" si="27"/>
        <v>9</v>
      </c>
      <c r="V860" s="30" t="s">
        <v>6229</v>
      </c>
    </row>
    <row r="861" spans="1:22">
      <c r="A861">
        <v>860</v>
      </c>
      <c r="C861" s="7" t="s">
        <v>1965</v>
      </c>
      <c r="D861" t="s">
        <v>29</v>
      </c>
      <c r="E861" t="e">
        <f>LEN(#REF!)</f>
        <v>#REF!</v>
      </c>
      <c r="F861" s="49" t="s">
        <v>6230</v>
      </c>
      <c r="K861" s="55" t="s">
        <v>6231</v>
      </c>
      <c r="M861">
        <f t="shared" si="26"/>
        <v>8</v>
      </c>
      <c r="N861" s="30" t="s">
        <v>6232</v>
      </c>
      <c r="R861">
        <v>860</v>
      </c>
      <c r="S861" t="s">
        <v>6233</v>
      </c>
      <c r="T861" t="s">
        <v>2279</v>
      </c>
      <c r="U861">
        <f t="shared" si="27"/>
        <v>10</v>
      </c>
      <c r="V861" s="30" t="s">
        <v>6234</v>
      </c>
    </row>
    <row r="862" spans="1:22">
      <c r="A862">
        <v>861</v>
      </c>
      <c r="C862" s="7" t="s">
        <v>425</v>
      </c>
      <c r="D862" t="s">
        <v>29</v>
      </c>
      <c r="E862" t="e">
        <f>LEN(#REF!)</f>
        <v>#REF!</v>
      </c>
      <c r="F862" s="49" t="s">
        <v>2617</v>
      </c>
      <c r="K862" s="55" t="s">
        <v>6235</v>
      </c>
      <c r="M862">
        <f t="shared" si="26"/>
        <v>6</v>
      </c>
      <c r="N862" s="30" t="s">
        <v>6236</v>
      </c>
      <c r="R862">
        <v>861</v>
      </c>
      <c r="S862" t="s">
        <v>6237</v>
      </c>
      <c r="T862" t="s">
        <v>2279</v>
      </c>
      <c r="U862">
        <f t="shared" si="27"/>
        <v>8</v>
      </c>
      <c r="V862" s="30" t="s">
        <v>6238</v>
      </c>
    </row>
    <row r="863" spans="1:22">
      <c r="A863">
        <v>862</v>
      </c>
      <c r="C863" s="7" t="s">
        <v>1967</v>
      </c>
      <c r="D863" t="s">
        <v>29</v>
      </c>
      <c r="E863" t="e">
        <f>LEN(#REF!)</f>
        <v>#REF!</v>
      </c>
      <c r="F863" s="49" t="s">
        <v>6239</v>
      </c>
      <c r="K863" s="55" t="s">
        <v>6240</v>
      </c>
      <c r="M863">
        <f t="shared" si="26"/>
        <v>6</v>
      </c>
      <c r="N863" s="30" t="s">
        <v>6241</v>
      </c>
      <c r="R863">
        <v>862</v>
      </c>
      <c r="S863" t="s">
        <v>6242</v>
      </c>
      <c r="T863" t="s">
        <v>2279</v>
      </c>
      <c r="U863">
        <f t="shared" si="27"/>
        <v>8</v>
      </c>
      <c r="V863" s="30" t="s">
        <v>6243</v>
      </c>
    </row>
    <row r="864" spans="1:22">
      <c r="A864">
        <v>863</v>
      </c>
      <c r="C864" s="7" t="s">
        <v>1969</v>
      </c>
      <c r="D864" t="s">
        <v>29</v>
      </c>
      <c r="E864" t="e">
        <f>LEN(#REF!)</f>
        <v>#REF!</v>
      </c>
      <c r="F864" s="49" t="s">
        <v>6244</v>
      </c>
      <c r="K864" s="55" t="s">
        <v>6245</v>
      </c>
      <c r="M864">
        <f t="shared" si="26"/>
        <v>6</v>
      </c>
      <c r="N864" s="30" t="s">
        <v>6246</v>
      </c>
      <c r="R864">
        <v>863</v>
      </c>
      <c r="S864" t="s">
        <v>6247</v>
      </c>
      <c r="T864" t="s">
        <v>2279</v>
      </c>
      <c r="U864">
        <f t="shared" si="27"/>
        <v>8</v>
      </c>
      <c r="V864" s="30" t="s">
        <v>6248</v>
      </c>
    </row>
    <row r="865" spans="1:22">
      <c r="A865">
        <v>864</v>
      </c>
      <c r="C865" s="7" t="s">
        <v>1971</v>
      </c>
      <c r="D865" t="s">
        <v>29</v>
      </c>
      <c r="E865" t="e">
        <f>LEN(#REF!)</f>
        <v>#REF!</v>
      </c>
      <c r="F865" s="49" t="s">
        <v>6249</v>
      </c>
      <c r="K865" s="55" t="s">
        <v>6250</v>
      </c>
      <c r="M865">
        <f t="shared" si="26"/>
        <v>6</v>
      </c>
      <c r="N865" s="30" t="s">
        <v>6251</v>
      </c>
      <c r="R865">
        <v>864</v>
      </c>
      <c r="S865" t="s">
        <v>6252</v>
      </c>
      <c r="T865" t="s">
        <v>2279</v>
      </c>
      <c r="U865">
        <f t="shared" si="27"/>
        <v>16</v>
      </c>
      <c r="V865" s="30" t="s">
        <v>6253</v>
      </c>
    </row>
    <row r="866" spans="1:22">
      <c r="A866">
        <v>865</v>
      </c>
      <c r="C866" s="7" t="s">
        <v>429</v>
      </c>
      <c r="D866" t="s">
        <v>29</v>
      </c>
      <c r="E866" t="e">
        <f>LEN(#REF!)</f>
        <v>#REF!</v>
      </c>
      <c r="F866" s="49" t="s">
        <v>2633</v>
      </c>
      <c r="K866" s="55" t="s">
        <v>6254</v>
      </c>
      <c r="M866">
        <f t="shared" si="26"/>
        <v>6</v>
      </c>
      <c r="N866" s="30" t="s">
        <v>6255</v>
      </c>
      <c r="R866">
        <v>865</v>
      </c>
      <c r="S866" t="s">
        <v>6256</v>
      </c>
      <c r="T866" t="s">
        <v>2279</v>
      </c>
      <c r="U866">
        <f t="shared" si="27"/>
        <v>16</v>
      </c>
      <c r="V866" s="30" t="s">
        <v>6257</v>
      </c>
    </row>
    <row r="867" spans="1:22">
      <c r="A867">
        <v>866</v>
      </c>
      <c r="C867" s="7" t="s">
        <v>1973</v>
      </c>
      <c r="D867" t="s">
        <v>29</v>
      </c>
      <c r="E867" t="e">
        <f>LEN(#REF!)</f>
        <v>#REF!</v>
      </c>
      <c r="F867" s="49" t="s">
        <v>6258</v>
      </c>
      <c r="K867" s="55" t="s">
        <v>6259</v>
      </c>
      <c r="M867">
        <f t="shared" si="26"/>
        <v>6</v>
      </c>
      <c r="N867" s="30" t="s">
        <v>6260</v>
      </c>
      <c r="R867">
        <v>866</v>
      </c>
      <c r="S867" t="s">
        <v>6261</v>
      </c>
      <c r="T867" t="s">
        <v>2279</v>
      </c>
      <c r="U867">
        <f t="shared" si="27"/>
        <v>8</v>
      </c>
      <c r="V867" s="30" t="s">
        <v>6262</v>
      </c>
    </row>
    <row r="868" spans="1:22">
      <c r="A868">
        <v>867</v>
      </c>
      <c r="C868" s="7" t="s">
        <v>1975</v>
      </c>
      <c r="D868" t="s">
        <v>29</v>
      </c>
      <c r="E868" t="e">
        <f>LEN(#REF!)</f>
        <v>#REF!</v>
      </c>
      <c r="F868" s="49" t="s">
        <v>6263</v>
      </c>
      <c r="K868" s="55" t="s">
        <v>6264</v>
      </c>
      <c r="M868">
        <f t="shared" si="26"/>
        <v>6</v>
      </c>
      <c r="N868" s="30" t="s">
        <v>6265</v>
      </c>
      <c r="R868">
        <v>867</v>
      </c>
      <c r="S868" t="s">
        <v>6266</v>
      </c>
      <c r="T868" t="s">
        <v>2279</v>
      </c>
      <c r="U868">
        <f t="shared" si="27"/>
        <v>8</v>
      </c>
      <c r="V868" s="31" t="s">
        <v>6267</v>
      </c>
    </row>
    <row r="869" spans="1:22">
      <c r="A869">
        <v>868</v>
      </c>
      <c r="C869" s="7" t="s">
        <v>1977</v>
      </c>
      <c r="D869" t="s">
        <v>29</v>
      </c>
      <c r="E869" t="e">
        <f>LEN(#REF!)</f>
        <v>#REF!</v>
      </c>
      <c r="F869" s="49" t="s">
        <v>6268</v>
      </c>
      <c r="K869" s="55" t="s">
        <v>6269</v>
      </c>
      <c r="M869">
        <f t="shared" si="26"/>
        <v>6</v>
      </c>
      <c r="N869" s="30" t="s">
        <v>6270</v>
      </c>
      <c r="R869">
        <v>868</v>
      </c>
      <c r="S869" t="s">
        <v>6271</v>
      </c>
      <c r="T869" t="s">
        <v>2279</v>
      </c>
      <c r="U869">
        <f t="shared" si="27"/>
        <v>8</v>
      </c>
      <c r="V869" s="30" t="s">
        <v>6272</v>
      </c>
    </row>
    <row r="870" spans="1:22">
      <c r="A870">
        <v>869</v>
      </c>
      <c r="C870" s="7" t="s">
        <v>1979</v>
      </c>
      <c r="D870" t="s">
        <v>29</v>
      </c>
      <c r="E870" t="e">
        <f>LEN(#REF!)</f>
        <v>#REF!</v>
      </c>
      <c r="F870" s="49" t="s">
        <v>6273</v>
      </c>
      <c r="K870" s="55">
        <v>741852963</v>
      </c>
      <c r="M870">
        <f t="shared" si="26"/>
        <v>9</v>
      </c>
      <c r="N870" s="30" t="s">
        <v>6274</v>
      </c>
      <c r="R870">
        <v>869</v>
      </c>
      <c r="S870" t="s">
        <v>6275</v>
      </c>
      <c r="T870" t="s">
        <v>2279</v>
      </c>
      <c r="U870">
        <f t="shared" si="27"/>
        <v>8</v>
      </c>
      <c r="V870" s="30" t="s">
        <v>6276</v>
      </c>
    </row>
    <row r="871" spans="1:22">
      <c r="A871">
        <v>870</v>
      </c>
      <c r="C871" s="7" t="s">
        <v>1981</v>
      </c>
      <c r="D871" t="s">
        <v>29</v>
      </c>
      <c r="E871" t="e">
        <f>LEN(#REF!)</f>
        <v>#REF!</v>
      </c>
      <c r="F871" s="49" t="s">
        <v>6277</v>
      </c>
      <c r="K871" s="55" t="s">
        <v>6278</v>
      </c>
      <c r="M871">
        <f t="shared" si="26"/>
        <v>9</v>
      </c>
      <c r="N871" s="30" t="s">
        <v>6279</v>
      </c>
      <c r="R871">
        <v>870</v>
      </c>
      <c r="S871" t="s">
        <v>6280</v>
      </c>
      <c r="T871" t="s">
        <v>2279</v>
      </c>
      <c r="U871">
        <f t="shared" si="27"/>
        <v>8</v>
      </c>
      <c r="V871" s="30" t="s">
        <v>6281</v>
      </c>
    </row>
    <row r="872" spans="1:22">
      <c r="A872">
        <v>871</v>
      </c>
      <c r="C872" s="7" t="s">
        <v>1983</v>
      </c>
      <c r="D872" t="s">
        <v>29</v>
      </c>
      <c r="E872" t="e">
        <f>LEN(#REF!)</f>
        <v>#REF!</v>
      </c>
      <c r="F872" s="49" t="s">
        <v>6282</v>
      </c>
      <c r="K872" s="55" t="s">
        <v>6283</v>
      </c>
      <c r="M872">
        <f t="shared" si="26"/>
        <v>7</v>
      </c>
      <c r="N872" s="30" t="s">
        <v>6284</v>
      </c>
      <c r="R872">
        <v>871</v>
      </c>
      <c r="S872" t="s">
        <v>6285</v>
      </c>
      <c r="T872" t="s">
        <v>2279</v>
      </c>
      <c r="U872">
        <f t="shared" si="27"/>
        <v>8</v>
      </c>
      <c r="V872" s="30" t="s">
        <v>6286</v>
      </c>
    </row>
    <row r="873" spans="1:22">
      <c r="A873">
        <v>872</v>
      </c>
      <c r="C873" s="7" t="s">
        <v>1985</v>
      </c>
      <c r="D873" t="s">
        <v>29</v>
      </c>
      <c r="E873" t="e">
        <f>LEN(#REF!)</f>
        <v>#REF!</v>
      </c>
      <c r="F873" s="49" t="s">
        <v>6287</v>
      </c>
      <c r="K873" s="55" t="s">
        <v>6288</v>
      </c>
      <c r="M873">
        <f t="shared" si="26"/>
        <v>6</v>
      </c>
      <c r="N873" s="30" t="s">
        <v>6289</v>
      </c>
      <c r="R873">
        <v>872</v>
      </c>
      <c r="S873" t="s">
        <v>6290</v>
      </c>
      <c r="T873" t="s">
        <v>2279</v>
      </c>
      <c r="U873">
        <f t="shared" si="27"/>
        <v>9</v>
      </c>
      <c r="V873" s="30" t="s">
        <v>6291</v>
      </c>
    </row>
    <row r="874" spans="1:22">
      <c r="A874">
        <v>873</v>
      </c>
      <c r="C874" s="7" t="s">
        <v>1987</v>
      </c>
      <c r="D874" t="s">
        <v>29</v>
      </c>
      <c r="E874" t="e">
        <f>LEN(#REF!)</f>
        <v>#REF!</v>
      </c>
      <c r="F874" s="49" t="s">
        <v>6292</v>
      </c>
      <c r="K874" s="55" t="s">
        <v>6293</v>
      </c>
      <c r="M874">
        <f t="shared" si="26"/>
        <v>6</v>
      </c>
      <c r="N874" s="30" t="s">
        <v>6294</v>
      </c>
      <c r="R874">
        <v>873</v>
      </c>
      <c r="S874" t="s">
        <v>6295</v>
      </c>
      <c r="T874" t="s">
        <v>2279</v>
      </c>
      <c r="U874">
        <f t="shared" si="27"/>
        <v>8</v>
      </c>
      <c r="V874" s="30" t="s">
        <v>6296</v>
      </c>
    </row>
    <row r="875" spans="1:22">
      <c r="A875">
        <v>874</v>
      </c>
      <c r="C875" s="7" t="s">
        <v>1989</v>
      </c>
      <c r="D875" t="s">
        <v>29</v>
      </c>
      <c r="E875" t="e">
        <f>LEN(#REF!)</f>
        <v>#REF!</v>
      </c>
      <c r="F875" s="49" t="s">
        <v>6297</v>
      </c>
      <c r="K875" s="55" t="s">
        <v>6298</v>
      </c>
      <c r="M875">
        <f t="shared" si="26"/>
        <v>6</v>
      </c>
      <c r="N875" s="30" t="s">
        <v>6299</v>
      </c>
      <c r="R875">
        <v>874</v>
      </c>
      <c r="S875" t="s">
        <v>6300</v>
      </c>
      <c r="T875" t="s">
        <v>2279</v>
      </c>
      <c r="U875">
        <f t="shared" si="27"/>
        <v>12</v>
      </c>
      <c r="V875" s="30" t="s">
        <v>6301</v>
      </c>
    </row>
    <row r="876" spans="1:22">
      <c r="A876">
        <v>875</v>
      </c>
      <c r="C876" s="7" t="s">
        <v>1991</v>
      </c>
      <c r="D876" t="s">
        <v>29</v>
      </c>
      <c r="E876" t="e">
        <f>LEN(#REF!)</f>
        <v>#REF!</v>
      </c>
      <c r="F876" s="49" t="s">
        <v>6302</v>
      </c>
      <c r="K876" s="55" t="s">
        <v>6303</v>
      </c>
      <c r="M876">
        <f t="shared" si="26"/>
        <v>6</v>
      </c>
      <c r="N876" s="30" t="s">
        <v>6304</v>
      </c>
      <c r="R876">
        <v>875</v>
      </c>
      <c r="S876" t="s">
        <v>6305</v>
      </c>
      <c r="T876" t="s">
        <v>2279</v>
      </c>
      <c r="U876">
        <f t="shared" si="27"/>
        <v>13</v>
      </c>
      <c r="V876" s="30" t="s">
        <v>6306</v>
      </c>
    </row>
    <row r="877" spans="1:22">
      <c r="A877">
        <v>876</v>
      </c>
      <c r="C877" s="7" t="s">
        <v>1993</v>
      </c>
      <c r="D877" t="s">
        <v>29</v>
      </c>
      <c r="E877" t="e">
        <f>LEN(#REF!)</f>
        <v>#REF!</v>
      </c>
      <c r="F877" s="49" t="s">
        <v>6307</v>
      </c>
      <c r="K877" s="55" t="s">
        <v>6308</v>
      </c>
      <c r="M877">
        <f t="shared" si="26"/>
        <v>6</v>
      </c>
      <c r="N877" s="30" t="s">
        <v>6309</v>
      </c>
      <c r="R877">
        <v>876</v>
      </c>
      <c r="S877" t="s">
        <v>6310</v>
      </c>
      <c r="T877" t="s">
        <v>2279</v>
      </c>
      <c r="U877">
        <f t="shared" si="27"/>
        <v>8</v>
      </c>
      <c r="V877" s="30" t="s">
        <v>6311</v>
      </c>
    </row>
    <row r="878" spans="1:22">
      <c r="A878">
        <v>877</v>
      </c>
      <c r="C878" s="7" t="s">
        <v>1995</v>
      </c>
      <c r="D878" t="s">
        <v>29</v>
      </c>
      <c r="E878" t="e">
        <f>LEN(#REF!)</f>
        <v>#REF!</v>
      </c>
      <c r="F878" s="49" t="s">
        <v>6312</v>
      </c>
      <c r="K878" s="55" t="s">
        <v>6313</v>
      </c>
      <c r="M878">
        <f t="shared" si="26"/>
        <v>7</v>
      </c>
      <c r="N878" s="30" t="s">
        <v>6314</v>
      </c>
      <c r="R878">
        <v>877</v>
      </c>
      <c r="S878" t="s">
        <v>6315</v>
      </c>
      <c r="T878" t="s">
        <v>2279</v>
      </c>
      <c r="U878">
        <f t="shared" si="27"/>
        <v>8</v>
      </c>
      <c r="V878" s="30" t="s">
        <v>6316</v>
      </c>
    </row>
    <row r="879" spans="1:22">
      <c r="A879">
        <v>878</v>
      </c>
      <c r="C879" s="7" t="s">
        <v>1997</v>
      </c>
      <c r="D879" t="s">
        <v>29</v>
      </c>
      <c r="E879" t="e">
        <f>LEN(#REF!)</f>
        <v>#REF!</v>
      </c>
      <c r="F879" s="49" t="s">
        <v>6317</v>
      </c>
      <c r="K879" s="55" t="s">
        <v>6318</v>
      </c>
      <c r="M879">
        <f t="shared" si="26"/>
        <v>8</v>
      </c>
      <c r="N879" s="30" t="s">
        <v>6319</v>
      </c>
      <c r="R879">
        <v>878</v>
      </c>
      <c r="S879" t="s">
        <v>6320</v>
      </c>
      <c r="T879" t="s">
        <v>2279</v>
      </c>
      <c r="U879">
        <f t="shared" si="27"/>
        <v>11</v>
      </c>
      <c r="V879" s="30" t="s">
        <v>6321</v>
      </c>
    </row>
    <row r="880" spans="1:22">
      <c r="A880">
        <v>879</v>
      </c>
      <c r="C880" s="7" t="s">
        <v>1999</v>
      </c>
      <c r="D880" t="s">
        <v>29</v>
      </c>
      <c r="E880" t="e">
        <f>LEN(#REF!)</f>
        <v>#REF!</v>
      </c>
      <c r="F880" s="49" t="s">
        <v>6322</v>
      </c>
      <c r="K880" s="55" t="s">
        <v>6323</v>
      </c>
      <c r="M880">
        <f t="shared" si="26"/>
        <v>8</v>
      </c>
      <c r="N880" s="30" t="s">
        <v>6324</v>
      </c>
      <c r="R880">
        <v>879</v>
      </c>
      <c r="S880" t="s">
        <v>6325</v>
      </c>
      <c r="T880" t="s">
        <v>2279</v>
      </c>
      <c r="U880">
        <f t="shared" si="27"/>
        <v>10</v>
      </c>
      <c r="V880" s="30" t="s">
        <v>6326</v>
      </c>
    </row>
    <row r="881" spans="1:22">
      <c r="A881">
        <v>880</v>
      </c>
      <c r="C881" s="7" t="s">
        <v>2001</v>
      </c>
      <c r="D881" t="s">
        <v>29</v>
      </c>
      <c r="E881" t="e">
        <f>LEN(#REF!)</f>
        <v>#REF!</v>
      </c>
      <c r="F881" s="49" t="s">
        <v>6327</v>
      </c>
      <c r="K881" s="55" t="s">
        <v>6328</v>
      </c>
      <c r="M881">
        <f t="shared" si="26"/>
        <v>6</v>
      </c>
      <c r="N881" s="30" t="s">
        <v>6329</v>
      </c>
      <c r="R881">
        <v>880</v>
      </c>
      <c r="S881" t="s">
        <v>6330</v>
      </c>
      <c r="T881" t="s">
        <v>2279</v>
      </c>
      <c r="U881">
        <f t="shared" si="27"/>
        <v>12</v>
      </c>
      <c r="V881" s="30" t="s">
        <v>6331</v>
      </c>
    </row>
    <row r="882" spans="1:22">
      <c r="A882">
        <v>881</v>
      </c>
      <c r="C882" s="7" t="s">
        <v>2003</v>
      </c>
      <c r="D882" t="s">
        <v>29</v>
      </c>
      <c r="E882" t="e">
        <f>LEN(#REF!)</f>
        <v>#REF!</v>
      </c>
      <c r="F882" s="49" t="s">
        <v>6332</v>
      </c>
      <c r="K882" s="55" t="s">
        <v>6333</v>
      </c>
      <c r="M882">
        <f t="shared" si="26"/>
        <v>5</v>
      </c>
      <c r="N882" s="30" t="s">
        <v>6334</v>
      </c>
      <c r="R882">
        <v>881</v>
      </c>
      <c r="S882" t="s">
        <v>6335</v>
      </c>
      <c r="T882" t="s">
        <v>2279</v>
      </c>
      <c r="U882">
        <f t="shared" si="27"/>
        <v>8</v>
      </c>
      <c r="V882" s="30" t="s">
        <v>6336</v>
      </c>
    </row>
    <row r="883" spans="1:22">
      <c r="A883">
        <v>882</v>
      </c>
      <c r="C883" s="7" t="s">
        <v>2005</v>
      </c>
      <c r="D883" t="s">
        <v>29</v>
      </c>
      <c r="E883" t="e">
        <f>LEN(#REF!)</f>
        <v>#REF!</v>
      </c>
      <c r="F883" s="49" t="s">
        <v>6337</v>
      </c>
      <c r="K883" s="55" t="s">
        <v>6338</v>
      </c>
      <c r="M883">
        <f t="shared" si="26"/>
        <v>7</v>
      </c>
      <c r="N883" s="30" t="s">
        <v>6339</v>
      </c>
      <c r="R883">
        <v>882</v>
      </c>
      <c r="S883" t="s">
        <v>6340</v>
      </c>
      <c r="T883" t="s">
        <v>2279</v>
      </c>
      <c r="U883">
        <f t="shared" si="27"/>
        <v>8</v>
      </c>
      <c r="V883" s="30" t="s">
        <v>6341</v>
      </c>
    </row>
    <row r="884" spans="1:22">
      <c r="A884">
        <v>883</v>
      </c>
      <c r="C884" s="7" t="s">
        <v>2007</v>
      </c>
      <c r="D884" t="s">
        <v>29</v>
      </c>
      <c r="E884" t="e">
        <f>LEN(#REF!)</f>
        <v>#REF!</v>
      </c>
      <c r="F884" s="49" t="s">
        <v>6342</v>
      </c>
      <c r="K884" s="55" t="s">
        <v>6343</v>
      </c>
      <c r="M884">
        <f t="shared" si="26"/>
        <v>6</v>
      </c>
      <c r="N884" s="30" t="s">
        <v>6344</v>
      </c>
      <c r="R884">
        <v>883</v>
      </c>
      <c r="S884" t="s">
        <v>6345</v>
      </c>
      <c r="T884" t="s">
        <v>2279</v>
      </c>
      <c r="U884">
        <f t="shared" si="27"/>
        <v>11</v>
      </c>
      <c r="V884" s="30" t="s">
        <v>6346</v>
      </c>
    </row>
    <row r="885" spans="1:22">
      <c r="A885">
        <v>884</v>
      </c>
      <c r="C885" s="7" t="s">
        <v>432</v>
      </c>
      <c r="D885" t="s">
        <v>29</v>
      </c>
      <c r="E885" t="e">
        <f>LEN(#REF!)</f>
        <v>#REF!</v>
      </c>
      <c r="F885" s="49" t="s">
        <v>2645</v>
      </c>
      <c r="K885" s="55" t="s">
        <v>6347</v>
      </c>
      <c r="M885">
        <f t="shared" si="26"/>
        <v>6</v>
      </c>
      <c r="N885" s="31" t="s">
        <v>6348</v>
      </c>
      <c r="R885">
        <v>884</v>
      </c>
      <c r="S885" t="s">
        <v>6349</v>
      </c>
      <c r="T885" t="s">
        <v>2279</v>
      </c>
      <c r="U885">
        <f t="shared" si="27"/>
        <v>8</v>
      </c>
      <c r="V885" s="30" t="s">
        <v>6350</v>
      </c>
    </row>
    <row r="886" spans="1:22">
      <c r="A886">
        <v>885</v>
      </c>
      <c r="C886" s="7" t="s">
        <v>2009</v>
      </c>
      <c r="D886" t="s">
        <v>29</v>
      </c>
      <c r="E886" t="e">
        <f>LEN(#REF!)</f>
        <v>#REF!</v>
      </c>
      <c r="F886" s="49" t="s">
        <v>6351</v>
      </c>
      <c r="K886" s="55" t="s">
        <v>6352</v>
      </c>
      <c r="M886">
        <f t="shared" si="26"/>
        <v>7</v>
      </c>
      <c r="N886" s="30" t="s">
        <v>6353</v>
      </c>
      <c r="R886">
        <v>885</v>
      </c>
      <c r="S886" t="s">
        <v>6354</v>
      </c>
      <c r="T886" t="s">
        <v>2279</v>
      </c>
      <c r="U886">
        <f t="shared" si="27"/>
        <v>9</v>
      </c>
      <c r="V886" s="30" t="s">
        <v>6355</v>
      </c>
    </row>
    <row r="887" spans="1:22">
      <c r="A887">
        <v>886</v>
      </c>
      <c r="C887" s="7" t="s">
        <v>2011</v>
      </c>
      <c r="D887" t="s">
        <v>29</v>
      </c>
      <c r="E887" t="e">
        <f>LEN(#REF!)</f>
        <v>#REF!</v>
      </c>
      <c r="F887" s="49" t="s">
        <v>6356</v>
      </c>
      <c r="K887" s="55" t="s">
        <v>6357</v>
      </c>
      <c r="M887">
        <f t="shared" si="26"/>
        <v>7</v>
      </c>
      <c r="N887" s="30" t="s">
        <v>6358</v>
      </c>
      <c r="R887">
        <v>886</v>
      </c>
      <c r="S887" t="s">
        <v>6359</v>
      </c>
      <c r="T887" t="s">
        <v>2279</v>
      </c>
      <c r="U887">
        <f t="shared" si="27"/>
        <v>8</v>
      </c>
      <c r="V887" s="30" t="s">
        <v>6360</v>
      </c>
    </row>
    <row r="888" spans="1:22">
      <c r="A888">
        <v>887</v>
      </c>
      <c r="C888" s="7" t="s">
        <v>2013</v>
      </c>
      <c r="D888" t="s">
        <v>29</v>
      </c>
      <c r="E888" t="e">
        <f>LEN(#REF!)</f>
        <v>#REF!</v>
      </c>
      <c r="F888" s="49" t="s">
        <v>6361</v>
      </c>
      <c r="K888" s="55" t="s">
        <v>6362</v>
      </c>
      <c r="M888">
        <f t="shared" si="26"/>
        <v>5</v>
      </c>
      <c r="N888" s="30" t="s">
        <v>6363</v>
      </c>
      <c r="R888">
        <v>887</v>
      </c>
      <c r="S888" t="s">
        <v>6364</v>
      </c>
      <c r="T888" t="s">
        <v>2279</v>
      </c>
      <c r="U888">
        <f t="shared" si="27"/>
        <v>12</v>
      </c>
      <c r="V888" s="30" t="s">
        <v>6365</v>
      </c>
    </row>
    <row r="889" spans="1:22">
      <c r="A889">
        <v>888</v>
      </c>
      <c r="C889" s="7" t="s">
        <v>2015</v>
      </c>
      <c r="D889" t="s">
        <v>29</v>
      </c>
      <c r="E889" t="e">
        <f>LEN(#REF!)</f>
        <v>#REF!</v>
      </c>
      <c r="F889" s="49" t="s">
        <v>6366</v>
      </c>
      <c r="K889" s="55" t="s">
        <v>6367</v>
      </c>
      <c r="M889">
        <f t="shared" si="26"/>
        <v>8</v>
      </c>
      <c r="N889" s="30" t="s">
        <v>6368</v>
      </c>
      <c r="R889">
        <v>888</v>
      </c>
      <c r="S889" t="s">
        <v>6369</v>
      </c>
      <c r="T889" t="s">
        <v>2279</v>
      </c>
      <c r="U889">
        <f t="shared" si="27"/>
        <v>8</v>
      </c>
      <c r="V889" s="30" t="s">
        <v>6370</v>
      </c>
    </row>
    <row r="890" spans="1:22">
      <c r="A890">
        <v>889</v>
      </c>
      <c r="C890" s="7" t="s">
        <v>2017</v>
      </c>
      <c r="D890" t="s">
        <v>29</v>
      </c>
      <c r="E890" t="e">
        <f>LEN(#REF!)</f>
        <v>#REF!</v>
      </c>
      <c r="F890" s="49" t="s">
        <v>6371</v>
      </c>
      <c r="K890" s="55" t="s">
        <v>6372</v>
      </c>
      <c r="M890">
        <f t="shared" si="26"/>
        <v>6</v>
      </c>
      <c r="N890" s="30" t="s">
        <v>6373</v>
      </c>
      <c r="R890">
        <v>889</v>
      </c>
      <c r="S890" t="s">
        <v>6374</v>
      </c>
      <c r="T890" t="s">
        <v>2279</v>
      </c>
      <c r="U890">
        <f t="shared" si="27"/>
        <v>9</v>
      </c>
      <c r="V890" s="30" t="s">
        <v>6375</v>
      </c>
    </row>
    <row r="891" spans="1:22">
      <c r="A891">
        <v>890</v>
      </c>
      <c r="C891" s="7" t="s">
        <v>6376</v>
      </c>
      <c r="D891" t="s">
        <v>29</v>
      </c>
      <c r="E891" t="e">
        <f>LEN(#REF!)</f>
        <v>#REF!</v>
      </c>
      <c r="F891" s="49" t="s">
        <v>6377</v>
      </c>
      <c r="K891" s="55" t="s">
        <v>6378</v>
      </c>
      <c r="M891">
        <f t="shared" si="26"/>
        <v>6</v>
      </c>
      <c r="N891" s="30" t="s">
        <v>6379</v>
      </c>
      <c r="R891">
        <v>890</v>
      </c>
      <c r="S891" t="s">
        <v>6380</v>
      </c>
      <c r="T891" t="s">
        <v>2279</v>
      </c>
      <c r="U891">
        <f t="shared" si="27"/>
        <v>8</v>
      </c>
      <c r="V891" s="30" t="s">
        <v>6381</v>
      </c>
    </row>
    <row r="892" spans="1:22">
      <c r="A892">
        <v>891</v>
      </c>
      <c r="C892" s="7" t="s">
        <v>2021</v>
      </c>
      <c r="D892" t="s">
        <v>29</v>
      </c>
      <c r="E892" t="e">
        <f>LEN(#REF!)</f>
        <v>#REF!</v>
      </c>
      <c r="F892" s="49" t="s">
        <v>6382</v>
      </c>
      <c r="K892" s="55" t="s">
        <v>6383</v>
      </c>
      <c r="M892">
        <f t="shared" si="26"/>
        <v>8</v>
      </c>
      <c r="N892" s="30" t="s">
        <v>6384</v>
      </c>
      <c r="R892">
        <v>891</v>
      </c>
      <c r="S892" t="s">
        <v>6385</v>
      </c>
      <c r="T892" t="s">
        <v>2279</v>
      </c>
      <c r="U892">
        <f t="shared" si="27"/>
        <v>8</v>
      </c>
      <c r="V892" s="30" t="s">
        <v>6386</v>
      </c>
    </row>
    <row r="893" spans="1:22">
      <c r="A893">
        <v>892</v>
      </c>
      <c r="C893" s="7" t="s">
        <v>2023</v>
      </c>
      <c r="D893" t="s">
        <v>29</v>
      </c>
      <c r="E893" t="e">
        <f>LEN(#REF!)</f>
        <v>#REF!</v>
      </c>
      <c r="F893" s="49" t="s">
        <v>6387</v>
      </c>
      <c r="K893" s="55" t="s">
        <v>6388</v>
      </c>
      <c r="M893">
        <f t="shared" si="26"/>
        <v>9</v>
      </c>
      <c r="N893" s="30" t="s">
        <v>6389</v>
      </c>
      <c r="R893">
        <v>892</v>
      </c>
      <c r="S893" t="s">
        <v>6390</v>
      </c>
      <c r="T893" t="s">
        <v>2279</v>
      </c>
      <c r="U893">
        <f t="shared" si="27"/>
        <v>8</v>
      </c>
      <c r="V893" s="30" t="s">
        <v>6391</v>
      </c>
    </row>
    <row r="894" spans="1:22">
      <c r="A894">
        <v>893</v>
      </c>
      <c r="C894" s="7" t="s">
        <v>2025</v>
      </c>
      <c r="D894" t="s">
        <v>29</v>
      </c>
      <c r="E894" t="e">
        <f>LEN(#REF!)</f>
        <v>#REF!</v>
      </c>
      <c r="F894" s="49" t="s">
        <v>6392</v>
      </c>
      <c r="K894" s="55" t="s">
        <v>6393</v>
      </c>
      <c r="M894">
        <f t="shared" si="26"/>
        <v>7</v>
      </c>
      <c r="N894" s="30" t="s">
        <v>6394</v>
      </c>
      <c r="R894">
        <v>893</v>
      </c>
      <c r="S894" t="s">
        <v>6395</v>
      </c>
      <c r="T894" t="s">
        <v>2279</v>
      </c>
      <c r="U894">
        <f t="shared" si="27"/>
        <v>14</v>
      </c>
      <c r="V894" s="30" t="s">
        <v>6396</v>
      </c>
    </row>
    <row r="895" spans="1:22">
      <c r="A895">
        <v>894</v>
      </c>
      <c r="C895" s="7" t="s">
        <v>2027</v>
      </c>
      <c r="D895" t="s">
        <v>29</v>
      </c>
      <c r="E895" t="e">
        <f>LEN(#REF!)</f>
        <v>#REF!</v>
      </c>
      <c r="F895" s="49" t="s">
        <v>6397</v>
      </c>
      <c r="K895" s="55" t="s">
        <v>6398</v>
      </c>
      <c r="M895">
        <f t="shared" si="26"/>
        <v>6</v>
      </c>
      <c r="N895" s="30" t="s">
        <v>6399</v>
      </c>
      <c r="R895">
        <v>894</v>
      </c>
      <c r="S895" t="s">
        <v>6400</v>
      </c>
      <c r="T895" t="s">
        <v>2279</v>
      </c>
      <c r="U895">
        <f t="shared" si="27"/>
        <v>8</v>
      </c>
      <c r="V895" s="30" t="s">
        <v>6401</v>
      </c>
    </row>
    <row r="896" spans="1:22">
      <c r="A896">
        <v>895</v>
      </c>
      <c r="C896" s="7" t="s">
        <v>2029</v>
      </c>
      <c r="D896" t="s">
        <v>29</v>
      </c>
      <c r="E896" t="e">
        <f>LEN(#REF!)</f>
        <v>#REF!</v>
      </c>
      <c r="F896" s="49" t="s">
        <v>6402</v>
      </c>
      <c r="K896" s="55" t="s">
        <v>6403</v>
      </c>
      <c r="M896">
        <f t="shared" si="26"/>
        <v>7</v>
      </c>
      <c r="N896" s="30" t="s">
        <v>6404</v>
      </c>
      <c r="R896">
        <v>895</v>
      </c>
      <c r="S896" t="s">
        <v>6405</v>
      </c>
      <c r="T896" t="s">
        <v>2279</v>
      </c>
      <c r="U896">
        <f t="shared" si="27"/>
        <v>13</v>
      </c>
      <c r="V896" s="30" t="s">
        <v>6406</v>
      </c>
    </row>
    <row r="897" spans="1:22">
      <c r="A897">
        <v>896</v>
      </c>
      <c r="C897" s="7" t="s">
        <v>2031</v>
      </c>
      <c r="D897" t="s">
        <v>29</v>
      </c>
      <c r="E897" t="e">
        <f>LEN(#REF!)</f>
        <v>#REF!</v>
      </c>
      <c r="F897" s="49" t="s">
        <v>6407</v>
      </c>
      <c r="K897" s="55" t="s">
        <v>6408</v>
      </c>
      <c r="M897">
        <f t="shared" si="26"/>
        <v>8</v>
      </c>
      <c r="N897" s="30" t="s">
        <v>6409</v>
      </c>
      <c r="R897">
        <v>896</v>
      </c>
      <c r="S897" t="s">
        <v>6410</v>
      </c>
      <c r="T897" t="s">
        <v>2279</v>
      </c>
      <c r="U897">
        <f t="shared" si="27"/>
        <v>11</v>
      </c>
      <c r="V897" s="30" t="s">
        <v>6411</v>
      </c>
    </row>
    <row r="898" spans="1:22">
      <c r="A898">
        <v>897</v>
      </c>
      <c r="C898" s="7" t="s">
        <v>2033</v>
      </c>
      <c r="D898" t="s">
        <v>29</v>
      </c>
      <c r="E898" t="e">
        <f>LEN(#REF!)</f>
        <v>#REF!</v>
      </c>
      <c r="F898" s="49" t="s">
        <v>6412</v>
      </c>
      <c r="K898" s="55" t="s">
        <v>6413</v>
      </c>
      <c r="M898">
        <f t="shared" si="26"/>
        <v>6</v>
      </c>
      <c r="N898" s="30" t="s">
        <v>6414</v>
      </c>
      <c r="R898">
        <v>897</v>
      </c>
      <c r="S898" t="s">
        <v>6415</v>
      </c>
      <c r="T898" t="s">
        <v>2279</v>
      </c>
      <c r="U898">
        <f t="shared" si="27"/>
        <v>8</v>
      </c>
      <c r="V898" s="30" t="s">
        <v>6416</v>
      </c>
    </row>
    <row r="899" spans="1:22">
      <c r="A899">
        <v>898</v>
      </c>
      <c r="C899" s="7" t="s">
        <v>2035</v>
      </c>
      <c r="D899" t="s">
        <v>29</v>
      </c>
      <c r="E899" t="e">
        <f>LEN(#REF!)</f>
        <v>#REF!</v>
      </c>
      <c r="F899" s="49" t="s">
        <v>6417</v>
      </c>
      <c r="K899" s="55" t="s">
        <v>6418</v>
      </c>
      <c r="M899">
        <f t="shared" ref="M899:M962" si="28">LEN(K899)</f>
        <v>7</v>
      </c>
      <c r="N899" s="30" t="s">
        <v>6419</v>
      </c>
      <c r="R899">
        <v>898</v>
      </c>
      <c r="S899" t="s">
        <v>6420</v>
      </c>
      <c r="T899" t="s">
        <v>2279</v>
      </c>
      <c r="U899">
        <f t="shared" ref="U899:U962" si="29">LEN(S899)</f>
        <v>8</v>
      </c>
      <c r="V899" s="30" t="s">
        <v>6421</v>
      </c>
    </row>
    <row r="900" spans="1:22">
      <c r="A900">
        <v>899</v>
      </c>
      <c r="C900" s="7" t="s">
        <v>2037</v>
      </c>
      <c r="D900" t="s">
        <v>29</v>
      </c>
      <c r="E900" t="e">
        <f>LEN(#REF!)</f>
        <v>#REF!</v>
      </c>
      <c r="F900" s="49" t="s">
        <v>6422</v>
      </c>
      <c r="K900" s="55" t="s">
        <v>6423</v>
      </c>
      <c r="M900">
        <f t="shared" si="28"/>
        <v>8</v>
      </c>
      <c r="N900" s="30" t="s">
        <v>6424</v>
      </c>
      <c r="R900">
        <v>899</v>
      </c>
      <c r="S900" t="s">
        <v>6425</v>
      </c>
      <c r="T900" t="s">
        <v>2279</v>
      </c>
      <c r="U900">
        <f t="shared" si="29"/>
        <v>8</v>
      </c>
      <c r="V900" s="30" t="s">
        <v>6426</v>
      </c>
    </row>
    <row r="901" spans="1:22">
      <c r="A901">
        <v>900</v>
      </c>
      <c r="C901" s="7" t="s">
        <v>2039</v>
      </c>
      <c r="D901" t="s">
        <v>29</v>
      </c>
      <c r="E901" t="e">
        <f>LEN(#REF!)</f>
        <v>#REF!</v>
      </c>
      <c r="F901" s="49" t="s">
        <v>6427</v>
      </c>
      <c r="K901" s="55" t="s">
        <v>6428</v>
      </c>
      <c r="M901">
        <f t="shared" si="28"/>
        <v>8</v>
      </c>
      <c r="N901" s="30" t="s">
        <v>6429</v>
      </c>
      <c r="R901">
        <v>900</v>
      </c>
      <c r="S901" t="s">
        <v>6430</v>
      </c>
      <c r="T901" t="s">
        <v>2279</v>
      </c>
      <c r="U901">
        <f t="shared" si="29"/>
        <v>8</v>
      </c>
      <c r="V901" s="30" t="s">
        <v>6431</v>
      </c>
    </row>
    <row r="902" spans="1:22">
      <c r="A902">
        <v>901</v>
      </c>
      <c r="C902" s="7" t="s">
        <v>2041</v>
      </c>
      <c r="D902" t="s">
        <v>29</v>
      </c>
      <c r="E902" t="e">
        <f>LEN(#REF!)</f>
        <v>#REF!</v>
      </c>
      <c r="F902" s="49" t="s">
        <v>6432</v>
      </c>
      <c r="K902" s="55" t="s">
        <v>6433</v>
      </c>
      <c r="M902">
        <f t="shared" si="28"/>
        <v>5</v>
      </c>
      <c r="N902" s="30" t="s">
        <v>6434</v>
      </c>
      <c r="R902">
        <v>901</v>
      </c>
      <c r="S902" t="s">
        <v>6435</v>
      </c>
      <c r="T902" t="s">
        <v>2279</v>
      </c>
      <c r="U902">
        <f t="shared" si="29"/>
        <v>8</v>
      </c>
      <c r="V902" s="30" t="s">
        <v>6436</v>
      </c>
    </row>
    <row r="903" spans="1:22">
      <c r="A903">
        <v>902</v>
      </c>
      <c r="C903" s="7" t="s">
        <v>2043</v>
      </c>
      <c r="D903" t="s">
        <v>29</v>
      </c>
      <c r="E903" t="e">
        <f>LEN(#REF!)</f>
        <v>#REF!</v>
      </c>
      <c r="F903" s="49" t="s">
        <v>6437</v>
      </c>
      <c r="K903" s="55" t="s">
        <v>6438</v>
      </c>
      <c r="M903">
        <f t="shared" si="28"/>
        <v>7</v>
      </c>
      <c r="N903" s="30" t="s">
        <v>6439</v>
      </c>
      <c r="R903">
        <v>902</v>
      </c>
      <c r="S903" t="s">
        <v>6440</v>
      </c>
      <c r="T903" t="s">
        <v>2279</v>
      </c>
      <c r="U903">
        <f t="shared" si="29"/>
        <v>9</v>
      </c>
      <c r="V903" s="30" t="s">
        <v>6441</v>
      </c>
    </row>
    <row r="904" spans="1:22">
      <c r="A904">
        <v>903</v>
      </c>
      <c r="C904" s="7" t="s">
        <v>2045</v>
      </c>
      <c r="D904" t="s">
        <v>29</v>
      </c>
      <c r="E904" t="e">
        <f>LEN(#REF!)</f>
        <v>#REF!</v>
      </c>
      <c r="F904" s="49" t="s">
        <v>6442</v>
      </c>
      <c r="K904" s="55" t="s">
        <v>6443</v>
      </c>
      <c r="M904">
        <f t="shared" si="28"/>
        <v>7</v>
      </c>
      <c r="N904" s="30" t="s">
        <v>6444</v>
      </c>
      <c r="R904">
        <v>903</v>
      </c>
      <c r="S904" t="s">
        <v>6445</v>
      </c>
      <c r="T904" t="s">
        <v>2279</v>
      </c>
      <c r="U904">
        <f t="shared" si="29"/>
        <v>9</v>
      </c>
      <c r="V904" s="30" t="s">
        <v>6446</v>
      </c>
    </row>
    <row r="905" spans="1:22">
      <c r="A905">
        <v>904</v>
      </c>
      <c r="C905" s="7" t="s">
        <v>2047</v>
      </c>
      <c r="D905" t="s">
        <v>29</v>
      </c>
      <c r="E905" t="e">
        <f>LEN(#REF!)</f>
        <v>#REF!</v>
      </c>
      <c r="F905" s="49" t="s">
        <v>6447</v>
      </c>
      <c r="K905" s="55" t="s">
        <v>6448</v>
      </c>
      <c r="M905">
        <f t="shared" si="28"/>
        <v>8</v>
      </c>
      <c r="N905" s="30" t="s">
        <v>6449</v>
      </c>
      <c r="R905">
        <v>904</v>
      </c>
      <c r="S905" t="s">
        <v>6450</v>
      </c>
      <c r="T905" t="s">
        <v>2279</v>
      </c>
      <c r="U905">
        <f t="shared" si="29"/>
        <v>8</v>
      </c>
      <c r="V905" s="30" t="s">
        <v>6451</v>
      </c>
    </row>
    <row r="906" spans="1:22">
      <c r="A906">
        <v>905</v>
      </c>
      <c r="C906" s="7" t="s">
        <v>2049</v>
      </c>
      <c r="D906" t="s">
        <v>29</v>
      </c>
      <c r="E906" t="e">
        <f>LEN(#REF!)</f>
        <v>#REF!</v>
      </c>
      <c r="F906" s="49" t="s">
        <v>6452</v>
      </c>
      <c r="K906" s="55" t="s">
        <v>6453</v>
      </c>
      <c r="M906">
        <f t="shared" si="28"/>
        <v>8</v>
      </c>
      <c r="N906" s="30" t="s">
        <v>6454</v>
      </c>
      <c r="R906">
        <v>905</v>
      </c>
      <c r="S906" t="s">
        <v>6455</v>
      </c>
      <c r="T906" t="s">
        <v>2279</v>
      </c>
      <c r="U906">
        <f t="shared" si="29"/>
        <v>13</v>
      </c>
      <c r="V906" s="30" t="s">
        <v>6456</v>
      </c>
    </row>
    <row r="907" spans="1:22">
      <c r="A907">
        <v>906</v>
      </c>
      <c r="C907" s="7" t="s">
        <v>2051</v>
      </c>
      <c r="D907" t="s">
        <v>29</v>
      </c>
      <c r="E907" t="e">
        <f>LEN(#REF!)</f>
        <v>#REF!</v>
      </c>
      <c r="F907" s="49" t="s">
        <v>6457</v>
      </c>
      <c r="K907" s="55">
        <v>98765</v>
      </c>
      <c r="M907">
        <f t="shared" si="28"/>
        <v>5</v>
      </c>
      <c r="N907" s="30" t="s">
        <v>6458</v>
      </c>
      <c r="R907">
        <v>906</v>
      </c>
      <c r="S907" t="s">
        <v>6459</v>
      </c>
      <c r="T907" t="s">
        <v>2279</v>
      </c>
      <c r="U907">
        <f t="shared" si="29"/>
        <v>14</v>
      </c>
      <c r="V907" s="30" t="s">
        <v>6460</v>
      </c>
    </row>
    <row r="908" spans="1:22">
      <c r="A908">
        <v>907</v>
      </c>
      <c r="C908" s="7" t="s">
        <v>2053</v>
      </c>
      <c r="D908" t="s">
        <v>29</v>
      </c>
      <c r="E908" t="e">
        <f>LEN(#REF!)</f>
        <v>#REF!</v>
      </c>
      <c r="F908" s="49" t="s">
        <v>6461</v>
      </c>
      <c r="K908" s="55">
        <v>0</v>
      </c>
      <c r="M908">
        <f t="shared" si="28"/>
        <v>1</v>
      </c>
      <c r="N908" s="30" t="s">
        <v>6462</v>
      </c>
      <c r="R908">
        <v>907</v>
      </c>
      <c r="S908" t="s">
        <v>6463</v>
      </c>
      <c r="T908" t="s">
        <v>2279</v>
      </c>
      <c r="U908">
        <f t="shared" si="29"/>
        <v>14</v>
      </c>
      <c r="V908" s="30" t="s">
        <v>6464</v>
      </c>
    </row>
    <row r="909" spans="1:22">
      <c r="A909">
        <v>908</v>
      </c>
      <c r="C909" s="7" t="s">
        <v>2055</v>
      </c>
      <c r="D909" t="s">
        <v>29</v>
      </c>
      <c r="E909" t="e">
        <f>LEN(#REF!)</f>
        <v>#REF!</v>
      </c>
      <c r="F909" s="49" t="s">
        <v>6465</v>
      </c>
      <c r="K909" s="55" t="s">
        <v>6466</v>
      </c>
      <c r="M909">
        <f t="shared" si="28"/>
        <v>6</v>
      </c>
      <c r="N909" s="30" t="s">
        <v>6467</v>
      </c>
      <c r="R909">
        <v>908</v>
      </c>
      <c r="S909" t="s">
        <v>6468</v>
      </c>
      <c r="T909" t="s">
        <v>2279</v>
      </c>
      <c r="U909">
        <f t="shared" si="29"/>
        <v>12</v>
      </c>
      <c r="V909" s="30" t="s">
        <v>6469</v>
      </c>
    </row>
    <row r="910" spans="1:22">
      <c r="A910">
        <v>909</v>
      </c>
      <c r="C910" s="7" t="s">
        <v>2057</v>
      </c>
      <c r="D910" t="s">
        <v>29</v>
      </c>
      <c r="E910" t="e">
        <f>LEN(#REF!)</f>
        <v>#REF!</v>
      </c>
      <c r="F910" s="49" t="s">
        <v>6470</v>
      </c>
      <c r="K910" s="55" t="s">
        <v>6471</v>
      </c>
      <c r="M910">
        <f t="shared" si="28"/>
        <v>6</v>
      </c>
      <c r="N910" s="30" t="s">
        <v>6472</v>
      </c>
      <c r="R910">
        <v>909</v>
      </c>
      <c r="S910" t="s">
        <v>6473</v>
      </c>
      <c r="T910" t="s">
        <v>2279</v>
      </c>
      <c r="U910">
        <f t="shared" si="29"/>
        <v>12</v>
      </c>
      <c r="V910" s="30" t="s">
        <v>6474</v>
      </c>
    </row>
    <row r="911" spans="1:22">
      <c r="A911">
        <v>910</v>
      </c>
      <c r="C911" s="7" t="s">
        <v>2059</v>
      </c>
      <c r="D911" t="s">
        <v>29</v>
      </c>
      <c r="E911" t="e">
        <f>LEN(#REF!)</f>
        <v>#REF!</v>
      </c>
      <c r="F911" s="49" t="s">
        <v>6475</v>
      </c>
      <c r="K911" s="55" t="s">
        <v>6476</v>
      </c>
      <c r="M911">
        <f t="shared" si="28"/>
        <v>6</v>
      </c>
      <c r="N911" s="30" t="s">
        <v>6477</v>
      </c>
      <c r="R911">
        <v>910</v>
      </c>
      <c r="S911" t="s">
        <v>6478</v>
      </c>
      <c r="T911" t="s">
        <v>2279</v>
      </c>
      <c r="U911">
        <f t="shared" si="29"/>
        <v>10</v>
      </c>
      <c r="V911" s="30" t="s">
        <v>6479</v>
      </c>
    </row>
    <row r="912" spans="1:22">
      <c r="A912">
        <v>911</v>
      </c>
      <c r="C912" s="7" t="s">
        <v>2061</v>
      </c>
      <c r="D912" t="s">
        <v>29</v>
      </c>
      <c r="E912" t="e">
        <f>LEN(#REF!)</f>
        <v>#REF!</v>
      </c>
      <c r="F912" s="49" t="s">
        <v>6480</v>
      </c>
      <c r="K912" s="55" t="s">
        <v>6481</v>
      </c>
      <c r="M912">
        <f t="shared" si="28"/>
        <v>6</v>
      </c>
      <c r="N912" s="30" t="s">
        <v>6482</v>
      </c>
      <c r="R912">
        <v>911</v>
      </c>
      <c r="S912" t="s">
        <v>6483</v>
      </c>
      <c r="T912" t="s">
        <v>2279</v>
      </c>
      <c r="U912">
        <f t="shared" si="29"/>
        <v>11</v>
      </c>
      <c r="V912" s="30" t="s">
        <v>6484</v>
      </c>
    </row>
    <row r="913" spans="1:22">
      <c r="A913">
        <v>912</v>
      </c>
      <c r="C913" s="7" t="s">
        <v>2063</v>
      </c>
      <c r="D913" t="s">
        <v>29</v>
      </c>
      <c r="E913" t="e">
        <f>LEN(#REF!)</f>
        <v>#REF!</v>
      </c>
      <c r="F913" s="49" t="s">
        <v>6485</v>
      </c>
      <c r="K913" s="55" t="s">
        <v>6486</v>
      </c>
      <c r="M913">
        <f t="shared" si="28"/>
        <v>7</v>
      </c>
      <c r="N913" s="30" t="s">
        <v>6487</v>
      </c>
      <c r="R913">
        <v>912</v>
      </c>
      <c r="S913" t="s">
        <v>6488</v>
      </c>
      <c r="T913" t="s">
        <v>2279</v>
      </c>
      <c r="U913">
        <f t="shared" si="29"/>
        <v>9</v>
      </c>
      <c r="V913" s="30" t="s">
        <v>6489</v>
      </c>
    </row>
    <row r="914" spans="1:22">
      <c r="A914">
        <v>913</v>
      </c>
      <c r="C914" s="7" t="s">
        <v>2065</v>
      </c>
      <c r="D914" t="s">
        <v>29</v>
      </c>
      <c r="E914" t="e">
        <f>LEN(#REF!)</f>
        <v>#REF!</v>
      </c>
      <c r="F914" s="49" t="s">
        <v>6490</v>
      </c>
      <c r="K914" s="55" t="s">
        <v>6491</v>
      </c>
      <c r="M914">
        <f t="shared" si="28"/>
        <v>6</v>
      </c>
      <c r="N914" s="30" t="s">
        <v>6492</v>
      </c>
      <c r="R914">
        <v>913</v>
      </c>
      <c r="S914" t="s">
        <v>6493</v>
      </c>
      <c r="T914" t="s">
        <v>2279</v>
      </c>
      <c r="U914">
        <f t="shared" si="29"/>
        <v>12</v>
      </c>
      <c r="V914" s="30" t="s">
        <v>6494</v>
      </c>
    </row>
    <row r="915" spans="1:22">
      <c r="A915">
        <v>914</v>
      </c>
      <c r="C915" s="7" t="s">
        <v>2067</v>
      </c>
      <c r="D915" t="s">
        <v>29</v>
      </c>
      <c r="E915" t="e">
        <f>LEN(#REF!)</f>
        <v>#REF!</v>
      </c>
      <c r="F915" s="49" t="s">
        <v>6495</v>
      </c>
      <c r="K915" s="55">
        <v>242424</v>
      </c>
      <c r="M915">
        <f t="shared" si="28"/>
        <v>6</v>
      </c>
      <c r="N915" s="30" t="s">
        <v>6496</v>
      </c>
      <c r="R915">
        <v>914</v>
      </c>
      <c r="S915" t="s">
        <v>6497</v>
      </c>
      <c r="T915" t="s">
        <v>2279</v>
      </c>
      <c r="U915">
        <f t="shared" si="29"/>
        <v>8</v>
      </c>
      <c r="V915" s="30" t="s">
        <v>6498</v>
      </c>
    </row>
    <row r="916" spans="1:22">
      <c r="A916">
        <v>915</v>
      </c>
      <c r="C916" s="7" t="s">
        <v>2069</v>
      </c>
      <c r="D916" t="s">
        <v>29</v>
      </c>
      <c r="E916" t="e">
        <f>LEN(#REF!)</f>
        <v>#REF!</v>
      </c>
      <c r="F916" s="49" t="s">
        <v>6499</v>
      </c>
      <c r="K916" s="55">
        <v>987654321</v>
      </c>
      <c r="M916">
        <f t="shared" si="28"/>
        <v>9</v>
      </c>
      <c r="N916" s="30" t="s">
        <v>6500</v>
      </c>
      <c r="R916">
        <v>915</v>
      </c>
      <c r="S916" t="s">
        <v>6501</v>
      </c>
      <c r="T916" t="s">
        <v>2279</v>
      </c>
      <c r="U916">
        <f t="shared" si="29"/>
        <v>15</v>
      </c>
      <c r="V916" s="30" t="s">
        <v>6502</v>
      </c>
    </row>
    <row r="917" spans="1:22">
      <c r="A917">
        <v>916</v>
      </c>
      <c r="C917" s="7" t="s">
        <v>2071</v>
      </c>
      <c r="D917" t="s">
        <v>29</v>
      </c>
      <c r="E917" t="e">
        <f>LEN(#REF!)</f>
        <v>#REF!</v>
      </c>
      <c r="F917" s="49" t="s">
        <v>6503</v>
      </c>
      <c r="K917" s="55" t="s">
        <v>6504</v>
      </c>
      <c r="M917">
        <f t="shared" si="28"/>
        <v>7</v>
      </c>
      <c r="N917" s="30" t="s">
        <v>6505</v>
      </c>
      <c r="R917">
        <v>916</v>
      </c>
      <c r="S917" t="s">
        <v>6506</v>
      </c>
      <c r="T917" t="s">
        <v>2279</v>
      </c>
      <c r="U917">
        <f t="shared" si="29"/>
        <v>14</v>
      </c>
      <c r="V917" s="30" t="s">
        <v>6507</v>
      </c>
    </row>
    <row r="918" spans="1:22">
      <c r="A918">
        <v>917</v>
      </c>
      <c r="C918" s="7" t="s">
        <v>2073</v>
      </c>
      <c r="D918" t="s">
        <v>29</v>
      </c>
      <c r="E918" t="e">
        <f>LEN(#REF!)</f>
        <v>#REF!</v>
      </c>
      <c r="F918" s="49" t="s">
        <v>6508</v>
      </c>
      <c r="K918" s="55" t="s">
        <v>6509</v>
      </c>
      <c r="M918">
        <f t="shared" si="28"/>
        <v>6</v>
      </c>
      <c r="N918" s="30" t="s">
        <v>6510</v>
      </c>
      <c r="R918">
        <v>917</v>
      </c>
      <c r="S918" t="s">
        <v>6511</v>
      </c>
      <c r="T918" t="s">
        <v>2279</v>
      </c>
      <c r="U918">
        <f t="shared" si="29"/>
        <v>8</v>
      </c>
      <c r="V918" s="30" t="s">
        <v>6512</v>
      </c>
    </row>
    <row r="919" spans="1:22">
      <c r="A919">
        <v>918</v>
      </c>
      <c r="C919" s="7" t="s">
        <v>2075</v>
      </c>
      <c r="D919" t="s">
        <v>29</v>
      </c>
      <c r="E919" t="e">
        <f>LEN(#REF!)</f>
        <v>#REF!</v>
      </c>
      <c r="F919" s="49" t="s">
        <v>6513</v>
      </c>
      <c r="K919" s="55" t="s">
        <v>6514</v>
      </c>
      <c r="M919">
        <f t="shared" si="28"/>
        <v>5</v>
      </c>
      <c r="N919" s="30" t="s">
        <v>6515</v>
      </c>
      <c r="R919">
        <v>918</v>
      </c>
      <c r="S919" t="s">
        <v>6516</v>
      </c>
      <c r="T919" t="s">
        <v>2279</v>
      </c>
      <c r="U919">
        <f t="shared" si="29"/>
        <v>14</v>
      </c>
      <c r="V919" s="30" t="s">
        <v>6517</v>
      </c>
    </row>
    <row r="920" spans="1:22">
      <c r="A920">
        <v>919</v>
      </c>
      <c r="C920" s="7" t="s">
        <v>2077</v>
      </c>
      <c r="D920" t="s">
        <v>29</v>
      </c>
      <c r="E920" t="e">
        <f>LEN(#REF!)</f>
        <v>#REF!</v>
      </c>
      <c r="F920" s="49" t="s">
        <v>6518</v>
      </c>
      <c r="K920" s="55" t="s">
        <v>6519</v>
      </c>
      <c r="M920">
        <f t="shared" si="28"/>
        <v>8</v>
      </c>
      <c r="N920" s="30" t="s">
        <v>6520</v>
      </c>
      <c r="R920">
        <v>919</v>
      </c>
      <c r="S920" t="s">
        <v>6521</v>
      </c>
      <c r="T920" t="s">
        <v>2279</v>
      </c>
      <c r="U920">
        <f t="shared" si="29"/>
        <v>8</v>
      </c>
      <c r="V920" s="30" t="s">
        <v>6522</v>
      </c>
    </row>
    <row r="921" spans="1:22">
      <c r="A921">
        <v>920</v>
      </c>
      <c r="C921" s="7" t="s">
        <v>2079</v>
      </c>
      <c r="D921" t="s">
        <v>29</v>
      </c>
      <c r="E921" t="e">
        <f>LEN(#REF!)</f>
        <v>#REF!</v>
      </c>
      <c r="F921" s="49" t="s">
        <v>6523</v>
      </c>
      <c r="K921" s="55" t="s">
        <v>6524</v>
      </c>
      <c r="M921">
        <f t="shared" si="28"/>
        <v>9</v>
      </c>
      <c r="N921" s="30" t="s">
        <v>6525</v>
      </c>
      <c r="R921">
        <v>920</v>
      </c>
      <c r="S921" t="s">
        <v>6526</v>
      </c>
      <c r="T921" t="s">
        <v>2279</v>
      </c>
      <c r="U921">
        <f t="shared" si="29"/>
        <v>9</v>
      </c>
      <c r="V921" s="30" t="s">
        <v>6527</v>
      </c>
    </row>
    <row r="922" spans="1:22">
      <c r="A922">
        <v>921</v>
      </c>
      <c r="C922" s="7" t="s">
        <v>2081</v>
      </c>
      <c r="D922" t="s">
        <v>29</v>
      </c>
      <c r="E922" t="e">
        <f>LEN(#REF!)</f>
        <v>#REF!</v>
      </c>
      <c r="F922" s="49" t="s">
        <v>6528</v>
      </c>
      <c r="K922" s="55" t="s">
        <v>6529</v>
      </c>
      <c r="M922">
        <f t="shared" si="28"/>
        <v>5</v>
      </c>
      <c r="N922" s="30" t="s">
        <v>6530</v>
      </c>
      <c r="R922">
        <v>921</v>
      </c>
      <c r="S922" t="s">
        <v>6531</v>
      </c>
      <c r="T922" t="s">
        <v>2279</v>
      </c>
      <c r="U922">
        <f t="shared" si="29"/>
        <v>9</v>
      </c>
      <c r="V922" s="30" t="s">
        <v>6532</v>
      </c>
    </row>
    <row r="923" spans="1:22">
      <c r="A923">
        <v>922</v>
      </c>
      <c r="C923" s="7" t="s">
        <v>2083</v>
      </c>
      <c r="D923" t="s">
        <v>29</v>
      </c>
      <c r="E923" t="e">
        <f>LEN(#REF!)</f>
        <v>#REF!</v>
      </c>
      <c r="F923" s="49" t="s">
        <v>6533</v>
      </c>
      <c r="K923" s="55" t="s">
        <v>6534</v>
      </c>
      <c r="M923">
        <f t="shared" si="28"/>
        <v>6</v>
      </c>
      <c r="N923" s="30" t="s">
        <v>6535</v>
      </c>
      <c r="R923">
        <v>922</v>
      </c>
      <c r="S923" t="s">
        <v>6536</v>
      </c>
      <c r="T923" t="s">
        <v>2279</v>
      </c>
      <c r="U923">
        <f t="shared" si="29"/>
        <v>11</v>
      </c>
      <c r="V923" s="30" t="s">
        <v>6537</v>
      </c>
    </row>
    <row r="924" spans="1:22">
      <c r="A924">
        <v>923</v>
      </c>
      <c r="C924" s="7" t="s">
        <v>2085</v>
      </c>
      <c r="D924" t="s">
        <v>29</v>
      </c>
      <c r="E924" t="e">
        <f>LEN(#REF!)</f>
        <v>#REF!</v>
      </c>
      <c r="F924" s="49" t="s">
        <v>6538</v>
      </c>
      <c r="K924" s="55" t="s">
        <v>6539</v>
      </c>
      <c r="M924">
        <f t="shared" si="28"/>
        <v>9</v>
      </c>
      <c r="N924" s="30" t="s">
        <v>6540</v>
      </c>
      <c r="R924">
        <v>923</v>
      </c>
      <c r="S924" t="s">
        <v>6541</v>
      </c>
      <c r="T924" t="s">
        <v>2279</v>
      </c>
      <c r="U924">
        <f t="shared" si="29"/>
        <v>13</v>
      </c>
      <c r="V924" s="30" t="s">
        <v>6542</v>
      </c>
    </row>
    <row r="925" spans="1:22">
      <c r="A925">
        <v>924</v>
      </c>
      <c r="C925" s="7" t="s">
        <v>2087</v>
      </c>
      <c r="D925" t="s">
        <v>29</v>
      </c>
      <c r="E925" t="e">
        <f>LEN(#REF!)</f>
        <v>#REF!</v>
      </c>
      <c r="F925" s="49" t="s">
        <v>6543</v>
      </c>
      <c r="K925" s="55" t="s">
        <v>6544</v>
      </c>
      <c r="M925">
        <f t="shared" si="28"/>
        <v>5</v>
      </c>
      <c r="N925" s="30" t="s">
        <v>6545</v>
      </c>
      <c r="R925">
        <v>924</v>
      </c>
      <c r="S925" t="s">
        <v>6546</v>
      </c>
      <c r="T925" t="s">
        <v>2279</v>
      </c>
      <c r="U925">
        <f t="shared" si="29"/>
        <v>17</v>
      </c>
      <c r="V925" s="30" t="s">
        <v>6547</v>
      </c>
    </row>
    <row r="926" spans="1:22">
      <c r="A926">
        <v>925</v>
      </c>
      <c r="C926" s="7" t="s">
        <v>2089</v>
      </c>
      <c r="D926" t="s">
        <v>29</v>
      </c>
      <c r="E926" t="e">
        <f>LEN(#REF!)</f>
        <v>#REF!</v>
      </c>
      <c r="F926" s="49" t="s">
        <v>6548</v>
      </c>
      <c r="K926" s="55" t="s">
        <v>6549</v>
      </c>
      <c r="M926">
        <f t="shared" si="28"/>
        <v>7</v>
      </c>
      <c r="N926" s="30" t="s">
        <v>6550</v>
      </c>
      <c r="R926">
        <v>925</v>
      </c>
      <c r="S926" t="s">
        <v>6551</v>
      </c>
      <c r="T926" t="s">
        <v>2279</v>
      </c>
      <c r="U926">
        <f t="shared" si="29"/>
        <v>8</v>
      </c>
      <c r="V926" s="30" t="s">
        <v>6552</v>
      </c>
    </row>
    <row r="927" spans="1:22">
      <c r="A927">
        <v>926</v>
      </c>
      <c r="C927" s="7" t="s">
        <v>2091</v>
      </c>
      <c r="D927" t="s">
        <v>29</v>
      </c>
      <c r="E927" t="e">
        <f>LEN(#REF!)</f>
        <v>#REF!</v>
      </c>
      <c r="F927" s="49" t="s">
        <v>6553</v>
      </c>
      <c r="K927" s="55" t="s">
        <v>6554</v>
      </c>
      <c r="M927">
        <f t="shared" si="28"/>
        <v>10</v>
      </c>
      <c r="N927" s="30" t="s">
        <v>6555</v>
      </c>
      <c r="R927">
        <v>926</v>
      </c>
      <c r="S927" t="s">
        <v>6556</v>
      </c>
      <c r="T927" t="s">
        <v>2279</v>
      </c>
      <c r="U927">
        <f t="shared" si="29"/>
        <v>8</v>
      </c>
      <c r="V927" s="30" t="s">
        <v>6557</v>
      </c>
    </row>
    <row r="928" spans="1:22">
      <c r="A928">
        <v>927</v>
      </c>
      <c r="C928" s="7" t="s">
        <v>2093</v>
      </c>
      <c r="D928" t="s">
        <v>29</v>
      </c>
      <c r="E928" t="e">
        <f>LEN(#REF!)</f>
        <v>#REF!</v>
      </c>
      <c r="F928" s="49" t="s">
        <v>6558</v>
      </c>
      <c r="K928" s="55" t="s">
        <v>6559</v>
      </c>
      <c r="M928">
        <f t="shared" si="28"/>
        <v>5</v>
      </c>
      <c r="N928" s="30" t="s">
        <v>6560</v>
      </c>
      <c r="R928">
        <v>927</v>
      </c>
      <c r="S928" t="s">
        <v>6561</v>
      </c>
      <c r="T928" t="s">
        <v>2279</v>
      </c>
      <c r="U928">
        <f t="shared" si="29"/>
        <v>8</v>
      </c>
      <c r="V928" s="30" t="s">
        <v>6562</v>
      </c>
    </row>
    <row r="929" spans="1:22">
      <c r="A929">
        <v>928</v>
      </c>
      <c r="C929" s="7" t="s">
        <v>2095</v>
      </c>
      <c r="D929" t="s">
        <v>29</v>
      </c>
      <c r="E929" t="e">
        <f>LEN(#REF!)</f>
        <v>#REF!</v>
      </c>
      <c r="F929" s="49" t="s">
        <v>6563</v>
      </c>
      <c r="K929" s="55" t="s">
        <v>6564</v>
      </c>
      <c r="M929">
        <f t="shared" si="28"/>
        <v>8</v>
      </c>
      <c r="N929" s="30" t="s">
        <v>6565</v>
      </c>
      <c r="R929">
        <v>928</v>
      </c>
      <c r="S929" t="s">
        <v>6566</v>
      </c>
      <c r="T929" t="s">
        <v>2279</v>
      </c>
      <c r="U929">
        <f t="shared" si="29"/>
        <v>8</v>
      </c>
      <c r="V929" s="30" t="s">
        <v>6567</v>
      </c>
    </row>
    <row r="930" spans="1:22">
      <c r="A930">
        <v>929</v>
      </c>
      <c r="C930" s="7" t="s">
        <v>2097</v>
      </c>
      <c r="D930" t="s">
        <v>29</v>
      </c>
      <c r="E930" t="e">
        <f>LEN(#REF!)</f>
        <v>#REF!</v>
      </c>
      <c r="F930" s="49" t="s">
        <v>6568</v>
      </c>
      <c r="K930" s="55" t="s">
        <v>6569</v>
      </c>
      <c r="M930">
        <f t="shared" si="28"/>
        <v>7</v>
      </c>
      <c r="N930" s="30" t="s">
        <v>6570</v>
      </c>
      <c r="R930">
        <v>929</v>
      </c>
      <c r="S930" t="s">
        <v>6571</v>
      </c>
      <c r="T930" t="s">
        <v>2279</v>
      </c>
      <c r="U930">
        <f t="shared" si="29"/>
        <v>8</v>
      </c>
      <c r="V930" s="30" t="s">
        <v>6572</v>
      </c>
    </row>
    <row r="931" spans="1:22">
      <c r="A931">
        <v>930</v>
      </c>
      <c r="C931" s="7" t="s">
        <v>2099</v>
      </c>
      <c r="D931" t="s">
        <v>29</v>
      </c>
      <c r="E931" t="e">
        <f>LEN(#REF!)</f>
        <v>#REF!</v>
      </c>
      <c r="F931" s="49" t="s">
        <v>6573</v>
      </c>
      <c r="K931" s="55" t="s">
        <v>6574</v>
      </c>
      <c r="M931">
        <f t="shared" si="28"/>
        <v>6</v>
      </c>
      <c r="N931" s="30" t="s">
        <v>6575</v>
      </c>
      <c r="R931">
        <v>930</v>
      </c>
      <c r="S931" t="s">
        <v>6576</v>
      </c>
      <c r="T931" t="s">
        <v>2279</v>
      </c>
      <c r="U931">
        <f t="shared" si="29"/>
        <v>9</v>
      </c>
      <c r="V931" s="30" t="s">
        <v>6577</v>
      </c>
    </row>
    <row r="932" spans="1:22">
      <c r="A932">
        <v>931</v>
      </c>
      <c r="C932" s="7" t="s">
        <v>2101</v>
      </c>
      <c r="D932" t="s">
        <v>29</v>
      </c>
      <c r="E932" t="e">
        <f>LEN(#REF!)</f>
        <v>#REF!</v>
      </c>
      <c r="F932" s="49" t="s">
        <v>6578</v>
      </c>
      <c r="K932" s="55" t="s">
        <v>6579</v>
      </c>
      <c r="M932">
        <f t="shared" si="28"/>
        <v>6</v>
      </c>
      <c r="N932" s="30" t="s">
        <v>6580</v>
      </c>
      <c r="R932">
        <v>931</v>
      </c>
      <c r="S932" t="s">
        <v>6581</v>
      </c>
      <c r="T932" t="s">
        <v>2279</v>
      </c>
      <c r="U932">
        <f t="shared" si="29"/>
        <v>9</v>
      </c>
      <c r="V932" s="30" t="s">
        <v>6582</v>
      </c>
    </row>
    <row r="933" spans="1:22">
      <c r="A933">
        <v>932</v>
      </c>
      <c r="C933" s="7" t="s">
        <v>2103</v>
      </c>
      <c r="D933" t="s">
        <v>29</v>
      </c>
      <c r="E933" t="e">
        <f>LEN(#REF!)</f>
        <v>#REF!</v>
      </c>
      <c r="F933" s="49" t="s">
        <v>6583</v>
      </c>
      <c r="K933" s="55" t="s">
        <v>6584</v>
      </c>
      <c r="M933">
        <f t="shared" si="28"/>
        <v>8</v>
      </c>
      <c r="N933" s="30" t="s">
        <v>6585</v>
      </c>
      <c r="R933">
        <v>932</v>
      </c>
      <c r="S933" t="s">
        <v>6586</v>
      </c>
      <c r="T933" t="s">
        <v>2279</v>
      </c>
      <c r="U933">
        <f t="shared" si="29"/>
        <v>8</v>
      </c>
      <c r="V933" s="30" t="s">
        <v>6587</v>
      </c>
    </row>
    <row r="934" spans="1:22">
      <c r="A934">
        <v>933</v>
      </c>
      <c r="C934" s="7" t="s">
        <v>2105</v>
      </c>
      <c r="D934" t="s">
        <v>29</v>
      </c>
      <c r="E934" t="e">
        <f>LEN(#REF!)</f>
        <v>#REF!</v>
      </c>
      <c r="F934" s="49" t="s">
        <v>6588</v>
      </c>
      <c r="K934" s="55" t="s">
        <v>6589</v>
      </c>
      <c r="M934">
        <f t="shared" si="28"/>
        <v>8</v>
      </c>
      <c r="N934" s="30" t="s">
        <v>6590</v>
      </c>
      <c r="R934">
        <v>933</v>
      </c>
      <c r="S934" t="s">
        <v>6591</v>
      </c>
      <c r="T934" t="s">
        <v>2279</v>
      </c>
      <c r="U934">
        <f t="shared" si="29"/>
        <v>8</v>
      </c>
      <c r="V934" s="30" t="s">
        <v>6592</v>
      </c>
    </row>
    <row r="935" spans="1:22">
      <c r="A935">
        <v>934</v>
      </c>
      <c r="C935" s="7" t="s">
        <v>2107</v>
      </c>
      <c r="D935" t="s">
        <v>29</v>
      </c>
      <c r="E935" t="e">
        <f>LEN(#REF!)</f>
        <v>#REF!</v>
      </c>
      <c r="F935" s="49" t="s">
        <v>6593</v>
      </c>
      <c r="K935" s="55" t="s">
        <v>6594</v>
      </c>
      <c r="M935">
        <f t="shared" si="28"/>
        <v>7</v>
      </c>
      <c r="N935" s="30" t="s">
        <v>6595</v>
      </c>
      <c r="R935">
        <v>934</v>
      </c>
      <c r="S935" t="s">
        <v>6596</v>
      </c>
      <c r="T935" t="s">
        <v>2279</v>
      </c>
      <c r="U935">
        <f t="shared" si="29"/>
        <v>9</v>
      </c>
      <c r="V935" s="30" t="s">
        <v>6597</v>
      </c>
    </row>
    <row r="936" spans="1:22">
      <c r="A936">
        <v>935</v>
      </c>
      <c r="C936" s="7" t="s">
        <v>2109</v>
      </c>
      <c r="D936" t="s">
        <v>29</v>
      </c>
      <c r="E936" t="e">
        <f>LEN(#REF!)</f>
        <v>#REF!</v>
      </c>
      <c r="F936" s="49" t="s">
        <v>6598</v>
      </c>
      <c r="K936" s="55" t="s">
        <v>6599</v>
      </c>
      <c r="M936">
        <f t="shared" si="28"/>
        <v>6</v>
      </c>
      <c r="N936" s="30" t="s">
        <v>6600</v>
      </c>
      <c r="R936">
        <v>935</v>
      </c>
      <c r="S936" t="s">
        <v>6601</v>
      </c>
      <c r="T936" t="s">
        <v>2279</v>
      </c>
      <c r="U936">
        <f t="shared" si="29"/>
        <v>8</v>
      </c>
      <c r="V936" s="30" t="s">
        <v>6602</v>
      </c>
    </row>
    <row r="937" spans="1:22">
      <c r="A937">
        <v>936</v>
      </c>
      <c r="C937" s="7" t="s">
        <v>2111</v>
      </c>
      <c r="D937" t="s">
        <v>29</v>
      </c>
      <c r="E937" t="e">
        <f>LEN(#REF!)</f>
        <v>#REF!</v>
      </c>
      <c r="F937" s="49" t="s">
        <v>6603</v>
      </c>
      <c r="K937" s="55" t="s">
        <v>6604</v>
      </c>
      <c r="M937">
        <f t="shared" si="28"/>
        <v>7</v>
      </c>
      <c r="N937" s="30" t="s">
        <v>6605</v>
      </c>
      <c r="R937">
        <v>936</v>
      </c>
      <c r="S937" t="s">
        <v>6606</v>
      </c>
      <c r="T937" t="s">
        <v>2279</v>
      </c>
      <c r="U937">
        <f t="shared" si="29"/>
        <v>9</v>
      </c>
      <c r="V937" s="30" t="s">
        <v>6607</v>
      </c>
    </row>
    <row r="938" spans="1:22">
      <c r="A938">
        <v>937</v>
      </c>
      <c r="C938" s="7" t="s">
        <v>2113</v>
      </c>
      <c r="D938" t="s">
        <v>29</v>
      </c>
      <c r="E938" t="e">
        <f>LEN(#REF!)</f>
        <v>#REF!</v>
      </c>
      <c r="F938" s="49" t="s">
        <v>6608</v>
      </c>
      <c r="K938" s="55" t="s">
        <v>6609</v>
      </c>
      <c r="M938">
        <f t="shared" si="28"/>
        <v>6</v>
      </c>
      <c r="N938" s="30" t="s">
        <v>6610</v>
      </c>
      <c r="R938">
        <v>937</v>
      </c>
      <c r="S938" t="s">
        <v>6611</v>
      </c>
      <c r="T938" t="s">
        <v>2279</v>
      </c>
      <c r="U938">
        <f t="shared" si="29"/>
        <v>9</v>
      </c>
      <c r="V938" s="30" t="s">
        <v>6612</v>
      </c>
    </row>
    <row r="939" spans="1:22">
      <c r="A939">
        <v>938</v>
      </c>
      <c r="C939" s="7" t="s">
        <v>2115</v>
      </c>
      <c r="D939" t="s">
        <v>29</v>
      </c>
      <c r="E939" t="e">
        <f>LEN(#REF!)</f>
        <v>#REF!</v>
      </c>
      <c r="F939" s="49" t="s">
        <v>6613</v>
      </c>
      <c r="K939" s="55" t="s">
        <v>6614</v>
      </c>
      <c r="M939">
        <f t="shared" si="28"/>
        <v>8</v>
      </c>
      <c r="N939" s="30" t="s">
        <v>6615</v>
      </c>
      <c r="R939">
        <v>938</v>
      </c>
      <c r="S939" t="s">
        <v>6616</v>
      </c>
      <c r="T939" t="s">
        <v>2279</v>
      </c>
      <c r="U939">
        <f t="shared" si="29"/>
        <v>9</v>
      </c>
      <c r="V939" s="30" t="s">
        <v>6617</v>
      </c>
    </row>
    <row r="940" spans="1:22">
      <c r="A940">
        <v>939</v>
      </c>
      <c r="C940" s="7" t="s">
        <v>2117</v>
      </c>
      <c r="D940" t="s">
        <v>29</v>
      </c>
      <c r="E940" t="e">
        <f>LEN(#REF!)</f>
        <v>#REF!</v>
      </c>
      <c r="F940" s="49" t="s">
        <v>6618</v>
      </c>
      <c r="K940" s="55" t="s">
        <v>6619</v>
      </c>
      <c r="M940">
        <f t="shared" si="28"/>
        <v>6</v>
      </c>
      <c r="N940" s="30" t="s">
        <v>6620</v>
      </c>
      <c r="R940">
        <v>939</v>
      </c>
      <c r="S940" t="s">
        <v>6621</v>
      </c>
      <c r="T940" t="s">
        <v>2279</v>
      </c>
      <c r="U940">
        <f t="shared" si="29"/>
        <v>8</v>
      </c>
      <c r="V940" s="30" t="s">
        <v>6622</v>
      </c>
    </row>
    <row r="941" spans="1:22">
      <c r="A941">
        <v>940</v>
      </c>
      <c r="C941" s="7" t="s">
        <v>2119</v>
      </c>
      <c r="D941" t="s">
        <v>29</v>
      </c>
      <c r="E941" t="e">
        <f>LEN(#REF!)</f>
        <v>#REF!</v>
      </c>
      <c r="F941" s="49" t="s">
        <v>6623</v>
      </c>
      <c r="K941" s="55" t="s">
        <v>6624</v>
      </c>
      <c r="M941">
        <f t="shared" si="28"/>
        <v>8</v>
      </c>
      <c r="N941" s="30" t="s">
        <v>6625</v>
      </c>
      <c r="R941">
        <v>940</v>
      </c>
      <c r="S941" t="s">
        <v>6626</v>
      </c>
      <c r="T941" t="s">
        <v>2279</v>
      </c>
      <c r="U941">
        <f t="shared" si="29"/>
        <v>10</v>
      </c>
      <c r="V941" s="30" t="s">
        <v>6627</v>
      </c>
    </row>
    <row r="942" spans="1:22">
      <c r="A942">
        <v>941</v>
      </c>
      <c r="C942" s="7" t="s">
        <v>2121</v>
      </c>
      <c r="D942" t="s">
        <v>29</v>
      </c>
      <c r="E942" t="e">
        <f>LEN(#REF!)</f>
        <v>#REF!</v>
      </c>
      <c r="F942" s="49" t="s">
        <v>6628</v>
      </c>
      <c r="K942" s="55" t="s">
        <v>6629</v>
      </c>
      <c r="M942">
        <f t="shared" si="28"/>
        <v>5</v>
      </c>
      <c r="N942" s="30" t="s">
        <v>6630</v>
      </c>
      <c r="R942">
        <v>941</v>
      </c>
      <c r="S942" t="s">
        <v>6631</v>
      </c>
      <c r="T942" t="s">
        <v>2279</v>
      </c>
      <c r="U942">
        <f t="shared" si="29"/>
        <v>8</v>
      </c>
      <c r="V942" s="30" t="s">
        <v>6632</v>
      </c>
    </row>
    <row r="943" spans="1:22">
      <c r="A943">
        <v>942</v>
      </c>
      <c r="C943" s="7" t="s">
        <v>2123</v>
      </c>
      <c r="D943" t="s">
        <v>29</v>
      </c>
      <c r="E943" t="e">
        <f>LEN(#REF!)</f>
        <v>#REF!</v>
      </c>
      <c r="F943" s="49" t="s">
        <v>6633</v>
      </c>
      <c r="K943" s="55" t="s">
        <v>6634</v>
      </c>
      <c r="M943">
        <f t="shared" si="28"/>
        <v>7</v>
      </c>
      <c r="N943" s="30" t="s">
        <v>6635</v>
      </c>
      <c r="R943">
        <v>942</v>
      </c>
      <c r="S943" t="s">
        <v>6636</v>
      </c>
      <c r="T943" t="s">
        <v>2279</v>
      </c>
      <c r="U943">
        <f t="shared" si="29"/>
        <v>8</v>
      </c>
      <c r="V943" s="30" t="s">
        <v>6637</v>
      </c>
    </row>
    <row r="944" spans="1:22">
      <c r="A944">
        <v>943</v>
      </c>
      <c r="C944" s="7" t="s">
        <v>2125</v>
      </c>
      <c r="D944" t="s">
        <v>29</v>
      </c>
      <c r="E944" t="e">
        <f>LEN(#REF!)</f>
        <v>#REF!</v>
      </c>
      <c r="F944" s="49" t="s">
        <v>6638</v>
      </c>
      <c r="K944" s="55" t="s">
        <v>6639</v>
      </c>
      <c r="M944">
        <f t="shared" si="28"/>
        <v>6</v>
      </c>
      <c r="N944" s="30" t="s">
        <v>6640</v>
      </c>
      <c r="R944">
        <v>943</v>
      </c>
      <c r="S944" t="s">
        <v>6641</v>
      </c>
      <c r="T944" t="s">
        <v>2279</v>
      </c>
      <c r="U944">
        <f t="shared" si="29"/>
        <v>8</v>
      </c>
      <c r="V944" s="30" t="s">
        <v>6642</v>
      </c>
    </row>
    <row r="945" spans="1:22">
      <c r="A945">
        <v>944</v>
      </c>
      <c r="C945" s="7" t="s">
        <v>2127</v>
      </c>
      <c r="D945" t="s">
        <v>29</v>
      </c>
      <c r="E945" t="e">
        <f>LEN(#REF!)</f>
        <v>#REF!</v>
      </c>
      <c r="F945" s="49" t="s">
        <v>6643</v>
      </c>
      <c r="K945" s="55" t="s">
        <v>6644</v>
      </c>
      <c r="M945">
        <f t="shared" si="28"/>
        <v>8</v>
      </c>
      <c r="N945" s="30" t="s">
        <v>6645</v>
      </c>
      <c r="R945">
        <v>944</v>
      </c>
      <c r="S945" t="s">
        <v>6646</v>
      </c>
      <c r="T945" t="s">
        <v>2279</v>
      </c>
      <c r="U945">
        <f t="shared" si="29"/>
        <v>8</v>
      </c>
      <c r="V945" s="30" t="s">
        <v>6647</v>
      </c>
    </row>
    <row r="946" spans="1:22">
      <c r="A946">
        <v>945</v>
      </c>
      <c r="C946" s="7" t="s">
        <v>2129</v>
      </c>
      <c r="D946" t="s">
        <v>29</v>
      </c>
      <c r="E946" t="e">
        <f>LEN(#REF!)</f>
        <v>#REF!</v>
      </c>
      <c r="F946" s="49" t="s">
        <v>6648</v>
      </c>
      <c r="K946" s="55" t="s">
        <v>6649</v>
      </c>
      <c r="M946">
        <f t="shared" si="28"/>
        <v>7</v>
      </c>
      <c r="N946" s="30" t="s">
        <v>6650</v>
      </c>
      <c r="R946">
        <v>945</v>
      </c>
      <c r="S946" t="s">
        <v>6651</v>
      </c>
      <c r="T946" t="s">
        <v>2279</v>
      </c>
      <c r="U946">
        <f t="shared" si="29"/>
        <v>10</v>
      </c>
      <c r="V946" s="30" t="s">
        <v>6652</v>
      </c>
    </row>
    <row r="947" spans="1:22">
      <c r="A947">
        <v>946</v>
      </c>
      <c r="C947" s="7" t="s">
        <v>2131</v>
      </c>
      <c r="D947" t="s">
        <v>29</v>
      </c>
      <c r="E947" t="e">
        <f>LEN(#REF!)</f>
        <v>#REF!</v>
      </c>
      <c r="F947" s="49" t="s">
        <v>6653</v>
      </c>
      <c r="K947" s="55" t="s">
        <v>6654</v>
      </c>
      <c r="M947">
        <f t="shared" si="28"/>
        <v>10</v>
      </c>
      <c r="N947" s="30" t="s">
        <v>6655</v>
      </c>
      <c r="R947">
        <v>946</v>
      </c>
      <c r="S947" t="s">
        <v>6656</v>
      </c>
      <c r="T947" t="s">
        <v>2279</v>
      </c>
      <c r="U947">
        <f t="shared" si="29"/>
        <v>8</v>
      </c>
      <c r="V947" s="30" t="s">
        <v>6657</v>
      </c>
    </row>
    <row r="948" spans="1:22">
      <c r="A948">
        <v>947</v>
      </c>
      <c r="C948" s="7" t="s">
        <v>2133</v>
      </c>
      <c r="D948" t="s">
        <v>29</v>
      </c>
      <c r="E948" t="e">
        <f>LEN(#REF!)</f>
        <v>#REF!</v>
      </c>
      <c r="F948" s="49" t="s">
        <v>6658</v>
      </c>
      <c r="K948" s="55" t="s">
        <v>6659</v>
      </c>
      <c r="M948">
        <f t="shared" si="28"/>
        <v>9</v>
      </c>
      <c r="N948" s="30" t="s">
        <v>6660</v>
      </c>
      <c r="R948">
        <v>947</v>
      </c>
      <c r="S948" t="s">
        <v>6661</v>
      </c>
      <c r="T948" t="s">
        <v>2279</v>
      </c>
      <c r="U948">
        <f t="shared" si="29"/>
        <v>8</v>
      </c>
      <c r="V948" s="30" t="s">
        <v>6662</v>
      </c>
    </row>
    <row r="949" spans="1:22">
      <c r="A949">
        <v>948</v>
      </c>
      <c r="C949" s="7" t="s">
        <v>2135</v>
      </c>
      <c r="D949" t="s">
        <v>29</v>
      </c>
      <c r="E949" t="e">
        <f>LEN(#REF!)</f>
        <v>#REF!</v>
      </c>
      <c r="F949" s="49" t="s">
        <v>6663</v>
      </c>
      <c r="K949" s="55" t="s">
        <v>6664</v>
      </c>
      <c r="M949">
        <f t="shared" si="28"/>
        <v>7</v>
      </c>
      <c r="N949" s="30" t="s">
        <v>6665</v>
      </c>
      <c r="R949">
        <v>948</v>
      </c>
      <c r="S949" t="s">
        <v>6666</v>
      </c>
      <c r="T949" t="s">
        <v>2279</v>
      </c>
      <c r="U949">
        <f t="shared" si="29"/>
        <v>8</v>
      </c>
      <c r="V949" s="30" t="s">
        <v>6667</v>
      </c>
    </row>
    <row r="950" spans="1:22">
      <c r="A950">
        <v>949</v>
      </c>
      <c r="C950" s="7" t="s">
        <v>2137</v>
      </c>
      <c r="D950" t="s">
        <v>29</v>
      </c>
      <c r="E950" t="e">
        <f>LEN(#REF!)</f>
        <v>#REF!</v>
      </c>
      <c r="F950" s="49" t="s">
        <v>6668</v>
      </c>
      <c r="K950" s="55" t="s">
        <v>6669</v>
      </c>
      <c r="M950">
        <f t="shared" si="28"/>
        <v>7</v>
      </c>
      <c r="N950" s="30" t="s">
        <v>6670</v>
      </c>
      <c r="R950">
        <v>949</v>
      </c>
      <c r="S950" t="s">
        <v>6671</v>
      </c>
      <c r="T950" t="s">
        <v>2279</v>
      </c>
      <c r="U950">
        <f t="shared" si="29"/>
        <v>9</v>
      </c>
      <c r="V950" s="30" t="s">
        <v>6672</v>
      </c>
    </row>
    <row r="951" spans="1:22">
      <c r="A951">
        <v>950</v>
      </c>
      <c r="C951" s="7" t="s">
        <v>2139</v>
      </c>
      <c r="D951" t="s">
        <v>29</v>
      </c>
      <c r="E951" t="e">
        <f>LEN(#REF!)</f>
        <v>#REF!</v>
      </c>
      <c r="F951" s="49" t="s">
        <v>6673</v>
      </c>
      <c r="K951" s="55" t="s">
        <v>6674</v>
      </c>
      <c r="M951">
        <f t="shared" si="28"/>
        <v>7</v>
      </c>
      <c r="N951" s="30" t="s">
        <v>6675</v>
      </c>
      <c r="R951">
        <v>950</v>
      </c>
      <c r="S951" t="s">
        <v>6676</v>
      </c>
      <c r="T951" t="s">
        <v>2279</v>
      </c>
      <c r="U951">
        <f t="shared" si="29"/>
        <v>8</v>
      </c>
      <c r="V951" s="30" t="s">
        <v>6677</v>
      </c>
    </row>
    <row r="952" spans="1:22">
      <c r="A952">
        <v>951</v>
      </c>
      <c r="C952" s="7" t="s">
        <v>2141</v>
      </c>
      <c r="D952" t="s">
        <v>29</v>
      </c>
      <c r="E952" t="e">
        <f>LEN(#REF!)</f>
        <v>#REF!</v>
      </c>
      <c r="F952" s="49" t="s">
        <v>6678</v>
      </c>
      <c r="K952" s="55">
        <v>741852</v>
      </c>
      <c r="M952">
        <f t="shared" si="28"/>
        <v>6</v>
      </c>
      <c r="N952" s="30" t="s">
        <v>6679</v>
      </c>
      <c r="R952">
        <v>951</v>
      </c>
      <c r="S952" t="s">
        <v>6680</v>
      </c>
      <c r="T952" t="s">
        <v>2279</v>
      </c>
      <c r="U952">
        <f t="shared" si="29"/>
        <v>8</v>
      </c>
      <c r="V952" s="30" t="s">
        <v>6681</v>
      </c>
    </row>
    <row r="953" spans="1:22">
      <c r="A953">
        <v>952</v>
      </c>
      <c r="C953" s="7" t="s">
        <v>2143</v>
      </c>
      <c r="D953" t="s">
        <v>29</v>
      </c>
      <c r="E953" t="e">
        <f>LEN(#REF!)</f>
        <v>#REF!</v>
      </c>
      <c r="F953" s="49" t="s">
        <v>6682</v>
      </c>
      <c r="K953" s="55" t="s">
        <v>6683</v>
      </c>
      <c r="M953">
        <f t="shared" si="28"/>
        <v>6</v>
      </c>
      <c r="N953" s="30" t="s">
        <v>6684</v>
      </c>
      <c r="R953">
        <v>952</v>
      </c>
      <c r="S953" t="s">
        <v>6685</v>
      </c>
      <c r="T953" t="s">
        <v>2279</v>
      </c>
      <c r="U953">
        <f t="shared" si="29"/>
        <v>8</v>
      </c>
      <c r="V953" s="30" t="s">
        <v>6686</v>
      </c>
    </row>
    <row r="954" spans="1:22">
      <c r="A954">
        <v>953</v>
      </c>
      <c r="C954" s="7" t="s">
        <v>2145</v>
      </c>
      <c r="D954" t="s">
        <v>29</v>
      </c>
      <c r="E954" t="e">
        <f>LEN(#REF!)</f>
        <v>#REF!</v>
      </c>
      <c r="F954" s="49" t="s">
        <v>6687</v>
      </c>
      <c r="K954" s="55" t="s">
        <v>6688</v>
      </c>
      <c r="M954">
        <f t="shared" si="28"/>
        <v>6</v>
      </c>
      <c r="N954" s="30" t="s">
        <v>6689</v>
      </c>
      <c r="R954">
        <v>953</v>
      </c>
      <c r="S954" t="s">
        <v>6690</v>
      </c>
      <c r="T954" t="s">
        <v>2279</v>
      </c>
      <c r="U954">
        <f t="shared" si="29"/>
        <v>8</v>
      </c>
      <c r="V954" s="30" t="s">
        <v>6691</v>
      </c>
    </row>
    <row r="955" spans="1:22">
      <c r="A955">
        <v>954</v>
      </c>
      <c r="C955" s="7" t="s">
        <v>2147</v>
      </c>
      <c r="D955" t="s">
        <v>29</v>
      </c>
      <c r="E955" t="e">
        <f>LEN(#REF!)</f>
        <v>#REF!</v>
      </c>
      <c r="F955" s="49" t="s">
        <v>6692</v>
      </c>
      <c r="K955" s="55" t="s">
        <v>6693</v>
      </c>
      <c r="M955">
        <f t="shared" si="28"/>
        <v>5</v>
      </c>
      <c r="N955" s="30" t="s">
        <v>6694</v>
      </c>
      <c r="R955">
        <v>954</v>
      </c>
      <c r="S955" t="s">
        <v>6695</v>
      </c>
      <c r="T955" t="s">
        <v>2279</v>
      </c>
      <c r="U955">
        <f t="shared" si="29"/>
        <v>10</v>
      </c>
      <c r="V955" s="30" t="s">
        <v>6696</v>
      </c>
    </row>
    <row r="956" spans="1:22">
      <c r="A956">
        <v>955</v>
      </c>
      <c r="C956" s="7" t="s">
        <v>2149</v>
      </c>
      <c r="D956" t="s">
        <v>29</v>
      </c>
      <c r="E956" t="e">
        <f>LEN(#REF!)</f>
        <v>#REF!</v>
      </c>
      <c r="F956" s="49" t="s">
        <v>6697</v>
      </c>
      <c r="K956" s="55" t="s">
        <v>6698</v>
      </c>
      <c r="M956">
        <f t="shared" si="28"/>
        <v>7</v>
      </c>
      <c r="N956" s="30" t="s">
        <v>6699</v>
      </c>
      <c r="R956">
        <v>955</v>
      </c>
      <c r="S956" t="s">
        <v>6700</v>
      </c>
      <c r="T956" t="s">
        <v>2279</v>
      </c>
      <c r="U956">
        <f t="shared" si="29"/>
        <v>9</v>
      </c>
      <c r="V956" s="30" t="s">
        <v>6701</v>
      </c>
    </row>
    <row r="957" spans="1:22">
      <c r="A957">
        <v>956</v>
      </c>
      <c r="C957" s="7" t="s">
        <v>2151</v>
      </c>
      <c r="D957" t="s">
        <v>29</v>
      </c>
      <c r="E957" t="e">
        <f>LEN(#REF!)</f>
        <v>#REF!</v>
      </c>
      <c r="F957" s="49" t="s">
        <v>6702</v>
      </c>
      <c r="K957" s="55" t="s">
        <v>6703</v>
      </c>
      <c r="M957">
        <f t="shared" si="28"/>
        <v>7</v>
      </c>
      <c r="N957" s="30" t="s">
        <v>6704</v>
      </c>
      <c r="R957">
        <v>956</v>
      </c>
      <c r="S957" t="s">
        <v>6705</v>
      </c>
      <c r="T957" t="s">
        <v>2279</v>
      </c>
      <c r="U957">
        <f t="shared" si="29"/>
        <v>8</v>
      </c>
      <c r="V957" s="30" t="s">
        <v>6706</v>
      </c>
    </row>
    <row r="958" spans="1:22">
      <c r="A958">
        <v>957</v>
      </c>
      <c r="C958" s="7" t="s">
        <v>2153</v>
      </c>
      <c r="D958" t="s">
        <v>29</v>
      </c>
      <c r="E958" t="e">
        <f>LEN(#REF!)</f>
        <v>#REF!</v>
      </c>
      <c r="F958" s="49" t="s">
        <v>6707</v>
      </c>
      <c r="K958" s="55" t="s">
        <v>6708</v>
      </c>
      <c r="M958">
        <f t="shared" si="28"/>
        <v>7</v>
      </c>
      <c r="N958" s="30" t="s">
        <v>6709</v>
      </c>
      <c r="R958">
        <v>957</v>
      </c>
      <c r="S958" t="s">
        <v>6710</v>
      </c>
      <c r="T958" t="s">
        <v>2279</v>
      </c>
      <c r="U958">
        <f t="shared" si="29"/>
        <v>8</v>
      </c>
      <c r="V958" s="30" t="s">
        <v>6711</v>
      </c>
    </row>
    <row r="959" spans="1:22">
      <c r="A959">
        <v>958</v>
      </c>
      <c r="C959" s="7" t="s">
        <v>2155</v>
      </c>
      <c r="D959" t="s">
        <v>29</v>
      </c>
      <c r="E959" t="e">
        <f>LEN(#REF!)</f>
        <v>#REF!</v>
      </c>
      <c r="F959" s="49" t="s">
        <v>6712</v>
      </c>
      <c r="K959" s="55" t="s">
        <v>6713</v>
      </c>
      <c r="M959">
        <f t="shared" si="28"/>
        <v>6</v>
      </c>
      <c r="N959" s="30" t="s">
        <v>6714</v>
      </c>
      <c r="R959">
        <v>958</v>
      </c>
      <c r="S959" t="s">
        <v>6715</v>
      </c>
      <c r="T959" t="s">
        <v>2279</v>
      </c>
      <c r="U959">
        <f t="shared" si="29"/>
        <v>8</v>
      </c>
      <c r="V959" s="30" t="s">
        <v>6716</v>
      </c>
    </row>
    <row r="960" spans="1:22">
      <c r="A960">
        <v>959</v>
      </c>
      <c r="C960" s="7" t="s">
        <v>2157</v>
      </c>
      <c r="D960" t="s">
        <v>29</v>
      </c>
      <c r="E960" t="e">
        <f>LEN(#REF!)</f>
        <v>#REF!</v>
      </c>
      <c r="F960" s="49" t="s">
        <v>6717</v>
      </c>
      <c r="K960" s="55" t="s">
        <v>6718</v>
      </c>
      <c r="M960">
        <f t="shared" si="28"/>
        <v>6</v>
      </c>
      <c r="N960" s="30" t="s">
        <v>6719</v>
      </c>
      <c r="R960">
        <v>959</v>
      </c>
      <c r="S960" t="s">
        <v>6720</v>
      </c>
      <c r="T960" t="s">
        <v>2279</v>
      </c>
      <c r="U960">
        <f t="shared" si="29"/>
        <v>9</v>
      </c>
      <c r="V960" s="30" t="s">
        <v>6721</v>
      </c>
    </row>
    <row r="961" spans="1:22">
      <c r="A961">
        <v>960</v>
      </c>
      <c r="C961" s="7" t="s">
        <v>2159</v>
      </c>
      <c r="D961" t="s">
        <v>29</v>
      </c>
      <c r="E961" t="e">
        <f>LEN(#REF!)</f>
        <v>#REF!</v>
      </c>
      <c r="F961" s="49" t="s">
        <v>6722</v>
      </c>
      <c r="K961" s="55" t="s">
        <v>6723</v>
      </c>
      <c r="M961">
        <f t="shared" si="28"/>
        <v>5</v>
      </c>
      <c r="N961" s="30" t="s">
        <v>6724</v>
      </c>
      <c r="R961">
        <v>960</v>
      </c>
      <c r="S961" t="s">
        <v>6725</v>
      </c>
      <c r="T961" t="s">
        <v>2279</v>
      </c>
      <c r="U961">
        <f t="shared" si="29"/>
        <v>11</v>
      </c>
      <c r="V961" s="30" t="s">
        <v>6726</v>
      </c>
    </row>
    <row r="962" spans="1:22">
      <c r="A962">
        <v>961</v>
      </c>
      <c r="C962" s="7" t="s">
        <v>2161</v>
      </c>
      <c r="D962" t="s">
        <v>29</v>
      </c>
      <c r="E962" t="e">
        <f>LEN(#REF!)</f>
        <v>#REF!</v>
      </c>
      <c r="F962" s="49" t="s">
        <v>6727</v>
      </c>
      <c r="K962" s="55" t="s">
        <v>6728</v>
      </c>
      <c r="M962">
        <f t="shared" si="28"/>
        <v>6</v>
      </c>
      <c r="N962" s="30" t="s">
        <v>6729</v>
      </c>
      <c r="R962">
        <v>961</v>
      </c>
      <c r="S962" t="s">
        <v>6730</v>
      </c>
      <c r="T962" t="s">
        <v>2279</v>
      </c>
      <c r="U962">
        <f t="shared" si="29"/>
        <v>8</v>
      </c>
      <c r="V962" s="30" t="s">
        <v>6731</v>
      </c>
    </row>
    <row r="963" spans="1:22">
      <c r="A963">
        <v>962</v>
      </c>
      <c r="C963" s="7" t="s">
        <v>2163</v>
      </c>
      <c r="D963" t="s">
        <v>29</v>
      </c>
      <c r="E963" t="e">
        <f>LEN(#REF!)</f>
        <v>#REF!</v>
      </c>
      <c r="F963" s="49" t="s">
        <v>6732</v>
      </c>
      <c r="K963" s="55" t="s">
        <v>6733</v>
      </c>
      <c r="M963">
        <f t="shared" ref="M963:M1004" si="30">LEN(K963)</f>
        <v>5</v>
      </c>
      <c r="N963" s="30" t="s">
        <v>6734</v>
      </c>
      <c r="R963">
        <v>962</v>
      </c>
      <c r="S963" t="s">
        <v>6735</v>
      </c>
      <c r="T963" t="s">
        <v>2279</v>
      </c>
      <c r="U963">
        <f t="shared" ref="U963:U1004" si="31">LEN(S963)</f>
        <v>8</v>
      </c>
      <c r="V963" s="30" t="s">
        <v>6736</v>
      </c>
    </row>
    <row r="964" spans="1:22">
      <c r="A964">
        <v>963</v>
      </c>
      <c r="C964" s="7" t="s">
        <v>2165</v>
      </c>
      <c r="D964" t="s">
        <v>29</v>
      </c>
      <c r="E964" t="e">
        <f>LEN(#REF!)</f>
        <v>#REF!</v>
      </c>
      <c r="F964" s="49" t="s">
        <v>6737</v>
      </c>
      <c r="K964" s="55" t="s">
        <v>6738</v>
      </c>
      <c r="M964">
        <f t="shared" si="30"/>
        <v>6</v>
      </c>
      <c r="N964" s="30" t="s">
        <v>6739</v>
      </c>
      <c r="R964">
        <v>963</v>
      </c>
      <c r="S964" t="s">
        <v>6740</v>
      </c>
      <c r="T964" t="s">
        <v>2279</v>
      </c>
      <c r="U964">
        <f t="shared" si="31"/>
        <v>8</v>
      </c>
      <c r="V964" s="30" t="s">
        <v>6741</v>
      </c>
    </row>
    <row r="965" spans="1:22">
      <c r="A965">
        <v>964</v>
      </c>
      <c r="C965" s="7" t="s">
        <v>2167</v>
      </c>
      <c r="D965" t="s">
        <v>29</v>
      </c>
      <c r="E965" t="e">
        <f>LEN(#REF!)</f>
        <v>#REF!</v>
      </c>
      <c r="F965" s="49" t="s">
        <v>6742</v>
      </c>
      <c r="K965" s="55" t="s">
        <v>6743</v>
      </c>
      <c r="M965">
        <f t="shared" si="30"/>
        <v>7</v>
      </c>
      <c r="N965" s="30" t="s">
        <v>6744</v>
      </c>
      <c r="R965">
        <v>964</v>
      </c>
      <c r="S965" t="s">
        <v>6745</v>
      </c>
      <c r="T965" t="s">
        <v>2279</v>
      </c>
      <c r="U965">
        <f t="shared" si="31"/>
        <v>9</v>
      </c>
      <c r="V965" s="30" t="s">
        <v>6746</v>
      </c>
    </row>
    <row r="966" spans="1:22">
      <c r="A966">
        <v>965</v>
      </c>
      <c r="C966" s="7" t="s">
        <v>2169</v>
      </c>
      <c r="D966" t="s">
        <v>29</v>
      </c>
      <c r="E966" t="e">
        <f>LEN(#REF!)</f>
        <v>#REF!</v>
      </c>
      <c r="F966" s="49" t="s">
        <v>6747</v>
      </c>
      <c r="K966" s="55" t="s">
        <v>6748</v>
      </c>
      <c r="M966">
        <f t="shared" si="30"/>
        <v>7</v>
      </c>
      <c r="N966" s="30" t="s">
        <v>6749</v>
      </c>
      <c r="R966">
        <v>965</v>
      </c>
      <c r="S966" t="s">
        <v>6750</v>
      </c>
      <c r="T966" t="s">
        <v>2279</v>
      </c>
      <c r="U966">
        <f t="shared" si="31"/>
        <v>30</v>
      </c>
      <c r="V966" s="30" t="s">
        <v>6751</v>
      </c>
    </row>
    <row r="967" spans="1:22">
      <c r="A967">
        <v>966</v>
      </c>
      <c r="C967" s="7" t="s">
        <v>2171</v>
      </c>
      <c r="D967" t="s">
        <v>29</v>
      </c>
      <c r="E967" t="e">
        <f>LEN(#REF!)</f>
        <v>#REF!</v>
      </c>
      <c r="F967" s="49" t="s">
        <v>6752</v>
      </c>
      <c r="K967" s="55" t="s">
        <v>6753</v>
      </c>
      <c r="M967">
        <f t="shared" si="30"/>
        <v>7</v>
      </c>
      <c r="N967" s="30" t="s">
        <v>6754</v>
      </c>
      <c r="R967">
        <v>966</v>
      </c>
      <c r="S967" t="s">
        <v>6755</v>
      </c>
      <c r="T967" t="s">
        <v>2279</v>
      </c>
      <c r="U967">
        <f t="shared" si="31"/>
        <v>8</v>
      </c>
      <c r="V967" s="31" t="s">
        <v>6756</v>
      </c>
    </row>
    <row r="968" spans="1:22">
      <c r="A968">
        <v>967</v>
      </c>
      <c r="C968" s="7" t="s">
        <v>2173</v>
      </c>
      <c r="D968" t="s">
        <v>29</v>
      </c>
      <c r="E968" t="e">
        <f>LEN(#REF!)</f>
        <v>#REF!</v>
      </c>
      <c r="F968" s="49" t="s">
        <v>6757</v>
      </c>
      <c r="K968" s="55" t="s">
        <v>6758</v>
      </c>
      <c r="M968">
        <f t="shared" si="30"/>
        <v>8</v>
      </c>
      <c r="N968" s="30" t="s">
        <v>6759</v>
      </c>
      <c r="R968">
        <v>967</v>
      </c>
      <c r="S968" t="s">
        <v>6760</v>
      </c>
      <c r="T968" t="s">
        <v>2279</v>
      </c>
      <c r="U968">
        <f t="shared" si="31"/>
        <v>10</v>
      </c>
      <c r="V968" s="31" t="s">
        <v>6761</v>
      </c>
    </row>
    <row r="969" spans="1:22">
      <c r="A969">
        <v>968</v>
      </c>
      <c r="C969" s="7" t="s">
        <v>2175</v>
      </c>
      <c r="D969" t="s">
        <v>29</v>
      </c>
      <c r="E969" t="e">
        <f>LEN(#REF!)</f>
        <v>#REF!</v>
      </c>
      <c r="F969" s="49" t="s">
        <v>6762</v>
      </c>
      <c r="K969" s="55" t="s">
        <v>6763</v>
      </c>
      <c r="M969">
        <f t="shared" si="30"/>
        <v>8</v>
      </c>
      <c r="N969" s="30" t="s">
        <v>6764</v>
      </c>
      <c r="R969">
        <v>968</v>
      </c>
      <c r="S969" t="s">
        <v>6765</v>
      </c>
      <c r="T969" t="s">
        <v>2279</v>
      </c>
      <c r="U969">
        <f t="shared" si="31"/>
        <v>8</v>
      </c>
      <c r="V969" s="30" t="s">
        <v>6766</v>
      </c>
    </row>
    <row r="970" spans="1:22">
      <c r="A970">
        <v>969</v>
      </c>
      <c r="C970" s="7" t="s">
        <v>2177</v>
      </c>
      <c r="D970" t="s">
        <v>29</v>
      </c>
      <c r="E970" t="e">
        <f>LEN(#REF!)</f>
        <v>#REF!</v>
      </c>
      <c r="F970" s="49" t="s">
        <v>6767</v>
      </c>
      <c r="K970" s="55" t="s">
        <v>6768</v>
      </c>
      <c r="M970">
        <f t="shared" si="30"/>
        <v>7</v>
      </c>
      <c r="N970" s="30" t="s">
        <v>6769</v>
      </c>
      <c r="R970">
        <v>969</v>
      </c>
      <c r="S970" t="s">
        <v>6770</v>
      </c>
      <c r="T970" t="s">
        <v>2279</v>
      </c>
      <c r="U970">
        <f t="shared" si="31"/>
        <v>8</v>
      </c>
      <c r="V970" s="30" t="s">
        <v>6771</v>
      </c>
    </row>
    <row r="971" spans="1:22">
      <c r="A971">
        <v>970</v>
      </c>
      <c r="C971" s="7" t="s">
        <v>2179</v>
      </c>
      <c r="D971" t="s">
        <v>29</v>
      </c>
      <c r="E971" t="e">
        <f>LEN(#REF!)</f>
        <v>#REF!</v>
      </c>
      <c r="F971" s="49" t="s">
        <v>6772</v>
      </c>
      <c r="K971" s="55" t="s">
        <v>6773</v>
      </c>
      <c r="M971">
        <f t="shared" si="30"/>
        <v>5</v>
      </c>
      <c r="N971" s="30" t="s">
        <v>6774</v>
      </c>
      <c r="R971">
        <v>970</v>
      </c>
      <c r="S971" t="s">
        <v>6775</v>
      </c>
      <c r="T971" t="s">
        <v>2279</v>
      </c>
      <c r="U971">
        <f t="shared" si="31"/>
        <v>10</v>
      </c>
      <c r="V971" s="30" t="s">
        <v>6776</v>
      </c>
    </row>
    <row r="972" spans="1:22">
      <c r="A972">
        <v>971</v>
      </c>
      <c r="C972" s="7" t="s">
        <v>2181</v>
      </c>
      <c r="D972" t="s">
        <v>29</v>
      </c>
      <c r="E972" t="e">
        <f>LEN(#REF!)</f>
        <v>#REF!</v>
      </c>
      <c r="F972" s="49" t="s">
        <v>6777</v>
      </c>
      <c r="K972" s="55" t="s">
        <v>6778</v>
      </c>
      <c r="M972">
        <f t="shared" si="30"/>
        <v>6</v>
      </c>
      <c r="N972" s="30" t="s">
        <v>6779</v>
      </c>
      <c r="R972">
        <v>971</v>
      </c>
      <c r="S972" t="s">
        <v>6780</v>
      </c>
      <c r="T972" t="s">
        <v>2279</v>
      </c>
      <c r="U972">
        <f t="shared" si="31"/>
        <v>8</v>
      </c>
      <c r="V972" s="30" t="s">
        <v>6781</v>
      </c>
    </row>
    <row r="973" spans="1:22">
      <c r="A973">
        <v>972</v>
      </c>
      <c r="C973" s="7" t="s">
        <v>2183</v>
      </c>
      <c r="D973" t="s">
        <v>29</v>
      </c>
      <c r="E973" t="e">
        <f>LEN(#REF!)</f>
        <v>#REF!</v>
      </c>
      <c r="F973" s="49" t="s">
        <v>6782</v>
      </c>
      <c r="K973" s="55">
        <v>87654321</v>
      </c>
      <c r="M973">
        <f t="shared" si="30"/>
        <v>8</v>
      </c>
      <c r="N973" s="31" t="s">
        <v>6783</v>
      </c>
      <c r="R973">
        <v>972</v>
      </c>
      <c r="S973" t="s">
        <v>6784</v>
      </c>
      <c r="T973" t="s">
        <v>2279</v>
      </c>
      <c r="U973">
        <f t="shared" si="31"/>
        <v>8</v>
      </c>
      <c r="V973" s="30" t="s">
        <v>6785</v>
      </c>
    </row>
    <row r="974" spans="1:22">
      <c r="A974">
        <v>973</v>
      </c>
      <c r="C974" s="7" t="s">
        <v>2185</v>
      </c>
      <c r="D974" t="s">
        <v>29</v>
      </c>
      <c r="E974" t="e">
        <f>LEN(#REF!)</f>
        <v>#REF!</v>
      </c>
      <c r="F974" s="49" t="s">
        <v>6786</v>
      </c>
      <c r="K974" s="55" t="s">
        <v>6787</v>
      </c>
      <c r="M974">
        <f t="shared" si="30"/>
        <v>8</v>
      </c>
      <c r="N974" s="30" t="s">
        <v>6788</v>
      </c>
      <c r="R974">
        <v>973</v>
      </c>
      <c r="S974" t="s">
        <v>6789</v>
      </c>
      <c r="T974" t="s">
        <v>2279</v>
      </c>
      <c r="U974">
        <f t="shared" si="31"/>
        <v>20</v>
      </c>
      <c r="V974" s="30" t="s">
        <v>6790</v>
      </c>
    </row>
    <row r="975" spans="1:22">
      <c r="A975">
        <v>974</v>
      </c>
      <c r="C975" s="9" t="s">
        <v>2187</v>
      </c>
      <c r="D975" t="s">
        <v>29</v>
      </c>
      <c r="E975" t="e">
        <f>LEN(#REF!)</f>
        <v>#REF!</v>
      </c>
      <c r="F975" s="49" t="s">
        <v>6791</v>
      </c>
      <c r="K975" s="55" t="s">
        <v>6792</v>
      </c>
      <c r="M975">
        <f t="shared" si="30"/>
        <v>8</v>
      </c>
      <c r="N975" s="30" t="s">
        <v>6793</v>
      </c>
      <c r="R975">
        <v>974</v>
      </c>
      <c r="S975" t="s">
        <v>6794</v>
      </c>
      <c r="T975" t="s">
        <v>2279</v>
      </c>
      <c r="U975">
        <f t="shared" si="31"/>
        <v>8</v>
      </c>
      <c r="V975" s="30" t="s">
        <v>6795</v>
      </c>
    </row>
    <row r="976" spans="1:22">
      <c r="A976">
        <v>975</v>
      </c>
      <c r="C976" s="7" t="s">
        <v>2189</v>
      </c>
      <c r="D976" t="s">
        <v>29</v>
      </c>
      <c r="E976" t="e">
        <f>LEN(#REF!)</f>
        <v>#REF!</v>
      </c>
      <c r="F976" s="49" t="s">
        <v>6796</v>
      </c>
      <c r="K976" s="55" t="s">
        <v>6797</v>
      </c>
      <c r="M976">
        <f t="shared" si="30"/>
        <v>7</v>
      </c>
      <c r="N976" s="30" t="s">
        <v>6798</v>
      </c>
      <c r="R976">
        <v>975</v>
      </c>
      <c r="S976" t="s">
        <v>6799</v>
      </c>
      <c r="T976" t="s">
        <v>2279</v>
      </c>
      <c r="U976">
        <f t="shared" si="31"/>
        <v>10</v>
      </c>
      <c r="V976" s="30" t="s">
        <v>6800</v>
      </c>
    </row>
    <row r="977" spans="1:22">
      <c r="A977">
        <v>976</v>
      </c>
      <c r="C977" s="7" t="s">
        <v>2191</v>
      </c>
      <c r="D977" t="s">
        <v>29</v>
      </c>
      <c r="E977" t="e">
        <f>LEN(#REF!)</f>
        <v>#REF!</v>
      </c>
      <c r="F977" s="51" t="s">
        <v>6801</v>
      </c>
      <c r="K977" s="55" t="s">
        <v>6802</v>
      </c>
      <c r="M977">
        <f t="shared" si="30"/>
        <v>6</v>
      </c>
      <c r="N977" s="30" t="s">
        <v>6803</v>
      </c>
      <c r="R977">
        <v>976</v>
      </c>
      <c r="S977" t="s">
        <v>6804</v>
      </c>
      <c r="T977" t="s">
        <v>2279</v>
      </c>
      <c r="U977">
        <f t="shared" si="31"/>
        <v>8</v>
      </c>
      <c r="V977" s="31" t="s">
        <v>6805</v>
      </c>
    </row>
    <row r="978" spans="1:22">
      <c r="A978">
        <v>977</v>
      </c>
      <c r="C978" s="9" t="s">
        <v>2193</v>
      </c>
      <c r="D978" t="s">
        <v>29</v>
      </c>
      <c r="E978" t="e">
        <f>LEN(#REF!)</f>
        <v>#REF!</v>
      </c>
      <c r="F978" s="49" t="s">
        <v>6806</v>
      </c>
      <c r="K978" s="55" t="s">
        <v>6807</v>
      </c>
      <c r="M978">
        <f t="shared" si="30"/>
        <v>6</v>
      </c>
      <c r="N978" s="31" t="s">
        <v>6808</v>
      </c>
      <c r="R978">
        <v>977</v>
      </c>
      <c r="S978" t="s">
        <v>6809</v>
      </c>
      <c r="T978" t="s">
        <v>2279</v>
      </c>
      <c r="U978">
        <f t="shared" si="31"/>
        <v>8</v>
      </c>
      <c r="V978" s="30" t="s">
        <v>6810</v>
      </c>
    </row>
    <row r="979" spans="1:22">
      <c r="A979">
        <v>978</v>
      </c>
      <c r="C979" s="7" t="s">
        <v>2195</v>
      </c>
      <c r="D979" t="s">
        <v>29</v>
      </c>
      <c r="E979" t="e">
        <f>LEN(#REF!)</f>
        <v>#REF!</v>
      </c>
      <c r="F979" s="49" t="s">
        <v>6811</v>
      </c>
      <c r="K979" s="55" t="s">
        <v>6812</v>
      </c>
      <c r="M979">
        <f t="shared" si="30"/>
        <v>7</v>
      </c>
      <c r="N979" s="30" t="s">
        <v>6813</v>
      </c>
      <c r="R979">
        <v>978</v>
      </c>
      <c r="S979" t="s">
        <v>6814</v>
      </c>
      <c r="T979" t="s">
        <v>2279</v>
      </c>
      <c r="U979">
        <f t="shared" si="31"/>
        <v>8</v>
      </c>
      <c r="V979" s="30" t="s">
        <v>6815</v>
      </c>
    </row>
    <row r="980" spans="1:22">
      <c r="A980">
        <v>979</v>
      </c>
      <c r="C980" s="7" t="s">
        <v>2197</v>
      </c>
      <c r="D980" t="s">
        <v>29</v>
      </c>
      <c r="E980" t="e">
        <f>LEN(#REF!)</f>
        <v>#REF!</v>
      </c>
      <c r="F980" s="49" t="s">
        <v>6816</v>
      </c>
      <c r="K980" s="55" t="s">
        <v>6817</v>
      </c>
      <c r="M980">
        <f t="shared" si="30"/>
        <v>6</v>
      </c>
      <c r="N980" s="30" t="s">
        <v>6818</v>
      </c>
      <c r="R980">
        <v>979</v>
      </c>
      <c r="S980" t="s">
        <v>6819</v>
      </c>
      <c r="T980" t="s">
        <v>2279</v>
      </c>
      <c r="U980">
        <f t="shared" si="31"/>
        <v>8</v>
      </c>
      <c r="V980" s="30" t="s">
        <v>6820</v>
      </c>
    </row>
    <row r="981" spans="1:22">
      <c r="A981">
        <v>980</v>
      </c>
      <c r="C981" s="7" t="s">
        <v>2199</v>
      </c>
      <c r="D981" t="s">
        <v>29</v>
      </c>
      <c r="E981" t="e">
        <f>LEN(#REF!)</f>
        <v>#REF!</v>
      </c>
      <c r="F981" s="49" t="s">
        <v>6821</v>
      </c>
      <c r="K981" s="55" t="s">
        <v>6822</v>
      </c>
      <c r="M981">
        <f t="shared" si="30"/>
        <v>8</v>
      </c>
      <c r="N981" s="30" t="s">
        <v>6823</v>
      </c>
      <c r="R981">
        <v>980</v>
      </c>
      <c r="S981" t="s">
        <v>6824</v>
      </c>
      <c r="T981" t="s">
        <v>2279</v>
      </c>
      <c r="U981">
        <f t="shared" si="31"/>
        <v>8</v>
      </c>
      <c r="V981" s="30" t="s">
        <v>6825</v>
      </c>
    </row>
    <row r="982" spans="1:22">
      <c r="A982">
        <v>981</v>
      </c>
      <c r="C982" s="7" t="s">
        <v>2201</v>
      </c>
      <c r="D982" t="s">
        <v>29</v>
      </c>
      <c r="E982" t="e">
        <f>LEN(#REF!)</f>
        <v>#REF!</v>
      </c>
      <c r="F982" s="49" t="s">
        <v>6826</v>
      </c>
      <c r="K982" s="55">
        <v>147852369</v>
      </c>
      <c r="M982">
        <f t="shared" si="30"/>
        <v>9</v>
      </c>
      <c r="N982" s="30" t="s">
        <v>6827</v>
      </c>
      <c r="R982">
        <v>981</v>
      </c>
      <c r="S982" t="s">
        <v>6828</v>
      </c>
      <c r="T982" t="s">
        <v>2279</v>
      </c>
      <c r="U982">
        <f t="shared" si="31"/>
        <v>9</v>
      </c>
      <c r="V982" s="30" t="s">
        <v>6829</v>
      </c>
    </row>
    <row r="983" spans="1:22">
      <c r="A983">
        <v>982</v>
      </c>
      <c r="C983" s="7" t="s">
        <v>2203</v>
      </c>
      <c r="D983" t="s">
        <v>29</v>
      </c>
      <c r="E983" t="e">
        <f>LEN(#REF!)</f>
        <v>#REF!</v>
      </c>
      <c r="F983" s="49" t="s">
        <v>6830</v>
      </c>
      <c r="K983" s="55" t="s">
        <v>6831</v>
      </c>
      <c r="M983">
        <f t="shared" si="30"/>
        <v>7</v>
      </c>
      <c r="N983" s="30" t="s">
        <v>6832</v>
      </c>
      <c r="R983">
        <v>982</v>
      </c>
      <c r="S983" t="s">
        <v>6833</v>
      </c>
      <c r="T983" t="s">
        <v>2279</v>
      </c>
      <c r="U983">
        <f t="shared" si="31"/>
        <v>10</v>
      </c>
      <c r="V983" s="31" t="s">
        <v>6834</v>
      </c>
    </row>
    <row r="984" spans="1:22">
      <c r="A984">
        <v>983</v>
      </c>
      <c r="C984" s="7" t="s">
        <v>2205</v>
      </c>
      <c r="D984" t="s">
        <v>29</v>
      </c>
      <c r="E984" t="e">
        <f>LEN(#REF!)</f>
        <v>#REF!</v>
      </c>
      <c r="F984" s="49" t="s">
        <v>6835</v>
      </c>
      <c r="K984" s="55" t="s">
        <v>6836</v>
      </c>
      <c r="M984">
        <f t="shared" si="30"/>
        <v>6</v>
      </c>
      <c r="N984" s="30" t="s">
        <v>6837</v>
      </c>
      <c r="R984">
        <v>983</v>
      </c>
      <c r="S984" t="s">
        <v>6838</v>
      </c>
      <c r="T984" t="s">
        <v>2279</v>
      </c>
      <c r="U984">
        <f t="shared" si="31"/>
        <v>13</v>
      </c>
      <c r="V984" s="30" t="s">
        <v>6839</v>
      </c>
    </row>
    <row r="985" spans="1:22">
      <c r="A985">
        <v>984</v>
      </c>
      <c r="C985" s="7" t="s">
        <v>2207</v>
      </c>
      <c r="D985" t="s">
        <v>29</v>
      </c>
      <c r="E985" t="e">
        <f>LEN(#REF!)</f>
        <v>#REF!</v>
      </c>
      <c r="F985" s="49" t="s">
        <v>6840</v>
      </c>
      <c r="K985" s="55" t="s">
        <v>6841</v>
      </c>
      <c r="M985">
        <f t="shared" si="30"/>
        <v>7</v>
      </c>
      <c r="N985" s="30" t="s">
        <v>6842</v>
      </c>
      <c r="R985">
        <v>984</v>
      </c>
      <c r="S985" t="s">
        <v>6843</v>
      </c>
      <c r="T985" t="s">
        <v>2279</v>
      </c>
      <c r="U985">
        <f t="shared" si="31"/>
        <v>9</v>
      </c>
      <c r="V985" s="30" t="s">
        <v>6844</v>
      </c>
    </row>
    <row r="986" spans="1:22">
      <c r="A986">
        <v>985</v>
      </c>
      <c r="C986" s="7" t="s">
        <v>2209</v>
      </c>
      <c r="D986" t="s">
        <v>29</v>
      </c>
      <c r="E986" t="e">
        <f>LEN(#REF!)</f>
        <v>#REF!</v>
      </c>
      <c r="F986" s="49" t="s">
        <v>6845</v>
      </c>
      <c r="K986" s="55" t="s">
        <v>6846</v>
      </c>
      <c r="M986">
        <f t="shared" si="30"/>
        <v>9</v>
      </c>
      <c r="N986" s="31" t="s">
        <v>6847</v>
      </c>
      <c r="R986">
        <v>985</v>
      </c>
      <c r="S986" t="s">
        <v>6848</v>
      </c>
      <c r="T986" t="s">
        <v>2279</v>
      </c>
      <c r="U986">
        <f t="shared" si="31"/>
        <v>9</v>
      </c>
      <c r="V986" s="30" t="s">
        <v>6849</v>
      </c>
    </row>
    <row r="987" spans="1:22">
      <c r="A987">
        <v>986</v>
      </c>
      <c r="C987" s="7" t="s">
        <v>2211</v>
      </c>
      <c r="D987" t="s">
        <v>29</v>
      </c>
      <c r="E987" t="e">
        <f>LEN(#REF!)</f>
        <v>#REF!</v>
      </c>
      <c r="F987" s="49" t="s">
        <v>6850</v>
      </c>
      <c r="K987" s="55" t="s">
        <v>6851</v>
      </c>
      <c r="M987">
        <f t="shared" si="30"/>
        <v>6</v>
      </c>
      <c r="N987" s="30" t="s">
        <v>6852</v>
      </c>
      <c r="R987">
        <v>986</v>
      </c>
      <c r="S987" t="s">
        <v>6853</v>
      </c>
      <c r="T987" t="s">
        <v>2279</v>
      </c>
      <c r="U987">
        <f t="shared" si="31"/>
        <v>8</v>
      </c>
      <c r="V987" s="30" t="s">
        <v>6854</v>
      </c>
    </row>
    <row r="988" spans="1:22">
      <c r="A988">
        <v>987</v>
      </c>
      <c r="C988" s="7" t="s">
        <v>2213</v>
      </c>
      <c r="D988" t="s">
        <v>29</v>
      </c>
      <c r="E988" t="e">
        <f>LEN(#REF!)</f>
        <v>#REF!</v>
      </c>
      <c r="F988" s="49" t="s">
        <v>6855</v>
      </c>
      <c r="K988" s="55" t="s">
        <v>6856</v>
      </c>
      <c r="M988">
        <f t="shared" si="30"/>
        <v>6</v>
      </c>
      <c r="N988" s="30" t="s">
        <v>6857</v>
      </c>
      <c r="R988">
        <v>987</v>
      </c>
      <c r="S988" t="s">
        <v>6858</v>
      </c>
      <c r="T988" t="s">
        <v>2279</v>
      </c>
      <c r="U988">
        <f t="shared" si="31"/>
        <v>8</v>
      </c>
      <c r="V988" s="30" t="s">
        <v>6859</v>
      </c>
    </row>
    <row r="989" spans="1:22">
      <c r="A989">
        <v>988</v>
      </c>
      <c r="C989" s="7" t="s">
        <v>2215</v>
      </c>
      <c r="D989" t="s">
        <v>29</v>
      </c>
      <c r="E989" t="e">
        <f>LEN(#REF!)</f>
        <v>#REF!</v>
      </c>
      <c r="F989" s="49" t="s">
        <v>6860</v>
      </c>
      <c r="K989" s="55" t="s">
        <v>6861</v>
      </c>
      <c r="M989">
        <f t="shared" si="30"/>
        <v>6</v>
      </c>
      <c r="N989" s="30" t="s">
        <v>6862</v>
      </c>
      <c r="R989">
        <v>988</v>
      </c>
      <c r="S989" t="s">
        <v>6863</v>
      </c>
      <c r="T989" t="s">
        <v>2279</v>
      </c>
      <c r="U989">
        <f t="shared" si="31"/>
        <v>8</v>
      </c>
      <c r="V989" s="30" t="s">
        <v>6864</v>
      </c>
    </row>
    <row r="990" spans="1:22">
      <c r="A990">
        <v>989</v>
      </c>
      <c r="C990" s="7" t="s">
        <v>2217</v>
      </c>
      <c r="D990" t="s">
        <v>29</v>
      </c>
      <c r="E990" t="e">
        <f>LEN(#REF!)</f>
        <v>#REF!</v>
      </c>
      <c r="F990" s="49" t="s">
        <v>6865</v>
      </c>
      <c r="K990" s="55">
        <v>123123123</v>
      </c>
      <c r="M990">
        <f t="shared" si="30"/>
        <v>9</v>
      </c>
      <c r="N990" s="30" t="s">
        <v>6866</v>
      </c>
      <c r="R990">
        <v>989</v>
      </c>
      <c r="S990" t="s">
        <v>6867</v>
      </c>
      <c r="T990" t="s">
        <v>2279</v>
      </c>
      <c r="U990">
        <f t="shared" si="31"/>
        <v>10</v>
      </c>
      <c r="V990" s="30" t="s">
        <v>6868</v>
      </c>
    </row>
    <row r="991" spans="1:22">
      <c r="A991">
        <v>990</v>
      </c>
      <c r="C991" s="7" t="s">
        <v>2219</v>
      </c>
      <c r="D991" t="s">
        <v>29</v>
      </c>
      <c r="E991" t="e">
        <f>LEN(#REF!)</f>
        <v>#REF!</v>
      </c>
      <c r="F991" s="49" t="s">
        <v>6869</v>
      </c>
      <c r="K991" s="55" t="s">
        <v>6870</v>
      </c>
      <c r="M991">
        <f t="shared" si="30"/>
        <v>7</v>
      </c>
      <c r="N991" s="30" t="s">
        <v>6871</v>
      </c>
      <c r="R991">
        <v>990</v>
      </c>
      <c r="S991" t="s">
        <v>6872</v>
      </c>
      <c r="T991" t="s">
        <v>2279</v>
      </c>
      <c r="U991">
        <f t="shared" si="31"/>
        <v>9</v>
      </c>
      <c r="V991" s="30" t="s">
        <v>6873</v>
      </c>
    </row>
    <row r="992" spans="1:22">
      <c r="A992">
        <v>991</v>
      </c>
      <c r="C992" s="7" t="s">
        <v>2221</v>
      </c>
      <c r="D992" t="s">
        <v>29</v>
      </c>
      <c r="E992" t="e">
        <f>LEN(#REF!)</f>
        <v>#REF!</v>
      </c>
      <c r="F992" s="49" t="s">
        <v>6874</v>
      </c>
      <c r="K992" s="55" t="s">
        <v>6875</v>
      </c>
      <c r="M992">
        <f t="shared" si="30"/>
        <v>5</v>
      </c>
      <c r="N992" s="30" t="s">
        <v>6876</v>
      </c>
      <c r="R992">
        <v>991</v>
      </c>
      <c r="S992" t="s">
        <v>6877</v>
      </c>
      <c r="T992" t="s">
        <v>2279</v>
      </c>
      <c r="U992">
        <f t="shared" si="31"/>
        <v>8</v>
      </c>
      <c r="V992" s="30" t="s">
        <v>6878</v>
      </c>
    </row>
    <row r="993" spans="1:22">
      <c r="A993">
        <v>992</v>
      </c>
      <c r="C993" s="7" t="s">
        <v>2223</v>
      </c>
      <c r="D993" t="s">
        <v>29</v>
      </c>
      <c r="E993" t="e">
        <f>LEN(#REF!)</f>
        <v>#REF!</v>
      </c>
      <c r="F993" s="49" t="s">
        <v>6879</v>
      </c>
      <c r="K993" s="55" t="s">
        <v>6880</v>
      </c>
      <c r="M993">
        <f t="shared" si="30"/>
        <v>8</v>
      </c>
      <c r="N993" s="30" t="s">
        <v>6881</v>
      </c>
      <c r="R993">
        <v>992</v>
      </c>
      <c r="S993" t="s">
        <v>6882</v>
      </c>
      <c r="T993" t="s">
        <v>2279</v>
      </c>
      <c r="U993">
        <f t="shared" si="31"/>
        <v>8</v>
      </c>
      <c r="V993" s="30" t="s">
        <v>6883</v>
      </c>
    </row>
    <row r="994" spans="1:22">
      <c r="A994">
        <v>993</v>
      </c>
      <c r="C994" s="7" t="s">
        <v>2225</v>
      </c>
      <c r="D994" t="s">
        <v>29</v>
      </c>
      <c r="E994" t="e">
        <f>LEN(#REF!)</f>
        <v>#REF!</v>
      </c>
      <c r="F994" s="49" t="s">
        <v>6884</v>
      </c>
      <c r="K994" s="55" t="s">
        <v>6885</v>
      </c>
      <c r="M994">
        <f t="shared" si="30"/>
        <v>5</v>
      </c>
      <c r="N994" s="30" t="s">
        <v>6886</v>
      </c>
      <c r="R994">
        <v>993</v>
      </c>
      <c r="S994" t="s">
        <v>6887</v>
      </c>
      <c r="T994" t="s">
        <v>2279</v>
      </c>
      <c r="U994">
        <f t="shared" si="31"/>
        <v>8</v>
      </c>
      <c r="V994" s="30" t="s">
        <v>6888</v>
      </c>
    </row>
    <row r="995" spans="1:22">
      <c r="A995">
        <v>994</v>
      </c>
      <c r="C995" s="7" t="s">
        <v>2227</v>
      </c>
      <c r="D995" t="s">
        <v>29</v>
      </c>
      <c r="E995" t="e">
        <f>LEN(#REF!)</f>
        <v>#REF!</v>
      </c>
      <c r="F995" s="49" t="s">
        <v>6889</v>
      </c>
      <c r="K995" s="55" t="s">
        <v>6890</v>
      </c>
      <c r="M995">
        <f t="shared" si="30"/>
        <v>6</v>
      </c>
      <c r="N995" s="30" t="s">
        <v>6891</v>
      </c>
      <c r="R995">
        <v>994</v>
      </c>
      <c r="S995" t="s">
        <v>6892</v>
      </c>
      <c r="T995" t="s">
        <v>2279</v>
      </c>
      <c r="U995">
        <f t="shared" si="31"/>
        <v>11</v>
      </c>
      <c r="V995" s="30" t="s">
        <v>6893</v>
      </c>
    </row>
    <row r="996" spans="1:22">
      <c r="A996">
        <v>995</v>
      </c>
      <c r="C996" s="7" t="s">
        <v>2229</v>
      </c>
      <c r="D996" t="s">
        <v>29</v>
      </c>
      <c r="E996" t="e">
        <f>LEN(#REF!)</f>
        <v>#REF!</v>
      </c>
      <c r="F996" s="49" t="s">
        <v>6894</v>
      </c>
      <c r="K996" s="55" t="s">
        <v>6895</v>
      </c>
      <c r="M996">
        <f t="shared" si="30"/>
        <v>7</v>
      </c>
      <c r="N996" s="30" t="s">
        <v>6896</v>
      </c>
      <c r="R996">
        <v>995</v>
      </c>
      <c r="S996" t="s">
        <v>6897</v>
      </c>
      <c r="T996" t="s">
        <v>2279</v>
      </c>
      <c r="U996">
        <f t="shared" si="31"/>
        <v>9</v>
      </c>
      <c r="V996" s="30" t="s">
        <v>6898</v>
      </c>
    </row>
    <row r="997" spans="1:22">
      <c r="A997">
        <v>996</v>
      </c>
      <c r="C997" s="7" t="s">
        <v>2231</v>
      </c>
      <c r="D997" t="s">
        <v>29</v>
      </c>
      <c r="E997" t="e">
        <f>LEN(#REF!)</f>
        <v>#REF!</v>
      </c>
      <c r="F997" s="49" t="s">
        <v>6899</v>
      </c>
      <c r="K997" s="55" t="s">
        <v>6900</v>
      </c>
      <c r="M997">
        <f t="shared" si="30"/>
        <v>7</v>
      </c>
      <c r="N997" s="30" t="s">
        <v>6901</v>
      </c>
      <c r="R997">
        <v>996</v>
      </c>
      <c r="S997" t="s">
        <v>6902</v>
      </c>
      <c r="T997" t="s">
        <v>2279</v>
      </c>
      <c r="U997">
        <f t="shared" si="31"/>
        <v>8</v>
      </c>
      <c r="V997" s="31" t="s">
        <v>6903</v>
      </c>
    </row>
    <row r="998" spans="1:22">
      <c r="A998">
        <v>997</v>
      </c>
      <c r="C998" s="7" t="s">
        <v>2233</v>
      </c>
      <c r="D998" t="s">
        <v>29</v>
      </c>
      <c r="E998" t="e">
        <f>LEN(#REF!)</f>
        <v>#REF!</v>
      </c>
      <c r="F998" s="49" t="s">
        <v>6904</v>
      </c>
      <c r="K998" s="55" t="s">
        <v>6905</v>
      </c>
      <c r="M998">
        <f t="shared" si="30"/>
        <v>6</v>
      </c>
      <c r="N998" s="30" t="s">
        <v>6906</v>
      </c>
      <c r="R998">
        <v>997</v>
      </c>
      <c r="S998" t="s">
        <v>6907</v>
      </c>
      <c r="T998" t="s">
        <v>2279</v>
      </c>
      <c r="U998">
        <f t="shared" si="31"/>
        <v>11</v>
      </c>
      <c r="V998" s="30" t="s">
        <v>6908</v>
      </c>
    </row>
    <row r="999" spans="1:22">
      <c r="A999">
        <v>998</v>
      </c>
      <c r="C999" s="7" t="s">
        <v>1949</v>
      </c>
      <c r="D999" t="s">
        <v>29</v>
      </c>
      <c r="E999" t="e">
        <f>LEN(#REF!)</f>
        <v>#REF!</v>
      </c>
      <c r="F999" s="49" t="s">
        <v>6190</v>
      </c>
      <c r="K999" s="55" t="s">
        <v>6909</v>
      </c>
      <c r="M999">
        <f t="shared" si="30"/>
        <v>5</v>
      </c>
      <c r="N999" s="30" t="s">
        <v>6910</v>
      </c>
      <c r="R999">
        <v>998</v>
      </c>
      <c r="S999" t="s">
        <v>6911</v>
      </c>
      <c r="T999" t="s">
        <v>2279</v>
      </c>
      <c r="U999">
        <f t="shared" si="31"/>
        <v>9</v>
      </c>
      <c r="V999" s="30" t="s">
        <v>6912</v>
      </c>
    </row>
    <row r="1000" spans="1:22">
      <c r="A1000">
        <v>999</v>
      </c>
      <c r="C1000" s="7" t="s">
        <v>2235</v>
      </c>
      <c r="D1000" t="s">
        <v>29</v>
      </c>
      <c r="E1000" t="e">
        <f>LEN(#REF!)</f>
        <v>#REF!</v>
      </c>
      <c r="F1000" s="49" t="s">
        <v>6913</v>
      </c>
      <c r="K1000" s="55" t="s">
        <v>6914</v>
      </c>
      <c r="M1000">
        <f t="shared" si="30"/>
        <v>7</v>
      </c>
      <c r="N1000" s="30" t="s">
        <v>6915</v>
      </c>
      <c r="R1000">
        <v>999</v>
      </c>
      <c r="S1000" t="s">
        <v>6916</v>
      </c>
      <c r="T1000" t="s">
        <v>2279</v>
      </c>
      <c r="U1000">
        <f t="shared" si="31"/>
        <v>12</v>
      </c>
      <c r="V1000" s="30" t="s">
        <v>6917</v>
      </c>
    </row>
    <row r="1001" spans="1:22">
      <c r="A1001">
        <v>1000</v>
      </c>
      <c r="C1001" s="7" t="s">
        <v>2237</v>
      </c>
      <c r="D1001" t="s">
        <v>29</v>
      </c>
      <c r="E1001" t="e">
        <f>LEN(#REF!)</f>
        <v>#REF!</v>
      </c>
      <c r="F1001" s="49" t="s">
        <v>6918</v>
      </c>
      <c r="K1001" s="55" t="s">
        <v>6919</v>
      </c>
      <c r="M1001">
        <f t="shared" si="30"/>
        <v>9</v>
      </c>
      <c r="N1001" s="30" t="s">
        <v>6920</v>
      </c>
      <c r="R1001">
        <v>1000</v>
      </c>
      <c r="S1001" t="s">
        <v>6921</v>
      </c>
      <c r="T1001" t="s">
        <v>2279</v>
      </c>
      <c r="U1001">
        <f t="shared" si="31"/>
        <v>12</v>
      </c>
      <c r="V1001" s="30" t="s">
        <v>6922</v>
      </c>
    </row>
    <row r="1002" spans="1:22">
      <c r="A1002">
        <v>1001</v>
      </c>
      <c r="C1002" s="7" t="s">
        <v>2239</v>
      </c>
      <c r="D1002" t="s">
        <v>29</v>
      </c>
      <c r="E1002" t="e">
        <f>LEN(#REF!)</f>
        <v>#REF!</v>
      </c>
      <c r="F1002" s="49" t="s">
        <v>6923</v>
      </c>
      <c r="M1002">
        <f t="shared" si="30"/>
        <v>0</v>
      </c>
      <c r="N1002" s="30"/>
      <c r="U1002">
        <f t="shared" si="31"/>
        <v>0</v>
      </c>
      <c r="V1002" s="30"/>
    </row>
    <row r="1003" spans="1:22">
      <c r="A1003">
        <v>1002</v>
      </c>
      <c r="C1003" s="7" t="s">
        <v>6924</v>
      </c>
      <c r="D1003" t="s">
        <v>29</v>
      </c>
      <c r="E1003" t="e">
        <f>LEN(#REF!)</f>
        <v>#REF!</v>
      </c>
      <c r="F1003" s="49" t="s">
        <v>6925</v>
      </c>
      <c r="M1003">
        <f t="shared" si="30"/>
        <v>0</v>
      </c>
      <c r="N1003" s="30"/>
      <c r="U1003">
        <f t="shared" si="31"/>
        <v>0</v>
      </c>
      <c r="V1003" s="30"/>
    </row>
    <row r="1004" spans="1:22">
      <c r="A1004">
        <v>1003</v>
      </c>
      <c r="C1004" s="7" t="s">
        <v>6926</v>
      </c>
      <c r="D1004" t="s">
        <v>29</v>
      </c>
      <c r="E1004" t="e">
        <f>LEN(#REF!)</f>
        <v>#REF!</v>
      </c>
      <c r="F1004" s="49" t="s">
        <v>6927</v>
      </c>
      <c r="M1004">
        <f t="shared" si="30"/>
        <v>0</v>
      </c>
      <c r="N1004" s="30"/>
      <c r="U1004">
        <f t="shared" si="31"/>
        <v>0</v>
      </c>
      <c r="V1004" s="30"/>
    </row>
    <row r="1005" spans="1:22">
      <c r="A1005">
        <v>1004</v>
      </c>
      <c r="C1005" s="7" t="s">
        <v>6928</v>
      </c>
      <c r="F1005" s="30" t="s">
        <v>6929</v>
      </c>
    </row>
    <row r="1006" spans="1:22">
      <c r="A1006">
        <v>1005</v>
      </c>
      <c r="C1006" t="s">
        <v>6930</v>
      </c>
      <c r="F1006" s="30" t="s">
        <v>6931</v>
      </c>
    </row>
    <row r="1007" spans="1:22">
      <c r="A1007">
        <v>1006</v>
      </c>
      <c r="C1007" t="s">
        <v>6932</v>
      </c>
      <c r="F1007" s="30" t="s">
        <v>6933</v>
      </c>
    </row>
    <row r="1008" spans="1:22">
      <c r="A1008">
        <v>1007</v>
      </c>
      <c r="C1008" t="s">
        <v>6934</v>
      </c>
      <c r="F1008" s="30" t="s">
        <v>6935</v>
      </c>
    </row>
    <row r="1009" spans="1:6">
      <c r="A1009">
        <v>1008</v>
      </c>
      <c r="C1009" t="s">
        <v>6936</v>
      </c>
      <c r="F1009" s="30" t="s">
        <v>6937</v>
      </c>
    </row>
    <row r="1010" spans="1:6">
      <c r="A1010">
        <v>1009</v>
      </c>
      <c r="C1010" t="s">
        <v>6938</v>
      </c>
      <c r="F1010" s="30" t="s">
        <v>6939</v>
      </c>
    </row>
    <row r="1011" spans="1:6">
      <c r="A1011">
        <v>1010</v>
      </c>
      <c r="C1011" t="s">
        <v>6940</v>
      </c>
      <c r="F1011" s="30" t="s">
        <v>6941</v>
      </c>
    </row>
    <row r="1012" spans="1:6">
      <c r="A1012">
        <v>1011</v>
      </c>
      <c r="C1012" t="s">
        <v>6942</v>
      </c>
      <c r="F1012" s="30" t="s">
        <v>6943</v>
      </c>
    </row>
    <row r="1013" spans="1:6">
      <c r="A1013">
        <v>1012</v>
      </c>
      <c r="C1013" t="s">
        <v>6944</v>
      </c>
      <c r="F1013" s="30" t="s">
        <v>6945</v>
      </c>
    </row>
    <row r="1014" spans="1:6">
      <c r="A1014">
        <v>1013</v>
      </c>
      <c r="C1014" t="s">
        <v>6946</v>
      </c>
      <c r="F1014" s="30" t="s">
        <v>6947</v>
      </c>
    </row>
    <row r="1015" spans="1:6">
      <c r="A1015">
        <v>1014</v>
      </c>
      <c r="C1015" t="s">
        <v>6948</v>
      </c>
      <c r="F1015" s="30" t="s">
        <v>6949</v>
      </c>
    </row>
    <row r="1016" spans="1:6">
      <c r="A1016">
        <v>1015</v>
      </c>
      <c r="C1016" t="s">
        <v>6950</v>
      </c>
      <c r="F1016" s="30" t="s">
        <v>6951</v>
      </c>
    </row>
    <row r="1017" spans="1:6">
      <c r="A1017">
        <v>1016</v>
      </c>
      <c r="C1017" t="s">
        <v>6952</v>
      </c>
      <c r="F1017" s="30" t="s">
        <v>6953</v>
      </c>
    </row>
    <row r="1018" spans="1:6">
      <c r="A1018">
        <v>1017</v>
      </c>
      <c r="C1018" t="s">
        <v>6954</v>
      </c>
      <c r="F1018" s="30" t="s">
        <v>6955</v>
      </c>
    </row>
    <row r="1019" spans="1:6">
      <c r="A1019">
        <v>1018</v>
      </c>
      <c r="C1019" t="s">
        <v>6956</v>
      </c>
      <c r="F1019" s="30" t="s">
        <v>6957</v>
      </c>
    </row>
    <row r="1020" spans="1:6">
      <c r="A1020">
        <v>1019</v>
      </c>
      <c r="C1020" t="s">
        <v>6958</v>
      </c>
      <c r="F1020" s="30" t="s">
        <v>6959</v>
      </c>
    </row>
    <row r="1021" spans="1:6">
      <c r="A1021">
        <v>1020</v>
      </c>
      <c r="C1021" t="s">
        <v>6960</v>
      </c>
      <c r="F1021" s="30" t="s">
        <v>6961</v>
      </c>
    </row>
    <row r="1022" spans="1:6">
      <c r="A1022">
        <v>1021</v>
      </c>
      <c r="C1022" t="s">
        <v>6962</v>
      </c>
      <c r="F1022" s="30" t="s">
        <v>6963</v>
      </c>
    </row>
    <row r="1023" spans="1:6">
      <c r="A1023">
        <v>1022</v>
      </c>
      <c r="C1023" t="s">
        <v>6964</v>
      </c>
      <c r="F1023" s="30" t="s">
        <v>6965</v>
      </c>
    </row>
    <row r="1024" spans="1:6">
      <c r="A1024">
        <v>1023</v>
      </c>
      <c r="C1024" t="s">
        <v>6966</v>
      </c>
      <c r="F1024" s="30" t="s">
        <v>6967</v>
      </c>
    </row>
    <row r="1025" spans="1:6">
      <c r="A1025">
        <v>1024</v>
      </c>
      <c r="C1025" t="s">
        <v>6968</v>
      </c>
      <c r="F1025" s="30" t="s">
        <v>6969</v>
      </c>
    </row>
    <row r="1026" spans="1:6">
      <c r="A1026">
        <v>1025</v>
      </c>
      <c r="C1026" t="s">
        <v>6970</v>
      </c>
      <c r="F1026" s="30" t="s">
        <v>6971</v>
      </c>
    </row>
    <row r="1027" spans="1:6">
      <c r="A1027">
        <v>1026</v>
      </c>
      <c r="C1027" t="s">
        <v>6972</v>
      </c>
      <c r="F1027" s="30" t="s">
        <v>6973</v>
      </c>
    </row>
    <row r="1028" spans="1:6">
      <c r="A1028">
        <v>1027</v>
      </c>
      <c r="C1028" t="s">
        <v>6974</v>
      </c>
      <c r="F1028" s="30" t="s">
        <v>6975</v>
      </c>
    </row>
    <row r="1029" spans="1:6">
      <c r="A1029">
        <v>1028</v>
      </c>
      <c r="C1029" t="s">
        <v>6976</v>
      </c>
      <c r="F1029" s="30" t="s">
        <v>6977</v>
      </c>
    </row>
    <row r="1030" spans="1:6">
      <c r="A1030">
        <v>1029</v>
      </c>
      <c r="C1030" t="s">
        <v>6978</v>
      </c>
      <c r="F1030" s="30" t="s">
        <v>6979</v>
      </c>
    </row>
    <row r="1031" spans="1:6">
      <c r="A1031">
        <v>1030</v>
      </c>
      <c r="C1031" t="s">
        <v>6980</v>
      </c>
      <c r="F1031" s="30" t="s">
        <v>6981</v>
      </c>
    </row>
    <row r="1032" spans="1:6">
      <c r="A1032">
        <v>1031</v>
      </c>
      <c r="C1032" t="s">
        <v>6982</v>
      </c>
      <c r="F1032" s="30" t="s">
        <v>6983</v>
      </c>
    </row>
    <row r="1033" spans="1:6">
      <c r="A1033">
        <v>1032</v>
      </c>
      <c r="C1033" t="s">
        <v>6984</v>
      </c>
      <c r="F1033" s="30" t="s">
        <v>6985</v>
      </c>
    </row>
    <row r="1034" spans="1:6">
      <c r="A1034">
        <v>1033</v>
      </c>
      <c r="C1034" t="s">
        <v>6986</v>
      </c>
      <c r="D1034" t="s">
        <v>6987</v>
      </c>
      <c r="F1034" s="30" t="s">
        <v>6988</v>
      </c>
    </row>
    <row r="1035" spans="1:6">
      <c r="A1035">
        <v>1034</v>
      </c>
      <c r="C1035" t="s">
        <v>6989</v>
      </c>
      <c r="D1035" t="s">
        <v>6990</v>
      </c>
      <c r="F1035" s="30" t="s">
        <v>6991</v>
      </c>
    </row>
    <row r="1036" spans="1:6">
      <c r="A1036">
        <v>1035</v>
      </c>
      <c r="C1036" t="s">
        <v>6992</v>
      </c>
      <c r="D1036" t="s">
        <v>6993</v>
      </c>
      <c r="F1036" s="30" t="s">
        <v>6994</v>
      </c>
    </row>
    <row r="1037" spans="1:6">
      <c r="A1037">
        <v>1036</v>
      </c>
      <c r="C1037" t="s">
        <v>6995</v>
      </c>
      <c r="D1037" t="s">
        <v>6996</v>
      </c>
      <c r="F1037" s="30" t="s">
        <v>6997</v>
      </c>
    </row>
    <row r="1038" spans="1:6">
      <c r="A1038">
        <v>1037</v>
      </c>
      <c r="C1038" t="s">
        <v>6998</v>
      </c>
      <c r="D1038" t="s">
        <v>6999</v>
      </c>
      <c r="F1038" s="30" t="s">
        <v>7000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1816-A9BA-48C2-ABEE-C00ABC624E38}">
  <dimension ref="A1:S604"/>
  <sheetViews>
    <sheetView topLeftCell="K1" zoomScaleNormal="100" workbookViewId="0">
      <selection activeCell="K324" sqref="K324"/>
    </sheetView>
  </sheetViews>
  <sheetFormatPr defaultRowHeight="14.45"/>
  <cols>
    <col min="1" max="1" width="17.42578125" customWidth="1"/>
    <col min="2" max="2" width="6.140625" style="3" customWidth="1"/>
    <col min="3" max="3" width="6.5703125" style="3" customWidth="1"/>
    <col min="6" max="6" width="17.7109375" customWidth="1"/>
    <col min="7" max="7" width="26.5703125" customWidth="1"/>
    <col min="9" max="9" width="13.7109375" style="3" customWidth="1"/>
    <col min="10" max="10" width="2.85546875" customWidth="1"/>
    <col min="11" max="11" width="39.7109375" style="30" customWidth="1"/>
    <col min="12" max="12" width="24.42578125" style="33" customWidth="1"/>
    <col min="13" max="13" width="17.42578125" style="35" customWidth="1"/>
    <col min="14" max="14" width="12.42578125" style="43" customWidth="1"/>
    <col min="15" max="15" width="12.42578125" customWidth="1"/>
    <col min="16" max="16" width="72.140625" style="32" customWidth="1"/>
    <col min="17" max="17" width="22.28515625" style="28" customWidth="1"/>
    <col min="18" max="18" width="20.42578125" style="41" customWidth="1"/>
    <col min="19" max="19" width="14.140625" style="43" customWidth="1"/>
  </cols>
  <sheetData>
    <row r="1" spans="1:19" s="23" customFormat="1">
      <c r="B1" s="21"/>
      <c r="C1" s="21"/>
      <c r="E1" s="21" t="s">
        <v>0</v>
      </c>
      <c r="F1" s="21" t="s">
        <v>7001</v>
      </c>
      <c r="G1" s="22" t="s">
        <v>1</v>
      </c>
      <c r="H1" s="23" t="s">
        <v>2</v>
      </c>
      <c r="I1" s="21" t="s">
        <v>3</v>
      </c>
      <c r="K1" s="30" t="s">
        <v>7002</v>
      </c>
      <c r="L1" s="33" t="s">
        <v>7003</v>
      </c>
      <c r="M1" s="35" t="s">
        <v>7004</v>
      </c>
      <c r="N1" s="42" t="s">
        <v>7005</v>
      </c>
      <c r="P1" s="32" t="s">
        <v>7006</v>
      </c>
      <c r="Q1" s="29" t="s">
        <v>7007</v>
      </c>
      <c r="R1" s="41" t="s">
        <v>7004</v>
      </c>
      <c r="S1" s="42" t="s">
        <v>7005</v>
      </c>
    </row>
    <row r="2" spans="1:19">
      <c r="E2" s="3">
        <v>1</v>
      </c>
      <c r="F2" s="3">
        <v>1</v>
      </c>
      <c r="G2" s="2" t="s">
        <v>28</v>
      </c>
      <c r="H2" t="s">
        <v>29</v>
      </c>
      <c r="I2" s="3">
        <f t="shared" ref="I2:I65" si="0">LEN(G2)</f>
        <v>8</v>
      </c>
      <c r="K2" s="30" t="s">
        <v>7008</v>
      </c>
      <c r="L2" s="33" t="s">
        <v>7009</v>
      </c>
      <c r="M2" s="35" t="s">
        <v>7010</v>
      </c>
      <c r="N2" s="43" t="s">
        <v>7011</v>
      </c>
      <c r="P2" s="32" t="s">
        <v>7012</v>
      </c>
      <c r="Q2" s="29" t="s">
        <v>7013</v>
      </c>
      <c r="R2" s="41" t="s">
        <v>7010</v>
      </c>
      <c r="S2" s="43" t="s">
        <v>7011</v>
      </c>
    </row>
    <row r="3" spans="1:19">
      <c r="A3" s="37" t="s">
        <v>7014</v>
      </c>
      <c r="B3" s="39" t="s">
        <v>7015</v>
      </c>
      <c r="C3" s="39" t="s">
        <v>7010</v>
      </c>
      <c r="E3" s="3">
        <v>1</v>
      </c>
      <c r="F3" s="3">
        <v>2</v>
      </c>
      <c r="G3" s="2" t="s">
        <v>33</v>
      </c>
      <c r="H3" t="s">
        <v>29</v>
      </c>
      <c r="I3" s="3">
        <f t="shared" si="0"/>
        <v>10</v>
      </c>
      <c r="K3" s="30" t="s">
        <v>2357</v>
      </c>
      <c r="L3" s="33" t="s">
        <v>7016</v>
      </c>
      <c r="M3" s="35" t="s">
        <v>7010</v>
      </c>
      <c r="N3" s="43" t="s">
        <v>7011</v>
      </c>
      <c r="P3" s="32" t="s">
        <v>7017</v>
      </c>
      <c r="Q3" s="28" t="s">
        <v>7018</v>
      </c>
      <c r="R3" s="41" t="s">
        <v>7010</v>
      </c>
      <c r="S3" s="43" t="s">
        <v>7011</v>
      </c>
    </row>
    <row r="4" spans="1:19">
      <c r="A4" s="38" t="s">
        <v>7019</v>
      </c>
      <c r="B4" s="40">
        <f>COUNTIF(M2:M303,"yes")</f>
        <v>1</v>
      </c>
      <c r="C4" s="40">
        <f>COUNTIF(M2:M303,"no")</f>
        <v>99</v>
      </c>
      <c r="E4" s="3">
        <v>1</v>
      </c>
      <c r="F4" s="3">
        <v>3</v>
      </c>
      <c r="G4" s="2" t="s">
        <v>36</v>
      </c>
      <c r="H4" t="s">
        <v>29</v>
      </c>
      <c r="I4" s="3">
        <f t="shared" si="0"/>
        <v>16</v>
      </c>
      <c r="K4" s="30" t="s">
        <v>2276</v>
      </c>
      <c r="L4" s="33" t="s">
        <v>7016</v>
      </c>
      <c r="M4" s="35" t="s">
        <v>7010</v>
      </c>
      <c r="N4" s="43" t="s">
        <v>7011</v>
      </c>
      <c r="P4" s="32" t="s">
        <v>7020</v>
      </c>
      <c r="R4" s="41" t="s">
        <v>7010</v>
      </c>
      <c r="S4" s="43" t="s">
        <v>7011</v>
      </c>
    </row>
    <row r="5" spans="1:19">
      <c r="A5" s="38" t="s">
        <v>7021</v>
      </c>
      <c r="B5" s="40">
        <f>COUNTIF(M304:M603,"yes")</f>
        <v>94</v>
      </c>
      <c r="C5" s="40">
        <f>COUNTIF(M304:M603,"no")</f>
        <v>6</v>
      </c>
      <c r="E5" s="3">
        <v>1</v>
      </c>
      <c r="F5" s="3">
        <v>4</v>
      </c>
      <c r="G5" s="4" t="s">
        <v>52</v>
      </c>
      <c r="H5" t="s">
        <v>29</v>
      </c>
      <c r="I5" s="3">
        <f t="shared" si="0"/>
        <v>20</v>
      </c>
      <c r="K5" s="30" t="s">
        <v>2281</v>
      </c>
      <c r="L5" s="33" t="s">
        <v>7016</v>
      </c>
      <c r="M5" s="35" t="s">
        <v>7010</v>
      </c>
      <c r="N5" s="43" t="s">
        <v>7011</v>
      </c>
      <c r="P5" s="32" t="s">
        <v>7022</v>
      </c>
      <c r="R5" s="41" t="s">
        <v>7010</v>
      </c>
      <c r="S5" s="43" t="s">
        <v>7011</v>
      </c>
    </row>
    <row r="6" spans="1:19">
      <c r="A6" s="38" t="s">
        <v>7023</v>
      </c>
      <c r="B6" s="40">
        <f>COUNTIF(R2:R303,"yes")</f>
        <v>0</v>
      </c>
      <c r="C6" s="40">
        <f>COUNTIF(R2:R303,"no")</f>
        <v>100</v>
      </c>
      <c r="E6" s="3">
        <v>1</v>
      </c>
      <c r="F6" s="3">
        <v>5</v>
      </c>
      <c r="G6" s="2" t="s">
        <v>69</v>
      </c>
      <c r="H6" t="s">
        <v>29</v>
      </c>
      <c r="I6" s="3">
        <f t="shared" si="0"/>
        <v>15</v>
      </c>
      <c r="K6" s="30" t="s">
        <v>2285</v>
      </c>
      <c r="L6" s="33" t="s">
        <v>7016</v>
      </c>
      <c r="M6" s="35" t="s">
        <v>7010</v>
      </c>
      <c r="N6" s="43" t="s">
        <v>7011</v>
      </c>
      <c r="P6" s="32" t="s">
        <v>7024</v>
      </c>
      <c r="R6" s="41" t="s">
        <v>7010</v>
      </c>
      <c r="S6" s="43" t="s">
        <v>7011</v>
      </c>
    </row>
    <row r="7" spans="1:19">
      <c r="A7" s="38" t="s">
        <v>7025</v>
      </c>
      <c r="B7" s="40">
        <f>COUNTIF(R304:R603,"yes")</f>
        <v>15</v>
      </c>
      <c r="C7" s="40">
        <f>COUNTIF(R304:R603,"no")</f>
        <v>85</v>
      </c>
      <c r="E7" s="3">
        <v>1</v>
      </c>
      <c r="F7" s="3">
        <v>6</v>
      </c>
      <c r="G7" s="2" t="s">
        <v>85</v>
      </c>
      <c r="H7" t="s">
        <v>29</v>
      </c>
      <c r="I7" s="3">
        <f t="shared" si="0"/>
        <v>17</v>
      </c>
      <c r="K7" s="30" t="s">
        <v>2289</v>
      </c>
      <c r="L7" s="33" t="s">
        <v>7016</v>
      </c>
      <c r="M7" s="35" t="s">
        <v>7010</v>
      </c>
      <c r="N7" s="43" t="s">
        <v>7011</v>
      </c>
      <c r="P7" s="32" t="s">
        <v>7026</v>
      </c>
      <c r="R7" s="41" t="s">
        <v>7010</v>
      </c>
      <c r="S7" s="43" t="s">
        <v>7011</v>
      </c>
    </row>
    <row r="8" spans="1:19">
      <c r="E8" s="3">
        <v>1</v>
      </c>
      <c r="F8" s="3">
        <v>7</v>
      </c>
      <c r="G8" s="2" t="s">
        <v>101</v>
      </c>
      <c r="H8" t="s">
        <v>29</v>
      </c>
      <c r="I8" s="3">
        <f t="shared" si="0"/>
        <v>13</v>
      </c>
      <c r="K8" s="30" t="s">
        <v>2293</v>
      </c>
      <c r="L8" s="33" t="s">
        <v>7016</v>
      </c>
      <c r="M8" s="35" t="s">
        <v>7010</v>
      </c>
      <c r="N8" s="43" t="s">
        <v>7011</v>
      </c>
      <c r="P8" s="32" t="s">
        <v>7027</v>
      </c>
      <c r="R8" s="41" t="s">
        <v>7010</v>
      </c>
      <c r="S8" s="43" t="s">
        <v>7011</v>
      </c>
    </row>
    <row r="9" spans="1:19">
      <c r="E9" s="3">
        <v>1</v>
      </c>
      <c r="F9" s="3">
        <v>8</v>
      </c>
      <c r="G9" s="5" t="s">
        <v>117</v>
      </c>
      <c r="H9" t="s">
        <v>29</v>
      </c>
      <c r="I9" s="3">
        <f t="shared" si="0"/>
        <v>12</v>
      </c>
      <c r="K9" s="30" t="s">
        <v>2297</v>
      </c>
      <c r="L9" s="33" t="s">
        <v>7016</v>
      </c>
      <c r="M9" s="35" t="s">
        <v>7010</v>
      </c>
      <c r="N9" s="43" t="s">
        <v>7011</v>
      </c>
      <c r="P9" s="32" t="s">
        <v>7028</v>
      </c>
      <c r="R9" s="41" t="s">
        <v>7010</v>
      </c>
      <c r="S9" s="43" t="s">
        <v>7011</v>
      </c>
    </row>
    <row r="10" spans="1:19">
      <c r="E10" s="3">
        <v>1</v>
      </c>
      <c r="F10" s="3">
        <v>9</v>
      </c>
      <c r="G10" s="2" t="s">
        <v>134</v>
      </c>
      <c r="H10" t="s">
        <v>29</v>
      </c>
      <c r="I10" s="3">
        <f t="shared" si="0"/>
        <v>13</v>
      </c>
      <c r="K10" s="30" t="s">
        <v>2301</v>
      </c>
      <c r="L10" s="33" t="s">
        <v>7016</v>
      </c>
      <c r="M10" s="35" t="s">
        <v>7010</v>
      </c>
      <c r="N10" s="43" t="s">
        <v>7011</v>
      </c>
      <c r="P10" s="32" t="s">
        <v>7029</v>
      </c>
      <c r="R10" s="41" t="s">
        <v>7010</v>
      </c>
      <c r="S10" s="43" t="s">
        <v>7011</v>
      </c>
    </row>
    <row r="11" spans="1:19">
      <c r="E11" s="3">
        <v>1</v>
      </c>
      <c r="F11" s="3">
        <v>10</v>
      </c>
      <c r="G11" s="2" t="s">
        <v>150</v>
      </c>
      <c r="H11" t="s">
        <v>29</v>
      </c>
      <c r="I11" s="3">
        <f t="shared" si="0"/>
        <v>13</v>
      </c>
      <c r="K11" s="30" t="s">
        <v>2305</v>
      </c>
      <c r="L11" s="33" t="s">
        <v>7016</v>
      </c>
      <c r="M11" s="35" t="s">
        <v>7010</v>
      </c>
      <c r="N11" s="43" t="s">
        <v>7011</v>
      </c>
      <c r="P11" s="32" t="s">
        <v>7030</v>
      </c>
      <c r="R11" s="41" t="s">
        <v>7010</v>
      </c>
      <c r="S11" s="43" t="s">
        <v>7011</v>
      </c>
    </row>
    <row r="12" spans="1:19">
      <c r="E12" s="3">
        <v>1</v>
      </c>
      <c r="F12" s="3">
        <v>11</v>
      </c>
      <c r="G12" s="2" t="s">
        <v>166</v>
      </c>
      <c r="H12" t="s">
        <v>29</v>
      </c>
      <c r="I12" s="3">
        <f t="shared" si="0"/>
        <v>9</v>
      </c>
      <c r="K12" s="30" t="s">
        <v>2309</v>
      </c>
      <c r="L12" s="33" t="s">
        <v>7016</v>
      </c>
      <c r="M12" s="35" t="s">
        <v>7010</v>
      </c>
      <c r="N12" s="43" t="s">
        <v>7011</v>
      </c>
      <c r="P12" s="32" t="s">
        <v>7031</v>
      </c>
      <c r="R12" s="41" t="s">
        <v>7010</v>
      </c>
      <c r="S12" s="43" t="s">
        <v>7011</v>
      </c>
    </row>
    <row r="13" spans="1:19">
      <c r="E13" s="3">
        <v>1</v>
      </c>
      <c r="F13" s="3">
        <v>12</v>
      </c>
      <c r="G13" s="2" t="s">
        <v>182</v>
      </c>
      <c r="H13" t="s">
        <v>29</v>
      </c>
      <c r="I13" s="3">
        <f t="shared" si="0"/>
        <v>13</v>
      </c>
      <c r="K13" s="30" t="s">
        <v>2313</v>
      </c>
      <c r="L13" s="33" t="s">
        <v>7016</v>
      </c>
      <c r="M13" s="35" t="s">
        <v>7010</v>
      </c>
      <c r="N13" s="43" t="s">
        <v>7011</v>
      </c>
      <c r="P13" s="32" t="s">
        <v>7032</v>
      </c>
      <c r="R13" s="41" t="s">
        <v>7010</v>
      </c>
      <c r="S13" s="43" t="s">
        <v>7011</v>
      </c>
    </row>
    <row r="14" spans="1:19">
      <c r="E14" s="3">
        <v>1</v>
      </c>
      <c r="F14" s="3">
        <v>13</v>
      </c>
      <c r="G14" s="2" t="s">
        <v>199</v>
      </c>
      <c r="H14" t="s">
        <v>29</v>
      </c>
      <c r="I14" s="3">
        <f t="shared" si="0"/>
        <v>15</v>
      </c>
      <c r="K14" s="30" t="s">
        <v>2317</v>
      </c>
      <c r="L14" s="33" t="s">
        <v>7016</v>
      </c>
      <c r="M14" s="35" t="s">
        <v>7010</v>
      </c>
      <c r="N14" s="43" t="s">
        <v>7011</v>
      </c>
      <c r="P14" s="32" t="s">
        <v>7033</v>
      </c>
      <c r="R14" s="41" t="s">
        <v>7010</v>
      </c>
      <c r="S14" s="43" t="s">
        <v>7011</v>
      </c>
    </row>
    <row r="15" spans="1:19">
      <c r="E15" s="3">
        <v>1</v>
      </c>
      <c r="F15" s="3">
        <v>14</v>
      </c>
      <c r="G15" s="2" t="s">
        <v>7034</v>
      </c>
      <c r="H15" t="s">
        <v>29</v>
      </c>
      <c r="I15" s="3">
        <f t="shared" si="0"/>
        <v>15</v>
      </c>
      <c r="K15" s="30" t="s">
        <v>7035</v>
      </c>
      <c r="L15" s="33" t="s">
        <v>7016</v>
      </c>
      <c r="M15" s="35" t="s">
        <v>7010</v>
      </c>
      <c r="N15" s="43" t="s">
        <v>7011</v>
      </c>
      <c r="P15" s="32" t="s">
        <v>7036</v>
      </c>
      <c r="R15" s="41" t="s">
        <v>7010</v>
      </c>
      <c r="S15" s="43" t="s">
        <v>7011</v>
      </c>
    </row>
    <row r="16" spans="1:19">
      <c r="E16" s="3">
        <v>1</v>
      </c>
      <c r="F16" s="3">
        <v>15</v>
      </c>
      <c r="G16" s="2" t="s">
        <v>7037</v>
      </c>
      <c r="H16" t="s">
        <v>29</v>
      </c>
      <c r="I16" s="3">
        <f t="shared" si="0"/>
        <v>14</v>
      </c>
      <c r="K16" s="30" t="s">
        <v>7038</v>
      </c>
      <c r="L16" s="33" t="s">
        <v>7016</v>
      </c>
      <c r="M16" s="35" t="s">
        <v>7010</v>
      </c>
      <c r="N16" s="43" t="s">
        <v>7011</v>
      </c>
      <c r="P16" s="32" t="s">
        <v>7039</v>
      </c>
      <c r="R16" s="41" t="s">
        <v>7010</v>
      </c>
      <c r="S16" s="43" t="s">
        <v>7011</v>
      </c>
    </row>
    <row r="17" spans="5:19">
      <c r="E17" s="3">
        <v>1</v>
      </c>
      <c r="F17" s="3">
        <v>16</v>
      </c>
      <c r="G17" s="2" t="s">
        <v>7040</v>
      </c>
      <c r="H17" t="s">
        <v>29</v>
      </c>
      <c r="I17" s="3">
        <f t="shared" si="0"/>
        <v>13</v>
      </c>
      <c r="K17" s="30" t="s">
        <v>7041</v>
      </c>
      <c r="L17" s="33" t="s">
        <v>7016</v>
      </c>
      <c r="M17" s="35" t="s">
        <v>7010</v>
      </c>
      <c r="N17" s="43" t="s">
        <v>7011</v>
      </c>
      <c r="P17" s="32" t="s">
        <v>7042</v>
      </c>
      <c r="R17" s="41" t="s">
        <v>7010</v>
      </c>
      <c r="S17" s="43" t="s">
        <v>7011</v>
      </c>
    </row>
    <row r="18" spans="5:19">
      <c r="E18" s="3">
        <v>1</v>
      </c>
      <c r="F18" s="3">
        <v>17</v>
      </c>
      <c r="G18" s="2" t="s">
        <v>7043</v>
      </c>
      <c r="H18" t="s">
        <v>29</v>
      </c>
      <c r="I18" s="3">
        <f t="shared" si="0"/>
        <v>15</v>
      </c>
      <c r="K18" s="30" t="s">
        <v>7044</v>
      </c>
      <c r="L18" s="33" t="s">
        <v>7016</v>
      </c>
      <c r="M18" s="35" t="s">
        <v>7010</v>
      </c>
      <c r="N18" s="43" t="s">
        <v>7011</v>
      </c>
      <c r="P18" s="32" t="s">
        <v>7045</v>
      </c>
      <c r="R18" s="41" t="s">
        <v>7010</v>
      </c>
      <c r="S18" s="43" t="s">
        <v>7011</v>
      </c>
    </row>
    <row r="19" spans="5:19">
      <c r="E19" s="3">
        <v>1</v>
      </c>
      <c r="F19" s="3">
        <v>18</v>
      </c>
      <c r="G19" s="5" t="s">
        <v>7046</v>
      </c>
      <c r="H19" t="s">
        <v>29</v>
      </c>
      <c r="I19" s="3">
        <f t="shared" si="0"/>
        <v>10</v>
      </c>
      <c r="K19" s="30" t="s">
        <v>7047</v>
      </c>
      <c r="L19" s="33" t="s">
        <v>7016</v>
      </c>
      <c r="M19" s="35" t="s">
        <v>7010</v>
      </c>
      <c r="N19" s="43" t="s">
        <v>7011</v>
      </c>
      <c r="P19" s="32" t="s">
        <v>7048</v>
      </c>
      <c r="R19" s="41" t="s">
        <v>7010</v>
      </c>
      <c r="S19" s="43" t="s">
        <v>7011</v>
      </c>
    </row>
    <row r="20" spans="5:19">
      <c r="E20" s="3">
        <v>1</v>
      </c>
      <c r="F20" s="3">
        <v>19</v>
      </c>
      <c r="G20" s="2" t="s">
        <v>295</v>
      </c>
      <c r="H20" t="s">
        <v>29</v>
      </c>
      <c r="I20" s="3">
        <f t="shared" si="0"/>
        <v>10</v>
      </c>
      <c r="K20" s="30" t="s">
        <v>2341</v>
      </c>
      <c r="L20" s="33" t="s">
        <v>7016</v>
      </c>
      <c r="M20" s="35" t="s">
        <v>7010</v>
      </c>
      <c r="N20" s="43" t="s">
        <v>7011</v>
      </c>
      <c r="P20" s="32" t="s">
        <v>7049</v>
      </c>
      <c r="R20" s="41" t="s">
        <v>7010</v>
      </c>
      <c r="S20" s="43" t="s">
        <v>7011</v>
      </c>
    </row>
    <row r="21" spans="5:19">
      <c r="E21" s="3">
        <v>1</v>
      </c>
      <c r="F21" s="3">
        <v>20</v>
      </c>
      <c r="G21" s="5" t="s">
        <v>312</v>
      </c>
      <c r="H21" t="s">
        <v>29</v>
      </c>
      <c r="I21" s="3">
        <f t="shared" si="0"/>
        <v>15</v>
      </c>
      <c r="K21" s="30" t="s">
        <v>2345</v>
      </c>
      <c r="L21" s="33" t="s">
        <v>7016</v>
      </c>
      <c r="M21" s="35" t="s">
        <v>7010</v>
      </c>
      <c r="N21" s="43" t="s">
        <v>7011</v>
      </c>
      <c r="P21" s="32" t="s">
        <v>7050</v>
      </c>
      <c r="R21" s="41" t="s">
        <v>7010</v>
      </c>
      <c r="S21" s="43" t="s">
        <v>7011</v>
      </c>
    </row>
    <row r="22" spans="5:19">
      <c r="E22" s="3">
        <v>1</v>
      </c>
      <c r="F22" s="3">
        <v>21</v>
      </c>
      <c r="G22" s="2" t="s">
        <v>328</v>
      </c>
      <c r="H22" t="s">
        <v>29</v>
      </c>
      <c r="I22" s="3">
        <f t="shared" si="0"/>
        <v>11</v>
      </c>
      <c r="K22" s="30" t="s">
        <v>2349</v>
      </c>
      <c r="L22" s="33" t="s">
        <v>7016</v>
      </c>
      <c r="M22" s="35" t="s">
        <v>7010</v>
      </c>
      <c r="N22" s="43" t="s">
        <v>7011</v>
      </c>
      <c r="P22" s="32" t="s">
        <v>7051</v>
      </c>
      <c r="R22" s="41" t="s">
        <v>7010</v>
      </c>
      <c r="S22" s="43" t="s">
        <v>7011</v>
      </c>
    </row>
    <row r="23" spans="5:19">
      <c r="E23" s="3">
        <v>1</v>
      </c>
      <c r="F23" s="3">
        <v>22</v>
      </c>
      <c r="G23" s="2" t="s">
        <v>7052</v>
      </c>
      <c r="H23" t="s">
        <v>29</v>
      </c>
      <c r="I23" s="3">
        <f t="shared" si="0"/>
        <v>14</v>
      </c>
      <c r="K23" s="30" t="s">
        <v>7053</v>
      </c>
      <c r="L23" s="33" t="s">
        <v>7016</v>
      </c>
      <c r="M23" s="35" t="s">
        <v>7010</v>
      </c>
      <c r="N23" s="43" t="s">
        <v>7011</v>
      </c>
      <c r="P23" s="32" t="s">
        <v>7054</v>
      </c>
      <c r="R23" s="41" t="s">
        <v>7010</v>
      </c>
      <c r="S23" s="43" t="s">
        <v>7011</v>
      </c>
    </row>
    <row r="24" spans="5:19">
      <c r="E24" s="3">
        <v>1</v>
      </c>
      <c r="F24" s="3">
        <v>23</v>
      </c>
      <c r="G24" s="2" t="s">
        <v>33</v>
      </c>
      <c r="H24" t="s">
        <v>29</v>
      </c>
      <c r="I24" s="3">
        <f t="shared" si="0"/>
        <v>10</v>
      </c>
      <c r="K24" s="30" t="s">
        <v>2357</v>
      </c>
      <c r="L24" s="33" t="s">
        <v>7016</v>
      </c>
      <c r="M24" s="35" t="s">
        <v>7010</v>
      </c>
      <c r="N24" s="43" t="s">
        <v>7011</v>
      </c>
      <c r="P24" s="32" t="s">
        <v>7055</v>
      </c>
      <c r="R24" s="41" t="s">
        <v>7010</v>
      </c>
      <c r="S24" s="43" t="s">
        <v>7011</v>
      </c>
    </row>
    <row r="25" spans="5:19">
      <c r="E25" s="3">
        <v>1</v>
      </c>
      <c r="F25" s="3">
        <v>24</v>
      </c>
      <c r="G25" s="2" t="s">
        <v>359</v>
      </c>
      <c r="H25" t="s">
        <v>29</v>
      </c>
      <c r="I25" s="3">
        <f t="shared" si="0"/>
        <v>13</v>
      </c>
      <c r="K25" s="30" t="s">
        <v>2361</v>
      </c>
      <c r="L25" s="33" t="s">
        <v>7016</v>
      </c>
      <c r="M25" s="35" t="s">
        <v>7010</v>
      </c>
      <c r="N25" s="43" t="s">
        <v>7011</v>
      </c>
      <c r="P25" s="32" t="s">
        <v>7056</v>
      </c>
      <c r="R25" s="41" t="s">
        <v>7010</v>
      </c>
      <c r="S25" s="43" t="s">
        <v>7011</v>
      </c>
    </row>
    <row r="26" spans="5:19">
      <c r="E26" s="3">
        <v>1</v>
      </c>
      <c r="F26" s="3">
        <v>25</v>
      </c>
      <c r="G26" s="2" t="s">
        <v>360</v>
      </c>
      <c r="H26" t="s">
        <v>29</v>
      </c>
      <c r="I26" s="3">
        <f t="shared" si="0"/>
        <v>8</v>
      </c>
      <c r="K26" s="30" t="s">
        <v>2365</v>
      </c>
      <c r="L26" s="33" t="s">
        <v>7016</v>
      </c>
      <c r="M26" s="35" t="s">
        <v>7010</v>
      </c>
      <c r="N26" s="43" t="s">
        <v>7011</v>
      </c>
      <c r="P26" s="32" t="s">
        <v>7057</v>
      </c>
      <c r="R26" s="41" t="s">
        <v>7010</v>
      </c>
      <c r="S26" s="43" t="s">
        <v>7011</v>
      </c>
    </row>
    <row r="27" spans="5:19">
      <c r="E27" s="3">
        <v>1</v>
      </c>
      <c r="F27" s="3">
        <v>26</v>
      </c>
      <c r="G27" s="2" t="s">
        <v>7058</v>
      </c>
      <c r="H27" t="s">
        <v>29</v>
      </c>
      <c r="I27" s="3">
        <f t="shared" si="0"/>
        <v>10</v>
      </c>
      <c r="K27" s="30" t="s">
        <v>7059</v>
      </c>
      <c r="L27" s="33" t="s">
        <v>7016</v>
      </c>
      <c r="M27" s="35" t="s">
        <v>7010</v>
      </c>
      <c r="N27" s="43" t="s">
        <v>7011</v>
      </c>
      <c r="P27" s="32" t="s">
        <v>7060</v>
      </c>
      <c r="R27" s="41" t="s">
        <v>7010</v>
      </c>
      <c r="S27" s="43" t="s">
        <v>7011</v>
      </c>
    </row>
    <row r="28" spans="5:19">
      <c r="E28" s="3">
        <v>1</v>
      </c>
      <c r="F28" s="3">
        <v>27</v>
      </c>
      <c r="G28" s="2" t="s">
        <v>363</v>
      </c>
      <c r="H28" t="s">
        <v>29</v>
      </c>
      <c r="I28" s="3">
        <f t="shared" si="0"/>
        <v>8</v>
      </c>
      <c r="K28" s="30" t="s">
        <v>2373</v>
      </c>
      <c r="L28" s="33" t="s">
        <v>7016</v>
      </c>
      <c r="M28" s="35" t="s">
        <v>7010</v>
      </c>
      <c r="N28" s="43" t="s">
        <v>7011</v>
      </c>
      <c r="P28" s="32" t="s">
        <v>7061</v>
      </c>
      <c r="R28" s="41" t="s">
        <v>7010</v>
      </c>
      <c r="S28" s="43" t="s">
        <v>7011</v>
      </c>
    </row>
    <row r="29" spans="5:19">
      <c r="E29" s="3">
        <v>1</v>
      </c>
      <c r="F29" s="3">
        <v>28</v>
      </c>
      <c r="G29" s="2" t="s">
        <v>364</v>
      </c>
      <c r="H29" t="s">
        <v>29</v>
      </c>
      <c r="I29" s="3">
        <f t="shared" si="0"/>
        <v>14</v>
      </c>
      <c r="K29" s="30" t="s">
        <v>2377</v>
      </c>
      <c r="L29" s="33" t="s">
        <v>7016</v>
      </c>
      <c r="M29" s="35" t="s">
        <v>7010</v>
      </c>
      <c r="N29" s="43" t="s">
        <v>7011</v>
      </c>
      <c r="P29" s="32" t="s">
        <v>7062</v>
      </c>
      <c r="R29" s="41" t="s">
        <v>7010</v>
      </c>
      <c r="S29" s="43" t="s">
        <v>7011</v>
      </c>
    </row>
    <row r="30" spans="5:19">
      <c r="E30" s="3">
        <v>1</v>
      </c>
      <c r="F30" s="3">
        <v>29</v>
      </c>
      <c r="G30" s="2" t="s">
        <v>366</v>
      </c>
      <c r="H30" t="s">
        <v>29</v>
      </c>
      <c r="I30" s="3">
        <f t="shared" si="0"/>
        <v>9</v>
      </c>
      <c r="K30" s="31" t="s">
        <v>2381</v>
      </c>
      <c r="L30" s="33" t="s">
        <v>7016</v>
      </c>
      <c r="M30" s="35" t="s">
        <v>7010</v>
      </c>
      <c r="N30" s="43" t="s">
        <v>7011</v>
      </c>
      <c r="P30" s="32" t="s">
        <v>7063</v>
      </c>
      <c r="R30" s="41" t="s">
        <v>7010</v>
      </c>
      <c r="S30" s="43" t="s">
        <v>7011</v>
      </c>
    </row>
    <row r="31" spans="5:19">
      <c r="E31" s="3">
        <v>1</v>
      </c>
      <c r="F31" s="3">
        <v>30</v>
      </c>
      <c r="G31" s="2" t="s">
        <v>367</v>
      </c>
      <c r="H31" t="s">
        <v>29</v>
      </c>
      <c r="I31" s="3">
        <f t="shared" si="0"/>
        <v>15</v>
      </c>
      <c r="K31" s="30" t="s">
        <v>2385</v>
      </c>
      <c r="L31" s="33" t="s">
        <v>7016</v>
      </c>
      <c r="M31" s="35" t="s">
        <v>7010</v>
      </c>
      <c r="N31" s="43" t="s">
        <v>7011</v>
      </c>
      <c r="P31" s="32" t="s">
        <v>7064</v>
      </c>
      <c r="R31" s="41" t="s">
        <v>7010</v>
      </c>
      <c r="S31" s="43" t="s">
        <v>7011</v>
      </c>
    </row>
    <row r="32" spans="5:19">
      <c r="E32" s="3">
        <v>1</v>
      </c>
      <c r="F32" s="3">
        <v>31</v>
      </c>
      <c r="G32" s="2" t="s">
        <v>368</v>
      </c>
      <c r="H32" t="s">
        <v>29</v>
      </c>
      <c r="I32" s="3">
        <f t="shared" si="0"/>
        <v>10</v>
      </c>
      <c r="K32" s="30" t="s">
        <v>2389</v>
      </c>
      <c r="L32" s="33" t="s">
        <v>7016</v>
      </c>
      <c r="M32" s="35" t="s">
        <v>7010</v>
      </c>
      <c r="N32" s="43" t="s">
        <v>7011</v>
      </c>
      <c r="P32" s="32" t="s">
        <v>7065</v>
      </c>
      <c r="R32" s="41" t="s">
        <v>7010</v>
      </c>
      <c r="S32" s="43" t="s">
        <v>7011</v>
      </c>
    </row>
    <row r="33" spans="5:19">
      <c r="E33" s="3">
        <v>1</v>
      </c>
      <c r="F33" s="3">
        <v>32</v>
      </c>
      <c r="G33" s="2" t="s">
        <v>7066</v>
      </c>
      <c r="H33" t="s">
        <v>29</v>
      </c>
      <c r="I33" s="3">
        <f t="shared" si="0"/>
        <v>8</v>
      </c>
      <c r="K33" s="30" t="s">
        <v>7067</v>
      </c>
      <c r="L33" s="33" t="s">
        <v>7016</v>
      </c>
      <c r="M33" s="35" t="s">
        <v>7010</v>
      </c>
      <c r="N33" s="43" t="s">
        <v>7011</v>
      </c>
      <c r="P33" s="32" t="s">
        <v>7068</v>
      </c>
      <c r="R33" s="41" t="s">
        <v>7010</v>
      </c>
      <c r="S33" s="43" t="s">
        <v>7011</v>
      </c>
    </row>
    <row r="34" spans="5:19">
      <c r="E34" s="3">
        <v>1</v>
      </c>
      <c r="F34" s="3">
        <v>33</v>
      </c>
      <c r="G34" s="2" t="s">
        <v>370</v>
      </c>
      <c r="H34" t="s">
        <v>29</v>
      </c>
      <c r="I34" s="3">
        <f t="shared" si="0"/>
        <v>11</v>
      </c>
      <c r="K34" s="30" t="s">
        <v>2397</v>
      </c>
      <c r="L34" s="33" t="s">
        <v>7016</v>
      </c>
      <c r="M34" s="35" t="s">
        <v>7010</v>
      </c>
      <c r="N34" s="43" t="s">
        <v>7011</v>
      </c>
      <c r="P34" s="32" t="s">
        <v>7069</v>
      </c>
      <c r="R34" s="41" t="s">
        <v>7010</v>
      </c>
      <c r="S34" s="43" t="s">
        <v>7011</v>
      </c>
    </row>
    <row r="35" spans="5:19">
      <c r="E35" s="3">
        <v>1</v>
      </c>
      <c r="F35" s="3">
        <v>34</v>
      </c>
      <c r="G35" s="2" t="s">
        <v>371</v>
      </c>
      <c r="H35" t="s">
        <v>29</v>
      </c>
      <c r="I35" s="3">
        <f t="shared" si="0"/>
        <v>13</v>
      </c>
      <c r="K35" s="30" t="s">
        <v>2401</v>
      </c>
      <c r="L35" s="33" t="s">
        <v>7016</v>
      </c>
      <c r="M35" s="35" t="s">
        <v>7010</v>
      </c>
      <c r="N35" s="43" t="s">
        <v>7011</v>
      </c>
      <c r="P35" s="32" t="s">
        <v>7070</v>
      </c>
      <c r="R35" s="41" t="s">
        <v>7010</v>
      </c>
      <c r="S35" s="43" t="s">
        <v>7011</v>
      </c>
    </row>
    <row r="36" spans="5:19">
      <c r="E36" s="3">
        <v>1</v>
      </c>
      <c r="F36" s="3">
        <v>35</v>
      </c>
      <c r="G36" s="5" t="s">
        <v>372</v>
      </c>
      <c r="H36" t="s">
        <v>29</v>
      </c>
      <c r="I36" s="3">
        <f t="shared" si="0"/>
        <v>16</v>
      </c>
      <c r="K36" s="30" t="s">
        <v>2405</v>
      </c>
      <c r="L36" s="33" t="s">
        <v>7016</v>
      </c>
      <c r="M36" s="35" t="s">
        <v>7010</v>
      </c>
      <c r="N36" s="43" t="s">
        <v>7011</v>
      </c>
      <c r="P36" s="32" t="s">
        <v>7071</v>
      </c>
      <c r="R36" s="41" t="s">
        <v>7010</v>
      </c>
      <c r="S36" s="43" t="s">
        <v>7011</v>
      </c>
    </row>
    <row r="37" spans="5:19">
      <c r="E37" s="3">
        <v>1</v>
      </c>
      <c r="F37" s="3">
        <v>36</v>
      </c>
      <c r="G37" s="2" t="s">
        <v>373</v>
      </c>
      <c r="H37" t="s">
        <v>29</v>
      </c>
      <c r="I37" s="3">
        <f t="shared" si="0"/>
        <v>12</v>
      </c>
      <c r="K37" s="30" t="s">
        <v>2409</v>
      </c>
      <c r="L37" s="33" t="s">
        <v>7016</v>
      </c>
      <c r="M37" s="35" t="s">
        <v>7010</v>
      </c>
      <c r="N37" s="43" t="s">
        <v>7011</v>
      </c>
      <c r="P37" s="32" t="s">
        <v>7072</v>
      </c>
      <c r="R37" s="41" t="s">
        <v>7010</v>
      </c>
      <c r="S37" s="43" t="s">
        <v>7011</v>
      </c>
    </row>
    <row r="38" spans="5:19">
      <c r="E38" s="3">
        <v>1</v>
      </c>
      <c r="F38" s="3">
        <v>37</v>
      </c>
      <c r="G38" s="2" t="s">
        <v>374</v>
      </c>
      <c r="H38" t="s">
        <v>29</v>
      </c>
      <c r="I38" s="3">
        <f t="shared" si="0"/>
        <v>13</v>
      </c>
      <c r="K38" s="30" t="s">
        <v>2413</v>
      </c>
      <c r="L38" s="33" t="s">
        <v>7016</v>
      </c>
      <c r="M38" s="35" t="s">
        <v>7010</v>
      </c>
      <c r="N38" s="43" t="s">
        <v>7011</v>
      </c>
      <c r="P38" s="32" t="s">
        <v>7073</v>
      </c>
      <c r="R38" s="41" t="s">
        <v>7010</v>
      </c>
      <c r="S38" s="43" t="s">
        <v>7011</v>
      </c>
    </row>
    <row r="39" spans="5:19">
      <c r="E39" s="3">
        <v>1</v>
      </c>
      <c r="F39" s="3">
        <v>38</v>
      </c>
      <c r="G39" s="2" t="s">
        <v>375</v>
      </c>
      <c r="H39" t="s">
        <v>29</v>
      </c>
      <c r="I39" s="3">
        <f t="shared" si="0"/>
        <v>13</v>
      </c>
      <c r="K39" s="30" t="s">
        <v>2417</v>
      </c>
      <c r="L39" s="33" t="s">
        <v>7016</v>
      </c>
      <c r="M39" s="35" t="s">
        <v>7010</v>
      </c>
      <c r="N39" s="43" t="s">
        <v>7011</v>
      </c>
      <c r="P39" s="32" t="s">
        <v>7074</v>
      </c>
      <c r="R39" s="41" t="s">
        <v>7010</v>
      </c>
      <c r="S39" s="43" t="s">
        <v>7011</v>
      </c>
    </row>
    <row r="40" spans="5:19">
      <c r="E40" s="3">
        <v>1</v>
      </c>
      <c r="F40" s="3">
        <v>39</v>
      </c>
      <c r="G40" s="2" t="s">
        <v>376</v>
      </c>
      <c r="H40" t="s">
        <v>29</v>
      </c>
      <c r="I40" s="3">
        <f t="shared" si="0"/>
        <v>11</v>
      </c>
      <c r="K40" s="30" t="s">
        <v>2421</v>
      </c>
      <c r="L40" s="33" t="s">
        <v>7016</v>
      </c>
      <c r="M40" s="35" t="s">
        <v>7010</v>
      </c>
      <c r="N40" s="43" t="s">
        <v>7011</v>
      </c>
      <c r="P40" s="32" t="s">
        <v>7075</v>
      </c>
      <c r="R40" s="41" t="s">
        <v>7010</v>
      </c>
      <c r="S40" s="43" t="s">
        <v>7011</v>
      </c>
    </row>
    <row r="41" spans="5:19">
      <c r="E41" s="3">
        <v>1</v>
      </c>
      <c r="F41" s="3">
        <v>40</v>
      </c>
      <c r="G41" s="2" t="s">
        <v>377</v>
      </c>
      <c r="H41" t="s">
        <v>29</v>
      </c>
      <c r="I41" s="3">
        <f t="shared" si="0"/>
        <v>13</v>
      </c>
      <c r="K41" s="30" t="s">
        <v>2425</v>
      </c>
      <c r="L41" s="33" t="s">
        <v>7016</v>
      </c>
      <c r="M41" s="35" t="s">
        <v>7010</v>
      </c>
      <c r="N41" s="43" t="s">
        <v>7011</v>
      </c>
      <c r="P41" s="32" t="s">
        <v>7076</v>
      </c>
      <c r="R41" s="41" t="s">
        <v>7010</v>
      </c>
      <c r="S41" s="43" t="s">
        <v>7011</v>
      </c>
    </row>
    <row r="42" spans="5:19">
      <c r="E42" s="3">
        <v>1</v>
      </c>
      <c r="F42" s="3">
        <v>41</v>
      </c>
      <c r="G42" s="2" t="s">
        <v>378</v>
      </c>
      <c r="H42" t="s">
        <v>29</v>
      </c>
      <c r="I42" s="3">
        <f t="shared" si="0"/>
        <v>10</v>
      </c>
      <c r="K42" s="30" t="s">
        <v>2429</v>
      </c>
      <c r="L42" s="33" t="s">
        <v>7016</v>
      </c>
      <c r="M42" s="35" t="s">
        <v>7010</v>
      </c>
      <c r="N42" s="43" t="s">
        <v>7011</v>
      </c>
      <c r="P42" s="32" t="s">
        <v>7077</v>
      </c>
      <c r="R42" s="41" t="s">
        <v>7010</v>
      </c>
      <c r="S42" s="43" t="s">
        <v>7011</v>
      </c>
    </row>
    <row r="43" spans="5:19">
      <c r="E43" s="3">
        <v>1</v>
      </c>
      <c r="F43" s="3">
        <v>42</v>
      </c>
      <c r="G43" s="2" t="s">
        <v>379</v>
      </c>
      <c r="H43" t="s">
        <v>29</v>
      </c>
      <c r="I43" s="3">
        <f t="shared" si="0"/>
        <v>13</v>
      </c>
      <c r="K43" s="30" t="s">
        <v>2433</v>
      </c>
      <c r="L43" s="33" t="s">
        <v>7016</v>
      </c>
      <c r="M43" s="35" t="s">
        <v>7010</v>
      </c>
      <c r="N43" s="43" t="s">
        <v>7011</v>
      </c>
      <c r="P43" s="32" t="s">
        <v>7078</v>
      </c>
      <c r="R43" s="41" t="s">
        <v>7010</v>
      </c>
      <c r="S43" s="43" t="s">
        <v>7011</v>
      </c>
    </row>
    <row r="44" spans="5:19">
      <c r="E44" s="3">
        <v>1</v>
      </c>
      <c r="F44" s="3">
        <v>43</v>
      </c>
      <c r="G44" s="2" t="s">
        <v>380</v>
      </c>
      <c r="H44" t="s">
        <v>29</v>
      </c>
      <c r="I44" s="3">
        <f t="shared" si="0"/>
        <v>13</v>
      </c>
      <c r="K44" s="30" t="s">
        <v>2437</v>
      </c>
      <c r="L44" s="33" t="s">
        <v>7016</v>
      </c>
      <c r="M44" s="35" t="s">
        <v>7010</v>
      </c>
      <c r="N44" s="43" t="s">
        <v>7011</v>
      </c>
      <c r="P44" s="32" t="s">
        <v>7079</v>
      </c>
      <c r="R44" s="41" t="s">
        <v>7010</v>
      </c>
      <c r="S44" s="43" t="s">
        <v>7011</v>
      </c>
    </row>
    <row r="45" spans="5:19">
      <c r="E45" s="3">
        <v>1</v>
      </c>
      <c r="F45" s="3">
        <v>44</v>
      </c>
      <c r="G45" s="2" t="s">
        <v>7080</v>
      </c>
      <c r="H45" t="s">
        <v>29</v>
      </c>
      <c r="I45" s="3">
        <f t="shared" si="0"/>
        <v>13</v>
      </c>
      <c r="K45" s="30" t="s">
        <v>7081</v>
      </c>
      <c r="L45" s="33" t="s">
        <v>7016</v>
      </c>
      <c r="M45" s="35" t="s">
        <v>7010</v>
      </c>
      <c r="N45" s="43" t="s">
        <v>7011</v>
      </c>
      <c r="P45" s="32" t="s">
        <v>7082</v>
      </c>
      <c r="R45" s="41" t="s">
        <v>7010</v>
      </c>
      <c r="S45" s="43" t="s">
        <v>7011</v>
      </c>
    </row>
    <row r="46" spans="5:19">
      <c r="E46" s="3">
        <v>1</v>
      </c>
      <c r="F46" s="3">
        <v>45</v>
      </c>
      <c r="G46" s="5" t="s">
        <v>382</v>
      </c>
      <c r="H46" t="s">
        <v>29</v>
      </c>
      <c r="I46" s="3">
        <f t="shared" si="0"/>
        <v>11</v>
      </c>
      <c r="K46" s="30" t="s">
        <v>2445</v>
      </c>
      <c r="L46" s="33" t="s">
        <v>7016</v>
      </c>
      <c r="M46" s="35" t="s">
        <v>7010</v>
      </c>
      <c r="N46" s="43" t="s">
        <v>7011</v>
      </c>
      <c r="P46" s="32" t="s">
        <v>7083</v>
      </c>
      <c r="R46" s="41" t="s">
        <v>7010</v>
      </c>
      <c r="S46" s="43" t="s">
        <v>7011</v>
      </c>
    </row>
    <row r="47" spans="5:19">
      <c r="E47" s="3">
        <v>1</v>
      </c>
      <c r="F47" s="3">
        <v>46</v>
      </c>
      <c r="G47" s="2" t="s">
        <v>383</v>
      </c>
      <c r="H47" t="s">
        <v>29</v>
      </c>
      <c r="I47" s="3">
        <f t="shared" si="0"/>
        <v>12</v>
      </c>
      <c r="K47" s="30" t="s">
        <v>2449</v>
      </c>
      <c r="L47" s="33" t="s">
        <v>7016</v>
      </c>
      <c r="M47" s="35" t="s">
        <v>7010</v>
      </c>
      <c r="N47" s="43" t="s">
        <v>7011</v>
      </c>
      <c r="P47" s="32" t="s">
        <v>7084</v>
      </c>
      <c r="R47" s="41" t="s">
        <v>7010</v>
      </c>
      <c r="S47" s="43" t="s">
        <v>7011</v>
      </c>
    </row>
    <row r="48" spans="5:19">
      <c r="E48" s="3">
        <v>1</v>
      </c>
      <c r="F48" s="3">
        <v>47</v>
      </c>
      <c r="G48" s="2" t="s">
        <v>7085</v>
      </c>
      <c r="H48" t="s">
        <v>29</v>
      </c>
      <c r="I48" s="3">
        <f t="shared" si="0"/>
        <v>12</v>
      </c>
      <c r="K48" s="30" t="s">
        <v>7086</v>
      </c>
      <c r="L48" s="33" t="s">
        <v>7016</v>
      </c>
      <c r="M48" s="35" t="s">
        <v>7010</v>
      </c>
      <c r="N48" s="43" t="s">
        <v>7011</v>
      </c>
      <c r="P48" s="32" t="s">
        <v>7087</v>
      </c>
      <c r="R48" s="41" t="s">
        <v>7010</v>
      </c>
      <c r="S48" s="43" t="s">
        <v>7011</v>
      </c>
    </row>
    <row r="49" spans="5:19">
      <c r="E49" s="3">
        <v>1</v>
      </c>
      <c r="F49" s="3">
        <v>48</v>
      </c>
      <c r="G49" s="2" t="s">
        <v>385</v>
      </c>
      <c r="H49" t="s">
        <v>29</v>
      </c>
      <c r="I49" s="3">
        <f t="shared" si="0"/>
        <v>12</v>
      </c>
      <c r="K49" s="30" t="s">
        <v>2457</v>
      </c>
      <c r="L49" s="33" t="s">
        <v>7016</v>
      </c>
      <c r="M49" s="35" t="s">
        <v>7010</v>
      </c>
      <c r="N49" s="43" t="s">
        <v>7011</v>
      </c>
      <c r="P49" s="32" t="s">
        <v>7088</v>
      </c>
      <c r="R49" s="41" t="s">
        <v>7010</v>
      </c>
      <c r="S49" s="43" t="s">
        <v>7011</v>
      </c>
    </row>
    <row r="50" spans="5:19">
      <c r="E50" s="3">
        <v>1</v>
      </c>
      <c r="F50" s="3">
        <v>49</v>
      </c>
      <c r="G50" s="2" t="s">
        <v>386</v>
      </c>
      <c r="H50" t="s">
        <v>29</v>
      </c>
      <c r="I50" s="3">
        <f t="shared" si="0"/>
        <v>12</v>
      </c>
      <c r="K50" s="30" t="s">
        <v>2461</v>
      </c>
      <c r="L50" s="33" t="s">
        <v>7016</v>
      </c>
      <c r="M50" s="35" t="s">
        <v>7010</v>
      </c>
      <c r="N50" s="43" t="s">
        <v>7011</v>
      </c>
      <c r="P50" s="32" t="s">
        <v>7089</v>
      </c>
      <c r="R50" s="41" t="s">
        <v>7010</v>
      </c>
      <c r="S50" s="43" t="s">
        <v>7011</v>
      </c>
    </row>
    <row r="51" spans="5:19">
      <c r="E51" s="3">
        <v>1</v>
      </c>
      <c r="F51" s="3">
        <v>50</v>
      </c>
      <c r="G51" s="2" t="s">
        <v>387</v>
      </c>
      <c r="H51" t="s">
        <v>29</v>
      </c>
      <c r="I51" s="3">
        <f t="shared" si="0"/>
        <v>10</v>
      </c>
      <c r="K51" s="30" t="s">
        <v>2465</v>
      </c>
      <c r="L51" s="33" t="s">
        <v>7016</v>
      </c>
      <c r="M51" s="35" t="s">
        <v>7010</v>
      </c>
      <c r="N51" s="43" t="s">
        <v>7011</v>
      </c>
      <c r="P51" s="32" t="s">
        <v>7090</v>
      </c>
      <c r="R51" s="41" t="s">
        <v>7010</v>
      </c>
      <c r="S51" s="43" t="s">
        <v>7011</v>
      </c>
    </row>
    <row r="52" spans="5:19">
      <c r="E52" s="3">
        <v>1</v>
      </c>
      <c r="F52" s="3">
        <v>51</v>
      </c>
      <c r="G52" s="2" t="s">
        <v>388</v>
      </c>
      <c r="H52" t="s">
        <v>29</v>
      </c>
      <c r="I52" s="3">
        <f t="shared" si="0"/>
        <v>10</v>
      </c>
      <c r="K52" s="30" t="s">
        <v>2469</v>
      </c>
      <c r="L52" s="33" t="s">
        <v>7016</v>
      </c>
      <c r="M52" s="35" t="s">
        <v>7010</v>
      </c>
      <c r="N52" s="43" t="s">
        <v>7011</v>
      </c>
      <c r="P52" s="32" t="s">
        <v>7091</v>
      </c>
      <c r="R52" s="41" t="s">
        <v>7010</v>
      </c>
      <c r="S52" s="43" t="s">
        <v>7011</v>
      </c>
    </row>
    <row r="53" spans="5:19">
      <c r="E53" s="3">
        <v>1</v>
      </c>
      <c r="F53" s="3">
        <v>52</v>
      </c>
      <c r="G53" s="2" t="s">
        <v>389</v>
      </c>
      <c r="H53" t="s">
        <v>29</v>
      </c>
      <c r="I53" s="3">
        <f t="shared" si="0"/>
        <v>14</v>
      </c>
      <c r="K53" s="30" t="s">
        <v>2473</v>
      </c>
      <c r="L53" s="33" t="s">
        <v>7016</v>
      </c>
      <c r="M53" s="35" t="s">
        <v>7010</v>
      </c>
      <c r="N53" s="43" t="s">
        <v>7011</v>
      </c>
      <c r="P53" s="32" t="s">
        <v>7092</v>
      </c>
      <c r="R53" s="41" t="s">
        <v>7010</v>
      </c>
      <c r="S53" s="43" t="s">
        <v>7011</v>
      </c>
    </row>
    <row r="54" spans="5:19">
      <c r="E54" s="3">
        <v>1</v>
      </c>
      <c r="F54" s="3">
        <v>53</v>
      </c>
      <c r="G54" s="5" t="s">
        <v>390</v>
      </c>
      <c r="H54" t="s">
        <v>29</v>
      </c>
      <c r="I54" s="3">
        <f t="shared" si="0"/>
        <v>13</v>
      </c>
      <c r="K54" s="30" t="s">
        <v>2477</v>
      </c>
      <c r="L54" s="33" t="s">
        <v>7016</v>
      </c>
      <c r="M54" s="35" t="s">
        <v>7010</v>
      </c>
      <c r="N54" s="43" t="s">
        <v>7011</v>
      </c>
      <c r="P54" s="32" t="s">
        <v>7093</v>
      </c>
      <c r="R54" s="41" t="s">
        <v>7010</v>
      </c>
      <c r="S54" s="43" t="s">
        <v>7011</v>
      </c>
    </row>
    <row r="55" spans="5:19">
      <c r="E55" s="3">
        <v>1</v>
      </c>
      <c r="F55" s="3">
        <v>54</v>
      </c>
      <c r="G55" s="2" t="s">
        <v>7094</v>
      </c>
      <c r="H55" t="s">
        <v>29</v>
      </c>
      <c r="I55" s="3">
        <f t="shared" si="0"/>
        <v>12</v>
      </c>
      <c r="K55" s="30" t="s">
        <v>7095</v>
      </c>
      <c r="L55" s="33" t="s">
        <v>7016</v>
      </c>
      <c r="M55" s="35" t="s">
        <v>7010</v>
      </c>
      <c r="N55" s="43" t="s">
        <v>7011</v>
      </c>
      <c r="P55" s="32" t="s">
        <v>7096</v>
      </c>
      <c r="R55" s="41" t="s">
        <v>7010</v>
      </c>
      <c r="S55" s="43" t="s">
        <v>7011</v>
      </c>
    </row>
    <row r="56" spans="5:19">
      <c r="E56" s="3">
        <v>1</v>
      </c>
      <c r="F56" s="3">
        <v>55</v>
      </c>
      <c r="G56" s="2" t="s">
        <v>392</v>
      </c>
      <c r="H56" t="s">
        <v>29</v>
      </c>
      <c r="I56" s="3">
        <f t="shared" si="0"/>
        <v>11</v>
      </c>
      <c r="K56" s="30" t="s">
        <v>2485</v>
      </c>
      <c r="L56" s="33" t="s">
        <v>7016</v>
      </c>
      <c r="M56" s="35" t="s">
        <v>7010</v>
      </c>
      <c r="N56" s="43" t="s">
        <v>7011</v>
      </c>
      <c r="P56" s="32" t="s">
        <v>7097</v>
      </c>
      <c r="R56" s="41" t="s">
        <v>7010</v>
      </c>
      <c r="S56" s="43" t="s">
        <v>7011</v>
      </c>
    </row>
    <row r="57" spans="5:19">
      <c r="E57" s="3">
        <v>1</v>
      </c>
      <c r="F57" s="3">
        <v>56</v>
      </c>
      <c r="G57" s="2" t="s">
        <v>393</v>
      </c>
      <c r="H57" t="s">
        <v>29</v>
      </c>
      <c r="I57" s="3">
        <f t="shared" si="0"/>
        <v>9</v>
      </c>
      <c r="K57" s="30" t="s">
        <v>2489</v>
      </c>
      <c r="L57" s="33" t="s">
        <v>7016</v>
      </c>
      <c r="M57" s="35" t="s">
        <v>7010</v>
      </c>
      <c r="N57" s="43" t="s">
        <v>7011</v>
      </c>
      <c r="P57" s="32" t="s">
        <v>7098</v>
      </c>
      <c r="R57" s="41" t="s">
        <v>7010</v>
      </c>
      <c r="S57" s="43" t="s">
        <v>7011</v>
      </c>
    </row>
    <row r="58" spans="5:19">
      <c r="E58" s="3">
        <v>1</v>
      </c>
      <c r="F58" s="3">
        <v>57</v>
      </c>
      <c r="G58" s="2" t="s">
        <v>7099</v>
      </c>
      <c r="H58" t="s">
        <v>29</v>
      </c>
      <c r="I58" s="3">
        <f t="shared" si="0"/>
        <v>11</v>
      </c>
      <c r="K58" s="30" t="s">
        <v>7100</v>
      </c>
      <c r="L58" s="33" t="s">
        <v>7016</v>
      </c>
      <c r="M58" s="35" t="s">
        <v>7010</v>
      </c>
      <c r="N58" s="43" t="s">
        <v>7011</v>
      </c>
      <c r="P58" s="32" t="s">
        <v>7101</v>
      </c>
      <c r="R58" s="41" t="s">
        <v>7010</v>
      </c>
      <c r="S58" s="43" t="s">
        <v>7011</v>
      </c>
    </row>
    <row r="59" spans="5:19">
      <c r="E59" s="3">
        <v>1</v>
      </c>
      <c r="F59" s="3">
        <v>58</v>
      </c>
      <c r="G59" s="2" t="s">
        <v>7102</v>
      </c>
      <c r="H59" t="s">
        <v>29</v>
      </c>
      <c r="I59" s="3">
        <f t="shared" si="0"/>
        <v>16</v>
      </c>
      <c r="K59" s="30" t="s">
        <v>7103</v>
      </c>
      <c r="L59" s="33" t="s">
        <v>7016</v>
      </c>
      <c r="M59" s="35" t="s">
        <v>7010</v>
      </c>
      <c r="N59" s="43" t="s">
        <v>7011</v>
      </c>
      <c r="P59" s="32" t="s">
        <v>7104</v>
      </c>
      <c r="R59" s="41" t="s">
        <v>7010</v>
      </c>
      <c r="S59" s="43" t="s">
        <v>7011</v>
      </c>
    </row>
    <row r="60" spans="5:19">
      <c r="E60" s="3">
        <v>1</v>
      </c>
      <c r="F60" s="3">
        <v>59</v>
      </c>
      <c r="G60" s="2" t="s">
        <v>396</v>
      </c>
      <c r="H60" t="s">
        <v>29</v>
      </c>
      <c r="I60" s="3">
        <f t="shared" si="0"/>
        <v>13</v>
      </c>
      <c r="K60" s="30" t="s">
        <v>2501</v>
      </c>
      <c r="L60" s="33" t="s">
        <v>7016</v>
      </c>
      <c r="M60" s="35" t="s">
        <v>7010</v>
      </c>
      <c r="N60" s="43" t="s">
        <v>7011</v>
      </c>
      <c r="P60" s="32" t="s">
        <v>7105</v>
      </c>
      <c r="R60" s="41" t="s">
        <v>7010</v>
      </c>
      <c r="S60" s="43" t="s">
        <v>7011</v>
      </c>
    </row>
    <row r="61" spans="5:19">
      <c r="E61" s="3">
        <v>1</v>
      </c>
      <c r="F61" s="3">
        <v>60</v>
      </c>
      <c r="G61" s="2" t="s">
        <v>397</v>
      </c>
      <c r="H61" t="s">
        <v>29</v>
      </c>
      <c r="I61" s="3">
        <f t="shared" si="0"/>
        <v>12</v>
      </c>
      <c r="K61" s="30" t="s">
        <v>2505</v>
      </c>
      <c r="L61" s="33" t="s">
        <v>7016</v>
      </c>
      <c r="M61" s="35" t="s">
        <v>7010</v>
      </c>
      <c r="N61" s="43" t="s">
        <v>7011</v>
      </c>
      <c r="P61" s="32" t="s">
        <v>7106</v>
      </c>
      <c r="R61" s="41" t="s">
        <v>7010</v>
      </c>
      <c r="S61" s="43" t="s">
        <v>7011</v>
      </c>
    </row>
    <row r="62" spans="5:19">
      <c r="E62" s="3">
        <v>1</v>
      </c>
      <c r="F62" s="3">
        <v>61</v>
      </c>
      <c r="G62" s="2" t="s">
        <v>7107</v>
      </c>
      <c r="H62" t="s">
        <v>29</v>
      </c>
      <c r="I62" s="3">
        <f t="shared" si="0"/>
        <v>11</v>
      </c>
      <c r="K62" s="30" t="s">
        <v>7108</v>
      </c>
      <c r="L62" s="33" t="s">
        <v>7016</v>
      </c>
      <c r="M62" s="35" t="s">
        <v>7010</v>
      </c>
      <c r="N62" s="43" t="s">
        <v>7011</v>
      </c>
      <c r="P62" s="32" t="s">
        <v>7109</v>
      </c>
      <c r="R62" s="41" t="s">
        <v>7010</v>
      </c>
      <c r="S62" s="43" t="s">
        <v>7011</v>
      </c>
    </row>
    <row r="63" spans="5:19">
      <c r="E63" s="3">
        <v>1</v>
      </c>
      <c r="F63" s="3">
        <v>62</v>
      </c>
      <c r="G63" s="2" t="s">
        <v>399</v>
      </c>
      <c r="H63" t="s">
        <v>29</v>
      </c>
      <c r="I63" s="3">
        <f t="shared" si="0"/>
        <v>9</v>
      </c>
      <c r="K63" s="30" t="s">
        <v>2513</v>
      </c>
      <c r="L63" s="33" t="s">
        <v>7016</v>
      </c>
      <c r="M63" s="35" t="s">
        <v>7010</v>
      </c>
      <c r="N63" s="43" t="s">
        <v>7011</v>
      </c>
      <c r="P63" s="32" t="s">
        <v>7110</v>
      </c>
      <c r="R63" s="41" t="s">
        <v>7010</v>
      </c>
      <c r="S63" s="43" t="s">
        <v>7011</v>
      </c>
    </row>
    <row r="64" spans="5:19">
      <c r="E64" s="3">
        <v>1</v>
      </c>
      <c r="F64" s="3">
        <v>63</v>
      </c>
      <c r="G64" s="2" t="s">
        <v>400</v>
      </c>
      <c r="H64" t="s">
        <v>29</v>
      </c>
      <c r="I64" s="3">
        <f t="shared" si="0"/>
        <v>11</v>
      </c>
      <c r="K64" s="30" t="s">
        <v>2517</v>
      </c>
      <c r="L64" s="33" t="s">
        <v>7016</v>
      </c>
      <c r="M64" s="35" t="s">
        <v>7010</v>
      </c>
      <c r="N64" s="43" t="s">
        <v>7011</v>
      </c>
      <c r="P64" s="32" t="s">
        <v>7111</v>
      </c>
      <c r="R64" s="41" t="s">
        <v>7010</v>
      </c>
      <c r="S64" s="43" t="s">
        <v>7011</v>
      </c>
    </row>
    <row r="65" spans="5:19">
      <c r="E65" s="3">
        <v>1</v>
      </c>
      <c r="F65" s="3">
        <v>64</v>
      </c>
      <c r="G65" s="2" t="s">
        <v>7112</v>
      </c>
      <c r="H65" t="s">
        <v>29</v>
      </c>
      <c r="I65" s="3">
        <f t="shared" si="0"/>
        <v>13</v>
      </c>
      <c r="K65" s="30" t="s">
        <v>7113</v>
      </c>
      <c r="L65" s="33" t="s">
        <v>7016</v>
      </c>
      <c r="M65" s="35" t="s">
        <v>7010</v>
      </c>
      <c r="N65" s="43" t="s">
        <v>7011</v>
      </c>
      <c r="P65" s="32" t="s">
        <v>7114</v>
      </c>
      <c r="R65" s="41" t="s">
        <v>7010</v>
      </c>
      <c r="S65" s="43" t="s">
        <v>7011</v>
      </c>
    </row>
    <row r="66" spans="5:19">
      <c r="E66" s="3">
        <v>1</v>
      </c>
      <c r="F66" s="3">
        <v>65</v>
      </c>
      <c r="G66" s="2" t="s">
        <v>402</v>
      </c>
      <c r="H66" t="s">
        <v>29</v>
      </c>
      <c r="I66" s="3">
        <f t="shared" ref="I66:I129" si="1">LEN(G66)</f>
        <v>9</v>
      </c>
      <c r="K66" s="30" t="s">
        <v>2525</v>
      </c>
      <c r="L66" s="33" t="s">
        <v>7016</v>
      </c>
      <c r="M66" s="35" t="s">
        <v>7010</v>
      </c>
      <c r="N66" s="43" t="s">
        <v>7011</v>
      </c>
      <c r="P66" s="32" t="s">
        <v>7115</v>
      </c>
      <c r="R66" s="41" t="s">
        <v>7010</v>
      </c>
      <c r="S66" s="43" t="s">
        <v>7011</v>
      </c>
    </row>
    <row r="67" spans="5:19">
      <c r="E67" s="3">
        <v>1</v>
      </c>
      <c r="F67" s="3">
        <v>66</v>
      </c>
      <c r="G67" s="2" t="s">
        <v>403</v>
      </c>
      <c r="H67" t="s">
        <v>29</v>
      </c>
      <c r="I67" s="3">
        <f t="shared" si="1"/>
        <v>12</v>
      </c>
      <c r="K67" s="30" t="s">
        <v>2529</v>
      </c>
      <c r="L67" s="33" t="s">
        <v>7016</v>
      </c>
      <c r="M67" s="35" t="s">
        <v>7010</v>
      </c>
      <c r="N67" s="43" t="s">
        <v>7011</v>
      </c>
      <c r="P67" s="32" t="s">
        <v>7116</v>
      </c>
      <c r="R67" s="41" t="s">
        <v>7010</v>
      </c>
      <c r="S67" s="43" t="s">
        <v>7011</v>
      </c>
    </row>
    <row r="68" spans="5:19">
      <c r="E68" s="3">
        <v>1</v>
      </c>
      <c r="F68" s="3">
        <v>67</v>
      </c>
      <c r="G68" s="2" t="s">
        <v>404</v>
      </c>
      <c r="H68" t="s">
        <v>29</v>
      </c>
      <c r="I68" s="3">
        <f t="shared" si="1"/>
        <v>8</v>
      </c>
      <c r="K68" s="30" t="s">
        <v>2533</v>
      </c>
      <c r="L68" s="33" t="s">
        <v>7016</v>
      </c>
      <c r="M68" s="35" t="s">
        <v>7010</v>
      </c>
      <c r="N68" s="43" t="s">
        <v>7011</v>
      </c>
      <c r="P68" s="32" t="s">
        <v>7117</v>
      </c>
      <c r="R68" s="41" t="s">
        <v>7010</v>
      </c>
      <c r="S68" s="43" t="s">
        <v>7011</v>
      </c>
    </row>
    <row r="69" spans="5:19">
      <c r="E69" s="3">
        <v>1</v>
      </c>
      <c r="F69" s="3">
        <v>68</v>
      </c>
      <c r="G69" s="2" t="s">
        <v>405</v>
      </c>
      <c r="H69" t="s">
        <v>29</v>
      </c>
      <c r="I69" s="3">
        <f t="shared" si="1"/>
        <v>10</v>
      </c>
      <c r="K69" s="30" t="s">
        <v>2537</v>
      </c>
      <c r="L69" s="33" t="s">
        <v>7016</v>
      </c>
      <c r="M69" s="35" t="s">
        <v>7010</v>
      </c>
      <c r="N69" s="43" t="s">
        <v>7011</v>
      </c>
      <c r="P69" s="32" t="s">
        <v>7118</v>
      </c>
      <c r="R69" s="41" t="s">
        <v>7010</v>
      </c>
      <c r="S69" s="43" t="s">
        <v>7011</v>
      </c>
    </row>
    <row r="70" spans="5:19">
      <c r="E70" s="3">
        <v>1</v>
      </c>
      <c r="F70" s="3">
        <v>69</v>
      </c>
      <c r="G70" s="7" t="s">
        <v>406</v>
      </c>
      <c r="H70" t="s">
        <v>29</v>
      </c>
      <c r="I70" s="3">
        <f t="shared" si="1"/>
        <v>10</v>
      </c>
      <c r="K70" s="30" t="s">
        <v>2541</v>
      </c>
      <c r="L70" s="33" t="s">
        <v>7016</v>
      </c>
      <c r="M70" s="35" t="s">
        <v>7010</v>
      </c>
      <c r="N70" s="43" t="s">
        <v>7011</v>
      </c>
      <c r="P70" s="32" t="s">
        <v>7119</v>
      </c>
      <c r="R70" s="41" t="s">
        <v>7010</v>
      </c>
      <c r="S70" s="43" t="s">
        <v>7011</v>
      </c>
    </row>
    <row r="71" spans="5:19">
      <c r="E71" s="3">
        <v>1</v>
      </c>
      <c r="F71" s="3">
        <v>70</v>
      </c>
      <c r="G71" s="2" t="s">
        <v>407</v>
      </c>
      <c r="H71" t="s">
        <v>29</v>
      </c>
      <c r="I71" s="3">
        <f t="shared" si="1"/>
        <v>8</v>
      </c>
      <c r="K71" s="30" t="s">
        <v>2545</v>
      </c>
      <c r="L71" s="33" t="s">
        <v>7016</v>
      </c>
      <c r="M71" s="35" t="s">
        <v>7010</v>
      </c>
      <c r="N71" s="43" t="s">
        <v>7011</v>
      </c>
      <c r="P71" s="32" t="s">
        <v>7120</v>
      </c>
      <c r="R71" s="41" t="s">
        <v>7010</v>
      </c>
      <c r="S71" s="43" t="s">
        <v>7011</v>
      </c>
    </row>
    <row r="72" spans="5:19">
      <c r="E72" s="3">
        <v>1</v>
      </c>
      <c r="F72" s="3">
        <v>71</v>
      </c>
      <c r="G72" s="2" t="s">
        <v>408</v>
      </c>
      <c r="H72" t="s">
        <v>29</v>
      </c>
      <c r="I72" s="3">
        <f t="shared" si="1"/>
        <v>10</v>
      </c>
      <c r="K72" s="30" t="s">
        <v>2549</v>
      </c>
      <c r="L72" s="33" t="s">
        <v>7016</v>
      </c>
      <c r="M72" s="35" t="s">
        <v>7010</v>
      </c>
      <c r="N72" s="43" t="s">
        <v>7011</v>
      </c>
      <c r="P72" s="32" t="s">
        <v>7121</v>
      </c>
      <c r="R72" s="41" t="s">
        <v>7010</v>
      </c>
      <c r="S72" s="43" t="s">
        <v>7011</v>
      </c>
    </row>
    <row r="73" spans="5:19">
      <c r="E73" s="3">
        <v>1</v>
      </c>
      <c r="F73" s="3">
        <v>72</v>
      </c>
      <c r="G73" s="2" t="s">
        <v>409</v>
      </c>
      <c r="H73" t="s">
        <v>29</v>
      </c>
      <c r="I73" s="3">
        <f t="shared" si="1"/>
        <v>9</v>
      </c>
      <c r="K73" s="30" t="s">
        <v>2553</v>
      </c>
      <c r="L73" s="33" t="s">
        <v>7016</v>
      </c>
      <c r="M73" s="35" t="s">
        <v>7010</v>
      </c>
      <c r="N73" s="43" t="s">
        <v>7011</v>
      </c>
      <c r="P73" s="32" t="s">
        <v>7122</v>
      </c>
      <c r="R73" s="41" t="s">
        <v>7010</v>
      </c>
      <c r="S73" s="43" t="s">
        <v>7011</v>
      </c>
    </row>
    <row r="74" spans="5:19">
      <c r="E74" s="3">
        <v>1</v>
      </c>
      <c r="F74" s="3">
        <v>73</v>
      </c>
      <c r="G74" s="2" t="s">
        <v>410</v>
      </c>
      <c r="H74" t="s">
        <v>29</v>
      </c>
      <c r="I74" s="3">
        <f t="shared" si="1"/>
        <v>13</v>
      </c>
      <c r="K74" s="30" t="s">
        <v>2557</v>
      </c>
      <c r="L74" s="33" t="s">
        <v>7016</v>
      </c>
      <c r="M74" s="35" t="s">
        <v>7010</v>
      </c>
      <c r="N74" s="43" t="s">
        <v>7011</v>
      </c>
      <c r="P74" s="32" t="s">
        <v>7123</v>
      </c>
      <c r="R74" s="41" t="s">
        <v>7010</v>
      </c>
      <c r="S74" s="43" t="s">
        <v>7011</v>
      </c>
    </row>
    <row r="75" spans="5:19">
      <c r="E75" s="3">
        <v>1</v>
      </c>
      <c r="F75" s="3">
        <v>74</v>
      </c>
      <c r="G75" s="2" t="s">
        <v>411</v>
      </c>
      <c r="H75" t="s">
        <v>29</v>
      </c>
      <c r="I75" s="3">
        <f t="shared" si="1"/>
        <v>12</v>
      </c>
      <c r="K75" s="30" t="s">
        <v>2561</v>
      </c>
      <c r="L75" s="33" t="s">
        <v>7016</v>
      </c>
      <c r="M75" s="35" t="s">
        <v>7010</v>
      </c>
      <c r="N75" s="43" t="s">
        <v>7011</v>
      </c>
      <c r="P75" s="32" t="s">
        <v>7124</v>
      </c>
      <c r="R75" s="41" t="s">
        <v>7010</v>
      </c>
      <c r="S75" s="43" t="s">
        <v>7011</v>
      </c>
    </row>
    <row r="76" spans="5:19">
      <c r="E76" s="3">
        <v>1</v>
      </c>
      <c r="F76" s="3">
        <v>75</v>
      </c>
      <c r="G76" s="2" t="s">
        <v>412</v>
      </c>
      <c r="H76" t="s">
        <v>29</v>
      </c>
      <c r="I76" s="3">
        <f t="shared" si="1"/>
        <v>10</v>
      </c>
      <c r="K76" s="30" t="s">
        <v>2565</v>
      </c>
      <c r="L76" s="33" t="s">
        <v>7016</v>
      </c>
      <c r="M76" s="35" t="s">
        <v>7010</v>
      </c>
      <c r="N76" s="43" t="s">
        <v>7011</v>
      </c>
      <c r="P76" s="32" t="s">
        <v>7125</v>
      </c>
      <c r="R76" s="41" t="s">
        <v>7010</v>
      </c>
      <c r="S76" s="43" t="s">
        <v>7011</v>
      </c>
    </row>
    <row r="77" spans="5:19">
      <c r="E77" s="3">
        <v>1</v>
      </c>
      <c r="F77" s="3">
        <v>76</v>
      </c>
      <c r="G77" s="2" t="s">
        <v>413</v>
      </c>
      <c r="H77" t="s">
        <v>29</v>
      </c>
      <c r="I77" s="3">
        <f t="shared" si="1"/>
        <v>10</v>
      </c>
      <c r="K77" s="30" t="s">
        <v>2569</v>
      </c>
      <c r="L77" s="33" t="s">
        <v>7016</v>
      </c>
      <c r="M77" s="35" t="s">
        <v>7010</v>
      </c>
      <c r="N77" s="43" t="s">
        <v>7011</v>
      </c>
      <c r="P77" s="32" t="s">
        <v>7126</v>
      </c>
      <c r="R77" s="41" t="s">
        <v>7010</v>
      </c>
      <c r="S77" s="43" t="s">
        <v>7011</v>
      </c>
    </row>
    <row r="78" spans="5:19">
      <c r="E78" s="3">
        <v>1</v>
      </c>
      <c r="F78" s="3">
        <v>77</v>
      </c>
      <c r="G78" s="2" t="s">
        <v>414</v>
      </c>
      <c r="H78" t="s">
        <v>29</v>
      </c>
      <c r="I78" s="3">
        <f t="shared" si="1"/>
        <v>13</v>
      </c>
      <c r="K78" s="30" t="s">
        <v>2573</v>
      </c>
      <c r="L78" s="33" t="s">
        <v>7016</v>
      </c>
      <c r="M78" s="35" t="s">
        <v>7010</v>
      </c>
      <c r="N78" s="43" t="s">
        <v>7011</v>
      </c>
      <c r="P78" s="32" t="s">
        <v>7127</v>
      </c>
      <c r="R78" s="41" t="s">
        <v>7010</v>
      </c>
      <c r="S78" s="43" t="s">
        <v>7011</v>
      </c>
    </row>
    <row r="79" spans="5:19">
      <c r="E79" s="3">
        <v>1</v>
      </c>
      <c r="F79" s="3">
        <v>78</v>
      </c>
      <c r="G79" s="2" t="s">
        <v>415</v>
      </c>
      <c r="H79" t="s">
        <v>29</v>
      </c>
      <c r="I79" s="3">
        <f t="shared" si="1"/>
        <v>12</v>
      </c>
      <c r="K79" s="30" t="s">
        <v>2577</v>
      </c>
      <c r="L79" s="33" t="s">
        <v>7016</v>
      </c>
      <c r="M79" s="35" t="s">
        <v>7010</v>
      </c>
      <c r="N79" s="43" t="s">
        <v>7011</v>
      </c>
      <c r="P79" s="32" t="s">
        <v>7128</v>
      </c>
      <c r="R79" s="41" t="s">
        <v>7010</v>
      </c>
      <c r="S79" s="43" t="s">
        <v>7011</v>
      </c>
    </row>
    <row r="80" spans="5:19">
      <c r="E80" s="3">
        <v>1</v>
      </c>
      <c r="F80" s="3">
        <v>79</v>
      </c>
      <c r="G80" s="7" t="s">
        <v>7129</v>
      </c>
      <c r="H80" t="s">
        <v>29</v>
      </c>
      <c r="I80" s="3">
        <f t="shared" si="1"/>
        <v>9</v>
      </c>
      <c r="K80" s="30" t="s">
        <v>7130</v>
      </c>
      <c r="L80" s="33" t="s">
        <v>7016</v>
      </c>
      <c r="M80" s="35" t="s">
        <v>7010</v>
      </c>
      <c r="N80" s="43" t="s">
        <v>7011</v>
      </c>
      <c r="P80" s="32" t="s">
        <v>7131</v>
      </c>
      <c r="R80" s="41" t="s">
        <v>7010</v>
      </c>
      <c r="S80" s="43" t="s">
        <v>7011</v>
      </c>
    </row>
    <row r="81" spans="5:19">
      <c r="E81" s="3">
        <v>1</v>
      </c>
      <c r="F81" s="3">
        <v>80</v>
      </c>
      <c r="G81" s="2" t="s">
        <v>417</v>
      </c>
      <c r="H81" t="s">
        <v>29</v>
      </c>
      <c r="I81" s="3">
        <f t="shared" si="1"/>
        <v>8</v>
      </c>
      <c r="K81" s="30" t="s">
        <v>2585</v>
      </c>
      <c r="L81" s="33" t="s">
        <v>7016</v>
      </c>
      <c r="M81" s="35" t="s">
        <v>7010</v>
      </c>
      <c r="N81" s="43" t="s">
        <v>7011</v>
      </c>
      <c r="P81" s="32" t="s">
        <v>7132</v>
      </c>
      <c r="R81" s="41" t="s">
        <v>7010</v>
      </c>
      <c r="S81" s="43" t="s">
        <v>7011</v>
      </c>
    </row>
    <row r="82" spans="5:19">
      <c r="E82" s="3">
        <v>1</v>
      </c>
      <c r="F82" s="3">
        <v>81</v>
      </c>
      <c r="G82" s="2" t="s">
        <v>7133</v>
      </c>
      <c r="H82" t="s">
        <v>29</v>
      </c>
      <c r="I82" s="3">
        <f t="shared" si="1"/>
        <v>12</v>
      </c>
      <c r="K82" s="30" t="s">
        <v>7134</v>
      </c>
      <c r="L82" s="33" t="s">
        <v>7016</v>
      </c>
      <c r="M82" s="35" t="s">
        <v>7010</v>
      </c>
      <c r="N82" s="43" t="s">
        <v>7011</v>
      </c>
      <c r="P82" s="32" t="s">
        <v>7135</v>
      </c>
      <c r="R82" s="41" t="s">
        <v>7010</v>
      </c>
      <c r="S82" s="43" t="s">
        <v>7011</v>
      </c>
    </row>
    <row r="83" spans="5:19">
      <c r="E83" s="3">
        <v>1</v>
      </c>
      <c r="F83" s="3">
        <v>82</v>
      </c>
      <c r="G83" s="2" t="s">
        <v>7136</v>
      </c>
      <c r="H83" t="s">
        <v>29</v>
      </c>
      <c r="I83" s="3">
        <f t="shared" si="1"/>
        <v>14</v>
      </c>
      <c r="K83" s="30" t="s">
        <v>7137</v>
      </c>
      <c r="L83" s="33" t="s">
        <v>7016</v>
      </c>
      <c r="M83" s="35" t="s">
        <v>7010</v>
      </c>
      <c r="N83" s="43" t="s">
        <v>7011</v>
      </c>
      <c r="P83" s="32" t="s">
        <v>7138</v>
      </c>
      <c r="R83" s="41" t="s">
        <v>7010</v>
      </c>
      <c r="S83" s="43" t="s">
        <v>7011</v>
      </c>
    </row>
    <row r="84" spans="5:19">
      <c r="E84" s="3">
        <v>1</v>
      </c>
      <c r="F84" s="3">
        <v>83</v>
      </c>
      <c r="G84" s="2" t="s">
        <v>7139</v>
      </c>
      <c r="H84" t="s">
        <v>29</v>
      </c>
      <c r="I84" s="3">
        <f t="shared" si="1"/>
        <v>14</v>
      </c>
      <c r="K84" s="30" t="s">
        <v>7140</v>
      </c>
      <c r="L84" s="33" t="s">
        <v>7016</v>
      </c>
      <c r="M84" s="35" t="s">
        <v>7010</v>
      </c>
      <c r="N84" s="43" t="s">
        <v>7011</v>
      </c>
      <c r="P84" s="32" t="s">
        <v>7141</v>
      </c>
      <c r="R84" s="41" t="s">
        <v>7010</v>
      </c>
      <c r="S84" s="43" t="s">
        <v>7011</v>
      </c>
    </row>
    <row r="85" spans="5:19">
      <c r="E85" s="3">
        <v>1</v>
      </c>
      <c r="F85" s="3">
        <v>84</v>
      </c>
      <c r="G85" s="2" t="s">
        <v>421</v>
      </c>
      <c r="H85" t="s">
        <v>29</v>
      </c>
      <c r="I85" s="3">
        <f t="shared" si="1"/>
        <v>11</v>
      </c>
      <c r="K85" s="30" t="s">
        <v>2601</v>
      </c>
      <c r="L85" s="33" t="s">
        <v>7016</v>
      </c>
      <c r="M85" s="35" t="s">
        <v>7010</v>
      </c>
      <c r="N85" s="43" t="s">
        <v>7011</v>
      </c>
      <c r="P85" s="32" t="s">
        <v>7142</v>
      </c>
      <c r="R85" s="41" t="s">
        <v>7010</v>
      </c>
      <c r="S85" s="43" t="s">
        <v>7011</v>
      </c>
    </row>
    <row r="86" spans="5:19">
      <c r="E86" s="3">
        <v>1</v>
      </c>
      <c r="F86" s="3">
        <v>85</v>
      </c>
      <c r="G86" s="2" t="s">
        <v>7143</v>
      </c>
      <c r="H86" t="s">
        <v>29</v>
      </c>
      <c r="I86" s="3">
        <f t="shared" si="1"/>
        <v>13</v>
      </c>
      <c r="K86" s="30" t="s">
        <v>7144</v>
      </c>
      <c r="L86" s="33" t="s">
        <v>7016</v>
      </c>
      <c r="M86" s="35" t="s">
        <v>7010</v>
      </c>
      <c r="N86" s="43" t="s">
        <v>7011</v>
      </c>
      <c r="P86" s="32" t="s">
        <v>7145</v>
      </c>
      <c r="R86" s="41" t="s">
        <v>7010</v>
      </c>
      <c r="S86" s="43" t="s">
        <v>7011</v>
      </c>
    </row>
    <row r="87" spans="5:19">
      <c r="E87" s="3">
        <v>1</v>
      </c>
      <c r="F87" s="3">
        <v>86</v>
      </c>
      <c r="G87" s="2" t="s">
        <v>7146</v>
      </c>
      <c r="H87" t="s">
        <v>29</v>
      </c>
      <c r="I87" s="3">
        <f t="shared" si="1"/>
        <v>12</v>
      </c>
      <c r="K87" s="30" t="s">
        <v>7147</v>
      </c>
      <c r="L87" s="33" t="s">
        <v>7016</v>
      </c>
      <c r="M87" s="35" t="s">
        <v>7010</v>
      </c>
      <c r="N87" s="43" t="s">
        <v>7011</v>
      </c>
      <c r="P87" s="32" t="s">
        <v>7148</v>
      </c>
      <c r="R87" s="41" t="s">
        <v>7010</v>
      </c>
      <c r="S87" s="43" t="s">
        <v>7011</v>
      </c>
    </row>
    <row r="88" spans="5:19">
      <c r="E88" s="3">
        <v>1</v>
      </c>
      <c r="F88" s="3">
        <v>87</v>
      </c>
      <c r="G88" s="2" t="s">
        <v>424</v>
      </c>
      <c r="H88" t="s">
        <v>29</v>
      </c>
      <c r="I88" s="3">
        <f t="shared" si="1"/>
        <v>11</v>
      </c>
      <c r="K88" s="30" t="s">
        <v>2613</v>
      </c>
      <c r="L88" s="33" t="s">
        <v>7016</v>
      </c>
      <c r="M88" s="35" t="s">
        <v>7010</v>
      </c>
      <c r="N88" s="43" t="s">
        <v>7011</v>
      </c>
      <c r="P88" s="32" t="s">
        <v>7149</v>
      </c>
      <c r="R88" s="41" t="s">
        <v>7010</v>
      </c>
      <c r="S88" s="43" t="s">
        <v>7011</v>
      </c>
    </row>
    <row r="89" spans="5:19">
      <c r="E89" s="3">
        <v>1</v>
      </c>
      <c r="F89" s="3">
        <v>88</v>
      </c>
      <c r="G89" s="2" t="s">
        <v>425</v>
      </c>
      <c r="H89" t="s">
        <v>29</v>
      </c>
      <c r="I89" s="3">
        <f t="shared" si="1"/>
        <v>9</v>
      </c>
      <c r="K89" s="30" t="s">
        <v>2617</v>
      </c>
      <c r="L89" s="33" t="s">
        <v>7016</v>
      </c>
      <c r="M89" s="35" t="s">
        <v>7010</v>
      </c>
      <c r="N89" s="43" t="s">
        <v>7011</v>
      </c>
      <c r="P89" s="32" t="s">
        <v>7150</v>
      </c>
      <c r="R89" s="41" t="s">
        <v>7010</v>
      </c>
      <c r="S89" s="43" t="s">
        <v>7011</v>
      </c>
    </row>
    <row r="90" spans="5:19">
      <c r="E90" s="3">
        <v>1</v>
      </c>
      <c r="F90" s="3">
        <v>89</v>
      </c>
      <c r="G90" s="2" t="s">
        <v>426</v>
      </c>
      <c r="H90" t="s">
        <v>29</v>
      </c>
      <c r="I90" s="3">
        <f t="shared" si="1"/>
        <v>7</v>
      </c>
      <c r="K90" s="30" t="s">
        <v>2621</v>
      </c>
      <c r="L90" s="33" t="s">
        <v>7016</v>
      </c>
      <c r="M90" s="35" t="s">
        <v>7015</v>
      </c>
      <c r="N90" s="43">
        <v>1</v>
      </c>
      <c r="P90" s="32" t="s">
        <v>7151</v>
      </c>
      <c r="R90" s="41" t="s">
        <v>7010</v>
      </c>
      <c r="S90" s="43" t="s">
        <v>7011</v>
      </c>
    </row>
    <row r="91" spans="5:19">
      <c r="E91" s="3">
        <v>1</v>
      </c>
      <c r="F91" s="3">
        <v>90</v>
      </c>
      <c r="G91" s="2" t="s">
        <v>427</v>
      </c>
      <c r="H91" t="s">
        <v>29</v>
      </c>
      <c r="I91" s="3">
        <f t="shared" si="1"/>
        <v>14</v>
      </c>
      <c r="K91" s="30" t="s">
        <v>2625</v>
      </c>
      <c r="L91" s="33" t="s">
        <v>7016</v>
      </c>
      <c r="M91" s="35" t="s">
        <v>7010</v>
      </c>
      <c r="N91" s="43" t="s">
        <v>7011</v>
      </c>
      <c r="P91" s="32" t="s">
        <v>7152</v>
      </c>
      <c r="R91" s="41" t="s">
        <v>7010</v>
      </c>
      <c r="S91" s="43" t="s">
        <v>7011</v>
      </c>
    </row>
    <row r="92" spans="5:19">
      <c r="E92" s="3">
        <v>1</v>
      </c>
      <c r="F92" s="3">
        <v>91</v>
      </c>
      <c r="G92" s="2" t="s">
        <v>428</v>
      </c>
      <c r="H92" t="s">
        <v>29</v>
      </c>
      <c r="I92" s="3">
        <f t="shared" si="1"/>
        <v>11</v>
      </c>
      <c r="K92" s="30" t="s">
        <v>2629</v>
      </c>
      <c r="L92" s="33" t="s">
        <v>7016</v>
      </c>
      <c r="M92" s="35" t="s">
        <v>7010</v>
      </c>
      <c r="N92" s="43" t="s">
        <v>7011</v>
      </c>
      <c r="P92" s="32" t="s">
        <v>7153</v>
      </c>
      <c r="R92" s="41" t="s">
        <v>7010</v>
      </c>
      <c r="S92" s="43" t="s">
        <v>7011</v>
      </c>
    </row>
    <row r="93" spans="5:19">
      <c r="E93" s="3">
        <v>1</v>
      </c>
      <c r="F93" s="3">
        <v>92</v>
      </c>
      <c r="G93" s="2" t="s">
        <v>7154</v>
      </c>
      <c r="H93" t="s">
        <v>29</v>
      </c>
      <c r="I93" s="3">
        <f t="shared" si="1"/>
        <v>10</v>
      </c>
      <c r="K93" s="30" t="s">
        <v>7155</v>
      </c>
      <c r="L93" s="33" t="s">
        <v>7016</v>
      </c>
      <c r="M93" s="35" t="s">
        <v>7010</v>
      </c>
      <c r="N93" s="43" t="s">
        <v>7011</v>
      </c>
      <c r="P93" s="32" t="s">
        <v>7156</v>
      </c>
      <c r="R93" s="41" t="s">
        <v>7010</v>
      </c>
      <c r="S93" s="43" t="s">
        <v>7011</v>
      </c>
    </row>
    <row r="94" spans="5:19">
      <c r="E94" s="3">
        <v>1</v>
      </c>
      <c r="F94" s="3">
        <v>93</v>
      </c>
      <c r="G94" s="2" t="s">
        <v>430</v>
      </c>
      <c r="H94" t="s">
        <v>29</v>
      </c>
      <c r="I94" s="3">
        <f t="shared" si="1"/>
        <v>13</v>
      </c>
      <c r="K94" s="30" t="s">
        <v>2637</v>
      </c>
      <c r="L94" s="33" t="s">
        <v>7016</v>
      </c>
      <c r="M94" s="35" t="s">
        <v>7010</v>
      </c>
      <c r="N94" s="43" t="s">
        <v>7011</v>
      </c>
      <c r="P94" s="32" t="s">
        <v>7157</v>
      </c>
      <c r="R94" s="41" t="s">
        <v>7010</v>
      </c>
      <c r="S94" s="43" t="s">
        <v>7011</v>
      </c>
    </row>
    <row r="95" spans="5:19">
      <c r="E95" s="3">
        <v>1</v>
      </c>
      <c r="F95" s="3">
        <v>94</v>
      </c>
      <c r="G95" s="2" t="s">
        <v>431</v>
      </c>
      <c r="H95" t="s">
        <v>29</v>
      </c>
      <c r="I95" s="3">
        <f t="shared" si="1"/>
        <v>10</v>
      </c>
      <c r="K95" s="30" t="s">
        <v>2641</v>
      </c>
      <c r="L95" s="33" t="s">
        <v>7016</v>
      </c>
      <c r="M95" s="35" t="s">
        <v>7010</v>
      </c>
      <c r="N95" s="43" t="s">
        <v>7011</v>
      </c>
      <c r="P95" s="32" t="s">
        <v>7158</v>
      </c>
      <c r="R95" s="41" t="s">
        <v>7010</v>
      </c>
      <c r="S95" s="43" t="s">
        <v>7011</v>
      </c>
    </row>
    <row r="96" spans="5:19">
      <c r="E96" s="3">
        <v>1</v>
      </c>
      <c r="F96" s="3">
        <v>95</v>
      </c>
      <c r="G96" s="5" t="s">
        <v>432</v>
      </c>
      <c r="H96" t="s">
        <v>29</v>
      </c>
      <c r="I96" s="3">
        <f t="shared" si="1"/>
        <v>10</v>
      </c>
      <c r="K96" s="30" t="s">
        <v>2645</v>
      </c>
      <c r="L96" s="33" t="s">
        <v>7016</v>
      </c>
      <c r="M96" s="35" t="s">
        <v>7010</v>
      </c>
      <c r="N96" s="43" t="s">
        <v>7011</v>
      </c>
      <c r="P96" s="32" t="s">
        <v>7159</v>
      </c>
      <c r="R96" s="41" t="s">
        <v>7010</v>
      </c>
      <c r="S96" s="43" t="s">
        <v>7011</v>
      </c>
    </row>
    <row r="97" spans="5:19">
      <c r="E97" s="3">
        <v>1</v>
      </c>
      <c r="F97" s="3">
        <v>96</v>
      </c>
      <c r="G97" s="2" t="s">
        <v>433</v>
      </c>
      <c r="H97" t="s">
        <v>29</v>
      </c>
      <c r="I97" s="3">
        <f t="shared" si="1"/>
        <v>12</v>
      </c>
      <c r="K97" s="30" t="s">
        <v>2649</v>
      </c>
      <c r="L97" s="33" t="s">
        <v>7016</v>
      </c>
      <c r="M97" s="35" t="s">
        <v>7010</v>
      </c>
      <c r="N97" s="43" t="s">
        <v>7011</v>
      </c>
      <c r="P97" s="32" t="s">
        <v>7160</v>
      </c>
      <c r="R97" s="41" t="s">
        <v>7010</v>
      </c>
      <c r="S97" s="43" t="s">
        <v>7011</v>
      </c>
    </row>
    <row r="98" spans="5:19">
      <c r="E98" s="3">
        <v>1</v>
      </c>
      <c r="F98" s="3">
        <v>97</v>
      </c>
      <c r="G98" s="2" t="s">
        <v>7161</v>
      </c>
      <c r="H98" t="s">
        <v>29</v>
      </c>
      <c r="I98" s="3">
        <f t="shared" si="1"/>
        <v>16</v>
      </c>
      <c r="K98" s="30" t="s">
        <v>7162</v>
      </c>
      <c r="L98" s="33" t="s">
        <v>7016</v>
      </c>
      <c r="M98" s="35" t="s">
        <v>7010</v>
      </c>
      <c r="N98" s="43" t="s">
        <v>7011</v>
      </c>
      <c r="P98" s="32" t="s">
        <v>7163</v>
      </c>
      <c r="R98" s="41" t="s">
        <v>7010</v>
      </c>
      <c r="S98" s="43" t="s">
        <v>7011</v>
      </c>
    </row>
    <row r="99" spans="5:19">
      <c r="E99" s="3">
        <v>1</v>
      </c>
      <c r="F99" s="3">
        <v>98</v>
      </c>
      <c r="G99" s="2" t="s">
        <v>7164</v>
      </c>
      <c r="H99" t="s">
        <v>29</v>
      </c>
      <c r="I99" s="3">
        <f t="shared" si="1"/>
        <v>11</v>
      </c>
      <c r="K99" s="30" t="s">
        <v>7165</v>
      </c>
      <c r="L99" s="33" t="s">
        <v>7016</v>
      </c>
      <c r="M99" s="35" t="s">
        <v>7010</v>
      </c>
      <c r="N99" s="43" t="s">
        <v>7011</v>
      </c>
      <c r="P99" s="32" t="s">
        <v>7166</v>
      </c>
      <c r="R99" s="41" t="s">
        <v>7010</v>
      </c>
      <c r="S99" s="43" t="s">
        <v>7011</v>
      </c>
    </row>
    <row r="100" spans="5:19">
      <c r="E100" s="3">
        <v>1</v>
      </c>
      <c r="F100" s="3">
        <v>99</v>
      </c>
      <c r="G100" s="2" t="s">
        <v>7167</v>
      </c>
      <c r="H100" t="s">
        <v>29</v>
      </c>
      <c r="I100" s="3">
        <f t="shared" si="1"/>
        <v>9</v>
      </c>
      <c r="K100" s="30" t="s">
        <v>7168</v>
      </c>
      <c r="L100" s="33" t="s">
        <v>7016</v>
      </c>
      <c r="M100" s="35" t="s">
        <v>7010</v>
      </c>
      <c r="N100" s="43" t="s">
        <v>7011</v>
      </c>
      <c r="P100" s="32" t="s">
        <v>7169</v>
      </c>
      <c r="R100" s="41" t="s">
        <v>7010</v>
      </c>
      <c r="S100" s="43" t="s">
        <v>7011</v>
      </c>
    </row>
    <row r="101" spans="5:19">
      <c r="E101" s="3">
        <v>1</v>
      </c>
      <c r="F101" s="3">
        <v>100</v>
      </c>
      <c r="G101" s="2" t="s">
        <v>7170</v>
      </c>
      <c r="H101" t="s">
        <v>29</v>
      </c>
      <c r="I101" s="3">
        <f t="shared" si="1"/>
        <v>15</v>
      </c>
      <c r="K101" s="31" t="s">
        <v>7171</v>
      </c>
      <c r="L101" s="33" t="s">
        <v>7016</v>
      </c>
      <c r="M101" s="35" t="s">
        <v>7010</v>
      </c>
      <c r="N101" s="43" t="s">
        <v>7011</v>
      </c>
      <c r="P101" s="32" t="s">
        <v>7172</v>
      </c>
      <c r="R101" s="41" t="s">
        <v>7010</v>
      </c>
      <c r="S101" s="43" t="s">
        <v>7011</v>
      </c>
    </row>
    <row r="102" spans="5:19">
      <c r="E102" s="3">
        <v>1</v>
      </c>
      <c r="F102" s="3">
        <v>101</v>
      </c>
      <c r="G102" s="2" t="s">
        <v>7173</v>
      </c>
      <c r="H102" t="s">
        <v>29</v>
      </c>
      <c r="I102" s="3">
        <f t="shared" si="1"/>
        <v>14</v>
      </c>
    </row>
    <row r="103" spans="5:19">
      <c r="E103" s="3">
        <v>1</v>
      </c>
      <c r="F103" s="3">
        <v>102</v>
      </c>
      <c r="G103" s="2" t="s">
        <v>439</v>
      </c>
      <c r="H103" t="s">
        <v>29</v>
      </c>
      <c r="I103" s="3">
        <f t="shared" si="1"/>
        <v>9</v>
      </c>
    </row>
    <row r="104" spans="5:19">
      <c r="E104" s="3">
        <v>1</v>
      </c>
      <c r="F104" s="3">
        <v>103</v>
      </c>
      <c r="G104" s="2" t="s">
        <v>440</v>
      </c>
      <c r="H104" t="s">
        <v>29</v>
      </c>
      <c r="I104" s="3">
        <f t="shared" si="1"/>
        <v>11</v>
      </c>
    </row>
    <row r="105" spans="5:19">
      <c r="E105" s="3">
        <v>1</v>
      </c>
      <c r="F105" s="3">
        <v>104</v>
      </c>
      <c r="G105" s="2" t="s">
        <v>441</v>
      </c>
      <c r="H105" t="s">
        <v>29</v>
      </c>
      <c r="I105" s="3">
        <f t="shared" si="1"/>
        <v>11</v>
      </c>
    </row>
    <row r="106" spans="5:19">
      <c r="E106" s="3">
        <v>1</v>
      </c>
      <c r="F106" s="3">
        <v>105</v>
      </c>
      <c r="G106" s="2" t="s">
        <v>442</v>
      </c>
      <c r="H106" t="s">
        <v>29</v>
      </c>
      <c r="I106" s="3">
        <f t="shared" si="1"/>
        <v>9</v>
      </c>
    </row>
    <row r="107" spans="5:19">
      <c r="E107" s="3">
        <v>1</v>
      </c>
      <c r="F107" s="3">
        <v>106</v>
      </c>
      <c r="G107" s="2" t="s">
        <v>443</v>
      </c>
      <c r="H107" t="s">
        <v>29</v>
      </c>
      <c r="I107" s="3">
        <f t="shared" si="1"/>
        <v>15</v>
      </c>
    </row>
    <row r="108" spans="5:19">
      <c r="E108" s="3">
        <v>1</v>
      </c>
      <c r="F108" s="3">
        <v>107</v>
      </c>
      <c r="G108" s="2" t="s">
        <v>444</v>
      </c>
      <c r="H108" t="s">
        <v>29</v>
      </c>
      <c r="I108" s="3">
        <f t="shared" si="1"/>
        <v>12</v>
      </c>
    </row>
    <row r="109" spans="5:19">
      <c r="E109" s="3">
        <v>1</v>
      </c>
      <c r="F109" s="3">
        <v>108</v>
      </c>
      <c r="G109" s="2" t="s">
        <v>445</v>
      </c>
      <c r="H109" t="s">
        <v>29</v>
      </c>
      <c r="I109" s="3">
        <f t="shared" si="1"/>
        <v>11</v>
      </c>
    </row>
    <row r="110" spans="5:19">
      <c r="E110" s="3">
        <v>1</v>
      </c>
      <c r="F110" s="3">
        <v>109</v>
      </c>
      <c r="G110" s="2" t="s">
        <v>7174</v>
      </c>
      <c r="H110" t="s">
        <v>29</v>
      </c>
      <c r="I110" s="3">
        <f t="shared" si="1"/>
        <v>11</v>
      </c>
    </row>
    <row r="111" spans="5:19">
      <c r="E111" s="3">
        <v>1</v>
      </c>
      <c r="F111" s="3">
        <v>110</v>
      </c>
      <c r="G111" s="2" t="s">
        <v>7175</v>
      </c>
      <c r="H111" t="s">
        <v>29</v>
      </c>
      <c r="I111" s="3">
        <f t="shared" si="1"/>
        <v>11</v>
      </c>
    </row>
    <row r="112" spans="5:19">
      <c r="E112" s="3">
        <v>1</v>
      </c>
      <c r="F112" s="3">
        <v>111</v>
      </c>
      <c r="G112" s="2" t="s">
        <v>448</v>
      </c>
      <c r="H112" t="s">
        <v>29</v>
      </c>
      <c r="I112" s="3">
        <f t="shared" si="1"/>
        <v>15</v>
      </c>
    </row>
    <row r="113" spans="5:9">
      <c r="E113" s="3">
        <v>1</v>
      </c>
      <c r="F113" s="3">
        <v>112</v>
      </c>
      <c r="G113" s="2" t="s">
        <v>449</v>
      </c>
      <c r="H113" t="s">
        <v>29</v>
      </c>
      <c r="I113" s="3">
        <f t="shared" si="1"/>
        <v>15</v>
      </c>
    </row>
    <row r="114" spans="5:9">
      <c r="E114" s="3">
        <v>1</v>
      </c>
      <c r="F114" s="3">
        <v>113</v>
      </c>
      <c r="G114" s="2" t="s">
        <v>7176</v>
      </c>
      <c r="H114" t="s">
        <v>29</v>
      </c>
      <c r="I114" s="3">
        <f t="shared" si="1"/>
        <v>12</v>
      </c>
    </row>
    <row r="115" spans="5:9">
      <c r="E115" s="3">
        <v>1</v>
      </c>
      <c r="F115" s="3">
        <v>114</v>
      </c>
      <c r="G115" s="2" t="s">
        <v>7177</v>
      </c>
      <c r="H115" t="s">
        <v>29</v>
      </c>
      <c r="I115" s="3">
        <f t="shared" si="1"/>
        <v>13</v>
      </c>
    </row>
    <row r="116" spans="5:9">
      <c r="E116" s="3">
        <v>1</v>
      </c>
      <c r="F116" s="3">
        <v>115</v>
      </c>
      <c r="G116" s="2" t="s">
        <v>7178</v>
      </c>
      <c r="H116" t="s">
        <v>29</v>
      </c>
      <c r="I116" s="3">
        <f t="shared" si="1"/>
        <v>14</v>
      </c>
    </row>
    <row r="117" spans="5:9">
      <c r="E117" s="3">
        <v>1</v>
      </c>
      <c r="F117" s="3">
        <v>116</v>
      </c>
      <c r="G117" s="2" t="s">
        <v>453</v>
      </c>
      <c r="H117" t="s">
        <v>29</v>
      </c>
      <c r="I117" s="3">
        <f t="shared" si="1"/>
        <v>12</v>
      </c>
    </row>
    <row r="118" spans="5:9">
      <c r="E118" s="3">
        <v>1</v>
      </c>
      <c r="F118" s="3">
        <v>117</v>
      </c>
      <c r="G118" s="2" t="s">
        <v>7179</v>
      </c>
      <c r="H118" t="s">
        <v>29</v>
      </c>
      <c r="I118" s="3">
        <f t="shared" si="1"/>
        <v>13</v>
      </c>
    </row>
    <row r="119" spans="5:9">
      <c r="E119" s="3">
        <v>1</v>
      </c>
      <c r="F119" s="3">
        <v>118</v>
      </c>
      <c r="G119" s="2" t="s">
        <v>455</v>
      </c>
      <c r="H119" t="s">
        <v>29</v>
      </c>
      <c r="I119" s="3">
        <f t="shared" si="1"/>
        <v>11</v>
      </c>
    </row>
    <row r="120" spans="5:9">
      <c r="E120" s="3">
        <v>1</v>
      </c>
      <c r="F120" s="3">
        <v>119</v>
      </c>
      <c r="G120" s="2" t="s">
        <v>456</v>
      </c>
      <c r="H120" t="s">
        <v>29</v>
      </c>
      <c r="I120" s="3">
        <f t="shared" si="1"/>
        <v>14</v>
      </c>
    </row>
    <row r="121" spans="5:9">
      <c r="E121" s="3">
        <v>1</v>
      </c>
      <c r="F121" s="3">
        <v>120</v>
      </c>
      <c r="G121" s="2" t="s">
        <v>7180</v>
      </c>
      <c r="H121" t="s">
        <v>29</v>
      </c>
      <c r="I121" s="3">
        <f t="shared" si="1"/>
        <v>13</v>
      </c>
    </row>
    <row r="122" spans="5:9">
      <c r="E122" s="3">
        <v>1</v>
      </c>
      <c r="F122" s="3">
        <v>121</v>
      </c>
      <c r="G122" s="2" t="s">
        <v>7181</v>
      </c>
      <c r="H122" t="s">
        <v>29</v>
      </c>
      <c r="I122" s="3">
        <f t="shared" si="1"/>
        <v>13</v>
      </c>
    </row>
    <row r="123" spans="5:9">
      <c r="E123" s="3">
        <v>1</v>
      </c>
      <c r="F123" s="3">
        <v>122</v>
      </c>
      <c r="G123" s="2" t="s">
        <v>459</v>
      </c>
      <c r="H123" t="s">
        <v>29</v>
      </c>
      <c r="I123" s="3">
        <f t="shared" si="1"/>
        <v>15</v>
      </c>
    </row>
    <row r="124" spans="5:9">
      <c r="E124" s="3">
        <v>1</v>
      </c>
      <c r="F124" s="3">
        <v>123</v>
      </c>
      <c r="G124" s="2" t="s">
        <v>7182</v>
      </c>
      <c r="H124" t="s">
        <v>29</v>
      </c>
      <c r="I124" s="3">
        <f t="shared" si="1"/>
        <v>10</v>
      </c>
    </row>
    <row r="125" spans="5:9">
      <c r="E125" s="3">
        <v>1</v>
      </c>
      <c r="F125" s="3">
        <v>124</v>
      </c>
      <c r="G125" s="2" t="s">
        <v>7183</v>
      </c>
      <c r="H125" t="s">
        <v>29</v>
      </c>
      <c r="I125" s="3">
        <f t="shared" si="1"/>
        <v>11</v>
      </c>
    </row>
    <row r="126" spans="5:9">
      <c r="E126" s="3">
        <v>1</v>
      </c>
      <c r="F126" s="3">
        <v>125</v>
      </c>
      <c r="G126" s="2" t="s">
        <v>7184</v>
      </c>
      <c r="H126" t="s">
        <v>29</v>
      </c>
      <c r="I126" s="3">
        <f t="shared" si="1"/>
        <v>11</v>
      </c>
    </row>
    <row r="127" spans="5:9">
      <c r="E127" s="3">
        <v>1</v>
      </c>
      <c r="F127" s="3">
        <v>126</v>
      </c>
      <c r="G127" s="2" t="s">
        <v>7185</v>
      </c>
      <c r="H127" t="s">
        <v>29</v>
      </c>
      <c r="I127" s="3">
        <f t="shared" si="1"/>
        <v>10</v>
      </c>
    </row>
    <row r="128" spans="5:9">
      <c r="E128" s="3">
        <v>1</v>
      </c>
      <c r="F128" s="3">
        <v>127</v>
      </c>
      <c r="G128" s="2" t="s">
        <v>7186</v>
      </c>
      <c r="H128" t="s">
        <v>29</v>
      </c>
      <c r="I128" s="3">
        <f t="shared" si="1"/>
        <v>10</v>
      </c>
    </row>
    <row r="129" spans="5:9">
      <c r="E129" s="3">
        <v>1</v>
      </c>
      <c r="F129" s="3">
        <v>128</v>
      </c>
      <c r="G129" s="2" t="s">
        <v>7187</v>
      </c>
      <c r="H129" t="s">
        <v>29</v>
      </c>
      <c r="I129" s="3">
        <f t="shared" si="1"/>
        <v>13</v>
      </c>
    </row>
    <row r="130" spans="5:9">
      <c r="E130" s="3">
        <v>1</v>
      </c>
      <c r="F130" s="3">
        <v>129</v>
      </c>
      <c r="G130" s="9" t="s">
        <v>466</v>
      </c>
      <c r="H130" t="s">
        <v>29</v>
      </c>
      <c r="I130" s="3">
        <f t="shared" ref="I130:I193" si="2">LEN(G130)</f>
        <v>8</v>
      </c>
    </row>
    <row r="131" spans="5:9">
      <c r="E131" s="3">
        <v>1</v>
      </c>
      <c r="F131" s="3">
        <v>130</v>
      </c>
      <c r="G131" s="2" t="s">
        <v>467</v>
      </c>
      <c r="H131" t="s">
        <v>29</v>
      </c>
      <c r="I131" s="3">
        <f t="shared" si="2"/>
        <v>14</v>
      </c>
    </row>
    <row r="132" spans="5:9">
      <c r="E132" s="3">
        <v>1</v>
      </c>
      <c r="F132" s="3">
        <v>131</v>
      </c>
      <c r="G132" s="2" t="s">
        <v>468</v>
      </c>
      <c r="H132" t="s">
        <v>29</v>
      </c>
      <c r="I132" s="3">
        <f t="shared" si="2"/>
        <v>17</v>
      </c>
    </row>
    <row r="133" spans="5:9">
      <c r="E133" s="3">
        <v>1</v>
      </c>
      <c r="F133" s="3">
        <v>132</v>
      </c>
      <c r="G133" s="2" t="s">
        <v>7188</v>
      </c>
      <c r="H133" t="s">
        <v>29</v>
      </c>
      <c r="I133" s="3">
        <f t="shared" si="2"/>
        <v>11</v>
      </c>
    </row>
    <row r="134" spans="5:9">
      <c r="E134" s="3">
        <v>1</v>
      </c>
      <c r="F134" s="3">
        <v>133</v>
      </c>
      <c r="G134" s="2" t="s">
        <v>470</v>
      </c>
      <c r="H134" t="s">
        <v>29</v>
      </c>
      <c r="I134" s="3">
        <f t="shared" si="2"/>
        <v>15</v>
      </c>
    </row>
    <row r="135" spans="5:9">
      <c r="E135" s="3">
        <v>1</v>
      </c>
      <c r="F135" s="3">
        <v>134</v>
      </c>
      <c r="G135" s="2" t="s">
        <v>7189</v>
      </c>
      <c r="H135" t="s">
        <v>29</v>
      </c>
      <c r="I135" s="3">
        <f t="shared" si="2"/>
        <v>17</v>
      </c>
    </row>
    <row r="136" spans="5:9">
      <c r="E136" s="3">
        <v>1</v>
      </c>
      <c r="F136" s="3">
        <v>135</v>
      </c>
      <c r="G136" s="2" t="s">
        <v>472</v>
      </c>
      <c r="H136" t="s">
        <v>29</v>
      </c>
      <c r="I136" s="3">
        <f t="shared" si="2"/>
        <v>11</v>
      </c>
    </row>
    <row r="137" spans="5:9">
      <c r="E137" s="3">
        <v>1</v>
      </c>
      <c r="F137" s="3">
        <v>136</v>
      </c>
      <c r="G137" s="2" t="s">
        <v>473</v>
      </c>
      <c r="H137" t="s">
        <v>29</v>
      </c>
      <c r="I137" s="3">
        <f t="shared" si="2"/>
        <v>15</v>
      </c>
    </row>
    <row r="138" spans="5:9">
      <c r="E138" s="3">
        <v>1</v>
      </c>
      <c r="F138" s="3">
        <v>137</v>
      </c>
      <c r="G138" s="2" t="s">
        <v>474</v>
      </c>
      <c r="H138" t="s">
        <v>29</v>
      </c>
      <c r="I138" s="3">
        <f t="shared" si="2"/>
        <v>15</v>
      </c>
    </row>
    <row r="139" spans="5:9">
      <c r="E139" s="3">
        <v>1</v>
      </c>
      <c r="F139" s="3">
        <v>138</v>
      </c>
      <c r="G139" s="2" t="s">
        <v>7190</v>
      </c>
      <c r="H139" t="s">
        <v>29</v>
      </c>
      <c r="I139" s="3">
        <f t="shared" si="2"/>
        <v>12</v>
      </c>
    </row>
    <row r="140" spans="5:9">
      <c r="E140" s="3">
        <v>1</v>
      </c>
      <c r="F140" s="3">
        <v>139</v>
      </c>
      <c r="G140" s="2" t="s">
        <v>476</v>
      </c>
      <c r="H140" t="s">
        <v>29</v>
      </c>
      <c r="I140" s="3">
        <f t="shared" si="2"/>
        <v>9</v>
      </c>
    </row>
    <row r="141" spans="5:9">
      <c r="E141" s="3">
        <v>1</v>
      </c>
      <c r="F141" s="3">
        <v>140</v>
      </c>
      <c r="G141" s="2" t="s">
        <v>7191</v>
      </c>
      <c r="H141" t="s">
        <v>29</v>
      </c>
      <c r="I141" s="3">
        <f t="shared" si="2"/>
        <v>15</v>
      </c>
    </row>
    <row r="142" spans="5:9">
      <c r="E142" s="3">
        <v>1</v>
      </c>
      <c r="F142" s="3">
        <v>141</v>
      </c>
      <c r="G142" s="2" t="s">
        <v>7192</v>
      </c>
      <c r="H142" t="s">
        <v>29</v>
      </c>
      <c r="I142" s="3">
        <f t="shared" si="2"/>
        <v>18</v>
      </c>
    </row>
    <row r="143" spans="5:9">
      <c r="E143" s="3">
        <v>1</v>
      </c>
      <c r="F143" s="3">
        <v>142</v>
      </c>
      <c r="G143" s="2" t="s">
        <v>479</v>
      </c>
      <c r="H143" t="s">
        <v>29</v>
      </c>
      <c r="I143" s="3">
        <f t="shared" si="2"/>
        <v>12</v>
      </c>
    </row>
    <row r="144" spans="5:9">
      <c r="E144" s="3">
        <v>1</v>
      </c>
      <c r="F144" s="3">
        <v>143</v>
      </c>
      <c r="G144" s="2" t="s">
        <v>480</v>
      </c>
      <c r="H144" t="s">
        <v>29</v>
      </c>
      <c r="I144" s="3">
        <f t="shared" si="2"/>
        <v>10</v>
      </c>
    </row>
    <row r="145" spans="5:9">
      <c r="E145" s="3">
        <v>1</v>
      </c>
      <c r="F145" s="3">
        <v>144</v>
      </c>
      <c r="G145" s="2" t="s">
        <v>481</v>
      </c>
      <c r="H145" t="s">
        <v>29</v>
      </c>
      <c r="I145" s="3">
        <f t="shared" si="2"/>
        <v>10</v>
      </c>
    </row>
    <row r="146" spans="5:9">
      <c r="E146" s="3">
        <v>1</v>
      </c>
      <c r="F146" s="3">
        <v>145</v>
      </c>
      <c r="G146" s="2" t="s">
        <v>7193</v>
      </c>
      <c r="H146" t="s">
        <v>29</v>
      </c>
      <c r="I146" s="3">
        <f t="shared" si="2"/>
        <v>18</v>
      </c>
    </row>
    <row r="147" spans="5:9">
      <c r="E147" s="3">
        <v>1</v>
      </c>
      <c r="F147" s="3">
        <v>146</v>
      </c>
      <c r="G147" s="2" t="s">
        <v>483</v>
      </c>
      <c r="H147" t="s">
        <v>29</v>
      </c>
      <c r="I147" s="3">
        <f t="shared" si="2"/>
        <v>11</v>
      </c>
    </row>
    <row r="148" spans="5:9">
      <c r="E148" s="3">
        <v>1</v>
      </c>
      <c r="F148" s="3">
        <v>147</v>
      </c>
      <c r="G148" s="2" t="s">
        <v>7194</v>
      </c>
      <c r="H148" t="s">
        <v>29</v>
      </c>
      <c r="I148" s="3">
        <f t="shared" si="2"/>
        <v>11</v>
      </c>
    </row>
    <row r="149" spans="5:9">
      <c r="E149" s="3">
        <v>1</v>
      </c>
      <c r="F149" s="3">
        <v>148</v>
      </c>
      <c r="G149" s="2" t="s">
        <v>7195</v>
      </c>
      <c r="H149" t="s">
        <v>29</v>
      </c>
      <c r="I149" s="3">
        <f t="shared" si="2"/>
        <v>10</v>
      </c>
    </row>
    <row r="150" spans="5:9">
      <c r="E150" s="3">
        <v>1</v>
      </c>
      <c r="F150" s="3">
        <v>149</v>
      </c>
      <c r="G150" s="2" t="s">
        <v>7196</v>
      </c>
      <c r="H150" t="s">
        <v>29</v>
      </c>
      <c r="I150" s="3">
        <f t="shared" si="2"/>
        <v>8</v>
      </c>
    </row>
    <row r="151" spans="5:9">
      <c r="E151" s="3">
        <v>1</v>
      </c>
      <c r="F151" s="3">
        <v>150</v>
      </c>
      <c r="G151" s="2" t="s">
        <v>7197</v>
      </c>
      <c r="H151" t="s">
        <v>29</v>
      </c>
      <c r="I151" s="3">
        <f t="shared" si="2"/>
        <v>13</v>
      </c>
    </row>
    <row r="152" spans="5:9">
      <c r="E152" s="3">
        <v>1</v>
      </c>
      <c r="F152" s="3">
        <v>151</v>
      </c>
      <c r="G152" s="2" t="s">
        <v>7198</v>
      </c>
      <c r="H152" t="s">
        <v>29</v>
      </c>
      <c r="I152" s="3">
        <f t="shared" si="2"/>
        <v>9</v>
      </c>
    </row>
    <row r="153" spans="5:9">
      <c r="E153" s="3">
        <v>1</v>
      </c>
      <c r="F153" s="3">
        <v>152</v>
      </c>
      <c r="G153" s="2" t="s">
        <v>7199</v>
      </c>
      <c r="H153" t="s">
        <v>29</v>
      </c>
      <c r="I153" s="3">
        <f t="shared" si="2"/>
        <v>9</v>
      </c>
    </row>
    <row r="154" spans="5:9">
      <c r="E154" s="3">
        <v>1</v>
      </c>
      <c r="F154" s="3">
        <v>153</v>
      </c>
      <c r="G154" s="2" t="s">
        <v>7200</v>
      </c>
      <c r="H154" t="s">
        <v>29</v>
      </c>
      <c r="I154" s="3">
        <f t="shared" si="2"/>
        <v>11</v>
      </c>
    </row>
    <row r="155" spans="5:9">
      <c r="E155" s="3">
        <v>1</v>
      </c>
      <c r="F155" s="3">
        <v>154</v>
      </c>
      <c r="G155" s="2" t="s">
        <v>7201</v>
      </c>
      <c r="H155" t="s">
        <v>29</v>
      </c>
      <c r="I155" s="3">
        <f t="shared" si="2"/>
        <v>14</v>
      </c>
    </row>
    <row r="156" spans="5:9">
      <c r="E156" s="3">
        <v>1</v>
      </c>
      <c r="F156" s="3">
        <v>155</v>
      </c>
      <c r="G156" s="2" t="s">
        <v>7202</v>
      </c>
      <c r="H156" t="s">
        <v>29</v>
      </c>
      <c r="I156" s="3">
        <f t="shared" si="2"/>
        <v>14</v>
      </c>
    </row>
    <row r="157" spans="5:9">
      <c r="E157" s="3">
        <v>1</v>
      </c>
      <c r="F157" s="3">
        <v>156</v>
      </c>
      <c r="G157" s="2" t="s">
        <v>7203</v>
      </c>
      <c r="H157" t="s">
        <v>29</v>
      </c>
      <c r="I157" s="3">
        <f t="shared" si="2"/>
        <v>10</v>
      </c>
    </row>
    <row r="158" spans="5:9">
      <c r="E158" s="3">
        <v>1</v>
      </c>
      <c r="F158" s="3">
        <v>157</v>
      </c>
      <c r="G158" s="2" t="s">
        <v>7204</v>
      </c>
      <c r="H158" t="s">
        <v>29</v>
      </c>
      <c r="I158" s="3">
        <f t="shared" si="2"/>
        <v>17</v>
      </c>
    </row>
    <row r="159" spans="5:9">
      <c r="E159" s="3">
        <v>1</v>
      </c>
      <c r="F159" s="3">
        <v>158</v>
      </c>
      <c r="G159" s="2" t="s">
        <v>7205</v>
      </c>
      <c r="H159" t="s">
        <v>29</v>
      </c>
      <c r="I159" s="3">
        <f t="shared" si="2"/>
        <v>12</v>
      </c>
    </row>
    <row r="160" spans="5:9">
      <c r="E160" s="3">
        <v>1</v>
      </c>
      <c r="F160" s="3">
        <v>159</v>
      </c>
      <c r="G160" s="2" t="s">
        <v>7206</v>
      </c>
      <c r="H160" t="s">
        <v>29</v>
      </c>
      <c r="I160" s="3">
        <f t="shared" si="2"/>
        <v>11</v>
      </c>
    </row>
    <row r="161" spans="5:9">
      <c r="E161" s="3">
        <v>1</v>
      </c>
      <c r="F161" s="3">
        <v>160</v>
      </c>
      <c r="G161" s="2" t="s">
        <v>7207</v>
      </c>
      <c r="H161" t="s">
        <v>29</v>
      </c>
      <c r="I161" s="3">
        <f t="shared" si="2"/>
        <v>11</v>
      </c>
    </row>
    <row r="162" spans="5:9">
      <c r="E162" s="3">
        <v>1</v>
      </c>
      <c r="F162" s="3">
        <v>161</v>
      </c>
      <c r="G162" s="2" t="s">
        <v>7208</v>
      </c>
      <c r="H162" t="s">
        <v>29</v>
      </c>
      <c r="I162" s="3">
        <f t="shared" si="2"/>
        <v>10</v>
      </c>
    </row>
    <row r="163" spans="5:9">
      <c r="E163" s="3">
        <v>1</v>
      </c>
      <c r="F163" s="3">
        <v>162</v>
      </c>
      <c r="G163" s="2" t="s">
        <v>7209</v>
      </c>
      <c r="H163" t="s">
        <v>29</v>
      </c>
      <c r="I163" s="3">
        <f t="shared" si="2"/>
        <v>16</v>
      </c>
    </row>
    <row r="164" spans="5:9">
      <c r="E164" s="3">
        <v>1</v>
      </c>
      <c r="F164" s="3">
        <v>163</v>
      </c>
      <c r="G164" s="2" t="s">
        <v>500</v>
      </c>
      <c r="H164" t="s">
        <v>29</v>
      </c>
      <c r="I164" s="3">
        <f t="shared" si="2"/>
        <v>8</v>
      </c>
    </row>
    <row r="165" spans="5:9">
      <c r="E165" s="3">
        <v>1</v>
      </c>
      <c r="F165" s="3">
        <v>164</v>
      </c>
      <c r="G165" s="2" t="s">
        <v>501</v>
      </c>
      <c r="H165" t="s">
        <v>29</v>
      </c>
      <c r="I165" s="3">
        <f t="shared" si="2"/>
        <v>9</v>
      </c>
    </row>
    <row r="166" spans="5:9">
      <c r="E166" s="3">
        <v>1</v>
      </c>
      <c r="F166" s="3">
        <v>165</v>
      </c>
      <c r="G166" s="2" t="s">
        <v>7210</v>
      </c>
      <c r="H166" t="s">
        <v>29</v>
      </c>
      <c r="I166" s="3">
        <f t="shared" si="2"/>
        <v>13</v>
      </c>
    </row>
    <row r="167" spans="5:9">
      <c r="E167" s="3">
        <v>1</v>
      </c>
      <c r="F167" s="3">
        <v>166</v>
      </c>
      <c r="G167" s="2" t="s">
        <v>503</v>
      </c>
      <c r="H167" t="s">
        <v>29</v>
      </c>
      <c r="I167" s="3">
        <f t="shared" si="2"/>
        <v>10</v>
      </c>
    </row>
    <row r="168" spans="5:9">
      <c r="E168" s="3">
        <v>1</v>
      </c>
      <c r="F168" s="3">
        <v>167</v>
      </c>
      <c r="G168" s="2" t="s">
        <v>504</v>
      </c>
      <c r="H168" t="s">
        <v>29</v>
      </c>
      <c r="I168" s="3">
        <f t="shared" si="2"/>
        <v>10</v>
      </c>
    </row>
    <row r="169" spans="5:9">
      <c r="E169" s="3">
        <v>1</v>
      </c>
      <c r="F169" s="3">
        <v>168</v>
      </c>
      <c r="G169" s="2" t="s">
        <v>7211</v>
      </c>
      <c r="H169" t="s">
        <v>29</v>
      </c>
      <c r="I169" s="3">
        <f t="shared" si="2"/>
        <v>12</v>
      </c>
    </row>
    <row r="170" spans="5:9">
      <c r="E170" s="3">
        <v>1</v>
      </c>
      <c r="F170" s="3">
        <v>169</v>
      </c>
      <c r="G170" s="5" t="s">
        <v>506</v>
      </c>
      <c r="H170" t="s">
        <v>29</v>
      </c>
      <c r="I170" s="3">
        <f t="shared" si="2"/>
        <v>13</v>
      </c>
    </row>
    <row r="171" spans="5:9">
      <c r="E171" s="3">
        <v>1</v>
      </c>
      <c r="F171" s="3">
        <v>170</v>
      </c>
      <c r="G171" s="2" t="s">
        <v>507</v>
      </c>
      <c r="H171" t="s">
        <v>29</v>
      </c>
      <c r="I171" s="3">
        <f t="shared" si="2"/>
        <v>10</v>
      </c>
    </row>
    <row r="172" spans="5:9">
      <c r="E172" s="3">
        <v>1</v>
      </c>
      <c r="F172" s="3">
        <v>171</v>
      </c>
      <c r="G172" s="2" t="s">
        <v>7212</v>
      </c>
      <c r="H172" t="s">
        <v>29</v>
      </c>
      <c r="I172" s="3">
        <f t="shared" si="2"/>
        <v>15</v>
      </c>
    </row>
    <row r="173" spans="5:9">
      <c r="E173" s="3">
        <v>1</v>
      </c>
      <c r="F173" s="3">
        <v>172</v>
      </c>
      <c r="G173" s="2" t="s">
        <v>7213</v>
      </c>
      <c r="H173" t="s">
        <v>29</v>
      </c>
      <c r="I173" s="3">
        <f t="shared" si="2"/>
        <v>12</v>
      </c>
    </row>
    <row r="174" spans="5:9">
      <c r="E174" s="3">
        <v>1</v>
      </c>
      <c r="F174" s="3">
        <v>173</v>
      </c>
      <c r="G174" s="2" t="s">
        <v>7214</v>
      </c>
      <c r="H174" t="s">
        <v>29</v>
      </c>
      <c r="I174" s="3">
        <f t="shared" si="2"/>
        <v>9</v>
      </c>
    </row>
    <row r="175" spans="5:9">
      <c r="E175" s="3">
        <v>1</v>
      </c>
      <c r="F175" s="3">
        <v>174</v>
      </c>
      <c r="G175" s="2" t="s">
        <v>511</v>
      </c>
      <c r="H175" t="s">
        <v>29</v>
      </c>
      <c r="I175" s="3">
        <f t="shared" si="2"/>
        <v>11</v>
      </c>
    </row>
    <row r="176" spans="5:9">
      <c r="E176" s="3">
        <v>1</v>
      </c>
      <c r="F176" s="3">
        <v>175</v>
      </c>
      <c r="G176" s="2" t="s">
        <v>7215</v>
      </c>
      <c r="H176" t="s">
        <v>29</v>
      </c>
      <c r="I176" s="3">
        <f t="shared" si="2"/>
        <v>11</v>
      </c>
    </row>
    <row r="177" spans="5:9">
      <c r="E177" s="3">
        <v>1</v>
      </c>
      <c r="F177" s="3">
        <v>176</v>
      </c>
      <c r="G177" s="2" t="s">
        <v>7216</v>
      </c>
      <c r="H177" t="s">
        <v>29</v>
      </c>
      <c r="I177" s="3">
        <f t="shared" si="2"/>
        <v>12</v>
      </c>
    </row>
    <row r="178" spans="5:9">
      <c r="E178" s="3">
        <v>1</v>
      </c>
      <c r="F178" s="3">
        <v>177</v>
      </c>
      <c r="G178" s="2" t="s">
        <v>7217</v>
      </c>
      <c r="H178" t="s">
        <v>29</v>
      </c>
      <c r="I178" s="3">
        <f t="shared" si="2"/>
        <v>15</v>
      </c>
    </row>
    <row r="179" spans="5:9">
      <c r="E179" s="3">
        <v>1</v>
      </c>
      <c r="F179" s="3">
        <v>178</v>
      </c>
      <c r="G179" s="2" t="s">
        <v>7218</v>
      </c>
      <c r="H179" t="s">
        <v>29</v>
      </c>
      <c r="I179" s="3">
        <f t="shared" si="2"/>
        <v>11</v>
      </c>
    </row>
    <row r="180" spans="5:9">
      <c r="E180" s="3">
        <v>1</v>
      </c>
      <c r="F180" s="3">
        <v>179</v>
      </c>
      <c r="G180" s="2" t="s">
        <v>516</v>
      </c>
      <c r="H180" t="s">
        <v>29</v>
      </c>
      <c r="I180" s="3">
        <f t="shared" si="2"/>
        <v>13</v>
      </c>
    </row>
    <row r="181" spans="5:9">
      <c r="E181" s="3">
        <v>1</v>
      </c>
      <c r="F181" s="3">
        <v>180</v>
      </c>
      <c r="G181" s="2" t="s">
        <v>517</v>
      </c>
      <c r="H181" t="s">
        <v>29</v>
      </c>
      <c r="I181" s="3">
        <f t="shared" si="2"/>
        <v>11</v>
      </c>
    </row>
    <row r="182" spans="5:9">
      <c r="E182" s="3">
        <v>1</v>
      </c>
      <c r="F182" s="3">
        <v>181</v>
      </c>
      <c r="G182" s="2" t="s">
        <v>518</v>
      </c>
      <c r="H182" t="s">
        <v>29</v>
      </c>
      <c r="I182" s="3">
        <f t="shared" si="2"/>
        <v>14</v>
      </c>
    </row>
    <row r="183" spans="5:9">
      <c r="E183" s="3">
        <v>1</v>
      </c>
      <c r="F183" s="3">
        <v>182</v>
      </c>
      <c r="G183" s="2" t="s">
        <v>519</v>
      </c>
      <c r="H183" t="s">
        <v>29</v>
      </c>
      <c r="I183" s="3">
        <f t="shared" si="2"/>
        <v>14</v>
      </c>
    </row>
    <row r="184" spans="5:9">
      <c r="E184" s="3">
        <v>1</v>
      </c>
      <c r="F184" s="3">
        <v>183</v>
      </c>
      <c r="G184" s="2" t="s">
        <v>7219</v>
      </c>
      <c r="H184" t="s">
        <v>29</v>
      </c>
      <c r="I184" s="3">
        <f t="shared" si="2"/>
        <v>9</v>
      </c>
    </row>
    <row r="185" spans="5:9">
      <c r="E185" s="3">
        <v>1</v>
      </c>
      <c r="F185" s="3">
        <v>184</v>
      </c>
      <c r="G185" s="2" t="s">
        <v>7220</v>
      </c>
      <c r="H185" t="s">
        <v>29</v>
      </c>
      <c r="I185" s="3">
        <f t="shared" si="2"/>
        <v>15</v>
      </c>
    </row>
    <row r="186" spans="5:9">
      <c r="E186" s="3">
        <v>1</v>
      </c>
      <c r="F186" s="3">
        <v>185</v>
      </c>
      <c r="G186" s="2" t="s">
        <v>7221</v>
      </c>
      <c r="H186" t="s">
        <v>29</v>
      </c>
      <c r="I186" s="3">
        <f t="shared" si="2"/>
        <v>12</v>
      </c>
    </row>
    <row r="187" spans="5:9">
      <c r="E187" s="3">
        <v>1</v>
      </c>
      <c r="F187" s="3">
        <v>186</v>
      </c>
      <c r="G187" s="2" t="s">
        <v>523</v>
      </c>
      <c r="H187" t="s">
        <v>29</v>
      </c>
      <c r="I187" s="3">
        <f t="shared" si="2"/>
        <v>10</v>
      </c>
    </row>
    <row r="188" spans="5:9">
      <c r="E188" s="3">
        <v>1</v>
      </c>
      <c r="F188" s="3">
        <v>187</v>
      </c>
      <c r="G188" s="2" t="s">
        <v>524</v>
      </c>
      <c r="H188" t="s">
        <v>29</v>
      </c>
      <c r="I188" s="3">
        <f t="shared" si="2"/>
        <v>8</v>
      </c>
    </row>
    <row r="189" spans="5:9">
      <c r="E189" s="3">
        <v>1</v>
      </c>
      <c r="F189" s="3">
        <v>188</v>
      </c>
      <c r="G189" s="2" t="s">
        <v>7222</v>
      </c>
      <c r="H189" t="s">
        <v>29</v>
      </c>
      <c r="I189" s="3">
        <f t="shared" si="2"/>
        <v>14</v>
      </c>
    </row>
    <row r="190" spans="5:9">
      <c r="E190" s="3">
        <v>1</v>
      </c>
      <c r="F190" s="3">
        <v>189</v>
      </c>
      <c r="G190" s="2" t="s">
        <v>7223</v>
      </c>
      <c r="H190" t="s">
        <v>29</v>
      </c>
      <c r="I190" s="3">
        <f t="shared" si="2"/>
        <v>10</v>
      </c>
    </row>
    <row r="191" spans="5:9">
      <c r="E191" s="3">
        <v>1</v>
      </c>
      <c r="F191" s="3">
        <v>190</v>
      </c>
      <c r="G191" s="9" t="s">
        <v>527</v>
      </c>
      <c r="H191" t="s">
        <v>29</v>
      </c>
      <c r="I191" s="3">
        <f t="shared" si="2"/>
        <v>13</v>
      </c>
    </row>
    <row r="192" spans="5:9">
      <c r="E192" s="3">
        <v>1</v>
      </c>
      <c r="F192" s="3">
        <v>191</v>
      </c>
      <c r="G192" s="2" t="s">
        <v>7224</v>
      </c>
      <c r="H192" t="s">
        <v>29</v>
      </c>
      <c r="I192" s="3">
        <f t="shared" si="2"/>
        <v>13</v>
      </c>
    </row>
    <row r="193" spans="5:9">
      <c r="E193" s="3">
        <v>1</v>
      </c>
      <c r="F193" s="3">
        <v>192</v>
      </c>
      <c r="G193" s="2" t="s">
        <v>7225</v>
      </c>
      <c r="H193" t="s">
        <v>29</v>
      </c>
      <c r="I193" s="3">
        <f t="shared" si="2"/>
        <v>7</v>
      </c>
    </row>
    <row r="194" spans="5:9">
      <c r="E194" s="3">
        <v>1</v>
      </c>
      <c r="F194" s="3">
        <v>193</v>
      </c>
      <c r="G194" s="2" t="s">
        <v>530</v>
      </c>
      <c r="H194" t="s">
        <v>29</v>
      </c>
      <c r="I194" s="3">
        <f t="shared" ref="I194:I257" si="3">LEN(G194)</f>
        <v>10</v>
      </c>
    </row>
    <row r="195" spans="5:9">
      <c r="E195" s="3">
        <v>1</v>
      </c>
      <c r="F195" s="3">
        <v>194</v>
      </c>
      <c r="G195" s="2" t="s">
        <v>7226</v>
      </c>
      <c r="H195" t="s">
        <v>29</v>
      </c>
      <c r="I195" s="3">
        <f t="shared" si="3"/>
        <v>12</v>
      </c>
    </row>
    <row r="196" spans="5:9">
      <c r="E196" s="3">
        <v>1</v>
      </c>
      <c r="F196" s="3">
        <v>195</v>
      </c>
      <c r="G196" s="2" t="s">
        <v>532</v>
      </c>
      <c r="H196" t="s">
        <v>29</v>
      </c>
      <c r="I196" s="3">
        <f t="shared" si="3"/>
        <v>12</v>
      </c>
    </row>
    <row r="197" spans="5:9">
      <c r="E197" s="3">
        <v>1</v>
      </c>
      <c r="F197" s="3">
        <v>196</v>
      </c>
      <c r="G197" s="2" t="s">
        <v>7227</v>
      </c>
      <c r="H197" t="s">
        <v>29</v>
      </c>
      <c r="I197" s="3">
        <f t="shared" si="3"/>
        <v>9</v>
      </c>
    </row>
    <row r="198" spans="5:9">
      <c r="E198" s="3">
        <v>1</v>
      </c>
      <c r="F198" s="3">
        <v>197</v>
      </c>
      <c r="G198" s="2" t="s">
        <v>534</v>
      </c>
      <c r="H198" t="s">
        <v>29</v>
      </c>
      <c r="I198" s="3">
        <f t="shared" si="3"/>
        <v>10</v>
      </c>
    </row>
    <row r="199" spans="5:9">
      <c r="E199" s="3">
        <v>1</v>
      </c>
      <c r="F199" s="3">
        <v>198</v>
      </c>
      <c r="G199" s="2" t="s">
        <v>7228</v>
      </c>
      <c r="H199" t="s">
        <v>29</v>
      </c>
      <c r="I199" s="3">
        <f t="shared" si="3"/>
        <v>12</v>
      </c>
    </row>
    <row r="200" spans="5:9">
      <c r="E200" s="3">
        <v>1</v>
      </c>
      <c r="F200" s="3">
        <v>199</v>
      </c>
      <c r="G200" s="2" t="s">
        <v>7229</v>
      </c>
      <c r="H200" t="s">
        <v>29</v>
      </c>
      <c r="I200" s="3">
        <f t="shared" si="3"/>
        <v>8</v>
      </c>
    </row>
    <row r="201" spans="5:9">
      <c r="E201" s="3">
        <v>1</v>
      </c>
      <c r="F201" s="3">
        <v>200</v>
      </c>
      <c r="G201" s="2" t="s">
        <v>7230</v>
      </c>
      <c r="H201" t="s">
        <v>29</v>
      </c>
      <c r="I201" s="3">
        <f t="shared" si="3"/>
        <v>13</v>
      </c>
    </row>
    <row r="202" spans="5:9">
      <c r="E202" s="3">
        <v>1</v>
      </c>
      <c r="F202" s="3">
        <v>201</v>
      </c>
      <c r="G202" s="2" t="s">
        <v>7231</v>
      </c>
      <c r="H202" t="s">
        <v>29</v>
      </c>
      <c r="I202" s="3">
        <f t="shared" si="3"/>
        <v>10</v>
      </c>
    </row>
    <row r="203" spans="5:9">
      <c r="E203" s="3">
        <v>1</v>
      </c>
      <c r="F203" s="3">
        <v>202</v>
      </c>
      <c r="G203" s="2" t="s">
        <v>7232</v>
      </c>
      <c r="H203" t="s">
        <v>29</v>
      </c>
      <c r="I203" s="3">
        <f t="shared" si="3"/>
        <v>13</v>
      </c>
    </row>
    <row r="204" spans="5:9">
      <c r="E204" s="3">
        <v>1</v>
      </c>
      <c r="F204" s="3">
        <v>203</v>
      </c>
      <c r="G204" s="2" t="s">
        <v>7233</v>
      </c>
      <c r="H204" t="s">
        <v>29</v>
      </c>
      <c r="I204" s="3">
        <f t="shared" si="3"/>
        <v>14</v>
      </c>
    </row>
    <row r="205" spans="5:9">
      <c r="E205" s="3">
        <v>1</v>
      </c>
      <c r="F205" s="3">
        <v>204</v>
      </c>
      <c r="G205" s="2" t="s">
        <v>7234</v>
      </c>
      <c r="H205" t="s">
        <v>29</v>
      </c>
      <c r="I205" s="3">
        <f t="shared" si="3"/>
        <v>12</v>
      </c>
    </row>
    <row r="206" spans="5:9">
      <c r="E206" s="3">
        <v>1</v>
      </c>
      <c r="F206" s="3">
        <v>205</v>
      </c>
      <c r="G206" s="2" t="s">
        <v>7235</v>
      </c>
      <c r="H206" t="s">
        <v>29</v>
      </c>
      <c r="I206" s="3">
        <f t="shared" si="3"/>
        <v>15</v>
      </c>
    </row>
    <row r="207" spans="5:9">
      <c r="E207" s="3">
        <v>1</v>
      </c>
      <c r="F207" s="3">
        <v>206</v>
      </c>
      <c r="G207" s="2" t="s">
        <v>543</v>
      </c>
      <c r="H207" t="s">
        <v>29</v>
      </c>
      <c r="I207" s="3">
        <f t="shared" si="3"/>
        <v>11</v>
      </c>
    </row>
    <row r="208" spans="5:9">
      <c r="E208" s="3">
        <v>1</v>
      </c>
      <c r="F208" s="3">
        <v>207</v>
      </c>
      <c r="G208" s="2" t="s">
        <v>7236</v>
      </c>
      <c r="H208" t="s">
        <v>29</v>
      </c>
      <c r="I208" s="3">
        <f t="shared" si="3"/>
        <v>9</v>
      </c>
    </row>
    <row r="209" spans="5:9">
      <c r="E209" s="3">
        <v>1</v>
      </c>
      <c r="F209" s="3">
        <v>208</v>
      </c>
      <c r="G209" s="2" t="s">
        <v>545</v>
      </c>
      <c r="H209" t="s">
        <v>29</v>
      </c>
      <c r="I209" s="3">
        <f t="shared" si="3"/>
        <v>10</v>
      </c>
    </row>
    <row r="210" spans="5:9">
      <c r="E210" s="3">
        <v>1</v>
      </c>
      <c r="F210" s="3">
        <v>209</v>
      </c>
      <c r="G210" s="2" t="s">
        <v>7237</v>
      </c>
      <c r="H210" t="s">
        <v>29</v>
      </c>
      <c r="I210" s="3">
        <f t="shared" si="3"/>
        <v>10</v>
      </c>
    </row>
    <row r="211" spans="5:9">
      <c r="E211" s="3">
        <v>1</v>
      </c>
      <c r="F211" s="3">
        <v>210</v>
      </c>
      <c r="G211" s="9" t="s">
        <v>547</v>
      </c>
      <c r="H211" t="s">
        <v>29</v>
      </c>
      <c r="I211" s="3">
        <f t="shared" si="3"/>
        <v>8</v>
      </c>
    </row>
    <row r="212" spans="5:9">
      <c r="E212" s="3">
        <v>1</v>
      </c>
      <c r="F212" s="3">
        <v>211</v>
      </c>
      <c r="G212" s="2" t="s">
        <v>548</v>
      </c>
      <c r="H212" t="s">
        <v>29</v>
      </c>
      <c r="I212" s="3">
        <f t="shared" si="3"/>
        <v>9</v>
      </c>
    </row>
    <row r="213" spans="5:9">
      <c r="E213" s="3">
        <v>1</v>
      </c>
      <c r="F213" s="3">
        <v>212</v>
      </c>
      <c r="G213" s="2" t="s">
        <v>7238</v>
      </c>
      <c r="H213" t="s">
        <v>29</v>
      </c>
      <c r="I213" s="3">
        <f t="shared" si="3"/>
        <v>11</v>
      </c>
    </row>
    <row r="214" spans="5:9">
      <c r="E214" s="3">
        <v>1</v>
      </c>
      <c r="F214" s="3">
        <v>213</v>
      </c>
      <c r="G214" s="2" t="s">
        <v>550</v>
      </c>
      <c r="H214" t="s">
        <v>29</v>
      </c>
      <c r="I214" s="3">
        <f t="shared" si="3"/>
        <v>9</v>
      </c>
    </row>
    <row r="215" spans="5:9">
      <c r="E215" s="3">
        <v>1</v>
      </c>
      <c r="F215" s="3">
        <v>214</v>
      </c>
      <c r="G215" s="2" t="s">
        <v>7239</v>
      </c>
      <c r="H215" t="s">
        <v>29</v>
      </c>
      <c r="I215" s="3">
        <f t="shared" si="3"/>
        <v>11</v>
      </c>
    </row>
    <row r="216" spans="5:9">
      <c r="E216" s="3">
        <v>1</v>
      </c>
      <c r="F216" s="3">
        <v>215</v>
      </c>
      <c r="G216" s="2" t="s">
        <v>552</v>
      </c>
      <c r="H216" t="s">
        <v>29</v>
      </c>
      <c r="I216" s="3">
        <f t="shared" si="3"/>
        <v>11</v>
      </c>
    </row>
    <row r="217" spans="5:9">
      <c r="E217" s="3">
        <v>1</v>
      </c>
      <c r="F217" s="3">
        <v>216</v>
      </c>
      <c r="G217" s="2" t="s">
        <v>7240</v>
      </c>
      <c r="H217" t="s">
        <v>29</v>
      </c>
      <c r="I217" s="3">
        <f t="shared" si="3"/>
        <v>12</v>
      </c>
    </row>
    <row r="218" spans="5:9">
      <c r="E218" s="3">
        <v>1</v>
      </c>
      <c r="F218" s="3">
        <v>217</v>
      </c>
      <c r="G218" s="2" t="s">
        <v>554</v>
      </c>
      <c r="H218" t="s">
        <v>29</v>
      </c>
      <c r="I218" s="3">
        <f t="shared" si="3"/>
        <v>11</v>
      </c>
    </row>
    <row r="219" spans="5:9">
      <c r="E219" s="3">
        <v>1</v>
      </c>
      <c r="F219" s="3">
        <v>218</v>
      </c>
      <c r="G219" s="2" t="s">
        <v>555</v>
      </c>
      <c r="H219" t="s">
        <v>29</v>
      </c>
      <c r="I219" s="3">
        <f t="shared" si="3"/>
        <v>9</v>
      </c>
    </row>
    <row r="220" spans="5:9">
      <c r="E220" s="3">
        <v>1</v>
      </c>
      <c r="F220" s="3">
        <v>219</v>
      </c>
      <c r="G220" s="2" t="s">
        <v>7241</v>
      </c>
      <c r="H220" t="s">
        <v>29</v>
      </c>
      <c r="I220" s="3">
        <f t="shared" si="3"/>
        <v>10</v>
      </c>
    </row>
    <row r="221" spans="5:9">
      <c r="E221" s="3">
        <v>1</v>
      </c>
      <c r="F221" s="3">
        <v>220</v>
      </c>
      <c r="G221" s="2" t="s">
        <v>7242</v>
      </c>
      <c r="H221" t="s">
        <v>29</v>
      </c>
      <c r="I221" s="3">
        <f t="shared" si="3"/>
        <v>11</v>
      </c>
    </row>
    <row r="222" spans="5:9">
      <c r="E222" s="3">
        <v>1</v>
      </c>
      <c r="F222" s="3">
        <v>221</v>
      </c>
      <c r="G222" s="2" t="s">
        <v>7243</v>
      </c>
      <c r="H222" t="s">
        <v>29</v>
      </c>
      <c r="I222" s="3">
        <f t="shared" si="3"/>
        <v>12</v>
      </c>
    </row>
    <row r="223" spans="5:9">
      <c r="E223" s="3">
        <v>1</v>
      </c>
      <c r="F223" s="3">
        <v>222</v>
      </c>
      <c r="G223" s="2" t="s">
        <v>7244</v>
      </c>
      <c r="H223" t="s">
        <v>29</v>
      </c>
      <c r="I223" s="3">
        <f t="shared" si="3"/>
        <v>12</v>
      </c>
    </row>
    <row r="224" spans="5:9">
      <c r="E224" s="3">
        <v>1</v>
      </c>
      <c r="F224" s="3">
        <v>223</v>
      </c>
      <c r="G224" s="2" t="s">
        <v>560</v>
      </c>
      <c r="H224" t="s">
        <v>29</v>
      </c>
      <c r="I224" s="3">
        <f t="shared" si="3"/>
        <v>10</v>
      </c>
    </row>
    <row r="225" spans="5:9">
      <c r="E225" s="3">
        <v>1</v>
      </c>
      <c r="F225" s="3">
        <v>224</v>
      </c>
      <c r="G225" s="2" t="s">
        <v>561</v>
      </c>
      <c r="H225" t="s">
        <v>29</v>
      </c>
      <c r="I225" s="3">
        <f t="shared" si="3"/>
        <v>10</v>
      </c>
    </row>
    <row r="226" spans="5:9">
      <c r="E226" s="3">
        <v>1</v>
      </c>
      <c r="F226" s="3">
        <v>225</v>
      </c>
      <c r="G226" s="2" t="s">
        <v>562</v>
      </c>
      <c r="H226" t="s">
        <v>29</v>
      </c>
      <c r="I226" s="3">
        <f t="shared" si="3"/>
        <v>14</v>
      </c>
    </row>
    <row r="227" spans="5:9">
      <c r="E227" s="3">
        <v>1</v>
      </c>
      <c r="F227" s="3">
        <v>226</v>
      </c>
      <c r="G227" s="2" t="s">
        <v>563</v>
      </c>
      <c r="H227" t="s">
        <v>29</v>
      </c>
      <c r="I227" s="3">
        <f t="shared" si="3"/>
        <v>14</v>
      </c>
    </row>
    <row r="228" spans="5:9">
      <c r="E228" s="3">
        <v>1</v>
      </c>
      <c r="F228" s="3">
        <v>227</v>
      </c>
      <c r="G228" s="2" t="s">
        <v>564</v>
      </c>
      <c r="H228" t="s">
        <v>29</v>
      </c>
      <c r="I228" s="3">
        <f t="shared" si="3"/>
        <v>14</v>
      </c>
    </row>
    <row r="229" spans="5:9">
      <c r="E229" s="3">
        <v>1</v>
      </c>
      <c r="F229" s="3">
        <v>228</v>
      </c>
      <c r="G229" s="2" t="s">
        <v>7245</v>
      </c>
      <c r="H229" t="s">
        <v>29</v>
      </c>
      <c r="I229" s="3">
        <f t="shared" si="3"/>
        <v>17</v>
      </c>
    </row>
    <row r="230" spans="5:9">
      <c r="E230" s="3">
        <v>1</v>
      </c>
      <c r="F230" s="3">
        <v>229</v>
      </c>
      <c r="G230" s="2" t="s">
        <v>7246</v>
      </c>
      <c r="H230" t="s">
        <v>29</v>
      </c>
      <c r="I230" s="3">
        <f t="shared" si="3"/>
        <v>11</v>
      </c>
    </row>
    <row r="231" spans="5:9">
      <c r="E231" s="3">
        <v>1</v>
      </c>
      <c r="F231" s="3">
        <v>230</v>
      </c>
      <c r="G231" s="2" t="s">
        <v>7247</v>
      </c>
      <c r="H231" t="s">
        <v>29</v>
      </c>
      <c r="I231" s="3">
        <f t="shared" si="3"/>
        <v>16</v>
      </c>
    </row>
    <row r="232" spans="5:9">
      <c r="E232" s="3">
        <v>1</v>
      </c>
      <c r="F232" s="3">
        <v>231</v>
      </c>
      <c r="G232" s="2" t="s">
        <v>568</v>
      </c>
      <c r="H232" t="s">
        <v>29</v>
      </c>
      <c r="I232" s="3">
        <f t="shared" si="3"/>
        <v>10</v>
      </c>
    </row>
    <row r="233" spans="5:9">
      <c r="E233" s="3">
        <v>1</v>
      </c>
      <c r="F233" s="3">
        <v>232</v>
      </c>
      <c r="G233" s="2" t="s">
        <v>7248</v>
      </c>
      <c r="H233" t="s">
        <v>29</v>
      </c>
      <c r="I233" s="3">
        <f t="shared" si="3"/>
        <v>15</v>
      </c>
    </row>
    <row r="234" spans="5:9">
      <c r="E234" s="3">
        <v>1</v>
      </c>
      <c r="F234" s="3">
        <v>233</v>
      </c>
      <c r="G234" s="2" t="s">
        <v>570</v>
      </c>
      <c r="H234" t="s">
        <v>29</v>
      </c>
      <c r="I234" s="3">
        <f t="shared" si="3"/>
        <v>16</v>
      </c>
    </row>
    <row r="235" spans="5:9">
      <c r="E235" s="3">
        <v>1</v>
      </c>
      <c r="F235" s="3">
        <v>234</v>
      </c>
      <c r="G235" s="2" t="s">
        <v>7249</v>
      </c>
      <c r="H235" t="s">
        <v>29</v>
      </c>
      <c r="I235" s="3">
        <f t="shared" si="3"/>
        <v>8</v>
      </c>
    </row>
    <row r="236" spans="5:9">
      <c r="E236" s="3">
        <v>1</v>
      </c>
      <c r="F236" s="3">
        <v>235</v>
      </c>
      <c r="G236" s="2" t="s">
        <v>572</v>
      </c>
      <c r="H236" t="s">
        <v>29</v>
      </c>
      <c r="I236" s="3">
        <f t="shared" si="3"/>
        <v>12</v>
      </c>
    </row>
    <row r="237" spans="5:9">
      <c r="E237" s="3">
        <v>1</v>
      </c>
      <c r="F237" s="3">
        <v>236</v>
      </c>
      <c r="G237" s="2" t="s">
        <v>573</v>
      </c>
      <c r="H237" t="s">
        <v>29</v>
      </c>
      <c r="I237" s="3">
        <f t="shared" si="3"/>
        <v>7</v>
      </c>
    </row>
    <row r="238" spans="5:9">
      <c r="E238" s="3">
        <v>1</v>
      </c>
      <c r="F238" s="3">
        <v>237</v>
      </c>
      <c r="G238" s="2" t="s">
        <v>574</v>
      </c>
      <c r="H238" t="s">
        <v>29</v>
      </c>
      <c r="I238" s="3">
        <f t="shared" si="3"/>
        <v>11</v>
      </c>
    </row>
    <row r="239" spans="5:9">
      <c r="E239" s="3">
        <v>1</v>
      </c>
      <c r="F239" s="3">
        <v>238</v>
      </c>
      <c r="G239" s="2" t="s">
        <v>575</v>
      </c>
      <c r="H239" t="s">
        <v>29</v>
      </c>
      <c r="I239" s="3">
        <f t="shared" si="3"/>
        <v>17</v>
      </c>
    </row>
    <row r="240" spans="5:9">
      <c r="E240" s="3">
        <v>1</v>
      </c>
      <c r="F240" s="3">
        <v>239</v>
      </c>
      <c r="G240" s="2" t="s">
        <v>576</v>
      </c>
      <c r="H240" t="s">
        <v>29</v>
      </c>
      <c r="I240" s="3">
        <f t="shared" si="3"/>
        <v>15</v>
      </c>
    </row>
    <row r="241" spans="5:9">
      <c r="E241" s="3">
        <v>1</v>
      </c>
      <c r="F241" s="3">
        <v>240</v>
      </c>
      <c r="G241" s="2" t="s">
        <v>7250</v>
      </c>
      <c r="H241" t="s">
        <v>29</v>
      </c>
      <c r="I241" s="3">
        <f t="shared" si="3"/>
        <v>13</v>
      </c>
    </row>
    <row r="242" spans="5:9">
      <c r="E242" s="3">
        <v>1</v>
      </c>
      <c r="F242" s="3">
        <v>241</v>
      </c>
      <c r="G242" s="2" t="s">
        <v>7251</v>
      </c>
      <c r="H242" t="s">
        <v>29</v>
      </c>
      <c r="I242" s="3">
        <f t="shared" si="3"/>
        <v>20</v>
      </c>
    </row>
    <row r="243" spans="5:9">
      <c r="E243" s="3">
        <v>1</v>
      </c>
      <c r="F243" s="3">
        <v>242</v>
      </c>
      <c r="G243" s="2" t="s">
        <v>579</v>
      </c>
      <c r="H243" t="s">
        <v>29</v>
      </c>
      <c r="I243" s="3">
        <f t="shared" si="3"/>
        <v>13</v>
      </c>
    </row>
    <row r="244" spans="5:9">
      <c r="E244" s="3">
        <v>1</v>
      </c>
      <c r="F244" s="3">
        <v>243</v>
      </c>
      <c r="G244" s="2" t="s">
        <v>7252</v>
      </c>
      <c r="H244" t="s">
        <v>29</v>
      </c>
      <c r="I244" s="3">
        <f t="shared" si="3"/>
        <v>15</v>
      </c>
    </row>
    <row r="245" spans="5:9">
      <c r="E245" s="3">
        <v>1</v>
      </c>
      <c r="F245" s="3">
        <v>244</v>
      </c>
      <c r="G245" s="2" t="s">
        <v>7253</v>
      </c>
      <c r="H245" t="s">
        <v>29</v>
      </c>
      <c r="I245" s="3">
        <f t="shared" si="3"/>
        <v>13</v>
      </c>
    </row>
    <row r="246" spans="5:9">
      <c r="E246" s="3">
        <v>1</v>
      </c>
      <c r="F246" s="3">
        <v>245</v>
      </c>
      <c r="G246" s="2" t="s">
        <v>7254</v>
      </c>
      <c r="H246" t="s">
        <v>29</v>
      </c>
      <c r="I246" s="3">
        <f t="shared" si="3"/>
        <v>11</v>
      </c>
    </row>
    <row r="247" spans="5:9">
      <c r="E247" s="3">
        <v>1</v>
      </c>
      <c r="F247" s="3">
        <v>246</v>
      </c>
      <c r="G247" s="2" t="s">
        <v>7255</v>
      </c>
      <c r="H247" t="s">
        <v>29</v>
      </c>
      <c r="I247" s="3">
        <f t="shared" si="3"/>
        <v>10</v>
      </c>
    </row>
    <row r="248" spans="5:9">
      <c r="E248" s="3">
        <v>1</v>
      </c>
      <c r="F248" s="3">
        <v>247</v>
      </c>
      <c r="G248" s="2" t="s">
        <v>584</v>
      </c>
      <c r="H248" t="s">
        <v>29</v>
      </c>
      <c r="I248" s="3">
        <f t="shared" si="3"/>
        <v>9</v>
      </c>
    </row>
    <row r="249" spans="5:9">
      <c r="E249" s="3">
        <v>1</v>
      </c>
      <c r="F249" s="3">
        <v>248</v>
      </c>
      <c r="G249" s="2" t="s">
        <v>7256</v>
      </c>
      <c r="H249" t="s">
        <v>29</v>
      </c>
      <c r="I249" s="3">
        <f t="shared" si="3"/>
        <v>14</v>
      </c>
    </row>
    <row r="250" spans="5:9">
      <c r="E250" s="3">
        <v>1</v>
      </c>
      <c r="F250" s="3">
        <v>249</v>
      </c>
      <c r="G250" s="2" t="s">
        <v>7257</v>
      </c>
      <c r="H250" t="s">
        <v>29</v>
      </c>
      <c r="I250" s="3">
        <f t="shared" si="3"/>
        <v>11</v>
      </c>
    </row>
    <row r="251" spans="5:9">
      <c r="E251" s="3">
        <v>1</v>
      </c>
      <c r="F251" s="3">
        <v>250</v>
      </c>
      <c r="G251" s="2" t="s">
        <v>7258</v>
      </c>
      <c r="H251" t="s">
        <v>29</v>
      </c>
      <c r="I251" s="3">
        <f t="shared" si="3"/>
        <v>15</v>
      </c>
    </row>
    <row r="252" spans="5:9">
      <c r="E252" s="3">
        <v>1</v>
      </c>
      <c r="F252" s="3">
        <v>251</v>
      </c>
      <c r="G252" s="2" t="s">
        <v>588</v>
      </c>
      <c r="H252" t="s">
        <v>29</v>
      </c>
      <c r="I252" s="3">
        <f t="shared" si="3"/>
        <v>15</v>
      </c>
    </row>
    <row r="253" spans="5:9">
      <c r="E253" s="3">
        <v>1</v>
      </c>
      <c r="F253" s="3">
        <v>252</v>
      </c>
      <c r="G253" s="2" t="s">
        <v>589</v>
      </c>
      <c r="H253" t="s">
        <v>29</v>
      </c>
      <c r="I253" s="3">
        <f t="shared" si="3"/>
        <v>11</v>
      </c>
    </row>
    <row r="254" spans="5:9">
      <c r="E254" s="3">
        <v>1</v>
      </c>
      <c r="F254" s="3">
        <v>253</v>
      </c>
      <c r="G254" s="2" t="s">
        <v>590</v>
      </c>
      <c r="H254" t="s">
        <v>29</v>
      </c>
      <c r="I254" s="3">
        <f t="shared" si="3"/>
        <v>12</v>
      </c>
    </row>
    <row r="255" spans="5:9">
      <c r="E255" s="3">
        <v>1</v>
      </c>
      <c r="F255" s="3">
        <v>254</v>
      </c>
      <c r="G255" s="2" t="s">
        <v>591</v>
      </c>
      <c r="H255" t="s">
        <v>29</v>
      </c>
      <c r="I255" s="3">
        <f t="shared" si="3"/>
        <v>11</v>
      </c>
    </row>
    <row r="256" spans="5:9">
      <c r="E256" s="3">
        <v>1</v>
      </c>
      <c r="F256" s="3">
        <v>255</v>
      </c>
      <c r="G256" s="2" t="s">
        <v>7259</v>
      </c>
      <c r="H256" t="s">
        <v>29</v>
      </c>
      <c r="I256" s="3">
        <f t="shared" si="3"/>
        <v>12</v>
      </c>
    </row>
    <row r="257" spans="5:9">
      <c r="E257" s="3">
        <v>1</v>
      </c>
      <c r="F257" s="3">
        <v>256</v>
      </c>
      <c r="G257" s="2" t="s">
        <v>593</v>
      </c>
      <c r="H257" t="s">
        <v>29</v>
      </c>
      <c r="I257" s="3">
        <f t="shared" si="3"/>
        <v>7</v>
      </c>
    </row>
    <row r="258" spans="5:9">
      <c r="E258" s="3">
        <v>1</v>
      </c>
      <c r="F258" s="3">
        <v>257</v>
      </c>
      <c r="G258" s="2" t="s">
        <v>7260</v>
      </c>
      <c r="H258" t="s">
        <v>29</v>
      </c>
      <c r="I258" s="3">
        <f t="shared" ref="I258:I321" si="4">LEN(G258)</f>
        <v>12</v>
      </c>
    </row>
    <row r="259" spans="5:9">
      <c r="E259" s="3">
        <v>1</v>
      </c>
      <c r="F259" s="3">
        <v>258</v>
      </c>
      <c r="G259" s="2" t="s">
        <v>595</v>
      </c>
      <c r="H259" t="s">
        <v>29</v>
      </c>
      <c r="I259" s="3">
        <f t="shared" si="4"/>
        <v>9</v>
      </c>
    </row>
    <row r="260" spans="5:9">
      <c r="E260" s="3">
        <v>1</v>
      </c>
      <c r="F260" s="3">
        <v>259</v>
      </c>
      <c r="G260" s="2" t="s">
        <v>7261</v>
      </c>
      <c r="H260" t="s">
        <v>29</v>
      </c>
      <c r="I260" s="3">
        <f t="shared" si="4"/>
        <v>16</v>
      </c>
    </row>
    <row r="261" spans="5:9">
      <c r="E261" s="3">
        <v>1</v>
      </c>
      <c r="F261" s="3">
        <v>260</v>
      </c>
      <c r="G261" s="2" t="s">
        <v>7262</v>
      </c>
      <c r="H261" t="s">
        <v>29</v>
      </c>
      <c r="I261" s="3">
        <f t="shared" si="4"/>
        <v>12</v>
      </c>
    </row>
    <row r="262" spans="5:9">
      <c r="E262" s="3">
        <v>1</v>
      </c>
      <c r="F262" s="3">
        <v>261</v>
      </c>
      <c r="G262" s="2" t="s">
        <v>598</v>
      </c>
      <c r="H262" t="s">
        <v>29</v>
      </c>
      <c r="I262" s="3">
        <f t="shared" si="4"/>
        <v>12</v>
      </c>
    </row>
    <row r="263" spans="5:9">
      <c r="E263" s="3">
        <v>1</v>
      </c>
      <c r="F263" s="3">
        <v>262</v>
      </c>
      <c r="G263" s="2" t="s">
        <v>7263</v>
      </c>
      <c r="H263" t="s">
        <v>29</v>
      </c>
      <c r="I263" s="3">
        <f t="shared" si="4"/>
        <v>16</v>
      </c>
    </row>
    <row r="264" spans="5:9">
      <c r="E264" s="3">
        <v>1</v>
      </c>
      <c r="F264" s="3">
        <v>263</v>
      </c>
      <c r="G264" s="2" t="s">
        <v>7264</v>
      </c>
      <c r="H264" t="s">
        <v>29</v>
      </c>
      <c r="I264" s="3">
        <f t="shared" si="4"/>
        <v>12</v>
      </c>
    </row>
    <row r="265" spans="5:9">
      <c r="E265" s="3">
        <v>1</v>
      </c>
      <c r="F265" s="3">
        <v>264</v>
      </c>
      <c r="G265" s="2" t="s">
        <v>7265</v>
      </c>
      <c r="H265" t="s">
        <v>29</v>
      </c>
      <c r="I265" s="3">
        <f t="shared" si="4"/>
        <v>18</v>
      </c>
    </row>
    <row r="266" spans="5:9">
      <c r="E266" s="3">
        <v>1</v>
      </c>
      <c r="F266" s="3">
        <v>265</v>
      </c>
      <c r="G266" s="2" t="s">
        <v>7266</v>
      </c>
      <c r="H266" t="s">
        <v>29</v>
      </c>
      <c r="I266" s="3">
        <f t="shared" si="4"/>
        <v>11</v>
      </c>
    </row>
    <row r="267" spans="5:9">
      <c r="E267" s="3">
        <v>1</v>
      </c>
      <c r="F267" s="3">
        <v>266</v>
      </c>
      <c r="G267" s="2" t="s">
        <v>7267</v>
      </c>
      <c r="H267" t="s">
        <v>29</v>
      </c>
      <c r="I267" s="3">
        <f t="shared" si="4"/>
        <v>19</v>
      </c>
    </row>
    <row r="268" spans="5:9">
      <c r="E268" s="3">
        <v>1</v>
      </c>
      <c r="F268" s="3">
        <v>267</v>
      </c>
      <c r="G268" s="2" t="s">
        <v>7268</v>
      </c>
      <c r="H268" t="s">
        <v>29</v>
      </c>
      <c r="I268" s="3">
        <f t="shared" si="4"/>
        <v>15</v>
      </c>
    </row>
    <row r="269" spans="5:9">
      <c r="E269" s="3">
        <v>1</v>
      </c>
      <c r="F269" s="3">
        <v>268</v>
      </c>
      <c r="G269" s="9" t="s">
        <v>605</v>
      </c>
      <c r="H269" t="s">
        <v>29</v>
      </c>
      <c r="I269" s="3">
        <f t="shared" si="4"/>
        <v>10</v>
      </c>
    </row>
    <row r="270" spans="5:9">
      <c r="E270" s="3">
        <v>1</v>
      </c>
      <c r="F270" s="3">
        <v>269</v>
      </c>
      <c r="G270" s="2" t="s">
        <v>606</v>
      </c>
      <c r="H270" t="s">
        <v>29</v>
      </c>
      <c r="I270" s="3">
        <f t="shared" si="4"/>
        <v>13</v>
      </c>
    </row>
    <row r="271" spans="5:9">
      <c r="E271" s="3">
        <v>1</v>
      </c>
      <c r="F271" s="3">
        <v>270</v>
      </c>
      <c r="G271" s="2" t="s">
        <v>7269</v>
      </c>
      <c r="H271" t="s">
        <v>29</v>
      </c>
      <c r="I271" s="3">
        <f t="shared" si="4"/>
        <v>12</v>
      </c>
    </row>
    <row r="272" spans="5:9">
      <c r="E272" s="3">
        <v>1</v>
      </c>
      <c r="F272" s="3">
        <v>271</v>
      </c>
      <c r="G272" s="2" t="s">
        <v>7270</v>
      </c>
      <c r="H272" t="s">
        <v>29</v>
      </c>
      <c r="I272" s="3">
        <f t="shared" si="4"/>
        <v>10</v>
      </c>
    </row>
    <row r="273" spans="5:9">
      <c r="E273" s="3">
        <v>1</v>
      </c>
      <c r="F273" s="3">
        <v>272</v>
      </c>
      <c r="G273" s="2" t="s">
        <v>609</v>
      </c>
      <c r="H273" t="s">
        <v>29</v>
      </c>
      <c r="I273" s="3">
        <f t="shared" si="4"/>
        <v>13</v>
      </c>
    </row>
    <row r="274" spans="5:9">
      <c r="E274" s="3">
        <v>1</v>
      </c>
      <c r="F274" s="3">
        <v>273</v>
      </c>
      <c r="G274" s="2" t="s">
        <v>610</v>
      </c>
      <c r="H274" t="s">
        <v>29</v>
      </c>
      <c r="I274" s="3">
        <f t="shared" si="4"/>
        <v>15</v>
      </c>
    </row>
    <row r="275" spans="5:9">
      <c r="E275" s="3">
        <v>1</v>
      </c>
      <c r="F275" s="3">
        <v>274</v>
      </c>
      <c r="G275" s="2" t="s">
        <v>7271</v>
      </c>
      <c r="H275" t="s">
        <v>29</v>
      </c>
      <c r="I275" s="3">
        <f t="shared" si="4"/>
        <v>13</v>
      </c>
    </row>
    <row r="276" spans="5:9">
      <c r="E276" s="3">
        <v>1</v>
      </c>
      <c r="F276" s="3">
        <v>275</v>
      </c>
      <c r="G276" s="2" t="s">
        <v>612</v>
      </c>
      <c r="H276" t="s">
        <v>29</v>
      </c>
      <c r="I276" s="3">
        <f t="shared" si="4"/>
        <v>11</v>
      </c>
    </row>
    <row r="277" spans="5:9">
      <c r="E277" s="3">
        <v>1</v>
      </c>
      <c r="F277" s="3">
        <v>276</v>
      </c>
      <c r="G277" s="2" t="s">
        <v>613</v>
      </c>
      <c r="H277" t="s">
        <v>29</v>
      </c>
      <c r="I277" s="3">
        <f t="shared" si="4"/>
        <v>13</v>
      </c>
    </row>
    <row r="278" spans="5:9">
      <c r="E278" s="3">
        <v>1</v>
      </c>
      <c r="F278" s="3">
        <v>277</v>
      </c>
      <c r="G278" s="2" t="s">
        <v>7272</v>
      </c>
      <c r="H278" t="s">
        <v>29</v>
      </c>
      <c r="I278" s="3">
        <f t="shared" si="4"/>
        <v>16</v>
      </c>
    </row>
    <row r="279" spans="5:9">
      <c r="E279" s="3">
        <v>1</v>
      </c>
      <c r="F279" s="3">
        <v>278</v>
      </c>
      <c r="G279" s="2" t="s">
        <v>7273</v>
      </c>
      <c r="H279" t="s">
        <v>29</v>
      </c>
      <c r="I279" s="3">
        <f t="shared" si="4"/>
        <v>17</v>
      </c>
    </row>
    <row r="280" spans="5:9">
      <c r="E280" s="3">
        <v>1</v>
      </c>
      <c r="F280" s="3">
        <v>279</v>
      </c>
      <c r="G280" s="2" t="s">
        <v>7274</v>
      </c>
      <c r="H280" t="s">
        <v>29</v>
      </c>
      <c r="I280" s="3">
        <f t="shared" si="4"/>
        <v>9</v>
      </c>
    </row>
    <row r="281" spans="5:9">
      <c r="E281" s="3">
        <v>1</v>
      </c>
      <c r="F281" s="3">
        <v>280</v>
      </c>
      <c r="G281" s="2" t="s">
        <v>7275</v>
      </c>
      <c r="H281" t="s">
        <v>29</v>
      </c>
      <c r="I281" s="3">
        <f t="shared" si="4"/>
        <v>9</v>
      </c>
    </row>
    <row r="282" spans="5:9">
      <c r="E282" s="3">
        <v>1</v>
      </c>
      <c r="F282" s="3">
        <v>281</v>
      </c>
      <c r="G282" s="2" t="s">
        <v>7276</v>
      </c>
      <c r="H282" t="s">
        <v>29</v>
      </c>
      <c r="I282" s="3">
        <f t="shared" si="4"/>
        <v>16</v>
      </c>
    </row>
    <row r="283" spans="5:9">
      <c r="E283" s="3">
        <v>1</v>
      </c>
      <c r="F283" s="3">
        <v>282</v>
      </c>
      <c r="G283" s="2" t="s">
        <v>7277</v>
      </c>
      <c r="H283" t="s">
        <v>29</v>
      </c>
      <c r="I283" s="3">
        <f t="shared" si="4"/>
        <v>9</v>
      </c>
    </row>
    <row r="284" spans="5:9">
      <c r="E284" s="3">
        <v>1</v>
      </c>
      <c r="F284" s="3">
        <v>283</v>
      </c>
      <c r="G284" s="2" t="s">
        <v>7278</v>
      </c>
      <c r="H284" t="s">
        <v>29</v>
      </c>
      <c r="I284" s="3">
        <f t="shared" si="4"/>
        <v>16</v>
      </c>
    </row>
    <row r="285" spans="5:9">
      <c r="E285" s="3">
        <v>1</v>
      </c>
      <c r="F285" s="3">
        <v>284</v>
      </c>
      <c r="G285" s="2" t="s">
        <v>7279</v>
      </c>
      <c r="H285" t="s">
        <v>29</v>
      </c>
      <c r="I285" s="3">
        <f t="shared" si="4"/>
        <v>18</v>
      </c>
    </row>
    <row r="286" spans="5:9">
      <c r="E286" s="3">
        <v>1</v>
      </c>
      <c r="F286" s="3">
        <v>285</v>
      </c>
      <c r="G286" s="2" t="s">
        <v>7280</v>
      </c>
      <c r="H286" t="s">
        <v>29</v>
      </c>
      <c r="I286" s="3">
        <f t="shared" si="4"/>
        <v>17</v>
      </c>
    </row>
    <row r="287" spans="5:9">
      <c r="E287" s="3">
        <v>1</v>
      </c>
      <c r="F287" s="3">
        <v>286</v>
      </c>
      <c r="G287" s="2" t="s">
        <v>7281</v>
      </c>
      <c r="H287" t="s">
        <v>29</v>
      </c>
      <c r="I287" s="3">
        <f t="shared" si="4"/>
        <v>14</v>
      </c>
    </row>
    <row r="288" spans="5:9">
      <c r="E288" s="3">
        <v>1</v>
      </c>
      <c r="F288" s="3">
        <v>287</v>
      </c>
      <c r="G288" s="2" t="s">
        <v>624</v>
      </c>
      <c r="H288" t="s">
        <v>29</v>
      </c>
      <c r="I288" s="3">
        <f t="shared" si="4"/>
        <v>14</v>
      </c>
    </row>
    <row r="289" spans="5:19">
      <c r="E289" s="3">
        <v>1</v>
      </c>
      <c r="F289" s="3">
        <v>288</v>
      </c>
      <c r="G289" s="2" t="s">
        <v>7282</v>
      </c>
      <c r="H289" t="s">
        <v>29</v>
      </c>
      <c r="I289" s="3">
        <f t="shared" si="4"/>
        <v>16</v>
      </c>
    </row>
    <row r="290" spans="5:19">
      <c r="E290" s="3">
        <v>1</v>
      </c>
      <c r="F290" s="3">
        <v>289</v>
      </c>
      <c r="G290" s="2" t="s">
        <v>626</v>
      </c>
      <c r="H290" t="s">
        <v>29</v>
      </c>
      <c r="I290" s="3">
        <f t="shared" si="4"/>
        <v>14</v>
      </c>
    </row>
    <row r="291" spans="5:19">
      <c r="E291" s="3">
        <v>1</v>
      </c>
      <c r="F291" s="3">
        <v>290</v>
      </c>
      <c r="G291" s="2" t="s">
        <v>627</v>
      </c>
      <c r="H291" t="s">
        <v>29</v>
      </c>
      <c r="I291" s="3">
        <f t="shared" si="4"/>
        <v>15</v>
      </c>
    </row>
    <row r="292" spans="5:19">
      <c r="E292" s="3">
        <v>1</v>
      </c>
      <c r="F292" s="3">
        <v>291</v>
      </c>
      <c r="G292" s="2" t="s">
        <v>7283</v>
      </c>
      <c r="H292" t="s">
        <v>29</v>
      </c>
      <c r="I292" s="3">
        <f t="shared" si="4"/>
        <v>13</v>
      </c>
    </row>
    <row r="293" spans="5:19">
      <c r="E293" s="3">
        <v>1</v>
      </c>
      <c r="F293" s="3">
        <v>292</v>
      </c>
      <c r="G293" s="2" t="s">
        <v>7284</v>
      </c>
      <c r="H293" t="s">
        <v>29</v>
      </c>
      <c r="I293" s="3">
        <f t="shared" si="4"/>
        <v>15</v>
      </c>
    </row>
    <row r="294" spans="5:19">
      <c r="E294" s="3">
        <v>1</v>
      </c>
      <c r="F294" s="3">
        <v>293</v>
      </c>
      <c r="G294" s="2" t="s">
        <v>7285</v>
      </c>
      <c r="H294" t="s">
        <v>29</v>
      </c>
      <c r="I294" s="3">
        <f t="shared" si="4"/>
        <v>12</v>
      </c>
    </row>
    <row r="295" spans="5:19">
      <c r="E295" s="3">
        <v>1</v>
      </c>
      <c r="F295" s="3">
        <v>294</v>
      </c>
      <c r="G295" s="2" t="s">
        <v>7286</v>
      </c>
      <c r="H295" t="s">
        <v>29</v>
      </c>
      <c r="I295" s="3">
        <f t="shared" si="4"/>
        <v>12</v>
      </c>
    </row>
    <row r="296" spans="5:19">
      <c r="E296" s="3">
        <v>1</v>
      </c>
      <c r="F296" s="3">
        <v>295</v>
      </c>
      <c r="G296" s="2" t="s">
        <v>632</v>
      </c>
      <c r="H296" t="s">
        <v>29</v>
      </c>
      <c r="I296" s="3">
        <f t="shared" si="4"/>
        <v>12</v>
      </c>
    </row>
    <row r="297" spans="5:19">
      <c r="E297" s="3">
        <v>1</v>
      </c>
      <c r="F297" s="3">
        <v>296</v>
      </c>
      <c r="G297" s="2" t="s">
        <v>633</v>
      </c>
      <c r="H297" t="s">
        <v>29</v>
      </c>
      <c r="I297" s="3">
        <f t="shared" si="4"/>
        <v>14</v>
      </c>
    </row>
    <row r="298" spans="5:19">
      <c r="E298" s="3">
        <v>1</v>
      </c>
      <c r="F298" s="3">
        <v>297</v>
      </c>
      <c r="G298" s="2" t="s">
        <v>7287</v>
      </c>
      <c r="H298" t="s">
        <v>29</v>
      </c>
      <c r="I298" s="3">
        <f t="shared" si="4"/>
        <v>15</v>
      </c>
    </row>
    <row r="299" spans="5:19">
      <c r="E299" s="3">
        <v>1</v>
      </c>
      <c r="F299" s="3">
        <v>298</v>
      </c>
      <c r="G299" s="2" t="s">
        <v>635</v>
      </c>
      <c r="H299" t="s">
        <v>29</v>
      </c>
      <c r="I299" s="3">
        <f t="shared" si="4"/>
        <v>14</v>
      </c>
    </row>
    <row r="300" spans="5:19">
      <c r="E300" s="3">
        <v>1</v>
      </c>
      <c r="F300" s="3">
        <v>299</v>
      </c>
      <c r="G300" s="2" t="s">
        <v>7288</v>
      </c>
      <c r="H300" t="s">
        <v>29</v>
      </c>
      <c r="I300" s="3">
        <f t="shared" si="4"/>
        <v>18</v>
      </c>
    </row>
    <row r="301" spans="5:19">
      <c r="E301" s="3">
        <v>1</v>
      </c>
      <c r="F301" s="3">
        <v>300</v>
      </c>
      <c r="G301" s="2" t="s">
        <v>7289</v>
      </c>
      <c r="H301" t="s">
        <v>29</v>
      </c>
      <c r="I301" s="3">
        <f t="shared" si="4"/>
        <v>15</v>
      </c>
    </row>
    <row r="302" spans="5:19">
      <c r="E302" s="3">
        <v>1</v>
      </c>
      <c r="F302" s="3">
        <v>301</v>
      </c>
      <c r="G302" s="2" t="s">
        <v>7290</v>
      </c>
      <c r="H302" t="s">
        <v>29</v>
      </c>
      <c r="I302" s="3">
        <f t="shared" si="4"/>
        <v>16</v>
      </c>
    </row>
    <row r="303" spans="5:19">
      <c r="E303" s="3">
        <v>1</v>
      </c>
      <c r="F303" s="3">
        <v>302</v>
      </c>
      <c r="G303" s="2" t="s">
        <v>7291</v>
      </c>
      <c r="H303" t="s">
        <v>29</v>
      </c>
      <c r="I303" s="3">
        <f t="shared" si="4"/>
        <v>15</v>
      </c>
    </row>
    <row r="304" spans="5:19">
      <c r="E304" s="3">
        <v>2</v>
      </c>
      <c r="F304" s="3">
        <v>303</v>
      </c>
      <c r="G304" s="2">
        <v>123456</v>
      </c>
      <c r="H304" t="s">
        <v>640</v>
      </c>
      <c r="I304" s="3">
        <f t="shared" si="4"/>
        <v>6</v>
      </c>
      <c r="K304" s="30" t="s">
        <v>2277</v>
      </c>
      <c r="L304" s="34">
        <v>0</v>
      </c>
      <c r="M304" s="36" t="s">
        <v>7015</v>
      </c>
      <c r="N304" s="43">
        <v>1</v>
      </c>
      <c r="P304" s="32" t="s">
        <v>7292</v>
      </c>
      <c r="R304" s="41" t="s">
        <v>7015</v>
      </c>
      <c r="S304" s="43">
        <v>4</v>
      </c>
    </row>
    <row r="305" spans="5:19">
      <c r="E305" s="3">
        <v>2</v>
      </c>
      <c r="F305" s="3">
        <v>304</v>
      </c>
      <c r="G305" s="2">
        <v>12345</v>
      </c>
      <c r="H305" t="s">
        <v>640</v>
      </c>
      <c r="I305" s="3">
        <f t="shared" si="4"/>
        <v>5</v>
      </c>
      <c r="K305" s="30" t="s">
        <v>2282</v>
      </c>
      <c r="M305" s="36" t="s">
        <v>7015</v>
      </c>
      <c r="N305" s="43">
        <v>2</v>
      </c>
      <c r="P305" s="32" t="s">
        <v>7293</v>
      </c>
      <c r="R305" s="41" t="s">
        <v>7015</v>
      </c>
      <c r="S305" s="43">
        <v>1</v>
      </c>
    </row>
    <row r="306" spans="5:19">
      <c r="E306" s="3">
        <v>2</v>
      </c>
      <c r="F306" s="3">
        <v>305</v>
      </c>
      <c r="G306" s="2">
        <v>123456789</v>
      </c>
      <c r="H306" t="s">
        <v>640</v>
      </c>
      <c r="I306" s="3">
        <f t="shared" si="4"/>
        <v>9</v>
      </c>
      <c r="K306" s="30" t="s">
        <v>2286</v>
      </c>
      <c r="M306" s="36" t="s">
        <v>7015</v>
      </c>
      <c r="N306" s="43">
        <v>87</v>
      </c>
      <c r="P306" s="32" t="s">
        <v>7294</v>
      </c>
      <c r="R306" s="41" t="s">
        <v>7010</v>
      </c>
      <c r="S306" s="43" t="s">
        <v>7011</v>
      </c>
    </row>
    <row r="307" spans="5:19">
      <c r="E307" s="3">
        <v>2</v>
      </c>
      <c r="F307" s="3">
        <v>306</v>
      </c>
      <c r="G307" s="2" t="s">
        <v>1</v>
      </c>
      <c r="H307" t="s">
        <v>640</v>
      </c>
      <c r="I307" s="3">
        <f t="shared" si="4"/>
        <v>8</v>
      </c>
      <c r="K307" s="30" t="s">
        <v>2290</v>
      </c>
      <c r="M307" s="36" t="s">
        <v>7015</v>
      </c>
      <c r="N307" s="43">
        <v>36</v>
      </c>
      <c r="P307" s="32" t="s">
        <v>7295</v>
      </c>
      <c r="R307" s="41" t="s">
        <v>7010</v>
      </c>
      <c r="S307" s="43" t="s">
        <v>7011</v>
      </c>
    </row>
    <row r="308" spans="5:19">
      <c r="E308" s="3">
        <v>2</v>
      </c>
      <c r="F308" s="3">
        <v>307</v>
      </c>
      <c r="G308" s="2" t="s">
        <v>641</v>
      </c>
      <c r="H308" t="s">
        <v>640</v>
      </c>
      <c r="I308" s="3">
        <f t="shared" si="4"/>
        <v>8</v>
      </c>
      <c r="K308" s="30" t="s">
        <v>2294</v>
      </c>
      <c r="M308" s="36" t="s">
        <v>7015</v>
      </c>
      <c r="N308" s="43">
        <v>94</v>
      </c>
      <c r="P308" s="32" t="s">
        <v>7296</v>
      </c>
      <c r="R308" s="41" t="s">
        <v>7010</v>
      </c>
      <c r="S308" s="43" t="s">
        <v>7011</v>
      </c>
    </row>
    <row r="309" spans="5:19">
      <c r="E309" s="3">
        <v>2</v>
      </c>
      <c r="F309" s="3">
        <v>308</v>
      </c>
      <c r="G309" s="2" t="s">
        <v>642</v>
      </c>
      <c r="H309" t="s">
        <v>640</v>
      </c>
      <c r="I309" s="3">
        <f t="shared" si="4"/>
        <v>8</v>
      </c>
      <c r="K309" s="30" t="s">
        <v>2298</v>
      </c>
      <c r="M309" s="36" t="s">
        <v>7015</v>
      </c>
      <c r="N309" s="43">
        <v>37</v>
      </c>
      <c r="P309" s="32" t="s">
        <v>7297</v>
      </c>
      <c r="R309" s="41" t="s">
        <v>7010</v>
      </c>
      <c r="S309" s="43" t="s">
        <v>7011</v>
      </c>
    </row>
    <row r="310" spans="5:19">
      <c r="E310" s="3">
        <v>2</v>
      </c>
      <c r="F310" s="3">
        <v>309</v>
      </c>
      <c r="G310" s="2">
        <v>1234567</v>
      </c>
      <c r="H310" t="s">
        <v>640</v>
      </c>
      <c r="I310" s="3">
        <f t="shared" si="4"/>
        <v>7</v>
      </c>
      <c r="K310" s="30" t="s">
        <v>2302</v>
      </c>
      <c r="M310" s="36" t="s">
        <v>7015</v>
      </c>
      <c r="N310" s="43">
        <v>72</v>
      </c>
      <c r="P310" s="32" t="s">
        <v>7298</v>
      </c>
      <c r="R310" s="41" t="s">
        <v>7010</v>
      </c>
      <c r="S310" s="43" t="s">
        <v>7011</v>
      </c>
    </row>
    <row r="311" spans="5:19">
      <c r="E311" s="3">
        <v>2</v>
      </c>
      <c r="F311" s="3">
        <v>310</v>
      </c>
      <c r="G311" s="2" t="s">
        <v>643</v>
      </c>
      <c r="H311" t="s">
        <v>640</v>
      </c>
      <c r="I311" s="3">
        <f t="shared" si="4"/>
        <v>7</v>
      </c>
      <c r="K311" s="30" t="s">
        <v>2306</v>
      </c>
      <c r="M311" s="36" t="s">
        <v>7015</v>
      </c>
      <c r="N311" s="43">
        <v>63</v>
      </c>
      <c r="P311" s="32" t="s">
        <v>7299</v>
      </c>
      <c r="R311" s="41" t="s">
        <v>7010</v>
      </c>
      <c r="S311" s="43" t="s">
        <v>7011</v>
      </c>
    </row>
    <row r="312" spans="5:19">
      <c r="E312" s="3">
        <v>2</v>
      </c>
      <c r="F312" s="3">
        <v>311</v>
      </c>
      <c r="G312" s="2">
        <v>12345678</v>
      </c>
      <c r="H312" t="s">
        <v>640</v>
      </c>
      <c r="I312" s="3">
        <f t="shared" si="4"/>
        <v>8</v>
      </c>
      <c r="K312" s="30" t="s">
        <v>2310</v>
      </c>
      <c r="M312" s="36" t="s">
        <v>7015</v>
      </c>
      <c r="N312" s="43">
        <v>61</v>
      </c>
      <c r="P312" s="32" t="s">
        <v>7300</v>
      </c>
      <c r="R312" s="41" t="s">
        <v>7010</v>
      </c>
      <c r="S312" s="43" t="s">
        <v>7011</v>
      </c>
    </row>
    <row r="313" spans="5:19">
      <c r="E313" s="3">
        <v>2</v>
      </c>
      <c r="F313" s="3">
        <v>312</v>
      </c>
      <c r="G313" s="2" t="s">
        <v>644</v>
      </c>
      <c r="H313" t="s">
        <v>640</v>
      </c>
      <c r="I313" s="3">
        <f t="shared" si="4"/>
        <v>6</v>
      </c>
      <c r="K313" s="30" t="s">
        <v>2314</v>
      </c>
      <c r="M313" s="36" t="s">
        <v>7015</v>
      </c>
      <c r="N313" s="43">
        <v>17</v>
      </c>
      <c r="P313" s="32" t="s">
        <v>7301</v>
      </c>
      <c r="R313" s="41" t="s">
        <v>7010</v>
      </c>
      <c r="S313" s="43" t="s">
        <v>7011</v>
      </c>
    </row>
    <row r="314" spans="5:19">
      <c r="E314" s="3">
        <v>2</v>
      </c>
      <c r="F314" s="3">
        <v>313</v>
      </c>
      <c r="G314" s="2" t="s">
        <v>645</v>
      </c>
      <c r="H314" t="s">
        <v>640</v>
      </c>
      <c r="I314" s="3">
        <f t="shared" si="4"/>
        <v>6</v>
      </c>
      <c r="K314" s="30" t="s">
        <v>2318</v>
      </c>
      <c r="M314" s="36" t="s">
        <v>7015</v>
      </c>
      <c r="N314" s="43">
        <v>70</v>
      </c>
      <c r="P314" s="32" t="s">
        <v>7302</v>
      </c>
      <c r="R314" s="41" t="s">
        <v>7010</v>
      </c>
      <c r="S314" s="43" t="s">
        <v>7011</v>
      </c>
    </row>
    <row r="315" spans="5:19">
      <c r="E315" s="3">
        <v>2</v>
      </c>
      <c r="F315" s="3">
        <v>314</v>
      </c>
      <c r="G315" s="2" t="s">
        <v>646</v>
      </c>
      <c r="H315" t="s">
        <v>640</v>
      </c>
      <c r="I315" s="3">
        <f t="shared" si="4"/>
        <v>6</v>
      </c>
      <c r="K315" s="30" t="s">
        <v>2322</v>
      </c>
      <c r="M315" s="36" t="s">
        <v>7015</v>
      </c>
      <c r="N315" s="43">
        <v>51</v>
      </c>
      <c r="P315" s="32" t="s">
        <v>7303</v>
      </c>
      <c r="R315" s="41" t="s">
        <v>7010</v>
      </c>
      <c r="S315" s="43" t="s">
        <v>7011</v>
      </c>
    </row>
    <row r="316" spans="5:19">
      <c r="E316" s="3">
        <v>2</v>
      </c>
      <c r="F316" s="3">
        <v>315</v>
      </c>
      <c r="G316" s="2" t="s">
        <v>647</v>
      </c>
      <c r="H316" t="s">
        <v>640</v>
      </c>
      <c r="I316" s="3">
        <f t="shared" si="4"/>
        <v>8</v>
      </c>
      <c r="K316" s="30" t="s">
        <v>2326</v>
      </c>
      <c r="M316" s="36" t="s">
        <v>7015</v>
      </c>
      <c r="N316" s="43">
        <v>49</v>
      </c>
      <c r="P316" s="32" t="s">
        <v>7304</v>
      </c>
      <c r="R316" s="41" t="s">
        <v>7010</v>
      </c>
      <c r="S316" s="43" t="s">
        <v>7011</v>
      </c>
    </row>
    <row r="317" spans="5:19">
      <c r="E317" s="3">
        <v>2</v>
      </c>
      <c r="F317" s="3">
        <v>316</v>
      </c>
      <c r="G317" s="2" t="s">
        <v>648</v>
      </c>
      <c r="H317" t="s">
        <v>640</v>
      </c>
      <c r="I317" s="3">
        <f t="shared" si="4"/>
        <v>6</v>
      </c>
      <c r="K317" s="30" t="s">
        <v>2330</v>
      </c>
      <c r="M317" s="36" t="s">
        <v>7015</v>
      </c>
      <c r="N317" s="43">
        <v>8</v>
      </c>
      <c r="P317" s="32" t="s">
        <v>7305</v>
      </c>
      <c r="R317" s="41" t="s">
        <v>7015</v>
      </c>
      <c r="S317" s="43">
        <v>8</v>
      </c>
    </row>
    <row r="318" spans="5:19">
      <c r="E318" s="3">
        <v>2</v>
      </c>
      <c r="F318" s="3">
        <v>317</v>
      </c>
      <c r="G318" s="2" t="s">
        <v>649</v>
      </c>
      <c r="H318" t="s">
        <v>640</v>
      </c>
      <c r="I318" s="3">
        <f t="shared" si="4"/>
        <v>6</v>
      </c>
      <c r="K318" s="30" t="s">
        <v>2334</v>
      </c>
      <c r="M318" s="36" t="s">
        <v>7015</v>
      </c>
      <c r="N318" s="43">
        <v>42</v>
      </c>
      <c r="P318" s="32" t="s">
        <v>7306</v>
      </c>
      <c r="R318" s="41" t="s">
        <v>7010</v>
      </c>
      <c r="S318" s="43" t="s">
        <v>7011</v>
      </c>
    </row>
    <row r="319" spans="5:19">
      <c r="E319" s="3">
        <v>2</v>
      </c>
      <c r="F319" s="3">
        <v>318</v>
      </c>
      <c r="G319" s="2" t="s">
        <v>650</v>
      </c>
      <c r="H319" t="s">
        <v>640</v>
      </c>
      <c r="I319" s="3">
        <f t="shared" si="4"/>
        <v>7</v>
      </c>
      <c r="K319" s="30" t="s">
        <v>2338</v>
      </c>
      <c r="M319" s="36" t="s">
        <v>7015</v>
      </c>
      <c r="N319" s="43">
        <v>47</v>
      </c>
      <c r="P319" s="32" t="s">
        <v>7307</v>
      </c>
      <c r="R319" s="41" t="s">
        <v>7010</v>
      </c>
      <c r="S319" s="43" t="s">
        <v>7011</v>
      </c>
    </row>
    <row r="320" spans="5:19">
      <c r="E320" s="3">
        <v>2</v>
      </c>
      <c r="F320" s="3">
        <v>319</v>
      </c>
      <c r="G320" s="2">
        <v>654321</v>
      </c>
      <c r="H320" t="s">
        <v>640</v>
      </c>
      <c r="I320" s="3">
        <f t="shared" si="4"/>
        <v>6</v>
      </c>
      <c r="K320" s="30" t="s">
        <v>2342</v>
      </c>
      <c r="M320" s="36" t="s">
        <v>7015</v>
      </c>
      <c r="N320" s="43">
        <v>88</v>
      </c>
      <c r="P320" s="32" t="s">
        <v>7308</v>
      </c>
      <c r="R320" s="41" t="s">
        <v>7010</v>
      </c>
      <c r="S320" s="43" t="s">
        <v>7011</v>
      </c>
    </row>
    <row r="321" spans="5:19">
      <c r="E321" s="3">
        <v>2</v>
      </c>
      <c r="F321" s="3">
        <v>320</v>
      </c>
      <c r="G321" s="2" t="s">
        <v>651</v>
      </c>
      <c r="H321" t="s">
        <v>640</v>
      </c>
      <c r="I321" s="3">
        <f t="shared" si="4"/>
        <v>7</v>
      </c>
      <c r="K321" s="30" t="s">
        <v>2346</v>
      </c>
      <c r="M321" s="36" t="s">
        <v>7015</v>
      </c>
      <c r="N321" s="43">
        <v>7</v>
      </c>
      <c r="P321" s="32" t="s">
        <v>7309</v>
      </c>
      <c r="R321" s="41" t="s">
        <v>7015</v>
      </c>
      <c r="S321" s="43">
        <v>7</v>
      </c>
    </row>
    <row r="322" spans="5:19">
      <c r="E322" s="3">
        <v>2</v>
      </c>
      <c r="F322" s="3">
        <v>321</v>
      </c>
      <c r="G322" s="2" t="s">
        <v>652</v>
      </c>
      <c r="H322" t="s">
        <v>640</v>
      </c>
      <c r="I322" s="3">
        <f t="shared" ref="I322:I385" si="5">LEN(G322)</f>
        <v>6</v>
      </c>
      <c r="K322" s="30" t="s">
        <v>2350</v>
      </c>
      <c r="M322" s="36" t="s">
        <v>7015</v>
      </c>
      <c r="N322" s="43">
        <v>15</v>
      </c>
      <c r="P322" s="32" t="s">
        <v>7310</v>
      </c>
      <c r="R322" s="41" t="s">
        <v>7015</v>
      </c>
      <c r="S322" s="43">
        <v>15</v>
      </c>
    </row>
    <row r="323" spans="5:19">
      <c r="E323" s="3">
        <v>2</v>
      </c>
      <c r="F323" s="3">
        <v>322</v>
      </c>
      <c r="G323" s="2" t="s">
        <v>653</v>
      </c>
      <c r="H323" t="s">
        <v>640</v>
      </c>
      <c r="I323" s="3">
        <f t="shared" si="5"/>
        <v>6</v>
      </c>
      <c r="K323" s="30" t="s">
        <v>2354</v>
      </c>
      <c r="M323" s="36" t="s">
        <v>7015</v>
      </c>
      <c r="N323" s="43">
        <v>93</v>
      </c>
      <c r="P323" s="32" t="s">
        <v>7311</v>
      </c>
      <c r="R323" s="41" t="s">
        <v>7010</v>
      </c>
      <c r="S323" s="43" t="s">
        <v>7011</v>
      </c>
    </row>
    <row r="324" spans="5:19">
      <c r="E324" s="3">
        <v>2</v>
      </c>
      <c r="F324" s="3">
        <v>323</v>
      </c>
      <c r="G324" s="2">
        <v>111111</v>
      </c>
      <c r="H324" t="s">
        <v>640</v>
      </c>
      <c r="I324" s="3">
        <f t="shared" si="5"/>
        <v>6</v>
      </c>
      <c r="K324" s="31" t="s">
        <v>2358</v>
      </c>
      <c r="M324" s="36" t="s">
        <v>7015</v>
      </c>
      <c r="N324" s="43">
        <v>5</v>
      </c>
      <c r="P324" s="32" t="s">
        <v>7312</v>
      </c>
      <c r="R324" s="41" t="s">
        <v>7015</v>
      </c>
      <c r="S324" s="43">
        <v>5</v>
      </c>
    </row>
    <row r="325" spans="5:19">
      <c r="E325" s="3">
        <v>2</v>
      </c>
      <c r="F325" s="3">
        <v>324</v>
      </c>
      <c r="G325" s="2" t="s">
        <v>654</v>
      </c>
      <c r="H325" t="s">
        <v>640</v>
      </c>
      <c r="I325" s="3">
        <f t="shared" si="5"/>
        <v>6</v>
      </c>
      <c r="K325" s="30" t="s">
        <v>2362</v>
      </c>
      <c r="M325" s="36" t="s">
        <v>7015</v>
      </c>
      <c r="N325" s="43">
        <v>84</v>
      </c>
      <c r="P325" s="32" t="s">
        <v>7313</v>
      </c>
      <c r="R325" s="41" t="s">
        <v>7010</v>
      </c>
      <c r="S325" s="43" t="s">
        <v>7011</v>
      </c>
    </row>
    <row r="326" spans="5:19">
      <c r="E326" s="17">
        <v>2</v>
      </c>
      <c r="F326" s="3">
        <v>325</v>
      </c>
      <c r="G326" s="16" t="s">
        <v>655</v>
      </c>
      <c r="H326" s="18" t="s">
        <v>640</v>
      </c>
      <c r="I326" s="17">
        <f t="shared" si="5"/>
        <v>10</v>
      </c>
      <c r="K326" s="30" t="s">
        <v>7314</v>
      </c>
      <c r="M326" s="36" t="s">
        <v>7015</v>
      </c>
      <c r="N326" s="43">
        <v>85</v>
      </c>
      <c r="P326" s="32" t="s">
        <v>7315</v>
      </c>
      <c r="R326" s="41" t="s">
        <v>7010</v>
      </c>
      <c r="S326" s="43" t="s">
        <v>7011</v>
      </c>
    </row>
    <row r="327" spans="5:19">
      <c r="E327" s="3">
        <v>2</v>
      </c>
      <c r="F327" s="3">
        <v>326</v>
      </c>
      <c r="G327" s="2" t="s">
        <v>656</v>
      </c>
      <c r="H327" t="s">
        <v>640</v>
      </c>
      <c r="I327" s="3">
        <f t="shared" si="5"/>
        <v>8</v>
      </c>
      <c r="K327" s="30" t="s">
        <v>2370</v>
      </c>
      <c r="M327" s="36" t="s">
        <v>7015</v>
      </c>
      <c r="N327" s="43">
        <v>21</v>
      </c>
      <c r="P327" s="32" t="s">
        <v>7316</v>
      </c>
      <c r="R327" s="41" t="s">
        <v>7010</v>
      </c>
      <c r="S327" s="43" t="s">
        <v>7011</v>
      </c>
    </row>
    <row r="328" spans="5:19">
      <c r="E328" s="3">
        <v>2</v>
      </c>
      <c r="F328" s="3">
        <v>327</v>
      </c>
      <c r="G328" s="2" t="s">
        <v>657</v>
      </c>
      <c r="H328" t="s">
        <v>640</v>
      </c>
      <c r="I328" s="3">
        <f t="shared" si="5"/>
        <v>6</v>
      </c>
      <c r="K328" s="30" t="s">
        <v>2374</v>
      </c>
      <c r="M328" s="36" t="s">
        <v>7015</v>
      </c>
      <c r="N328" s="43">
        <v>59</v>
      </c>
      <c r="P328" s="32" t="s">
        <v>7317</v>
      </c>
      <c r="R328" s="41" t="s">
        <v>7010</v>
      </c>
      <c r="S328" s="43" t="s">
        <v>7011</v>
      </c>
    </row>
    <row r="329" spans="5:19">
      <c r="E329" s="3">
        <v>2</v>
      </c>
      <c r="F329" s="3">
        <v>328</v>
      </c>
      <c r="G329" s="2" t="s">
        <v>658</v>
      </c>
      <c r="H329" t="s">
        <v>640</v>
      </c>
      <c r="I329" s="3">
        <f t="shared" si="5"/>
        <v>8</v>
      </c>
      <c r="K329" s="30" t="s">
        <v>2378</v>
      </c>
      <c r="M329" s="36" t="s">
        <v>7015</v>
      </c>
      <c r="N329" s="43">
        <v>40</v>
      </c>
      <c r="P329" s="32" t="s">
        <v>7318</v>
      </c>
      <c r="R329" s="41" t="s">
        <v>7010</v>
      </c>
      <c r="S329" s="43" t="s">
        <v>7011</v>
      </c>
    </row>
    <row r="330" spans="5:19">
      <c r="E330" s="3">
        <v>2</v>
      </c>
      <c r="F330" s="3">
        <v>329</v>
      </c>
      <c r="G330" s="2" t="s">
        <v>659</v>
      </c>
      <c r="H330" t="s">
        <v>640</v>
      </c>
      <c r="I330" s="3">
        <f t="shared" si="5"/>
        <v>9</v>
      </c>
      <c r="K330" s="30" t="s">
        <v>2382</v>
      </c>
      <c r="M330" s="36" t="s">
        <v>7015</v>
      </c>
      <c r="N330" s="43">
        <v>67</v>
      </c>
      <c r="P330" s="32" t="s">
        <v>7319</v>
      </c>
      <c r="R330" s="41" t="s">
        <v>7010</v>
      </c>
      <c r="S330" s="43" t="s">
        <v>7011</v>
      </c>
    </row>
    <row r="331" spans="5:19">
      <c r="E331" s="3">
        <v>2</v>
      </c>
      <c r="F331" s="3">
        <v>330</v>
      </c>
      <c r="G331" s="2" t="s">
        <v>660</v>
      </c>
      <c r="H331" t="s">
        <v>640</v>
      </c>
      <c r="I331" s="3">
        <f t="shared" si="5"/>
        <v>9</v>
      </c>
      <c r="K331" s="30" t="s">
        <v>2386</v>
      </c>
      <c r="M331" s="36" t="s">
        <v>7015</v>
      </c>
      <c r="N331" s="43">
        <v>90</v>
      </c>
      <c r="P331" s="32" t="s">
        <v>7320</v>
      </c>
      <c r="R331" s="41" t="s">
        <v>7010</v>
      </c>
      <c r="S331" s="43" t="s">
        <v>7011</v>
      </c>
    </row>
    <row r="332" spans="5:19">
      <c r="E332" s="3">
        <v>2</v>
      </c>
      <c r="F332" s="3">
        <v>331</v>
      </c>
      <c r="G332" s="2" t="s">
        <v>661</v>
      </c>
      <c r="H332" t="s">
        <v>640</v>
      </c>
      <c r="I332" s="3">
        <f t="shared" si="5"/>
        <v>6</v>
      </c>
      <c r="K332" s="30" t="s">
        <v>2390</v>
      </c>
      <c r="M332" s="36" t="s">
        <v>7015</v>
      </c>
      <c r="N332" s="43">
        <v>12</v>
      </c>
      <c r="P332" s="32" t="s">
        <v>7321</v>
      </c>
      <c r="R332" s="41" t="s">
        <v>7015</v>
      </c>
      <c r="S332" s="43">
        <v>12</v>
      </c>
    </row>
    <row r="333" spans="5:19">
      <c r="E333" s="3">
        <v>2</v>
      </c>
      <c r="F333" s="3">
        <v>332</v>
      </c>
      <c r="G333" s="2" t="s">
        <v>662</v>
      </c>
      <c r="H333" t="s">
        <v>640</v>
      </c>
      <c r="I333" s="3">
        <f t="shared" si="5"/>
        <v>7</v>
      </c>
      <c r="K333" s="30" t="s">
        <v>2394</v>
      </c>
      <c r="M333" s="36" t="s">
        <v>7015</v>
      </c>
      <c r="N333" s="43">
        <v>24</v>
      </c>
      <c r="P333" s="32" t="s">
        <v>7322</v>
      </c>
      <c r="R333" s="41" t="s">
        <v>7010</v>
      </c>
      <c r="S333" s="43" t="s">
        <v>7011</v>
      </c>
    </row>
    <row r="334" spans="5:19">
      <c r="E334" s="3">
        <v>2</v>
      </c>
      <c r="F334" s="3">
        <v>333</v>
      </c>
      <c r="G334" s="2" t="s">
        <v>663</v>
      </c>
      <c r="H334" t="s">
        <v>640</v>
      </c>
      <c r="I334" s="3">
        <f t="shared" si="5"/>
        <v>7</v>
      </c>
      <c r="K334" s="30" t="s">
        <v>2398</v>
      </c>
      <c r="M334" s="36" t="s">
        <v>7015</v>
      </c>
      <c r="N334" s="43">
        <v>79</v>
      </c>
      <c r="P334" s="32" t="s">
        <v>7323</v>
      </c>
      <c r="R334" s="41" t="s">
        <v>7010</v>
      </c>
      <c r="S334" s="43" t="s">
        <v>7011</v>
      </c>
    </row>
    <row r="335" spans="5:19">
      <c r="E335" s="3">
        <v>2</v>
      </c>
      <c r="F335" s="3">
        <v>334</v>
      </c>
      <c r="G335" s="2" t="s">
        <v>664</v>
      </c>
      <c r="H335" t="s">
        <v>640</v>
      </c>
      <c r="I335" s="3">
        <f t="shared" si="5"/>
        <v>9</v>
      </c>
      <c r="K335" s="30" t="s">
        <v>2402</v>
      </c>
      <c r="M335" s="36" t="s">
        <v>7015</v>
      </c>
      <c r="N335" s="43">
        <v>65</v>
      </c>
      <c r="P335" s="32" t="s">
        <v>7324</v>
      </c>
      <c r="R335" s="41" t="s">
        <v>7010</v>
      </c>
      <c r="S335" s="43" t="s">
        <v>7011</v>
      </c>
    </row>
    <row r="336" spans="5:19">
      <c r="E336" s="3">
        <v>2</v>
      </c>
      <c r="F336" s="3">
        <v>335</v>
      </c>
      <c r="G336" s="2" t="s">
        <v>665</v>
      </c>
      <c r="H336" t="s">
        <v>640</v>
      </c>
      <c r="I336" s="3">
        <f t="shared" si="5"/>
        <v>6</v>
      </c>
      <c r="K336" s="30" t="s">
        <v>2406</v>
      </c>
      <c r="M336" s="36" t="s">
        <v>7015</v>
      </c>
      <c r="N336" s="43">
        <v>55</v>
      </c>
      <c r="P336" s="32" t="s">
        <v>7325</v>
      </c>
      <c r="R336" s="41" t="s">
        <v>7010</v>
      </c>
      <c r="S336" s="43" t="s">
        <v>7011</v>
      </c>
    </row>
    <row r="337" spans="5:19">
      <c r="E337" s="3">
        <v>2</v>
      </c>
      <c r="F337" s="3">
        <v>336</v>
      </c>
      <c r="G337" s="2" t="s">
        <v>666</v>
      </c>
      <c r="H337" t="s">
        <v>640</v>
      </c>
      <c r="I337" s="3">
        <f t="shared" si="5"/>
        <v>5</v>
      </c>
      <c r="K337" s="30" t="s">
        <v>2410</v>
      </c>
      <c r="M337" s="36" t="s">
        <v>7015</v>
      </c>
      <c r="N337" s="43">
        <v>11</v>
      </c>
      <c r="P337" s="32" t="s">
        <v>7326</v>
      </c>
      <c r="R337" s="41" t="s">
        <v>7015</v>
      </c>
      <c r="S337" s="43">
        <v>11</v>
      </c>
    </row>
    <row r="338" spans="5:19">
      <c r="E338" s="3">
        <v>2</v>
      </c>
      <c r="F338" s="3">
        <v>337</v>
      </c>
      <c r="G338" s="2" t="s">
        <v>667</v>
      </c>
      <c r="H338" t="s">
        <v>640</v>
      </c>
      <c r="I338" s="3">
        <f t="shared" si="5"/>
        <v>6</v>
      </c>
      <c r="K338" s="30" t="s">
        <v>2414</v>
      </c>
      <c r="M338" s="36" t="s">
        <v>7015</v>
      </c>
      <c r="N338" s="43">
        <v>29</v>
      </c>
      <c r="P338" s="32" t="s">
        <v>7327</v>
      </c>
      <c r="R338" s="41" t="s">
        <v>7010</v>
      </c>
      <c r="S338" s="43" t="s">
        <v>7011</v>
      </c>
    </row>
    <row r="339" spans="5:19">
      <c r="E339" s="3">
        <v>2</v>
      </c>
      <c r="F339" s="3">
        <v>338</v>
      </c>
      <c r="G339" s="2" t="s">
        <v>668</v>
      </c>
      <c r="H339" t="s">
        <v>640</v>
      </c>
      <c r="I339" s="3">
        <f t="shared" si="5"/>
        <v>9</v>
      </c>
      <c r="K339" s="30" t="s">
        <v>2418</v>
      </c>
      <c r="M339" s="36" t="s">
        <v>7015</v>
      </c>
      <c r="N339" s="43">
        <v>92</v>
      </c>
      <c r="P339" s="32" t="s">
        <v>7328</v>
      </c>
      <c r="R339" s="41" t="s">
        <v>7010</v>
      </c>
      <c r="S339" s="43" t="s">
        <v>7011</v>
      </c>
    </row>
    <row r="340" spans="5:19">
      <c r="E340" s="3">
        <v>2</v>
      </c>
      <c r="F340" s="3">
        <v>339</v>
      </c>
      <c r="G340" s="2" t="s">
        <v>669</v>
      </c>
      <c r="H340" t="s">
        <v>640</v>
      </c>
      <c r="I340" s="3">
        <f t="shared" si="5"/>
        <v>6</v>
      </c>
      <c r="K340" s="30" t="s">
        <v>2422</v>
      </c>
      <c r="M340" s="36" t="s">
        <v>7015</v>
      </c>
      <c r="N340" s="43">
        <v>31</v>
      </c>
      <c r="P340" s="32" t="s">
        <v>7329</v>
      </c>
      <c r="R340" s="41" t="s">
        <v>7010</v>
      </c>
      <c r="S340" s="43" t="s">
        <v>7011</v>
      </c>
    </row>
    <row r="341" spans="5:19">
      <c r="E341" s="3">
        <v>2</v>
      </c>
      <c r="F341" s="3">
        <v>340</v>
      </c>
      <c r="G341" s="2" t="s">
        <v>670</v>
      </c>
      <c r="H341" t="s">
        <v>640</v>
      </c>
      <c r="I341" s="3">
        <f t="shared" si="5"/>
        <v>6</v>
      </c>
      <c r="K341" s="30" t="s">
        <v>2426</v>
      </c>
      <c r="M341" s="36" t="s">
        <v>7015</v>
      </c>
      <c r="N341" s="43">
        <v>44</v>
      </c>
      <c r="P341" s="32" t="s">
        <v>7330</v>
      </c>
      <c r="R341" s="41" t="s">
        <v>7010</v>
      </c>
      <c r="S341" s="43" t="s">
        <v>7011</v>
      </c>
    </row>
    <row r="342" spans="5:19">
      <c r="E342" s="3">
        <v>2</v>
      </c>
      <c r="F342" s="3">
        <v>341</v>
      </c>
      <c r="G342" s="2" t="s">
        <v>671</v>
      </c>
      <c r="H342" t="s">
        <v>640</v>
      </c>
      <c r="I342" s="3">
        <f t="shared" si="5"/>
        <v>7</v>
      </c>
      <c r="K342" s="30" t="s">
        <v>2430</v>
      </c>
      <c r="M342" s="36" t="s">
        <v>7015</v>
      </c>
      <c r="N342" s="43">
        <v>80</v>
      </c>
      <c r="P342" s="32" t="s">
        <v>7331</v>
      </c>
      <c r="R342" s="41" t="s">
        <v>7010</v>
      </c>
      <c r="S342" s="43" t="s">
        <v>7011</v>
      </c>
    </row>
    <row r="343" spans="5:19">
      <c r="E343" s="3">
        <v>2</v>
      </c>
      <c r="F343" s="3">
        <v>342</v>
      </c>
      <c r="G343" s="2">
        <v>123123</v>
      </c>
      <c r="H343" t="s">
        <v>640</v>
      </c>
      <c r="I343" s="3">
        <f t="shared" si="5"/>
        <v>6</v>
      </c>
      <c r="K343" s="30" t="s">
        <v>2434</v>
      </c>
      <c r="M343" s="36" t="s">
        <v>7015</v>
      </c>
      <c r="N343" s="43">
        <v>3</v>
      </c>
      <c r="P343" s="32" t="s">
        <v>7332</v>
      </c>
      <c r="R343" s="41" t="s">
        <v>7015</v>
      </c>
      <c r="S343" s="43">
        <v>3</v>
      </c>
    </row>
    <row r="344" spans="5:19">
      <c r="E344" s="3">
        <v>2</v>
      </c>
      <c r="F344" s="3">
        <v>343</v>
      </c>
      <c r="G344" s="2" t="s">
        <v>672</v>
      </c>
      <c r="H344" t="s">
        <v>640</v>
      </c>
      <c r="I344" s="3">
        <f t="shared" si="5"/>
        <v>8</v>
      </c>
      <c r="K344" s="30" t="s">
        <v>2438</v>
      </c>
      <c r="M344" s="36" t="s">
        <v>7015</v>
      </c>
      <c r="N344" s="43">
        <v>95</v>
      </c>
      <c r="P344" s="32" t="s">
        <v>7333</v>
      </c>
      <c r="R344" s="41" t="s">
        <v>7010</v>
      </c>
      <c r="S344" s="43" t="s">
        <v>7011</v>
      </c>
    </row>
    <row r="345" spans="5:19">
      <c r="E345" s="3">
        <v>2</v>
      </c>
      <c r="F345" s="3">
        <v>344</v>
      </c>
      <c r="G345" s="2" t="s">
        <v>673</v>
      </c>
      <c r="H345" t="s">
        <v>640</v>
      </c>
      <c r="I345" s="3">
        <f t="shared" si="5"/>
        <v>6</v>
      </c>
      <c r="K345" s="30" t="s">
        <v>2442</v>
      </c>
      <c r="M345" s="36" t="s">
        <v>7015</v>
      </c>
      <c r="N345" s="43">
        <v>6</v>
      </c>
      <c r="P345" s="32" t="s">
        <v>7334</v>
      </c>
      <c r="R345" s="41" t="s">
        <v>7015</v>
      </c>
      <c r="S345" s="43">
        <v>6</v>
      </c>
    </row>
    <row r="346" spans="5:19">
      <c r="E346" s="3">
        <v>2</v>
      </c>
      <c r="F346" s="3">
        <v>345</v>
      </c>
      <c r="G346" s="2" t="s">
        <v>674</v>
      </c>
      <c r="H346" t="s">
        <v>640</v>
      </c>
      <c r="I346" s="3">
        <f t="shared" si="5"/>
        <v>6</v>
      </c>
      <c r="K346" s="30" t="s">
        <v>2446</v>
      </c>
      <c r="M346" s="36" t="s">
        <v>7015</v>
      </c>
      <c r="N346" s="43">
        <v>14</v>
      </c>
      <c r="P346" s="32" t="s">
        <v>7335</v>
      </c>
      <c r="R346" s="41" t="s">
        <v>7015</v>
      </c>
      <c r="S346" s="43">
        <v>14</v>
      </c>
    </row>
    <row r="347" spans="5:19">
      <c r="E347" s="3">
        <v>2</v>
      </c>
      <c r="F347" s="3">
        <v>346</v>
      </c>
      <c r="G347" s="2" t="s">
        <v>675</v>
      </c>
      <c r="H347" t="s">
        <v>640</v>
      </c>
      <c r="I347" s="3">
        <f t="shared" si="5"/>
        <v>6</v>
      </c>
      <c r="K347" s="30" t="s">
        <v>2450</v>
      </c>
      <c r="M347" s="36" t="s">
        <v>7015</v>
      </c>
      <c r="N347" s="43">
        <v>33</v>
      </c>
      <c r="P347" s="32" t="s">
        <v>7336</v>
      </c>
      <c r="R347" s="41" t="s">
        <v>7010</v>
      </c>
      <c r="S347" s="43" t="s">
        <v>7011</v>
      </c>
    </row>
    <row r="348" spans="5:19">
      <c r="E348" s="3">
        <v>2</v>
      </c>
      <c r="F348" s="3">
        <v>347</v>
      </c>
      <c r="G348" s="2" t="s">
        <v>676</v>
      </c>
      <c r="H348" t="s">
        <v>640</v>
      </c>
      <c r="I348" s="3">
        <f t="shared" si="5"/>
        <v>8</v>
      </c>
      <c r="K348" s="30" t="s">
        <v>2454</v>
      </c>
      <c r="M348" s="36" t="s">
        <v>7015</v>
      </c>
      <c r="N348" s="43">
        <v>78</v>
      </c>
      <c r="P348" s="32" t="s">
        <v>7337</v>
      </c>
      <c r="R348" s="41" t="s">
        <v>7010</v>
      </c>
      <c r="S348" s="43" t="s">
        <v>7011</v>
      </c>
    </row>
    <row r="349" spans="5:19">
      <c r="E349" s="3">
        <v>2</v>
      </c>
      <c r="F349" s="3">
        <v>348</v>
      </c>
      <c r="G349" s="2" t="s">
        <v>677</v>
      </c>
      <c r="H349" t="s">
        <v>640</v>
      </c>
      <c r="I349" s="3">
        <f t="shared" si="5"/>
        <v>6</v>
      </c>
      <c r="K349" s="30" t="s">
        <v>2458</v>
      </c>
      <c r="M349" s="36" t="s">
        <v>7015</v>
      </c>
      <c r="N349" s="43">
        <v>28</v>
      </c>
      <c r="P349" s="32" t="s">
        <v>7338</v>
      </c>
      <c r="R349" s="41" t="s">
        <v>7010</v>
      </c>
      <c r="S349" s="43" t="s">
        <v>7011</v>
      </c>
    </row>
    <row r="350" spans="5:19">
      <c r="E350" s="3">
        <v>2</v>
      </c>
      <c r="F350" s="3">
        <v>349</v>
      </c>
      <c r="G350" s="2" t="s">
        <v>678</v>
      </c>
      <c r="H350" t="s">
        <v>640</v>
      </c>
      <c r="I350" s="3">
        <f t="shared" si="5"/>
        <v>7</v>
      </c>
      <c r="K350" s="30" t="s">
        <v>2462</v>
      </c>
      <c r="M350" s="36" t="s">
        <v>7015</v>
      </c>
      <c r="N350" s="43">
        <v>26</v>
      </c>
      <c r="P350" s="32" t="s">
        <v>7339</v>
      </c>
      <c r="R350" s="41" t="s">
        <v>7010</v>
      </c>
      <c r="S350" s="43" t="s">
        <v>7011</v>
      </c>
    </row>
    <row r="351" spans="5:19">
      <c r="E351" s="3">
        <v>2</v>
      </c>
      <c r="F351" s="3">
        <v>350</v>
      </c>
      <c r="G351" s="2">
        <v>1234567890</v>
      </c>
      <c r="H351" t="s">
        <v>640</v>
      </c>
      <c r="I351" s="3">
        <f t="shared" si="5"/>
        <v>10</v>
      </c>
      <c r="K351" s="30" t="s">
        <v>2466</v>
      </c>
      <c r="M351" s="36" t="s">
        <v>7010</v>
      </c>
      <c r="N351" s="43" t="s">
        <v>7011</v>
      </c>
      <c r="P351" s="32" t="s">
        <v>7340</v>
      </c>
      <c r="R351" s="41" t="s">
        <v>7010</v>
      </c>
      <c r="S351" s="43" t="s">
        <v>7011</v>
      </c>
    </row>
    <row r="352" spans="5:19">
      <c r="E352" s="3">
        <v>2</v>
      </c>
      <c r="F352" s="3">
        <v>351</v>
      </c>
      <c r="G352" s="2" t="s">
        <v>679</v>
      </c>
      <c r="H352" t="s">
        <v>640</v>
      </c>
      <c r="I352" s="3">
        <f t="shared" si="5"/>
        <v>8</v>
      </c>
      <c r="K352" s="30" t="s">
        <v>2470</v>
      </c>
      <c r="M352" s="36" t="s">
        <v>7015</v>
      </c>
      <c r="N352" s="43">
        <v>41</v>
      </c>
      <c r="P352" s="32" t="s">
        <v>7341</v>
      </c>
      <c r="R352" s="41" t="s">
        <v>7010</v>
      </c>
      <c r="S352" s="43" t="s">
        <v>7011</v>
      </c>
    </row>
    <row r="353" spans="5:19">
      <c r="E353" s="3">
        <v>2</v>
      </c>
      <c r="F353" s="3">
        <v>352</v>
      </c>
      <c r="G353" s="2" t="s">
        <v>680</v>
      </c>
      <c r="H353" t="s">
        <v>640</v>
      </c>
      <c r="I353" s="3">
        <f t="shared" si="5"/>
        <v>6</v>
      </c>
      <c r="K353" s="30" t="s">
        <v>2474</v>
      </c>
      <c r="M353" s="36" t="s">
        <v>7015</v>
      </c>
      <c r="N353" s="43">
        <v>68</v>
      </c>
      <c r="P353" s="32" t="s">
        <v>7342</v>
      </c>
      <c r="R353" s="41" t="s">
        <v>7010</v>
      </c>
      <c r="S353" s="43" t="s">
        <v>7011</v>
      </c>
    </row>
    <row r="354" spans="5:19">
      <c r="E354" s="3">
        <v>2</v>
      </c>
      <c r="F354" s="3">
        <v>353</v>
      </c>
      <c r="G354" s="2" t="s">
        <v>681</v>
      </c>
      <c r="H354" t="s">
        <v>640</v>
      </c>
      <c r="I354" s="3">
        <f t="shared" si="5"/>
        <v>6</v>
      </c>
      <c r="K354" s="30" t="s">
        <v>2478</v>
      </c>
      <c r="M354" s="36" t="s">
        <v>7015</v>
      </c>
      <c r="N354" s="43">
        <v>16</v>
      </c>
      <c r="P354" s="32" t="s">
        <v>7343</v>
      </c>
      <c r="R354" s="41" t="s">
        <v>7010</v>
      </c>
      <c r="S354" s="43" t="s">
        <v>7011</v>
      </c>
    </row>
    <row r="355" spans="5:19">
      <c r="E355" s="3">
        <v>2</v>
      </c>
      <c r="F355" s="3">
        <v>354</v>
      </c>
      <c r="G355" s="2" t="s">
        <v>682</v>
      </c>
      <c r="H355" t="s">
        <v>640</v>
      </c>
      <c r="I355" s="3">
        <f t="shared" si="5"/>
        <v>7</v>
      </c>
      <c r="K355" s="30" t="s">
        <v>2482</v>
      </c>
      <c r="M355" s="36" t="s">
        <v>7015</v>
      </c>
      <c r="N355" s="43">
        <v>53</v>
      </c>
      <c r="P355" s="32" t="s">
        <v>7344</v>
      </c>
      <c r="R355" s="41" t="s">
        <v>7010</v>
      </c>
      <c r="S355" s="43" t="s">
        <v>7011</v>
      </c>
    </row>
    <row r="356" spans="5:19">
      <c r="E356" s="3">
        <v>2</v>
      </c>
      <c r="F356" s="3">
        <v>355</v>
      </c>
      <c r="G356" s="2" t="s">
        <v>683</v>
      </c>
      <c r="H356" t="s">
        <v>640</v>
      </c>
      <c r="I356" s="3">
        <f t="shared" si="5"/>
        <v>6</v>
      </c>
      <c r="K356" s="30" t="s">
        <v>2486</v>
      </c>
      <c r="M356" s="36" t="s">
        <v>7015</v>
      </c>
      <c r="N356" s="43">
        <v>56</v>
      </c>
      <c r="P356" s="32" t="s">
        <v>7345</v>
      </c>
      <c r="R356" s="41" t="s">
        <v>7010</v>
      </c>
      <c r="S356" s="43" t="s">
        <v>7011</v>
      </c>
    </row>
    <row r="357" spans="5:19">
      <c r="E357" s="3">
        <v>2</v>
      </c>
      <c r="F357" s="3">
        <v>356</v>
      </c>
      <c r="G357" s="2" t="s">
        <v>684</v>
      </c>
      <c r="H357" t="s">
        <v>640</v>
      </c>
      <c r="I357" s="3">
        <f t="shared" si="5"/>
        <v>10</v>
      </c>
      <c r="K357" s="30" t="s">
        <v>2490</v>
      </c>
      <c r="M357" s="36" t="s">
        <v>7015</v>
      </c>
      <c r="N357" s="43">
        <v>82</v>
      </c>
      <c r="P357" s="32" t="s">
        <v>7346</v>
      </c>
      <c r="R357" s="41" t="s">
        <v>7010</v>
      </c>
      <c r="S357" s="43" t="s">
        <v>7011</v>
      </c>
    </row>
    <row r="358" spans="5:19">
      <c r="E358" s="3">
        <v>2</v>
      </c>
      <c r="F358" s="3">
        <v>357</v>
      </c>
      <c r="G358" s="2" t="s">
        <v>685</v>
      </c>
      <c r="H358" t="s">
        <v>640</v>
      </c>
      <c r="I358" s="3">
        <f t="shared" si="5"/>
        <v>6</v>
      </c>
      <c r="K358" s="30" t="s">
        <v>2494</v>
      </c>
      <c r="M358" s="36" t="s">
        <v>7015</v>
      </c>
      <c r="N358" s="43">
        <v>18</v>
      </c>
      <c r="P358" s="32" t="s">
        <v>7347</v>
      </c>
      <c r="R358" s="41" t="s">
        <v>7010</v>
      </c>
      <c r="S358" s="43" t="s">
        <v>7011</v>
      </c>
    </row>
    <row r="359" spans="5:19">
      <c r="E359" s="3">
        <v>2</v>
      </c>
      <c r="F359" s="3">
        <v>358</v>
      </c>
      <c r="G359" s="2" t="s">
        <v>686</v>
      </c>
      <c r="H359" t="s">
        <v>640</v>
      </c>
      <c r="I359" s="3">
        <f t="shared" si="5"/>
        <v>6</v>
      </c>
      <c r="K359" s="30" t="s">
        <v>2498</v>
      </c>
      <c r="M359" s="36" t="s">
        <v>7015</v>
      </c>
      <c r="N359" s="43">
        <v>13</v>
      </c>
      <c r="P359" s="32" t="s">
        <v>7348</v>
      </c>
      <c r="R359" s="41" t="s">
        <v>7015</v>
      </c>
      <c r="S359" s="43">
        <v>13</v>
      </c>
    </row>
    <row r="360" spans="5:19">
      <c r="E360" s="3">
        <v>2</v>
      </c>
      <c r="F360" s="3">
        <v>359</v>
      </c>
      <c r="G360" s="2" t="s">
        <v>687</v>
      </c>
      <c r="H360" t="s">
        <v>640</v>
      </c>
      <c r="I360" s="3">
        <f t="shared" si="5"/>
        <v>6</v>
      </c>
      <c r="K360" s="30" t="s">
        <v>2502</v>
      </c>
      <c r="M360" s="36" t="s">
        <v>7015</v>
      </c>
      <c r="N360" s="43">
        <v>60</v>
      </c>
      <c r="P360" s="32" t="s">
        <v>7349</v>
      </c>
      <c r="R360" s="41" t="s">
        <v>7010</v>
      </c>
      <c r="S360" s="43" t="s">
        <v>7011</v>
      </c>
    </row>
    <row r="361" spans="5:19">
      <c r="E361" s="3">
        <v>2</v>
      </c>
      <c r="F361" s="3">
        <v>360</v>
      </c>
      <c r="G361" s="2" t="s">
        <v>688</v>
      </c>
      <c r="H361" t="s">
        <v>640</v>
      </c>
      <c r="I361" s="3">
        <f t="shared" si="5"/>
        <v>6</v>
      </c>
      <c r="K361" s="30" t="s">
        <v>2506</v>
      </c>
      <c r="M361" s="36" t="s">
        <v>7015</v>
      </c>
      <c r="N361" s="43">
        <v>74</v>
      </c>
      <c r="P361" s="32" t="s">
        <v>7350</v>
      </c>
      <c r="R361" s="41" t="s">
        <v>7010</v>
      </c>
      <c r="S361" s="43" t="s">
        <v>7011</v>
      </c>
    </row>
    <row r="362" spans="5:19">
      <c r="E362" s="3">
        <v>2</v>
      </c>
      <c r="F362" s="3">
        <v>361</v>
      </c>
      <c r="G362" s="2" t="s">
        <v>689</v>
      </c>
      <c r="H362" t="s">
        <v>640</v>
      </c>
      <c r="I362" s="3">
        <f t="shared" si="5"/>
        <v>7</v>
      </c>
      <c r="K362" s="30" t="s">
        <v>2510</v>
      </c>
      <c r="M362" s="36" t="s">
        <v>7015</v>
      </c>
      <c r="N362" s="43">
        <v>57</v>
      </c>
      <c r="P362" s="32" t="s">
        <v>7351</v>
      </c>
      <c r="R362" s="41" t="s">
        <v>7010</v>
      </c>
      <c r="S362" s="43" t="s">
        <v>7011</v>
      </c>
    </row>
    <row r="363" spans="5:19">
      <c r="E363" s="3">
        <v>2</v>
      </c>
      <c r="F363" s="3">
        <v>362</v>
      </c>
      <c r="G363" s="2" t="s">
        <v>690</v>
      </c>
      <c r="H363" t="s">
        <v>640</v>
      </c>
      <c r="I363" s="3">
        <f t="shared" si="5"/>
        <v>5</v>
      </c>
      <c r="K363" s="30" t="s">
        <v>2514</v>
      </c>
      <c r="M363" s="36" t="s">
        <v>7015</v>
      </c>
      <c r="N363" s="43">
        <v>48</v>
      </c>
      <c r="P363" s="32" t="s">
        <v>7352</v>
      </c>
      <c r="R363" s="41" t="s">
        <v>7010</v>
      </c>
      <c r="S363" s="43" t="s">
        <v>7011</v>
      </c>
    </row>
    <row r="364" spans="5:19">
      <c r="E364" s="3">
        <v>2</v>
      </c>
      <c r="F364" s="3">
        <v>363</v>
      </c>
      <c r="G364" s="2" t="s">
        <v>691</v>
      </c>
      <c r="H364" t="s">
        <v>640</v>
      </c>
      <c r="I364" s="3">
        <f t="shared" si="5"/>
        <v>9</v>
      </c>
      <c r="K364" s="30" t="s">
        <v>2518</v>
      </c>
      <c r="M364" s="36" t="s">
        <v>7010</v>
      </c>
      <c r="N364" s="43" t="s">
        <v>7011</v>
      </c>
      <c r="P364" s="32" t="s">
        <v>7353</v>
      </c>
      <c r="R364" s="41" t="s">
        <v>7010</v>
      </c>
      <c r="S364" s="43" t="s">
        <v>7011</v>
      </c>
    </row>
    <row r="365" spans="5:19">
      <c r="E365" s="3">
        <v>2</v>
      </c>
      <c r="F365" s="3">
        <v>364</v>
      </c>
      <c r="G365" s="2" t="s">
        <v>692</v>
      </c>
      <c r="H365" t="s">
        <v>640</v>
      </c>
      <c r="I365" s="3">
        <f t="shared" si="5"/>
        <v>6</v>
      </c>
      <c r="K365" s="30" t="s">
        <v>2522</v>
      </c>
      <c r="M365" s="36" t="s">
        <v>7015</v>
      </c>
      <c r="N365" s="43">
        <v>69</v>
      </c>
      <c r="P365" s="32" t="s">
        <v>7354</v>
      </c>
      <c r="R365" s="41" t="s">
        <v>7010</v>
      </c>
      <c r="S365" s="43" t="s">
        <v>7011</v>
      </c>
    </row>
    <row r="366" spans="5:19">
      <c r="E366" s="3">
        <v>2</v>
      </c>
      <c r="F366" s="3">
        <v>365</v>
      </c>
      <c r="G366" s="2" t="s">
        <v>693</v>
      </c>
      <c r="H366" t="s">
        <v>640</v>
      </c>
      <c r="I366" s="3">
        <f t="shared" si="5"/>
        <v>10</v>
      </c>
      <c r="K366" s="30" t="s">
        <v>2526</v>
      </c>
      <c r="M366" s="36" t="s">
        <v>7010</v>
      </c>
      <c r="N366" s="43" t="s">
        <v>7011</v>
      </c>
      <c r="P366" s="32" t="s">
        <v>7355</v>
      </c>
      <c r="R366" s="41" t="s">
        <v>7010</v>
      </c>
      <c r="S366" s="43" t="s">
        <v>7011</v>
      </c>
    </row>
    <row r="367" spans="5:19">
      <c r="E367" s="3">
        <v>2</v>
      </c>
      <c r="F367" s="3">
        <v>366</v>
      </c>
      <c r="G367" s="2" t="s">
        <v>694</v>
      </c>
      <c r="H367" t="s">
        <v>640</v>
      </c>
      <c r="I367" s="3">
        <f t="shared" si="5"/>
        <v>7</v>
      </c>
      <c r="K367" s="30" t="s">
        <v>2530</v>
      </c>
      <c r="M367" s="36" t="s">
        <v>7015</v>
      </c>
      <c r="N367" s="43">
        <v>19</v>
      </c>
      <c r="P367" s="32" t="s">
        <v>7356</v>
      </c>
      <c r="R367" s="41" t="s">
        <v>7010</v>
      </c>
      <c r="S367" s="43" t="s">
        <v>7011</v>
      </c>
    </row>
    <row r="368" spans="5:19">
      <c r="E368" s="3">
        <v>2</v>
      </c>
      <c r="F368" s="3">
        <v>367</v>
      </c>
      <c r="G368" s="2" t="s">
        <v>695</v>
      </c>
      <c r="H368" t="s">
        <v>640</v>
      </c>
      <c r="I368" s="3">
        <f t="shared" si="5"/>
        <v>8</v>
      </c>
      <c r="K368" s="30" t="s">
        <v>2534</v>
      </c>
      <c r="M368" s="36" t="s">
        <v>7015</v>
      </c>
      <c r="N368" s="43">
        <v>10</v>
      </c>
      <c r="P368" s="32" t="s">
        <v>7357</v>
      </c>
      <c r="R368" s="41" t="s">
        <v>7015</v>
      </c>
      <c r="S368" s="43">
        <v>10</v>
      </c>
    </row>
    <row r="369" spans="5:19">
      <c r="E369" s="3">
        <v>2</v>
      </c>
      <c r="F369" s="3">
        <v>368</v>
      </c>
      <c r="G369" s="2" t="s">
        <v>696</v>
      </c>
      <c r="H369" t="s">
        <v>640</v>
      </c>
      <c r="I369" s="3">
        <f t="shared" si="5"/>
        <v>6</v>
      </c>
      <c r="K369" s="30" t="s">
        <v>2538</v>
      </c>
      <c r="M369" s="36" t="s">
        <v>7015</v>
      </c>
      <c r="N369" s="43">
        <v>35</v>
      </c>
      <c r="P369" s="32" t="s">
        <v>7358</v>
      </c>
      <c r="R369" s="41" t="s">
        <v>7010</v>
      </c>
      <c r="S369" s="43" t="s">
        <v>7011</v>
      </c>
    </row>
    <row r="370" spans="5:19">
      <c r="E370" s="3">
        <v>2</v>
      </c>
      <c r="F370" s="3">
        <v>369</v>
      </c>
      <c r="G370" s="2" t="s">
        <v>697</v>
      </c>
      <c r="H370" t="s">
        <v>640</v>
      </c>
      <c r="I370" s="3">
        <f t="shared" si="5"/>
        <v>7</v>
      </c>
      <c r="K370" s="30" t="s">
        <v>2542</v>
      </c>
      <c r="M370" s="36" t="s">
        <v>7015</v>
      </c>
      <c r="N370" s="43">
        <v>91</v>
      </c>
      <c r="P370" s="32" t="s">
        <v>7359</v>
      </c>
      <c r="R370" s="41" t="s">
        <v>7010</v>
      </c>
      <c r="S370" s="43" t="s">
        <v>7011</v>
      </c>
    </row>
    <row r="371" spans="5:19">
      <c r="E371" s="3">
        <v>2</v>
      </c>
      <c r="F371" s="3">
        <v>370</v>
      </c>
      <c r="G371" s="2" t="s">
        <v>698</v>
      </c>
      <c r="H371" t="s">
        <v>640</v>
      </c>
      <c r="I371" s="3">
        <f t="shared" si="5"/>
        <v>6</v>
      </c>
      <c r="K371" s="30" t="s">
        <v>2546</v>
      </c>
      <c r="M371" s="36" t="s">
        <v>7015</v>
      </c>
      <c r="N371" s="43">
        <v>43</v>
      </c>
      <c r="P371" s="32" t="s">
        <v>7360</v>
      </c>
      <c r="R371" s="41" t="s">
        <v>7010</v>
      </c>
      <c r="S371" s="43" t="s">
        <v>7011</v>
      </c>
    </row>
    <row r="372" spans="5:19">
      <c r="E372" s="3">
        <v>2</v>
      </c>
      <c r="F372" s="3">
        <v>371</v>
      </c>
      <c r="G372" s="2" t="s">
        <v>699</v>
      </c>
      <c r="H372" t="s">
        <v>640</v>
      </c>
      <c r="I372" s="3">
        <f t="shared" si="5"/>
        <v>5</v>
      </c>
      <c r="K372" s="30" t="s">
        <v>2550</v>
      </c>
      <c r="M372" s="36" t="s">
        <v>7015</v>
      </c>
      <c r="N372" s="43">
        <v>46</v>
      </c>
      <c r="P372" s="32" t="s">
        <v>7361</v>
      </c>
      <c r="R372" s="41" t="s">
        <v>7010</v>
      </c>
      <c r="S372" s="43" t="s">
        <v>7011</v>
      </c>
    </row>
    <row r="373" spans="5:19">
      <c r="E373" s="3">
        <v>2</v>
      </c>
      <c r="F373" s="3">
        <v>372</v>
      </c>
      <c r="G373" s="2" t="s">
        <v>700</v>
      </c>
      <c r="H373" t="s">
        <v>640</v>
      </c>
      <c r="I373" s="3">
        <f t="shared" si="5"/>
        <v>7</v>
      </c>
      <c r="K373" s="30" t="s">
        <v>2554</v>
      </c>
      <c r="M373" s="36" t="s">
        <v>7015</v>
      </c>
      <c r="N373" s="43">
        <v>39</v>
      </c>
      <c r="P373" s="32" t="s">
        <v>7362</v>
      </c>
      <c r="R373" s="41" t="s">
        <v>7010</v>
      </c>
      <c r="S373" s="43" t="s">
        <v>7011</v>
      </c>
    </row>
    <row r="374" spans="5:19">
      <c r="E374" s="3">
        <v>2</v>
      </c>
      <c r="F374" s="3">
        <v>373</v>
      </c>
      <c r="G374" s="2" t="s">
        <v>701</v>
      </c>
      <c r="H374" t="s">
        <v>640</v>
      </c>
      <c r="I374" s="3">
        <f t="shared" si="5"/>
        <v>7</v>
      </c>
      <c r="K374" s="30" t="s">
        <v>2558</v>
      </c>
      <c r="M374" s="36" t="s">
        <v>7015</v>
      </c>
      <c r="N374" s="43">
        <v>46</v>
      </c>
      <c r="P374" s="32" t="s">
        <v>7363</v>
      </c>
      <c r="R374" s="41" t="s">
        <v>7010</v>
      </c>
      <c r="S374" s="43" t="s">
        <v>7011</v>
      </c>
    </row>
    <row r="375" spans="5:19">
      <c r="E375" s="3">
        <v>2</v>
      </c>
      <c r="F375" s="3">
        <v>374</v>
      </c>
      <c r="G375" s="2">
        <v>666666</v>
      </c>
      <c r="H375" t="s">
        <v>640</v>
      </c>
      <c r="I375" s="3">
        <f t="shared" si="5"/>
        <v>6</v>
      </c>
      <c r="K375" s="30" t="s">
        <v>2562</v>
      </c>
      <c r="M375" s="36" t="s">
        <v>7015</v>
      </c>
      <c r="N375" s="43">
        <v>25</v>
      </c>
      <c r="P375" s="32" t="s">
        <v>7364</v>
      </c>
      <c r="R375" s="41" t="s">
        <v>7010</v>
      </c>
      <c r="S375" s="43" t="s">
        <v>7011</v>
      </c>
    </row>
    <row r="376" spans="5:19">
      <c r="E376" s="3">
        <v>2</v>
      </c>
      <c r="F376" s="3">
        <v>375</v>
      </c>
      <c r="G376" s="2" t="s">
        <v>702</v>
      </c>
      <c r="H376" t="s">
        <v>640</v>
      </c>
      <c r="I376" s="3">
        <f t="shared" si="5"/>
        <v>6</v>
      </c>
      <c r="K376" s="30" t="s">
        <v>2566</v>
      </c>
      <c r="M376" s="36" t="s">
        <v>7015</v>
      </c>
      <c r="N376" s="43">
        <v>73</v>
      </c>
      <c r="P376" s="32" t="s">
        <v>7365</v>
      </c>
      <c r="R376" s="41" t="s">
        <v>7015</v>
      </c>
      <c r="S376" s="43">
        <v>2</v>
      </c>
    </row>
    <row r="377" spans="5:19">
      <c r="E377" s="3">
        <v>2</v>
      </c>
      <c r="F377" s="3">
        <v>376</v>
      </c>
      <c r="G377" s="2" t="s">
        <v>703</v>
      </c>
      <c r="H377" t="s">
        <v>640</v>
      </c>
      <c r="I377" s="3">
        <f t="shared" si="5"/>
        <v>7</v>
      </c>
      <c r="K377" s="30" t="s">
        <v>2570</v>
      </c>
      <c r="M377" s="36" t="s">
        <v>7015</v>
      </c>
      <c r="N377" s="43">
        <v>4</v>
      </c>
      <c r="P377" s="32" t="s">
        <v>7366</v>
      </c>
      <c r="R377" s="41" t="s">
        <v>7010</v>
      </c>
      <c r="S377" s="43" t="s">
        <v>7011</v>
      </c>
    </row>
    <row r="378" spans="5:19">
      <c r="E378" s="3">
        <v>2</v>
      </c>
      <c r="F378" s="3">
        <v>377</v>
      </c>
      <c r="G378" s="2" t="s">
        <v>704</v>
      </c>
      <c r="H378" t="s">
        <v>640</v>
      </c>
      <c r="I378" s="3">
        <f t="shared" si="5"/>
        <v>6</v>
      </c>
      <c r="K378" s="30" t="s">
        <v>2574</v>
      </c>
      <c r="M378" s="36" t="s">
        <v>7015</v>
      </c>
      <c r="N378" s="43">
        <v>23</v>
      </c>
      <c r="P378" s="32" t="s">
        <v>7367</v>
      </c>
      <c r="R378" s="41" t="s">
        <v>7010</v>
      </c>
      <c r="S378" s="43" t="s">
        <v>7011</v>
      </c>
    </row>
    <row r="379" spans="5:19">
      <c r="E379" s="3">
        <v>2</v>
      </c>
      <c r="F379" s="3">
        <v>378</v>
      </c>
      <c r="G379" s="2" t="s">
        <v>705</v>
      </c>
      <c r="H379" t="s">
        <v>640</v>
      </c>
      <c r="I379" s="3">
        <f t="shared" si="5"/>
        <v>7</v>
      </c>
      <c r="K379" s="30" t="s">
        <v>2578</v>
      </c>
      <c r="M379" s="36" t="s">
        <v>7015</v>
      </c>
      <c r="N379" s="43">
        <v>22</v>
      </c>
      <c r="P379" s="32" t="s">
        <v>7368</v>
      </c>
      <c r="R379" s="41" t="s">
        <v>7010</v>
      </c>
      <c r="S379" s="43" t="s">
        <v>7011</v>
      </c>
    </row>
    <row r="380" spans="5:19">
      <c r="E380" s="3">
        <v>2</v>
      </c>
      <c r="F380" s="3">
        <v>379</v>
      </c>
      <c r="G380" s="2" t="s">
        <v>706</v>
      </c>
      <c r="H380" t="s">
        <v>640</v>
      </c>
      <c r="I380" s="3">
        <f t="shared" si="5"/>
        <v>6</v>
      </c>
      <c r="K380" s="30" t="s">
        <v>2582</v>
      </c>
      <c r="M380" s="36" t="s">
        <v>7015</v>
      </c>
      <c r="N380" s="43">
        <v>64</v>
      </c>
      <c r="P380" s="32" t="s">
        <v>7369</v>
      </c>
      <c r="R380" s="41" t="s">
        <v>7010</v>
      </c>
      <c r="S380" s="43" t="s">
        <v>7011</v>
      </c>
    </row>
    <row r="381" spans="5:19">
      <c r="E381" s="3">
        <v>2</v>
      </c>
      <c r="F381" s="3">
        <v>380</v>
      </c>
      <c r="G381" s="2" t="s">
        <v>707</v>
      </c>
      <c r="H381" t="s">
        <v>640</v>
      </c>
      <c r="I381" s="3">
        <f t="shared" si="5"/>
        <v>8</v>
      </c>
      <c r="K381" s="30" t="s">
        <v>2586</v>
      </c>
      <c r="M381" s="36" t="s">
        <v>7015</v>
      </c>
      <c r="N381" s="43">
        <v>83</v>
      </c>
      <c r="P381" s="32" t="s">
        <v>7370</v>
      </c>
      <c r="R381" s="41" t="s">
        <v>7010</v>
      </c>
      <c r="S381" s="43" t="s">
        <v>7011</v>
      </c>
    </row>
    <row r="382" spans="5:19">
      <c r="E382" s="3">
        <v>2</v>
      </c>
      <c r="F382" s="3">
        <v>381</v>
      </c>
      <c r="G382" s="2" t="s">
        <v>708</v>
      </c>
      <c r="H382" t="s">
        <v>640</v>
      </c>
      <c r="I382" s="3">
        <f t="shared" si="5"/>
        <v>7</v>
      </c>
      <c r="K382" s="30" t="s">
        <v>2590</v>
      </c>
      <c r="M382" s="36" t="s">
        <v>7015</v>
      </c>
      <c r="N382" s="43">
        <v>81</v>
      </c>
      <c r="P382" s="32" t="s">
        <v>7371</v>
      </c>
      <c r="R382" s="41" t="s">
        <v>7010</v>
      </c>
      <c r="S382" s="43" t="s">
        <v>7011</v>
      </c>
    </row>
    <row r="383" spans="5:19">
      <c r="E383" s="3">
        <v>2</v>
      </c>
      <c r="F383" s="3">
        <v>382</v>
      </c>
      <c r="G383" s="2" t="s">
        <v>709</v>
      </c>
      <c r="H383" t="s">
        <v>640</v>
      </c>
      <c r="I383" s="3">
        <f t="shared" si="5"/>
        <v>6</v>
      </c>
      <c r="K383" s="30" t="s">
        <v>2594</v>
      </c>
      <c r="M383" s="36" t="s">
        <v>7015</v>
      </c>
      <c r="N383" s="43">
        <v>73</v>
      </c>
      <c r="P383" s="32" t="s">
        <v>7372</v>
      </c>
      <c r="R383" s="41" t="s">
        <v>7010</v>
      </c>
      <c r="S383" s="43" t="s">
        <v>7011</v>
      </c>
    </row>
    <row r="384" spans="5:19">
      <c r="E384" s="3">
        <v>2</v>
      </c>
      <c r="F384" s="3">
        <v>383</v>
      </c>
      <c r="G384" s="2" t="s">
        <v>710</v>
      </c>
      <c r="H384" t="s">
        <v>640</v>
      </c>
      <c r="I384" s="3">
        <f t="shared" si="5"/>
        <v>8</v>
      </c>
      <c r="K384" s="30" t="s">
        <v>2598</v>
      </c>
      <c r="M384" s="36" t="s">
        <v>7015</v>
      </c>
      <c r="N384" s="43">
        <v>77</v>
      </c>
      <c r="P384" s="32" t="s">
        <v>7373</v>
      </c>
      <c r="R384" s="41" t="s">
        <v>7010</v>
      </c>
      <c r="S384" s="43" t="s">
        <v>7011</v>
      </c>
    </row>
    <row r="385" spans="5:19">
      <c r="E385" s="3">
        <v>2</v>
      </c>
      <c r="F385" s="3">
        <v>384</v>
      </c>
      <c r="G385" s="2">
        <v>987654321</v>
      </c>
      <c r="H385" t="s">
        <v>640</v>
      </c>
      <c r="I385" s="3">
        <f t="shared" si="5"/>
        <v>9</v>
      </c>
      <c r="K385" s="30" t="s">
        <v>2602</v>
      </c>
      <c r="M385" s="36" t="s">
        <v>7010</v>
      </c>
      <c r="N385" s="43" t="s">
        <v>7011</v>
      </c>
      <c r="P385" s="32" t="s">
        <v>7374</v>
      </c>
      <c r="R385" s="41" t="s">
        <v>7010</v>
      </c>
      <c r="S385" s="43" t="s">
        <v>7011</v>
      </c>
    </row>
    <row r="386" spans="5:19">
      <c r="E386" s="3">
        <v>2</v>
      </c>
      <c r="F386" s="3">
        <v>385</v>
      </c>
      <c r="G386" s="2" t="s">
        <v>711</v>
      </c>
      <c r="H386" t="s">
        <v>640</v>
      </c>
      <c r="I386" s="3">
        <f t="shared" ref="I386:I449" si="6">LEN(G386)</f>
        <v>8</v>
      </c>
      <c r="K386" s="30" t="s">
        <v>2606</v>
      </c>
      <c r="M386" s="36" t="s">
        <v>7015</v>
      </c>
      <c r="N386" s="43">
        <v>50</v>
      </c>
      <c r="P386" s="32" t="s">
        <v>7375</v>
      </c>
      <c r="R386" s="41" t="s">
        <v>7010</v>
      </c>
      <c r="S386" s="43" t="s">
        <v>7011</v>
      </c>
    </row>
    <row r="387" spans="5:19">
      <c r="E387" s="3">
        <v>2</v>
      </c>
      <c r="F387" s="3">
        <v>386</v>
      </c>
      <c r="G387" s="2" t="s">
        <v>712</v>
      </c>
      <c r="H387" t="s">
        <v>640</v>
      </c>
      <c r="I387" s="3">
        <f t="shared" si="6"/>
        <v>8</v>
      </c>
      <c r="K387" s="30" t="s">
        <v>2610</v>
      </c>
      <c r="M387" s="36" t="s">
        <v>7010</v>
      </c>
      <c r="N387" s="43" t="s">
        <v>7011</v>
      </c>
      <c r="P387" s="32" t="s">
        <v>7376</v>
      </c>
      <c r="R387" s="41" t="s">
        <v>7010</v>
      </c>
      <c r="S387" s="43" t="s">
        <v>7011</v>
      </c>
    </row>
    <row r="388" spans="5:19">
      <c r="E388" s="3">
        <v>2</v>
      </c>
      <c r="F388" s="3">
        <v>387</v>
      </c>
      <c r="G388" s="2" t="s">
        <v>713</v>
      </c>
      <c r="H388" t="s">
        <v>640</v>
      </c>
      <c r="I388" s="3">
        <f t="shared" si="6"/>
        <v>6</v>
      </c>
      <c r="K388" s="30" t="s">
        <v>2614</v>
      </c>
      <c r="M388" s="36" t="s">
        <v>7015</v>
      </c>
      <c r="N388" s="43">
        <v>52</v>
      </c>
      <c r="P388" s="32" t="s">
        <v>7377</v>
      </c>
      <c r="R388" s="41" t="s">
        <v>7010</v>
      </c>
      <c r="S388" s="43" t="s">
        <v>7011</v>
      </c>
    </row>
    <row r="389" spans="5:19">
      <c r="E389" s="3">
        <v>2</v>
      </c>
      <c r="F389" s="3">
        <v>388</v>
      </c>
      <c r="G389" s="2" t="s">
        <v>714</v>
      </c>
      <c r="H389" t="s">
        <v>640</v>
      </c>
      <c r="I389" s="3">
        <f t="shared" si="6"/>
        <v>7</v>
      </c>
      <c r="K389" s="30" t="s">
        <v>2618</v>
      </c>
      <c r="M389" s="36" t="s">
        <v>7010</v>
      </c>
      <c r="N389" s="43" t="s">
        <v>7011</v>
      </c>
      <c r="P389" s="32" t="s">
        <v>7378</v>
      </c>
      <c r="R389" s="41" t="s">
        <v>7010</v>
      </c>
      <c r="S389" s="43" t="s">
        <v>7011</v>
      </c>
    </row>
    <row r="390" spans="5:19">
      <c r="E390" s="3">
        <v>2</v>
      </c>
      <c r="F390" s="3">
        <v>389</v>
      </c>
      <c r="G390" s="2" t="s">
        <v>715</v>
      </c>
      <c r="H390" t="s">
        <v>640</v>
      </c>
      <c r="I390" s="3">
        <f t="shared" si="6"/>
        <v>6</v>
      </c>
      <c r="K390" s="30" t="s">
        <v>2622</v>
      </c>
      <c r="M390" s="36" t="s">
        <v>7015</v>
      </c>
      <c r="N390" s="43">
        <v>34</v>
      </c>
      <c r="P390" s="32" t="s">
        <v>7379</v>
      </c>
      <c r="R390" s="41" t="s">
        <v>7010</v>
      </c>
      <c r="S390" s="43" t="s">
        <v>7011</v>
      </c>
    </row>
    <row r="391" spans="5:19">
      <c r="E391" s="3">
        <v>2</v>
      </c>
      <c r="F391" s="3">
        <v>390</v>
      </c>
      <c r="G391" s="2" t="s">
        <v>716</v>
      </c>
      <c r="H391" t="s">
        <v>640</v>
      </c>
      <c r="I391" s="3">
        <f t="shared" si="6"/>
        <v>6</v>
      </c>
      <c r="K391" s="30" t="s">
        <v>2626</v>
      </c>
      <c r="M391" s="36" t="s">
        <v>7015</v>
      </c>
      <c r="N391" s="43">
        <v>71</v>
      </c>
      <c r="P391" s="32" t="s">
        <v>7380</v>
      </c>
      <c r="R391" s="41" t="s">
        <v>7010</v>
      </c>
      <c r="S391" s="43" t="s">
        <v>7011</v>
      </c>
    </row>
    <row r="392" spans="5:19">
      <c r="E392" s="3">
        <v>2</v>
      </c>
      <c r="F392" s="3">
        <v>391</v>
      </c>
      <c r="G392" s="2" t="s">
        <v>717</v>
      </c>
      <c r="H392" t="s">
        <v>640</v>
      </c>
      <c r="I392" s="3">
        <f t="shared" si="6"/>
        <v>6</v>
      </c>
      <c r="K392" s="30" t="s">
        <v>2630</v>
      </c>
      <c r="M392" s="36" t="s">
        <v>7015</v>
      </c>
      <c r="N392" s="43">
        <v>32</v>
      </c>
      <c r="P392" s="32" t="s">
        <v>7381</v>
      </c>
      <c r="R392" s="41" t="s">
        <v>7010</v>
      </c>
      <c r="S392" s="43" t="s">
        <v>7011</v>
      </c>
    </row>
    <row r="393" spans="5:19">
      <c r="E393" s="3">
        <v>2</v>
      </c>
      <c r="F393" s="3">
        <v>392</v>
      </c>
      <c r="G393" s="2" t="s">
        <v>718</v>
      </c>
      <c r="H393" t="s">
        <v>640</v>
      </c>
      <c r="I393" s="3">
        <f t="shared" si="6"/>
        <v>6</v>
      </c>
      <c r="K393" s="30" t="s">
        <v>2634</v>
      </c>
      <c r="M393" s="36" t="s">
        <v>7015</v>
      </c>
      <c r="N393" s="43">
        <v>54</v>
      </c>
      <c r="P393" s="32" t="s">
        <v>7382</v>
      </c>
      <c r="R393" s="41" t="s">
        <v>7010</v>
      </c>
      <c r="S393" s="43" t="s">
        <v>7011</v>
      </c>
    </row>
    <row r="394" spans="5:19">
      <c r="E394" s="3">
        <v>2</v>
      </c>
      <c r="F394" s="3">
        <v>393</v>
      </c>
      <c r="G394" s="2" t="s">
        <v>719</v>
      </c>
      <c r="H394" t="s">
        <v>640</v>
      </c>
      <c r="I394" s="3">
        <f t="shared" si="6"/>
        <v>9</v>
      </c>
      <c r="K394" s="30" t="s">
        <v>2638</v>
      </c>
      <c r="M394" s="36" t="s">
        <v>7015</v>
      </c>
      <c r="N394" s="43">
        <v>86</v>
      </c>
      <c r="P394" s="32" t="s">
        <v>7383</v>
      </c>
      <c r="R394" s="41" t="s">
        <v>7010</v>
      </c>
      <c r="S394" s="43" t="s">
        <v>7011</v>
      </c>
    </row>
    <row r="395" spans="5:19">
      <c r="E395" s="3">
        <v>2</v>
      </c>
      <c r="F395" s="3">
        <v>394</v>
      </c>
      <c r="G395" s="2" t="s">
        <v>720</v>
      </c>
      <c r="H395" t="s">
        <v>640</v>
      </c>
      <c r="I395" s="3">
        <f t="shared" si="6"/>
        <v>6</v>
      </c>
      <c r="K395" s="30" t="s">
        <v>2642</v>
      </c>
      <c r="M395" s="36" t="s">
        <v>7015</v>
      </c>
      <c r="N395" s="43">
        <v>27</v>
      </c>
      <c r="P395" s="32" t="s">
        <v>7384</v>
      </c>
      <c r="R395" s="41" t="s">
        <v>7010</v>
      </c>
      <c r="S395" s="43" t="s">
        <v>7011</v>
      </c>
    </row>
    <row r="396" spans="5:19">
      <c r="E396" s="3">
        <v>2</v>
      </c>
      <c r="F396" s="3">
        <v>395</v>
      </c>
      <c r="G396" s="2" t="s">
        <v>721</v>
      </c>
      <c r="H396" t="s">
        <v>640</v>
      </c>
      <c r="I396" s="3">
        <f t="shared" si="6"/>
        <v>6</v>
      </c>
      <c r="K396" s="30" t="s">
        <v>2646</v>
      </c>
      <c r="M396" s="36" t="s">
        <v>7015</v>
      </c>
      <c r="N396" s="43">
        <v>30</v>
      </c>
      <c r="P396" s="32" t="s">
        <v>7385</v>
      </c>
      <c r="R396" s="41" t="s">
        <v>7010</v>
      </c>
      <c r="S396" s="43" t="s">
        <v>7011</v>
      </c>
    </row>
    <row r="397" spans="5:19">
      <c r="E397" s="3">
        <v>2</v>
      </c>
      <c r="F397" s="3">
        <v>396</v>
      </c>
      <c r="G397" s="2" t="s">
        <v>722</v>
      </c>
      <c r="H397" t="s">
        <v>640</v>
      </c>
      <c r="I397" s="3">
        <f t="shared" si="6"/>
        <v>8</v>
      </c>
      <c r="K397" s="30" t="s">
        <v>2650</v>
      </c>
      <c r="M397" s="36" t="s">
        <v>7015</v>
      </c>
      <c r="N397" s="43">
        <v>62</v>
      </c>
      <c r="P397" s="32" t="s">
        <v>7386</v>
      </c>
      <c r="R397" s="41" t="s">
        <v>7010</v>
      </c>
      <c r="S397" s="43" t="s">
        <v>7011</v>
      </c>
    </row>
    <row r="398" spans="5:19">
      <c r="E398" s="3">
        <v>2</v>
      </c>
      <c r="F398" s="3">
        <v>397</v>
      </c>
      <c r="G398" s="2" t="s">
        <v>723</v>
      </c>
      <c r="H398" t="s">
        <v>640</v>
      </c>
      <c r="I398" s="3">
        <f t="shared" si="6"/>
        <v>6</v>
      </c>
      <c r="K398" s="30" t="s">
        <v>2654</v>
      </c>
      <c r="M398" s="36" t="s">
        <v>7015</v>
      </c>
      <c r="N398" s="43">
        <v>58</v>
      </c>
      <c r="P398" s="32" t="s">
        <v>7387</v>
      </c>
      <c r="R398" s="41" t="s">
        <v>7010</v>
      </c>
      <c r="S398" s="43" t="s">
        <v>7011</v>
      </c>
    </row>
    <row r="399" spans="5:19">
      <c r="E399" s="3">
        <v>2</v>
      </c>
      <c r="F399" s="3">
        <v>398</v>
      </c>
      <c r="G399" s="2" t="s">
        <v>724</v>
      </c>
      <c r="H399" t="s">
        <v>640</v>
      </c>
      <c r="I399" s="3">
        <f t="shared" si="6"/>
        <v>6</v>
      </c>
      <c r="K399" s="30" t="s">
        <v>2658</v>
      </c>
      <c r="M399" s="36" t="s">
        <v>7015</v>
      </c>
      <c r="N399" s="43">
        <v>60</v>
      </c>
      <c r="P399" s="32" t="s">
        <v>7388</v>
      </c>
      <c r="R399" s="41" t="s">
        <v>7010</v>
      </c>
      <c r="S399" s="43" t="s">
        <v>7011</v>
      </c>
    </row>
    <row r="400" spans="5:19">
      <c r="E400" s="3">
        <v>2</v>
      </c>
      <c r="F400" s="3">
        <v>399</v>
      </c>
      <c r="G400" s="2" t="s">
        <v>725</v>
      </c>
      <c r="H400" t="s">
        <v>640</v>
      </c>
      <c r="I400" s="3">
        <f t="shared" si="6"/>
        <v>7</v>
      </c>
      <c r="K400" s="30" t="s">
        <v>2662</v>
      </c>
      <c r="M400" s="36" t="s">
        <v>7015</v>
      </c>
      <c r="N400" s="43">
        <v>89</v>
      </c>
      <c r="P400" s="32" t="s">
        <v>7389</v>
      </c>
      <c r="R400" s="41" t="s">
        <v>7010</v>
      </c>
      <c r="S400" s="43" t="s">
        <v>7011</v>
      </c>
    </row>
    <row r="401" spans="5:19">
      <c r="E401" s="3">
        <v>2</v>
      </c>
      <c r="F401" s="3">
        <v>400</v>
      </c>
      <c r="G401" s="2" t="s">
        <v>726</v>
      </c>
      <c r="H401" t="s">
        <v>640</v>
      </c>
      <c r="I401" s="3">
        <f t="shared" si="6"/>
        <v>6</v>
      </c>
      <c r="K401" s="30" t="s">
        <v>2666</v>
      </c>
      <c r="M401" s="36" t="s">
        <v>7015</v>
      </c>
      <c r="N401" s="43">
        <v>45</v>
      </c>
      <c r="P401" s="32" t="s">
        <v>7390</v>
      </c>
      <c r="R401" s="41" t="s">
        <v>7010</v>
      </c>
      <c r="S401" s="43" t="s">
        <v>7011</v>
      </c>
    </row>
    <row r="402" spans="5:19">
      <c r="E402" s="3">
        <v>2</v>
      </c>
      <c r="F402" s="3">
        <v>401</v>
      </c>
      <c r="G402" s="2" t="s">
        <v>727</v>
      </c>
      <c r="H402" t="s">
        <v>640</v>
      </c>
      <c r="I402" s="3">
        <f t="shared" si="6"/>
        <v>6</v>
      </c>
      <c r="K402" s="30" t="s">
        <v>2670</v>
      </c>
      <c r="M402" s="36" t="s">
        <v>7015</v>
      </c>
      <c r="N402" s="43">
        <v>9</v>
      </c>
      <c r="P402" s="32" t="s">
        <v>7391</v>
      </c>
      <c r="R402" s="41" t="s">
        <v>7015</v>
      </c>
      <c r="S402" s="43">
        <v>9</v>
      </c>
    </row>
    <row r="403" spans="5:19">
      <c r="E403" s="3">
        <v>2</v>
      </c>
      <c r="F403" s="3">
        <v>402</v>
      </c>
      <c r="G403" s="2" t="s">
        <v>728</v>
      </c>
      <c r="H403" t="s">
        <v>640</v>
      </c>
      <c r="I403" s="3">
        <f t="shared" si="6"/>
        <v>8</v>
      </c>
      <c r="K403" s="30" t="s">
        <v>2674</v>
      </c>
      <c r="M403" s="36" t="s">
        <v>7015</v>
      </c>
      <c r="N403" s="43">
        <v>38</v>
      </c>
      <c r="P403" s="32" t="s">
        <v>7392</v>
      </c>
      <c r="R403" s="41" t="s">
        <v>7010</v>
      </c>
      <c r="S403" s="43" t="s">
        <v>7011</v>
      </c>
    </row>
    <row r="404" spans="5:19">
      <c r="E404" s="3">
        <v>2</v>
      </c>
      <c r="F404" s="3">
        <v>403</v>
      </c>
      <c r="G404" s="2" t="s">
        <v>729</v>
      </c>
      <c r="H404" t="s">
        <v>640</v>
      </c>
      <c r="I404" s="3">
        <f t="shared" si="6"/>
        <v>9</v>
      </c>
      <c r="M404" s="36"/>
    </row>
    <row r="405" spans="5:19">
      <c r="E405" s="3">
        <v>2</v>
      </c>
      <c r="F405" s="3">
        <v>404</v>
      </c>
      <c r="G405" s="2" t="s">
        <v>730</v>
      </c>
      <c r="H405" t="s">
        <v>640</v>
      </c>
      <c r="I405" s="3">
        <f t="shared" si="6"/>
        <v>6</v>
      </c>
    </row>
    <row r="406" spans="5:19">
      <c r="E406" s="3">
        <v>2</v>
      </c>
      <c r="F406" s="3">
        <v>405</v>
      </c>
      <c r="G406" s="2" t="s">
        <v>731</v>
      </c>
      <c r="H406" t="s">
        <v>640</v>
      </c>
      <c r="I406" s="3">
        <f t="shared" si="6"/>
        <v>5</v>
      </c>
    </row>
    <row r="407" spans="5:19">
      <c r="E407" s="3">
        <v>2</v>
      </c>
      <c r="F407" s="3">
        <v>406</v>
      </c>
      <c r="G407" s="2" t="s">
        <v>732</v>
      </c>
      <c r="H407" t="s">
        <v>640</v>
      </c>
      <c r="I407" s="3">
        <f t="shared" si="6"/>
        <v>8</v>
      </c>
    </row>
    <row r="408" spans="5:19">
      <c r="E408" s="3">
        <v>2</v>
      </c>
      <c r="F408" s="3">
        <v>407</v>
      </c>
      <c r="G408" s="2" t="s">
        <v>733</v>
      </c>
      <c r="H408" t="s">
        <v>640</v>
      </c>
      <c r="I408" s="3">
        <f t="shared" si="6"/>
        <v>6</v>
      </c>
    </row>
    <row r="409" spans="5:19">
      <c r="E409" s="3">
        <v>2</v>
      </c>
      <c r="F409" s="3">
        <v>408</v>
      </c>
      <c r="G409" s="2" t="s">
        <v>734</v>
      </c>
      <c r="H409" t="s">
        <v>640</v>
      </c>
      <c r="I409" s="3">
        <f t="shared" si="6"/>
        <v>7</v>
      </c>
    </row>
    <row r="410" spans="5:19">
      <c r="E410" s="3">
        <v>2</v>
      </c>
      <c r="F410" s="3">
        <v>409</v>
      </c>
      <c r="G410" s="2" t="s">
        <v>735</v>
      </c>
      <c r="H410" t="s">
        <v>640</v>
      </c>
      <c r="I410" s="3">
        <f t="shared" si="6"/>
        <v>6</v>
      </c>
    </row>
    <row r="411" spans="5:19">
      <c r="E411" s="3">
        <v>2</v>
      </c>
      <c r="F411" s="3">
        <v>410</v>
      </c>
      <c r="G411" s="2" t="s">
        <v>736</v>
      </c>
      <c r="H411" t="s">
        <v>640</v>
      </c>
      <c r="I411" s="3">
        <f t="shared" si="6"/>
        <v>9</v>
      </c>
    </row>
    <row r="412" spans="5:19">
      <c r="E412" s="3">
        <v>2</v>
      </c>
      <c r="F412" s="3">
        <v>411</v>
      </c>
      <c r="G412" s="2" t="s">
        <v>737</v>
      </c>
      <c r="H412" t="s">
        <v>640</v>
      </c>
      <c r="I412" s="3">
        <f t="shared" si="6"/>
        <v>6</v>
      </c>
    </row>
    <row r="413" spans="5:19">
      <c r="E413" s="3">
        <v>2</v>
      </c>
      <c r="F413" s="3">
        <v>412</v>
      </c>
      <c r="G413" s="2" t="s">
        <v>738</v>
      </c>
      <c r="H413" t="s">
        <v>640</v>
      </c>
      <c r="I413" s="3">
        <f t="shared" si="6"/>
        <v>6</v>
      </c>
    </row>
    <row r="414" spans="5:19">
      <c r="E414" s="3">
        <v>2</v>
      </c>
      <c r="F414" s="3">
        <v>413</v>
      </c>
      <c r="G414" s="2" t="s">
        <v>739</v>
      </c>
      <c r="H414" t="s">
        <v>640</v>
      </c>
      <c r="I414" s="3">
        <f t="shared" si="6"/>
        <v>8</v>
      </c>
    </row>
    <row r="415" spans="5:19">
      <c r="E415" s="3">
        <v>2</v>
      </c>
      <c r="F415" s="3">
        <v>414</v>
      </c>
      <c r="G415" s="2" t="s">
        <v>740</v>
      </c>
      <c r="H415" t="s">
        <v>640</v>
      </c>
      <c r="I415" s="3">
        <f t="shared" si="6"/>
        <v>7</v>
      </c>
    </row>
    <row r="416" spans="5:19">
      <c r="E416" s="3">
        <v>2</v>
      </c>
      <c r="F416" s="3">
        <v>415</v>
      </c>
      <c r="G416" s="2" t="s">
        <v>741</v>
      </c>
      <c r="H416" t="s">
        <v>640</v>
      </c>
      <c r="I416" s="3">
        <f t="shared" si="6"/>
        <v>7</v>
      </c>
    </row>
    <row r="417" spans="5:9">
      <c r="E417" s="3">
        <v>2</v>
      </c>
      <c r="F417" s="3">
        <v>416</v>
      </c>
      <c r="G417" s="2" t="s">
        <v>742</v>
      </c>
      <c r="H417" t="s">
        <v>640</v>
      </c>
      <c r="I417" s="3">
        <f t="shared" si="6"/>
        <v>6</v>
      </c>
    </row>
    <row r="418" spans="5:9">
      <c r="E418" s="3">
        <v>2</v>
      </c>
      <c r="F418" s="3">
        <v>417</v>
      </c>
      <c r="G418" s="2" t="s">
        <v>743</v>
      </c>
      <c r="H418" t="s">
        <v>640</v>
      </c>
      <c r="I418" s="3">
        <f t="shared" si="6"/>
        <v>6</v>
      </c>
    </row>
    <row r="419" spans="5:9">
      <c r="E419" s="3">
        <v>2</v>
      </c>
      <c r="F419" s="3">
        <v>418</v>
      </c>
      <c r="G419" s="2" t="s">
        <v>744</v>
      </c>
      <c r="H419" t="s">
        <v>640</v>
      </c>
      <c r="I419" s="3">
        <f t="shared" si="6"/>
        <v>9</v>
      </c>
    </row>
    <row r="420" spans="5:9">
      <c r="E420" s="3">
        <v>2</v>
      </c>
      <c r="F420" s="3">
        <v>419</v>
      </c>
      <c r="G420" s="2" t="s">
        <v>745</v>
      </c>
      <c r="H420" t="s">
        <v>640</v>
      </c>
      <c r="I420" s="3">
        <f t="shared" si="6"/>
        <v>7</v>
      </c>
    </row>
    <row r="421" spans="5:9">
      <c r="E421" s="3">
        <v>2</v>
      </c>
      <c r="F421" s="3">
        <v>420</v>
      </c>
      <c r="G421" s="2" t="s">
        <v>746</v>
      </c>
      <c r="H421" t="s">
        <v>640</v>
      </c>
      <c r="I421" s="3">
        <f t="shared" si="6"/>
        <v>9</v>
      </c>
    </row>
    <row r="422" spans="5:9">
      <c r="E422" s="3">
        <v>2</v>
      </c>
      <c r="F422" s="3">
        <v>421</v>
      </c>
      <c r="G422" s="2">
        <v>121212</v>
      </c>
      <c r="H422" t="s">
        <v>640</v>
      </c>
      <c r="I422" s="3">
        <f t="shared" si="6"/>
        <v>6</v>
      </c>
    </row>
    <row r="423" spans="5:9">
      <c r="E423" s="3">
        <v>2</v>
      </c>
      <c r="F423" s="3">
        <v>422</v>
      </c>
      <c r="G423" s="2" t="s">
        <v>747</v>
      </c>
      <c r="H423" t="s">
        <v>640</v>
      </c>
      <c r="I423" s="3">
        <f t="shared" si="6"/>
        <v>6</v>
      </c>
    </row>
    <row r="424" spans="5:9">
      <c r="E424" s="3">
        <v>2</v>
      </c>
      <c r="F424" s="3">
        <v>423</v>
      </c>
      <c r="G424" s="2" t="s">
        <v>748</v>
      </c>
      <c r="H424" t="s">
        <v>640</v>
      </c>
      <c r="I424" s="3">
        <f t="shared" si="6"/>
        <v>7</v>
      </c>
    </row>
    <row r="425" spans="5:9">
      <c r="E425" s="3">
        <v>2</v>
      </c>
      <c r="F425" s="3">
        <v>424</v>
      </c>
      <c r="G425" s="2" t="s">
        <v>749</v>
      </c>
      <c r="H425" t="s">
        <v>640</v>
      </c>
      <c r="I425" s="3">
        <f t="shared" si="6"/>
        <v>6</v>
      </c>
    </row>
    <row r="426" spans="5:9">
      <c r="E426" s="3">
        <v>2</v>
      </c>
      <c r="F426" s="3">
        <v>425</v>
      </c>
      <c r="G426" s="2" t="s">
        <v>750</v>
      </c>
      <c r="H426" t="s">
        <v>640</v>
      </c>
      <c r="I426" s="3">
        <f t="shared" si="6"/>
        <v>6</v>
      </c>
    </row>
    <row r="427" spans="5:9">
      <c r="E427" s="3">
        <v>2</v>
      </c>
      <c r="F427" s="3">
        <v>426</v>
      </c>
      <c r="G427" s="2" t="s">
        <v>751</v>
      </c>
      <c r="H427" t="s">
        <v>640</v>
      </c>
      <c r="I427" s="3">
        <f t="shared" si="6"/>
        <v>7</v>
      </c>
    </row>
    <row r="428" spans="5:9">
      <c r="E428" s="3">
        <v>2</v>
      </c>
      <c r="F428" s="3">
        <v>427</v>
      </c>
      <c r="G428" s="2">
        <v>112233</v>
      </c>
      <c r="H428" t="s">
        <v>640</v>
      </c>
      <c r="I428" s="3">
        <f t="shared" si="6"/>
        <v>6</v>
      </c>
    </row>
    <row r="429" spans="5:9">
      <c r="E429" s="3">
        <v>2</v>
      </c>
      <c r="F429" s="3">
        <v>428</v>
      </c>
      <c r="G429" s="2" t="s">
        <v>752</v>
      </c>
      <c r="H429" t="s">
        <v>640</v>
      </c>
      <c r="I429" s="3">
        <f t="shared" si="6"/>
        <v>9</v>
      </c>
    </row>
    <row r="430" spans="5:9">
      <c r="E430" s="3">
        <v>2</v>
      </c>
      <c r="F430" s="3">
        <v>429</v>
      </c>
      <c r="G430" s="2">
        <v>555555</v>
      </c>
      <c r="H430" t="s">
        <v>640</v>
      </c>
      <c r="I430" s="3">
        <f t="shared" si="6"/>
        <v>6</v>
      </c>
    </row>
    <row r="431" spans="5:9">
      <c r="E431" s="3">
        <v>2</v>
      </c>
      <c r="F431" s="3">
        <v>430</v>
      </c>
      <c r="G431" s="2" t="s">
        <v>753</v>
      </c>
      <c r="H431" t="s">
        <v>640</v>
      </c>
      <c r="I431" s="3">
        <f t="shared" si="6"/>
        <v>7</v>
      </c>
    </row>
    <row r="432" spans="5:9">
      <c r="E432" s="3">
        <v>2</v>
      </c>
      <c r="F432" s="3">
        <v>431</v>
      </c>
      <c r="G432" s="2" t="s">
        <v>754</v>
      </c>
      <c r="H432" t="s">
        <v>640</v>
      </c>
      <c r="I432" s="3">
        <f t="shared" si="6"/>
        <v>8</v>
      </c>
    </row>
    <row r="433" spans="5:9">
      <c r="E433" s="3">
        <v>2</v>
      </c>
      <c r="F433" s="3">
        <v>432</v>
      </c>
      <c r="G433" s="2" t="s">
        <v>755</v>
      </c>
      <c r="H433" t="s">
        <v>640</v>
      </c>
      <c r="I433" s="3">
        <f t="shared" si="6"/>
        <v>6</v>
      </c>
    </row>
    <row r="434" spans="5:9">
      <c r="E434" s="3">
        <v>2</v>
      </c>
      <c r="F434" s="3">
        <v>433</v>
      </c>
      <c r="G434" s="2" t="s">
        <v>756</v>
      </c>
      <c r="H434" t="s">
        <v>640</v>
      </c>
      <c r="I434" s="3">
        <f t="shared" si="6"/>
        <v>7</v>
      </c>
    </row>
    <row r="435" spans="5:9">
      <c r="E435" s="3">
        <v>2</v>
      </c>
      <c r="F435" s="3">
        <v>434</v>
      </c>
      <c r="G435" s="2" t="s">
        <v>757</v>
      </c>
      <c r="H435" t="s">
        <v>640</v>
      </c>
      <c r="I435" s="3">
        <f t="shared" si="6"/>
        <v>6</v>
      </c>
    </row>
    <row r="436" spans="5:9">
      <c r="E436" s="3">
        <v>2</v>
      </c>
      <c r="F436" s="3">
        <v>435</v>
      </c>
      <c r="G436" s="2" t="s">
        <v>758</v>
      </c>
      <c r="H436" t="s">
        <v>640</v>
      </c>
      <c r="I436" s="3">
        <f t="shared" si="6"/>
        <v>6</v>
      </c>
    </row>
    <row r="437" spans="5:9">
      <c r="E437" s="3">
        <v>2</v>
      </c>
      <c r="F437" s="3">
        <v>436</v>
      </c>
      <c r="G437" s="2">
        <v>789456</v>
      </c>
      <c r="H437" t="s">
        <v>640</v>
      </c>
      <c r="I437" s="3">
        <f t="shared" si="6"/>
        <v>6</v>
      </c>
    </row>
    <row r="438" spans="5:9">
      <c r="E438" s="3">
        <v>2</v>
      </c>
      <c r="F438" s="3">
        <v>437</v>
      </c>
      <c r="G438" s="2">
        <v>999999</v>
      </c>
      <c r="H438" t="s">
        <v>640</v>
      </c>
      <c r="I438" s="3">
        <f t="shared" si="6"/>
        <v>6</v>
      </c>
    </row>
    <row r="439" spans="5:9">
      <c r="E439" s="3">
        <v>2</v>
      </c>
      <c r="F439" s="3">
        <v>438</v>
      </c>
      <c r="G439" s="2" t="s">
        <v>759</v>
      </c>
      <c r="H439" t="s">
        <v>640</v>
      </c>
      <c r="I439" s="3">
        <f t="shared" si="6"/>
        <v>6</v>
      </c>
    </row>
    <row r="440" spans="5:9">
      <c r="E440" s="3">
        <v>2</v>
      </c>
      <c r="F440" s="3">
        <v>439</v>
      </c>
      <c r="G440" s="2">
        <v>11111</v>
      </c>
      <c r="H440" t="s">
        <v>640</v>
      </c>
      <c r="I440" s="3">
        <f t="shared" si="6"/>
        <v>5</v>
      </c>
    </row>
    <row r="441" spans="5:9">
      <c r="E441" s="3">
        <v>2</v>
      </c>
      <c r="F441" s="3">
        <v>440</v>
      </c>
      <c r="G441" s="2" t="s">
        <v>760</v>
      </c>
      <c r="H441" t="s">
        <v>640</v>
      </c>
      <c r="I441" s="3">
        <f t="shared" si="6"/>
        <v>6</v>
      </c>
    </row>
    <row r="442" spans="5:9">
      <c r="E442" s="3">
        <v>2</v>
      </c>
      <c r="F442" s="3">
        <v>441</v>
      </c>
      <c r="G442" s="2" t="s">
        <v>761</v>
      </c>
      <c r="H442" t="s">
        <v>640</v>
      </c>
      <c r="I442" s="3">
        <f t="shared" si="6"/>
        <v>6</v>
      </c>
    </row>
    <row r="443" spans="5:9">
      <c r="E443" s="3">
        <v>2</v>
      </c>
      <c r="F443" s="3">
        <v>442</v>
      </c>
      <c r="G443" s="2" t="s">
        <v>762</v>
      </c>
      <c r="H443" t="s">
        <v>640</v>
      </c>
      <c r="I443" s="3">
        <f t="shared" si="6"/>
        <v>7</v>
      </c>
    </row>
    <row r="444" spans="5:9">
      <c r="E444" s="3">
        <v>2</v>
      </c>
      <c r="F444" s="3">
        <v>443</v>
      </c>
      <c r="G444" s="2" t="s">
        <v>763</v>
      </c>
      <c r="H444" t="s">
        <v>640</v>
      </c>
      <c r="I444" s="3">
        <f t="shared" si="6"/>
        <v>6</v>
      </c>
    </row>
    <row r="445" spans="5:9">
      <c r="E445" s="3">
        <v>2</v>
      </c>
      <c r="F445" s="3">
        <v>444</v>
      </c>
      <c r="G445" s="2" t="s">
        <v>764</v>
      </c>
      <c r="H445" t="s">
        <v>640</v>
      </c>
      <c r="I445" s="3">
        <f t="shared" si="6"/>
        <v>6</v>
      </c>
    </row>
    <row r="446" spans="5:9">
      <c r="E446" s="3">
        <v>2</v>
      </c>
      <c r="F446" s="3">
        <v>445</v>
      </c>
      <c r="G446" s="2" t="s">
        <v>765</v>
      </c>
      <c r="H446" t="s">
        <v>640</v>
      </c>
      <c r="I446" s="3">
        <f t="shared" si="6"/>
        <v>6</v>
      </c>
    </row>
    <row r="447" spans="5:9">
      <c r="E447" s="3">
        <v>2</v>
      </c>
      <c r="F447" s="3">
        <v>446</v>
      </c>
      <c r="G447" s="2" t="s">
        <v>766</v>
      </c>
      <c r="H447" t="s">
        <v>640</v>
      </c>
      <c r="I447" s="3">
        <f t="shared" si="6"/>
        <v>6</v>
      </c>
    </row>
    <row r="448" spans="5:9">
      <c r="E448" s="3">
        <v>2</v>
      </c>
      <c r="F448" s="3">
        <v>447</v>
      </c>
      <c r="G448" s="2" t="s">
        <v>767</v>
      </c>
      <c r="H448" t="s">
        <v>640</v>
      </c>
      <c r="I448" s="3">
        <f t="shared" si="6"/>
        <v>9</v>
      </c>
    </row>
    <row r="449" spans="5:9">
      <c r="E449" s="3">
        <v>2</v>
      </c>
      <c r="F449" s="3">
        <v>448</v>
      </c>
      <c r="G449" s="2" t="s">
        <v>768</v>
      </c>
      <c r="H449" t="s">
        <v>640</v>
      </c>
      <c r="I449" s="3">
        <f t="shared" si="6"/>
        <v>6</v>
      </c>
    </row>
    <row r="450" spans="5:9">
      <c r="E450" s="3">
        <v>2</v>
      </c>
      <c r="F450" s="3">
        <v>449</v>
      </c>
      <c r="G450" s="2" t="s">
        <v>769</v>
      </c>
      <c r="H450" t="s">
        <v>640</v>
      </c>
      <c r="I450" s="3">
        <f t="shared" ref="I450:I513" si="7">LEN(G450)</f>
        <v>6</v>
      </c>
    </row>
    <row r="451" spans="5:9">
      <c r="E451" s="3">
        <v>2</v>
      </c>
      <c r="F451" s="3">
        <v>450</v>
      </c>
      <c r="G451" s="2" t="s">
        <v>770</v>
      </c>
      <c r="H451" t="s">
        <v>640</v>
      </c>
      <c r="I451" s="3">
        <f t="shared" si="7"/>
        <v>8</v>
      </c>
    </row>
    <row r="452" spans="5:9">
      <c r="E452" s="3">
        <v>2</v>
      </c>
      <c r="F452" s="3">
        <v>451</v>
      </c>
      <c r="G452" s="2" t="s">
        <v>771</v>
      </c>
      <c r="H452" t="s">
        <v>640</v>
      </c>
      <c r="I452" s="3">
        <f t="shared" si="7"/>
        <v>9</v>
      </c>
    </row>
    <row r="453" spans="5:9">
      <c r="E453" s="3">
        <v>2</v>
      </c>
      <c r="F453" s="3">
        <v>452</v>
      </c>
      <c r="G453" s="2" t="s">
        <v>772</v>
      </c>
      <c r="H453" t="s">
        <v>640</v>
      </c>
      <c r="I453" s="3">
        <f t="shared" si="7"/>
        <v>8</v>
      </c>
    </row>
    <row r="454" spans="5:9">
      <c r="E454" s="3">
        <v>2</v>
      </c>
      <c r="F454" s="3">
        <v>453</v>
      </c>
      <c r="G454" s="2" t="s">
        <v>773</v>
      </c>
      <c r="H454" t="s">
        <v>640</v>
      </c>
      <c r="I454" s="3">
        <f t="shared" si="7"/>
        <v>6</v>
      </c>
    </row>
    <row r="455" spans="5:9">
      <c r="E455" s="3">
        <v>2</v>
      </c>
      <c r="F455" s="3">
        <v>454</v>
      </c>
      <c r="G455" s="2" t="s">
        <v>774</v>
      </c>
      <c r="H455" t="s">
        <v>640</v>
      </c>
      <c r="I455" s="3">
        <f t="shared" si="7"/>
        <v>8</v>
      </c>
    </row>
    <row r="456" spans="5:9">
      <c r="E456" s="3">
        <v>2</v>
      </c>
      <c r="F456" s="3">
        <v>455</v>
      </c>
      <c r="G456" s="2">
        <v>7777777</v>
      </c>
      <c r="H456" t="s">
        <v>640</v>
      </c>
      <c r="I456" s="3">
        <f t="shared" si="7"/>
        <v>7</v>
      </c>
    </row>
    <row r="457" spans="5:9">
      <c r="E457" s="3">
        <v>2</v>
      </c>
      <c r="F457" s="3">
        <v>456</v>
      </c>
      <c r="G457" s="2" t="s">
        <v>775</v>
      </c>
      <c r="H457" t="s">
        <v>640</v>
      </c>
      <c r="I457" s="3">
        <f t="shared" si="7"/>
        <v>6</v>
      </c>
    </row>
    <row r="458" spans="5:9">
      <c r="E458" s="3">
        <v>2</v>
      </c>
      <c r="F458" s="3">
        <v>457</v>
      </c>
      <c r="G458" s="2">
        <v>159753</v>
      </c>
      <c r="H458" t="s">
        <v>640</v>
      </c>
      <c r="I458" s="3">
        <f t="shared" si="7"/>
        <v>6</v>
      </c>
    </row>
    <row r="459" spans="5:9">
      <c r="E459" s="3">
        <v>2</v>
      </c>
      <c r="F459" s="3">
        <v>458</v>
      </c>
      <c r="G459" s="2" t="s">
        <v>776</v>
      </c>
      <c r="H459" t="s">
        <v>640</v>
      </c>
      <c r="I459" s="3">
        <f t="shared" si="7"/>
        <v>7</v>
      </c>
    </row>
    <row r="460" spans="5:9">
      <c r="E460" s="3">
        <v>2</v>
      </c>
      <c r="F460" s="3">
        <v>459</v>
      </c>
      <c r="G460" s="2" t="s">
        <v>777</v>
      </c>
      <c r="H460" t="s">
        <v>640</v>
      </c>
      <c r="I460" s="3">
        <f t="shared" si="7"/>
        <v>7</v>
      </c>
    </row>
    <row r="461" spans="5:9">
      <c r="E461" s="3">
        <v>2</v>
      </c>
      <c r="F461" s="3">
        <v>460</v>
      </c>
      <c r="G461" s="2" t="s">
        <v>778</v>
      </c>
      <c r="H461" t="s">
        <v>640</v>
      </c>
      <c r="I461" s="3">
        <f t="shared" si="7"/>
        <v>7</v>
      </c>
    </row>
    <row r="462" spans="5:9">
      <c r="E462" s="3">
        <v>2</v>
      </c>
      <c r="F462" s="3">
        <v>461</v>
      </c>
      <c r="G462" s="2" t="s">
        <v>779</v>
      </c>
      <c r="H462" t="s">
        <v>640</v>
      </c>
      <c r="I462" s="3">
        <f t="shared" si="7"/>
        <v>7</v>
      </c>
    </row>
    <row r="463" spans="5:9">
      <c r="E463" s="3">
        <v>2</v>
      </c>
      <c r="F463" s="3">
        <v>462</v>
      </c>
      <c r="G463" s="2" t="s">
        <v>780</v>
      </c>
      <c r="H463" t="s">
        <v>640</v>
      </c>
      <c r="I463" s="3">
        <f t="shared" si="7"/>
        <v>5</v>
      </c>
    </row>
    <row r="464" spans="5:9">
      <c r="E464" s="3">
        <v>2</v>
      </c>
      <c r="F464" s="3">
        <v>463</v>
      </c>
      <c r="G464" s="2" t="s">
        <v>781</v>
      </c>
      <c r="H464" t="s">
        <v>640</v>
      </c>
      <c r="I464" s="3">
        <f t="shared" si="7"/>
        <v>6</v>
      </c>
    </row>
    <row r="465" spans="5:9">
      <c r="E465" s="3">
        <v>2</v>
      </c>
      <c r="F465" s="3">
        <v>464</v>
      </c>
      <c r="G465" s="2" t="s">
        <v>782</v>
      </c>
      <c r="H465" t="s">
        <v>640</v>
      </c>
      <c r="I465" s="3">
        <f t="shared" si="7"/>
        <v>9</v>
      </c>
    </row>
    <row r="466" spans="5:9">
      <c r="E466" s="3">
        <v>2</v>
      </c>
      <c r="F466" s="3">
        <v>465</v>
      </c>
      <c r="G466" s="2" t="s">
        <v>783</v>
      </c>
      <c r="H466" t="s">
        <v>640</v>
      </c>
      <c r="I466" s="3">
        <f t="shared" si="7"/>
        <v>6</v>
      </c>
    </row>
    <row r="467" spans="5:9">
      <c r="E467" s="3">
        <v>2</v>
      </c>
      <c r="F467" s="3">
        <v>466</v>
      </c>
      <c r="G467" s="2" t="s">
        <v>784</v>
      </c>
      <c r="H467" t="s">
        <v>640</v>
      </c>
      <c r="I467" s="3">
        <f t="shared" si="7"/>
        <v>8</v>
      </c>
    </row>
    <row r="468" spans="5:9">
      <c r="E468" s="3">
        <v>2</v>
      </c>
      <c r="F468" s="3">
        <v>467</v>
      </c>
      <c r="G468" s="2" t="s">
        <v>785</v>
      </c>
      <c r="H468" t="s">
        <v>640</v>
      </c>
      <c r="I468" s="3">
        <f t="shared" si="7"/>
        <v>7</v>
      </c>
    </row>
    <row r="469" spans="5:9">
      <c r="E469" s="3">
        <v>2</v>
      </c>
      <c r="F469" s="3">
        <v>468</v>
      </c>
      <c r="G469" s="2">
        <v>222222</v>
      </c>
      <c r="H469" t="s">
        <v>640</v>
      </c>
      <c r="I469" s="3">
        <f t="shared" si="7"/>
        <v>6</v>
      </c>
    </row>
    <row r="470" spans="5:9">
      <c r="E470" s="3">
        <v>2</v>
      </c>
      <c r="F470" s="3">
        <v>469</v>
      </c>
      <c r="G470" s="2" t="s">
        <v>786</v>
      </c>
      <c r="H470" t="s">
        <v>640</v>
      </c>
      <c r="I470" s="3">
        <f t="shared" si="7"/>
        <v>6</v>
      </c>
    </row>
    <row r="471" spans="5:9">
      <c r="E471" s="3">
        <v>2</v>
      </c>
      <c r="F471" s="3">
        <v>470</v>
      </c>
      <c r="G471" s="2">
        <v>987654</v>
      </c>
      <c r="H471" t="s">
        <v>640</v>
      </c>
      <c r="I471" s="3">
        <f t="shared" si="7"/>
        <v>6</v>
      </c>
    </row>
    <row r="472" spans="5:9">
      <c r="E472" s="3">
        <v>2</v>
      </c>
      <c r="F472" s="3">
        <v>471</v>
      </c>
      <c r="G472" s="2" t="s">
        <v>787</v>
      </c>
      <c r="H472" t="s">
        <v>640</v>
      </c>
      <c r="I472" s="3">
        <f t="shared" si="7"/>
        <v>8</v>
      </c>
    </row>
    <row r="473" spans="5:9">
      <c r="E473" s="3">
        <v>2</v>
      </c>
      <c r="F473" s="3">
        <v>472</v>
      </c>
      <c r="G473" s="2" t="s">
        <v>788</v>
      </c>
      <c r="H473" t="s">
        <v>640</v>
      </c>
      <c r="I473" s="3">
        <f t="shared" si="7"/>
        <v>5</v>
      </c>
    </row>
    <row r="474" spans="5:9">
      <c r="E474" s="17">
        <v>2</v>
      </c>
      <c r="F474" s="3">
        <v>473</v>
      </c>
      <c r="G474" s="16" t="s">
        <v>789</v>
      </c>
      <c r="H474" s="18" t="s">
        <v>640</v>
      </c>
      <c r="I474" s="17">
        <f t="shared" si="7"/>
        <v>10</v>
      </c>
    </row>
    <row r="475" spans="5:9">
      <c r="E475" s="3">
        <v>2</v>
      </c>
      <c r="F475" s="3">
        <v>474</v>
      </c>
      <c r="G475" s="2" t="s">
        <v>790</v>
      </c>
      <c r="H475" t="s">
        <v>640</v>
      </c>
      <c r="I475" s="3">
        <f t="shared" si="7"/>
        <v>8</v>
      </c>
    </row>
    <row r="476" spans="5:9">
      <c r="E476" s="3">
        <v>2</v>
      </c>
      <c r="F476" s="3">
        <v>475</v>
      </c>
      <c r="G476" s="2" t="s">
        <v>791</v>
      </c>
      <c r="H476" t="s">
        <v>640</v>
      </c>
      <c r="I476" s="3">
        <f t="shared" si="7"/>
        <v>7</v>
      </c>
    </row>
    <row r="477" spans="5:9">
      <c r="E477" s="3">
        <v>2</v>
      </c>
      <c r="F477" s="3">
        <v>476</v>
      </c>
      <c r="G477" s="2" t="s">
        <v>792</v>
      </c>
      <c r="H477" t="s">
        <v>640</v>
      </c>
      <c r="I477" s="3">
        <f t="shared" si="7"/>
        <v>6</v>
      </c>
    </row>
    <row r="478" spans="5:9">
      <c r="E478" s="3">
        <v>2</v>
      </c>
      <c r="F478" s="3">
        <v>477</v>
      </c>
      <c r="G478" s="2" t="s">
        <v>793</v>
      </c>
      <c r="H478" t="s">
        <v>640</v>
      </c>
      <c r="I478" s="3">
        <f t="shared" si="7"/>
        <v>7</v>
      </c>
    </row>
    <row r="479" spans="5:9">
      <c r="E479" s="3">
        <v>2</v>
      </c>
      <c r="F479" s="3">
        <v>478</v>
      </c>
      <c r="G479" s="2" t="s">
        <v>794</v>
      </c>
      <c r="H479" t="s">
        <v>640</v>
      </c>
      <c r="I479" s="3">
        <f t="shared" si="7"/>
        <v>7</v>
      </c>
    </row>
    <row r="480" spans="5:9">
      <c r="E480" s="3">
        <v>2</v>
      </c>
      <c r="F480" s="3">
        <v>479</v>
      </c>
      <c r="G480" s="2" t="s">
        <v>795</v>
      </c>
      <c r="H480" t="s">
        <v>640</v>
      </c>
      <c r="I480" s="3">
        <f t="shared" si="7"/>
        <v>6</v>
      </c>
    </row>
    <row r="481" spans="5:9">
      <c r="E481" s="3">
        <v>2</v>
      </c>
      <c r="F481" s="3">
        <v>480</v>
      </c>
      <c r="G481" s="2" t="s">
        <v>796</v>
      </c>
      <c r="H481" t="s">
        <v>640</v>
      </c>
      <c r="I481" s="3">
        <f t="shared" si="7"/>
        <v>8</v>
      </c>
    </row>
    <row r="482" spans="5:9">
      <c r="E482" s="3">
        <v>2</v>
      </c>
      <c r="F482" s="3">
        <v>481</v>
      </c>
      <c r="G482" s="2" t="s">
        <v>797</v>
      </c>
      <c r="H482" t="s">
        <v>640</v>
      </c>
      <c r="I482" s="3">
        <f t="shared" si="7"/>
        <v>7</v>
      </c>
    </row>
    <row r="483" spans="5:9">
      <c r="E483" s="3">
        <v>2</v>
      </c>
      <c r="F483" s="3">
        <v>482</v>
      </c>
      <c r="G483" s="2" t="s">
        <v>798</v>
      </c>
      <c r="H483" t="s">
        <v>640</v>
      </c>
      <c r="I483" s="3">
        <f t="shared" si="7"/>
        <v>6</v>
      </c>
    </row>
    <row r="484" spans="5:9">
      <c r="E484" s="3">
        <v>2</v>
      </c>
      <c r="F484" s="3">
        <v>483</v>
      </c>
      <c r="G484" s="2" t="s">
        <v>799</v>
      </c>
      <c r="H484" t="s">
        <v>640</v>
      </c>
      <c r="I484" s="3">
        <f t="shared" si="7"/>
        <v>6</v>
      </c>
    </row>
    <row r="485" spans="5:9">
      <c r="E485" s="3">
        <v>2</v>
      </c>
      <c r="F485" s="3">
        <v>484</v>
      </c>
      <c r="G485" s="2" t="s">
        <v>800</v>
      </c>
      <c r="H485" t="s">
        <v>640</v>
      </c>
      <c r="I485" s="3">
        <f t="shared" si="7"/>
        <v>7</v>
      </c>
    </row>
    <row r="486" spans="5:9">
      <c r="E486" s="3">
        <v>2</v>
      </c>
      <c r="F486" s="3">
        <v>485</v>
      </c>
      <c r="G486" s="2" t="s">
        <v>801</v>
      </c>
      <c r="H486" t="s">
        <v>640</v>
      </c>
      <c r="I486" s="3">
        <f t="shared" si="7"/>
        <v>7</v>
      </c>
    </row>
    <row r="487" spans="5:9">
      <c r="E487" s="3">
        <v>2</v>
      </c>
      <c r="F487" s="3">
        <v>486</v>
      </c>
      <c r="G487" s="2" t="s">
        <v>802</v>
      </c>
      <c r="H487" t="s">
        <v>640</v>
      </c>
      <c r="I487" s="3">
        <f t="shared" si="7"/>
        <v>6</v>
      </c>
    </row>
    <row r="488" spans="5:9">
      <c r="E488" s="3">
        <v>2</v>
      </c>
      <c r="F488" s="3">
        <v>487</v>
      </c>
      <c r="G488" s="2" t="s">
        <v>803</v>
      </c>
      <c r="H488" t="s">
        <v>640</v>
      </c>
      <c r="I488" s="3">
        <f t="shared" si="7"/>
        <v>7</v>
      </c>
    </row>
    <row r="489" spans="5:9">
      <c r="E489" s="3">
        <v>2</v>
      </c>
      <c r="F489" s="3">
        <v>488</v>
      </c>
      <c r="G489" s="2" t="s">
        <v>804</v>
      </c>
      <c r="H489" t="s">
        <v>640</v>
      </c>
      <c r="I489" s="3">
        <f t="shared" si="7"/>
        <v>8</v>
      </c>
    </row>
    <row r="490" spans="5:9">
      <c r="E490" s="3">
        <v>2</v>
      </c>
      <c r="F490" s="3">
        <v>489</v>
      </c>
      <c r="G490" s="2" t="s">
        <v>805</v>
      </c>
      <c r="H490" t="s">
        <v>640</v>
      </c>
      <c r="I490" s="3">
        <f t="shared" si="7"/>
        <v>6</v>
      </c>
    </row>
    <row r="491" spans="5:9">
      <c r="E491" s="3">
        <v>2</v>
      </c>
      <c r="F491" s="3">
        <v>490</v>
      </c>
      <c r="G491" s="2">
        <v>55555</v>
      </c>
      <c r="H491" t="s">
        <v>640</v>
      </c>
      <c r="I491" s="3">
        <f t="shared" si="7"/>
        <v>5</v>
      </c>
    </row>
    <row r="492" spans="5:9">
      <c r="E492" s="3">
        <v>2</v>
      </c>
      <c r="F492" s="3">
        <v>491</v>
      </c>
      <c r="G492" s="2" t="s">
        <v>806</v>
      </c>
      <c r="H492" t="s">
        <v>640</v>
      </c>
      <c r="I492" s="3">
        <f t="shared" si="7"/>
        <v>8</v>
      </c>
    </row>
    <row r="493" spans="5:9">
      <c r="E493" s="3">
        <v>2</v>
      </c>
      <c r="F493" s="3">
        <v>492</v>
      </c>
      <c r="G493" s="2" t="s">
        <v>807</v>
      </c>
      <c r="H493" t="s">
        <v>640</v>
      </c>
      <c r="I493" s="3">
        <f t="shared" si="7"/>
        <v>6</v>
      </c>
    </row>
    <row r="494" spans="5:9">
      <c r="E494" s="3">
        <v>2</v>
      </c>
      <c r="F494" s="3">
        <v>493</v>
      </c>
      <c r="G494" s="2" t="s">
        <v>808</v>
      </c>
      <c r="H494" t="s">
        <v>640</v>
      </c>
      <c r="I494" s="3">
        <f t="shared" si="7"/>
        <v>8</v>
      </c>
    </row>
    <row r="495" spans="5:9">
      <c r="E495" s="3">
        <v>2</v>
      </c>
      <c r="F495" s="3">
        <v>494</v>
      </c>
      <c r="G495" s="2" t="s">
        <v>809</v>
      </c>
      <c r="H495" t="s">
        <v>640</v>
      </c>
      <c r="I495" s="3">
        <f t="shared" si="7"/>
        <v>8</v>
      </c>
    </row>
    <row r="496" spans="5:9">
      <c r="E496" s="3">
        <v>2</v>
      </c>
      <c r="F496" s="3">
        <v>495</v>
      </c>
      <c r="G496" s="2" t="s">
        <v>810</v>
      </c>
      <c r="H496" t="s">
        <v>640</v>
      </c>
      <c r="I496" s="3">
        <f t="shared" si="7"/>
        <v>6</v>
      </c>
    </row>
    <row r="497" spans="5:9">
      <c r="E497" s="3">
        <v>2</v>
      </c>
      <c r="F497" s="3">
        <v>496</v>
      </c>
      <c r="G497" s="2" t="s">
        <v>811</v>
      </c>
      <c r="H497" t="s">
        <v>640</v>
      </c>
      <c r="I497" s="3">
        <f t="shared" si="7"/>
        <v>7</v>
      </c>
    </row>
    <row r="498" spans="5:9">
      <c r="E498" s="3">
        <v>2</v>
      </c>
      <c r="F498" s="3">
        <v>497</v>
      </c>
      <c r="G498" s="2" t="s">
        <v>812</v>
      </c>
      <c r="H498" t="s">
        <v>640</v>
      </c>
      <c r="I498" s="3">
        <f t="shared" si="7"/>
        <v>6</v>
      </c>
    </row>
    <row r="499" spans="5:9">
      <c r="E499" s="3">
        <v>2</v>
      </c>
      <c r="F499" s="3">
        <v>498</v>
      </c>
      <c r="G499" s="2">
        <v>123321</v>
      </c>
      <c r="H499" t="s">
        <v>640</v>
      </c>
      <c r="I499" s="3">
        <f t="shared" si="7"/>
        <v>6</v>
      </c>
    </row>
    <row r="500" spans="5:9">
      <c r="E500" s="3">
        <v>2</v>
      </c>
      <c r="F500" s="3">
        <v>499</v>
      </c>
      <c r="G500" s="2" t="s">
        <v>813</v>
      </c>
      <c r="H500" t="s">
        <v>640</v>
      </c>
      <c r="I500" s="3">
        <f t="shared" si="7"/>
        <v>6</v>
      </c>
    </row>
    <row r="501" spans="5:9">
      <c r="E501" s="3">
        <v>2</v>
      </c>
      <c r="F501" s="3">
        <v>500</v>
      </c>
      <c r="G501" s="2" t="s">
        <v>814</v>
      </c>
      <c r="H501" t="s">
        <v>640</v>
      </c>
      <c r="I501" s="3">
        <f t="shared" si="7"/>
        <v>9</v>
      </c>
    </row>
    <row r="502" spans="5:9">
      <c r="E502" s="3">
        <v>2</v>
      </c>
      <c r="F502" s="3">
        <v>501</v>
      </c>
      <c r="G502" s="2" t="s">
        <v>815</v>
      </c>
      <c r="H502" t="s">
        <v>640</v>
      </c>
      <c r="I502" s="3">
        <f t="shared" si="7"/>
        <v>6</v>
      </c>
    </row>
    <row r="503" spans="5:9">
      <c r="E503" s="3">
        <v>2</v>
      </c>
      <c r="F503" s="3">
        <v>502</v>
      </c>
      <c r="G503" s="2" t="s">
        <v>816</v>
      </c>
      <c r="H503" t="s">
        <v>640</v>
      </c>
      <c r="I503" s="3">
        <f t="shared" si="7"/>
        <v>9</v>
      </c>
    </row>
    <row r="504" spans="5:9">
      <c r="E504" s="3">
        <v>2</v>
      </c>
      <c r="F504" s="3">
        <v>503</v>
      </c>
      <c r="G504" s="2" t="s">
        <v>817</v>
      </c>
      <c r="H504" t="s">
        <v>640</v>
      </c>
      <c r="I504" s="3">
        <f t="shared" si="7"/>
        <v>8</v>
      </c>
    </row>
    <row r="505" spans="5:9">
      <c r="E505" s="3">
        <v>2</v>
      </c>
      <c r="F505" s="3">
        <v>504</v>
      </c>
      <c r="G505" s="2" t="s">
        <v>818</v>
      </c>
      <c r="H505" t="s">
        <v>640</v>
      </c>
      <c r="I505" s="3">
        <f t="shared" si="7"/>
        <v>6</v>
      </c>
    </row>
    <row r="506" spans="5:9">
      <c r="E506" s="3">
        <v>2</v>
      </c>
      <c r="F506" s="3">
        <v>505</v>
      </c>
      <c r="G506" s="2" t="s">
        <v>819</v>
      </c>
      <c r="H506" t="s">
        <v>640</v>
      </c>
      <c r="I506" s="3">
        <f t="shared" si="7"/>
        <v>8</v>
      </c>
    </row>
    <row r="507" spans="5:9">
      <c r="E507" s="3">
        <v>2</v>
      </c>
      <c r="F507" s="3">
        <v>506</v>
      </c>
      <c r="G507" s="2" t="s">
        <v>820</v>
      </c>
      <c r="H507" t="s">
        <v>640</v>
      </c>
      <c r="I507" s="3">
        <f t="shared" si="7"/>
        <v>5</v>
      </c>
    </row>
    <row r="508" spans="5:9">
      <c r="E508" s="3">
        <v>2</v>
      </c>
      <c r="F508" s="3">
        <v>507</v>
      </c>
      <c r="G508" s="2" t="s">
        <v>821</v>
      </c>
      <c r="H508" t="s">
        <v>640</v>
      </c>
      <c r="I508" s="3">
        <f t="shared" si="7"/>
        <v>8</v>
      </c>
    </row>
    <row r="509" spans="5:9">
      <c r="E509" s="3">
        <v>2</v>
      </c>
      <c r="F509" s="3">
        <v>508</v>
      </c>
      <c r="G509" s="2" t="s">
        <v>822</v>
      </c>
      <c r="H509" t="s">
        <v>640</v>
      </c>
      <c r="I509" s="3">
        <f t="shared" si="7"/>
        <v>9</v>
      </c>
    </row>
    <row r="510" spans="5:9">
      <c r="E510" s="3">
        <v>2</v>
      </c>
      <c r="F510" s="3">
        <v>509</v>
      </c>
      <c r="G510" s="2" t="s">
        <v>823</v>
      </c>
      <c r="H510" t="s">
        <v>640</v>
      </c>
      <c r="I510" s="3">
        <f t="shared" si="7"/>
        <v>6</v>
      </c>
    </row>
    <row r="511" spans="5:9">
      <c r="E511" s="3">
        <v>2</v>
      </c>
      <c r="F511" s="3">
        <v>510</v>
      </c>
      <c r="G511" s="2" t="s">
        <v>824</v>
      </c>
      <c r="H511" t="s">
        <v>640</v>
      </c>
      <c r="I511" s="3">
        <f t="shared" si="7"/>
        <v>6</v>
      </c>
    </row>
    <row r="512" spans="5:9">
      <c r="E512" s="3">
        <v>2</v>
      </c>
      <c r="F512" s="3">
        <v>511</v>
      </c>
      <c r="G512" s="2" t="s">
        <v>825</v>
      </c>
      <c r="H512" t="s">
        <v>640</v>
      </c>
      <c r="I512" s="3">
        <f t="shared" si="7"/>
        <v>6</v>
      </c>
    </row>
    <row r="513" spans="5:9">
      <c r="E513" s="3">
        <v>2</v>
      </c>
      <c r="F513" s="3">
        <v>512</v>
      </c>
      <c r="G513" s="2" t="s">
        <v>826</v>
      </c>
      <c r="H513" t="s">
        <v>640</v>
      </c>
      <c r="I513" s="3">
        <f t="shared" si="7"/>
        <v>8</v>
      </c>
    </row>
    <row r="514" spans="5:9">
      <c r="E514" s="3">
        <v>2</v>
      </c>
      <c r="F514" s="3">
        <v>513</v>
      </c>
      <c r="G514" s="2" t="s">
        <v>827</v>
      </c>
      <c r="H514" t="s">
        <v>640</v>
      </c>
      <c r="I514" s="3">
        <f t="shared" ref="I514:I577" si="8">LEN(G514)</f>
        <v>6</v>
      </c>
    </row>
    <row r="515" spans="5:9">
      <c r="E515" s="3">
        <v>2</v>
      </c>
      <c r="F515" s="3">
        <v>514</v>
      </c>
      <c r="G515" s="2" t="s">
        <v>828</v>
      </c>
      <c r="H515" t="s">
        <v>640</v>
      </c>
      <c r="I515" s="3">
        <f t="shared" si="8"/>
        <v>7</v>
      </c>
    </row>
    <row r="516" spans="5:9">
      <c r="E516" s="3">
        <v>2</v>
      </c>
      <c r="F516" s="3">
        <v>515</v>
      </c>
      <c r="G516" s="2" t="s">
        <v>829</v>
      </c>
      <c r="H516" t="s">
        <v>640</v>
      </c>
      <c r="I516" s="3">
        <f t="shared" si="8"/>
        <v>8</v>
      </c>
    </row>
    <row r="517" spans="5:9">
      <c r="E517" s="3">
        <v>2</v>
      </c>
      <c r="F517" s="3">
        <v>516</v>
      </c>
      <c r="G517" s="2" t="s">
        <v>830</v>
      </c>
      <c r="H517" t="s">
        <v>640</v>
      </c>
      <c r="I517" s="3">
        <f t="shared" si="8"/>
        <v>7</v>
      </c>
    </row>
    <row r="518" spans="5:9">
      <c r="E518" s="3">
        <v>2</v>
      </c>
      <c r="F518" s="3">
        <v>517</v>
      </c>
      <c r="G518" s="2" t="s">
        <v>831</v>
      </c>
      <c r="H518" t="s">
        <v>640</v>
      </c>
      <c r="I518" s="3">
        <f t="shared" si="8"/>
        <v>6</v>
      </c>
    </row>
    <row r="519" spans="5:9">
      <c r="E519" s="3">
        <v>2</v>
      </c>
      <c r="F519" s="3">
        <v>518</v>
      </c>
      <c r="G519" s="2" t="s">
        <v>832</v>
      </c>
      <c r="H519" t="s">
        <v>640</v>
      </c>
      <c r="I519" s="3">
        <f t="shared" si="8"/>
        <v>6</v>
      </c>
    </row>
    <row r="520" spans="5:9">
      <c r="E520" s="3">
        <v>2</v>
      </c>
      <c r="F520" s="3">
        <v>519</v>
      </c>
      <c r="G520" s="2" t="s">
        <v>833</v>
      </c>
      <c r="H520" t="s">
        <v>640</v>
      </c>
      <c r="I520" s="3">
        <f t="shared" si="8"/>
        <v>10</v>
      </c>
    </row>
    <row r="521" spans="5:9">
      <c r="E521" s="3">
        <v>2</v>
      </c>
      <c r="F521" s="3">
        <v>520</v>
      </c>
      <c r="G521" s="2" t="s">
        <v>834</v>
      </c>
      <c r="H521" t="s">
        <v>640</v>
      </c>
      <c r="I521" s="3">
        <f t="shared" si="8"/>
        <v>7</v>
      </c>
    </row>
    <row r="522" spans="5:9">
      <c r="E522" s="3">
        <v>2</v>
      </c>
      <c r="F522" s="3">
        <v>521</v>
      </c>
      <c r="G522" s="2" t="s">
        <v>835</v>
      </c>
      <c r="H522" t="s">
        <v>640</v>
      </c>
      <c r="I522" s="3">
        <f t="shared" si="8"/>
        <v>9</v>
      </c>
    </row>
    <row r="523" spans="5:9">
      <c r="E523" s="3">
        <v>2</v>
      </c>
      <c r="F523" s="3">
        <v>522</v>
      </c>
      <c r="G523" s="2" t="s">
        <v>836</v>
      </c>
      <c r="H523" t="s">
        <v>640</v>
      </c>
      <c r="I523" s="3">
        <f t="shared" si="8"/>
        <v>8</v>
      </c>
    </row>
    <row r="524" spans="5:9">
      <c r="E524" s="3">
        <v>2</v>
      </c>
      <c r="F524" s="3">
        <v>523</v>
      </c>
      <c r="G524" s="2" t="s">
        <v>837</v>
      </c>
      <c r="H524" t="s">
        <v>640</v>
      </c>
      <c r="I524" s="3">
        <f t="shared" si="8"/>
        <v>6</v>
      </c>
    </row>
    <row r="525" spans="5:9">
      <c r="E525" s="3">
        <v>2</v>
      </c>
      <c r="F525" s="3">
        <v>524</v>
      </c>
      <c r="G525" s="2" t="s">
        <v>838</v>
      </c>
      <c r="H525" t="s">
        <v>640</v>
      </c>
      <c r="I525" s="3">
        <f t="shared" si="8"/>
        <v>7</v>
      </c>
    </row>
    <row r="526" spans="5:9">
      <c r="E526" s="3">
        <v>2</v>
      </c>
      <c r="F526" s="3">
        <v>525</v>
      </c>
      <c r="G526" s="2" t="s">
        <v>839</v>
      </c>
      <c r="H526" t="s">
        <v>640</v>
      </c>
      <c r="I526" s="3">
        <f t="shared" si="8"/>
        <v>6</v>
      </c>
    </row>
    <row r="527" spans="5:9">
      <c r="E527" s="3">
        <v>2</v>
      </c>
      <c r="F527" s="3">
        <v>526</v>
      </c>
      <c r="G527" s="2" t="s">
        <v>840</v>
      </c>
      <c r="H527" t="s">
        <v>640</v>
      </c>
      <c r="I527" s="3">
        <f t="shared" si="8"/>
        <v>6</v>
      </c>
    </row>
    <row r="528" spans="5:9">
      <c r="E528" s="3">
        <v>2</v>
      </c>
      <c r="F528" s="3">
        <v>527</v>
      </c>
      <c r="G528" s="2" t="s">
        <v>841</v>
      </c>
      <c r="H528" t="s">
        <v>640</v>
      </c>
      <c r="I528" s="3">
        <f t="shared" si="8"/>
        <v>7</v>
      </c>
    </row>
    <row r="529" spans="5:9">
      <c r="E529" s="3">
        <v>2</v>
      </c>
      <c r="F529" s="3">
        <v>528</v>
      </c>
      <c r="G529" s="2" t="s">
        <v>842</v>
      </c>
      <c r="H529" t="s">
        <v>640</v>
      </c>
      <c r="I529" s="3">
        <f t="shared" si="8"/>
        <v>7</v>
      </c>
    </row>
    <row r="530" spans="5:9">
      <c r="E530" s="3">
        <v>2</v>
      </c>
      <c r="F530" s="3">
        <v>529</v>
      </c>
      <c r="G530" s="2" t="s">
        <v>843</v>
      </c>
      <c r="H530" t="s">
        <v>640</v>
      </c>
      <c r="I530" s="3">
        <f t="shared" si="8"/>
        <v>7</v>
      </c>
    </row>
    <row r="531" spans="5:9">
      <c r="E531" s="3">
        <v>2</v>
      </c>
      <c r="F531" s="3">
        <v>530</v>
      </c>
      <c r="G531" s="2" t="s">
        <v>844</v>
      </c>
      <c r="H531" t="s">
        <v>640</v>
      </c>
      <c r="I531" s="3">
        <f t="shared" si="8"/>
        <v>6</v>
      </c>
    </row>
    <row r="532" spans="5:9">
      <c r="E532" s="3">
        <v>2</v>
      </c>
      <c r="F532" s="3">
        <v>531</v>
      </c>
      <c r="G532" s="2" t="s">
        <v>845</v>
      </c>
      <c r="H532" t="s">
        <v>640</v>
      </c>
      <c r="I532" s="3">
        <f t="shared" si="8"/>
        <v>8</v>
      </c>
    </row>
    <row r="533" spans="5:9">
      <c r="E533" s="3">
        <v>2</v>
      </c>
      <c r="F533" s="3">
        <v>532</v>
      </c>
      <c r="G533" s="2" t="s">
        <v>846</v>
      </c>
      <c r="H533" t="s">
        <v>640</v>
      </c>
      <c r="I533" s="3">
        <f t="shared" si="8"/>
        <v>6</v>
      </c>
    </row>
    <row r="534" spans="5:9">
      <c r="E534" s="3">
        <v>2</v>
      </c>
      <c r="F534" s="3">
        <v>533</v>
      </c>
      <c r="G534" s="2" t="s">
        <v>847</v>
      </c>
      <c r="H534" t="s">
        <v>640</v>
      </c>
      <c r="I534" s="3">
        <f t="shared" si="8"/>
        <v>6</v>
      </c>
    </row>
    <row r="535" spans="5:9">
      <c r="E535" s="3">
        <v>2</v>
      </c>
      <c r="F535" s="3">
        <v>534</v>
      </c>
      <c r="G535" s="2" t="s">
        <v>848</v>
      </c>
      <c r="H535" t="s">
        <v>640</v>
      </c>
      <c r="I535" s="3">
        <f t="shared" si="8"/>
        <v>6</v>
      </c>
    </row>
    <row r="536" spans="5:9">
      <c r="E536" s="3">
        <v>2</v>
      </c>
      <c r="F536" s="3">
        <v>535</v>
      </c>
      <c r="G536" s="2" t="s">
        <v>849</v>
      </c>
      <c r="H536" t="s">
        <v>640</v>
      </c>
      <c r="I536" s="3">
        <f t="shared" si="8"/>
        <v>7</v>
      </c>
    </row>
    <row r="537" spans="5:9">
      <c r="E537" s="3">
        <v>2</v>
      </c>
      <c r="F537" s="3">
        <v>536</v>
      </c>
      <c r="G537" s="2" t="s">
        <v>850</v>
      </c>
      <c r="H537" t="s">
        <v>640</v>
      </c>
      <c r="I537" s="3">
        <f t="shared" si="8"/>
        <v>9</v>
      </c>
    </row>
    <row r="538" spans="5:9">
      <c r="E538" s="3">
        <v>2</v>
      </c>
      <c r="F538" s="3">
        <v>537</v>
      </c>
      <c r="G538" s="2" t="s">
        <v>851</v>
      </c>
      <c r="H538" t="s">
        <v>640</v>
      </c>
      <c r="I538" s="3">
        <f t="shared" si="8"/>
        <v>8</v>
      </c>
    </row>
    <row r="539" spans="5:9">
      <c r="E539" s="3">
        <v>2</v>
      </c>
      <c r="F539" s="3">
        <v>538</v>
      </c>
      <c r="G539" s="2" t="s">
        <v>852</v>
      </c>
      <c r="H539" t="s">
        <v>640</v>
      </c>
      <c r="I539" s="3">
        <f t="shared" si="8"/>
        <v>7</v>
      </c>
    </row>
    <row r="540" spans="5:9">
      <c r="E540" s="3">
        <v>2</v>
      </c>
      <c r="F540" s="3">
        <v>539</v>
      </c>
      <c r="G540" s="2" t="s">
        <v>853</v>
      </c>
      <c r="H540" t="s">
        <v>640</v>
      </c>
      <c r="I540" s="3">
        <f t="shared" si="8"/>
        <v>8</v>
      </c>
    </row>
    <row r="541" spans="5:9">
      <c r="E541" s="3">
        <v>2</v>
      </c>
      <c r="F541" s="3">
        <v>540</v>
      </c>
      <c r="G541" s="2" t="s">
        <v>854</v>
      </c>
      <c r="H541" t="s">
        <v>640</v>
      </c>
      <c r="I541" s="3">
        <f t="shared" si="8"/>
        <v>7</v>
      </c>
    </row>
    <row r="542" spans="5:9">
      <c r="E542" s="3">
        <v>2</v>
      </c>
      <c r="F542" s="3">
        <v>541</v>
      </c>
      <c r="G542" s="2" t="s">
        <v>855</v>
      </c>
      <c r="H542" t="s">
        <v>640</v>
      </c>
      <c r="I542" s="3">
        <f t="shared" si="8"/>
        <v>8</v>
      </c>
    </row>
    <row r="543" spans="5:9">
      <c r="E543" s="3">
        <v>2</v>
      </c>
      <c r="F543" s="3">
        <v>542</v>
      </c>
      <c r="G543" s="2" t="s">
        <v>856</v>
      </c>
      <c r="H543" t="s">
        <v>640</v>
      </c>
      <c r="I543" s="3">
        <f t="shared" si="8"/>
        <v>5</v>
      </c>
    </row>
    <row r="544" spans="5:9">
      <c r="E544" s="3">
        <v>2</v>
      </c>
      <c r="F544" s="3">
        <v>543</v>
      </c>
      <c r="G544" s="2">
        <v>888888</v>
      </c>
      <c r="H544" t="s">
        <v>640</v>
      </c>
      <c r="I544" s="3">
        <f t="shared" si="8"/>
        <v>6</v>
      </c>
    </row>
    <row r="545" spans="5:9">
      <c r="E545" s="3">
        <v>2</v>
      </c>
      <c r="F545" s="3">
        <v>544</v>
      </c>
      <c r="G545" s="2" t="s">
        <v>857</v>
      </c>
      <c r="H545" t="s">
        <v>640</v>
      </c>
      <c r="I545" s="3">
        <f t="shared" si="8"/>
        <v>7</v>
      </c>
    </row>
    <row r="546" spans="5:9">
      <c r="E546" s="3">
        <v>2</v>
      </c>
      <c r="F546" s="3">
        <v>545</v>
      </c>
      <c r="G546" s="2" t="s">
        <v>858</v>
      </c>
      <c r="H546" t="s">
        <v>640</v>
      </c>
      <c r="I546" s="3">
        <f t="shared" si="8"/>
        <v>5</v>
      </c>
    </row>
    <row r="547" spans="5:9">
      <c r="E547" s="3">
        <v>2</v>
      </c>
      <c r="F547" s="3">
        <v>546</v>
      </c>
      <c r="G547" s="2" t="s">
        <v>859</v>
      </c>
      <c r="H547" t="s">
        <v>640</v>
      </c>
      <c r="I547" s="3">
        <f t="shared" si="8"/>
        <v>5</v>
      </c>
    </row>
    <row r="548" spans="5:9">
      <c r="E548" s="3">
        <v>2</v>
      </c>
      <c r="F548" s="3">
        <v>547</v>
      </c>
      <c r="G548" s="2" t="s">
        <v>860</v>
      </c>
      <c r="H548" t="s">
        <v>640</v>
      </c>
      <c r="I548" s="3">
        <f t="shared" si="8"/>
        <v>6</v>
      </c>
    </row>
    <row r="549" spans="5:9">
      <c r="E549" s="3">
        <v>2</v>
      </c>
      <c r="F549" s="3">
        <v>548</v>
      </c>
      <c r="G549" s="2" t="s">
        <v>861</v>
      </c>
      <c r="H549" t="s">
        <v>640</v>
      </c>
      <c r="I549" s="3">
        <f t="shared" si="8"/>
        <v>6</v>
      </c>
    </row>
    <row r="550" spans="5:9">
      <c r="E550" s="3">
        <v>2</v>
      </c>
      <c r="F550" s="3">
        <v>549</v>
      </c>
      <c r="G550" s="2" t="s">
        <v>862</v>
      </c>
      <c r="H550" t="s">
        <v>640</v>
      </c>
      <c r="I550" s="3">
        <f t="shared" si="8"/>
        <v>6</v>
      </c>
    </row>
    <row r="551" spans="5:9">
      <c r="E551" s="3">
        <v>2</v>
      </c>
      <c r="F551" s="3">
        <v>550</v>
      </c>
      <c r="G551" s="2" t="s">
        <v>863</v>
      </c>
      <c r="H551" t="s">
        <v>640</v>
      </c>
      <c r="I551" s="3">
        <f t="shared" si="8"/>
        <v>6</v>
      </c>
    </row>
    <row r="552" spans="5:9">
      <c r="E552" s="3">
        <v>2</v>
      </c>
      <c r="F552" s="3">
        <v>551</v>
      </c>
      <c r="G552" s="2" t="s">
        <v>864</v>
      </c>
      <c r="H552" t="s">
        <v>640</v>
      </c>
      <c r="I552" s="3">
        <f t="shared" si="8"/>
        <v>7</v>
      </c>
    </row>
    <row r="553" spans="5:9">
      <c r="E553" s="3">
        <v>2</v>
      </c>
      <c r="F553" s="3">
        <v>552</v>
      </c>
      <c r="G553" s="2" t="s">
        <v>865</v>
      </c>
      <c r="H553" t="s">
        <v>640</v>
      </c>
      <c r="I553" s="3">
        <f t="shared" si="8"/>
        <v>6</v>
      </c>
    </row>
    <row r="554" spans="5:9">
      <c r="E554" s="3">
        <v>2</v>
      </c>
      <c r="F554" s="3">
        <v>553</v>
      </c>
      <c r="G554" s="2" t="s">
        <v>866</v>
      </c>
      <c r="H554" t="s">
        <v>640</v>
      </c>
      <c r="I554" s="3">
        <f t="shared" si="8"/>
        <v>7</v>
      </c>
    </row>
    <row r="555" spans="5:9">
      <c r="E555" s="3">
        <v>2</v>
      </c>
      <c r="F555" s="3">
        <v>554</v>
      </c>
      <c r="G555" s="2" t="s">
        <v>867</v>
      </c>
      <c r="H555" t="s">
        <v>640</v>
      </c>
      <c r="I555" s="3">
        <f t="shared" si="8"/>
        <v>6</v>
      </c>
    </row>
    <row r="556" spans="5:9">
      <c r="E556" s="3">
        <v>2</v>
      </c>
      <c r="F556" s="3">
        <v>555</v>
      </c>
      <c r="G556" s="2" t="s">
        <v>868</v>
      </c>
      <c r="H556" t="s">
        <v>640</v>
      </c>
      <c r="I556" s="3">
        <f t="shared" si="8"/>
        <v>6</v>
      </c>
    </row>
    <row r="557" spans="5:9">
      <c r="E557" s="3">
        <v>2</v>
      </c>
      <c r="F557" s="3">
        <v>556</v>
      </c>
      <c r="G557" s="2" t="s">
        <v>869</v>
      </c>
      <c r="H557" t="s">
        <v>640</v>
      </c>
      <c r="I557" s="3">
        <f t="shared" si="8"/>
        <v>5</v>
      </c>
    </row>
    <row r="558" spans="5:9">
      <c r="E558" s="3">
        <v>2</v>
      </c>
      <c r="F558" s="3">
        <v>557</v>
      </c>
      <c r="G558" s="2" t="s">
        <v>870</v>
      </c>
      <c r="H558" t="s">
        <v>640</v>
      </c>
      <c r="I558" s="3">
        <f t="shared" si="8"/>
        <v>7</v>
      </c>
    </row>
    <row r="559" spans="5:9">
      <c r="E559" s="3">
        <v>2</v>
      </c>
      <c r="F559" s="3">
        <v>558</v>
      </c>
      <c r="G559" s="2" t="s">
        <v>871</v>
      </c>
      <c r="H559" t="s">
        <v>640</v>
      </c>
      <c r="I559" s="3">
        <f t="shared" si="8"/>
        <v>7</v>
      </c>
    </row>
    <row r="560" spans="5:9">
      <c r="E560" s="3">
        <v>2</v>
      </c>
      <c r="F560" s="3">
        <v>559</v>
      </c>
      <c r="G560" s="2" t="s">
        <v>872</v>
      </c>
      <c r="H560" t="s">
        <v>640</v>
      </c>
      <c r="I560" s="3">
        <f t="shared" si="8"/>
        <v>6</v>
      </c>
    </row>
    <row r="561" spans="5:9">
      <c r="E561" s="3">
        <v>2</v>
      </c>
      <c r="F561" s="3">
        <v>560</v>
      </c>
      <c r="G561" s="2" t="s">
        <v>873</v>
      </c>
      <c r="H561" t="s">
        <v>640</v>
      </c>
      <c r="I561" s="3">
        <f t="shared" si="8"/>
        <v>7</v>
      </c>
    </row>
    <row r="562" spans="5:9">
      <c r="E562" s="3">
        <v>2</v>
      </c>
      <c r="F562" s="3">
        <v>561</v>
      </c>
      <c r="G562" s="2" t="s">
        <v>874</v>
      </c>
      <c r="H562" t="s">
        <v>640</v>
      </c>
      <c r="I562" s="3">
        <f t="shared" si="8"/>
        <v>6</v>
      </c>
    </row>
    <row r="563" spans="5:9">
      <c r="E563" s="3">
        <v>2</v>
      </c>
      <c r="F563" s="3">
        <v>562</v>
      </c>
      <c r="G563" s="2" t="s">
        <v>875</v>
      </c>
      <c r="H563" t="s">
        <v>640</v>
      </c>
      <c r="I563" s="3">
        <f t="shared" si="8"/>
        <v>6</v>
      </c>
    </row>
    <row r="564" spans="5:9">
      <c r="E564" s="3">
        <v>2</v>
      </c>
      <c r="F564" s="3">
        <v>563</v>
      </c>
      <c r="G564" s="2" t="s">
        <v>876</v>
      </c>
      <c r="H564" t="s">
        <v>640</v>
      </c>
      <c r="I564" s="3">
        <f t="shared" si="8"/>
        <v>6</v>
      </c>
    </row>
    <row r="565" spans="5:9">
      <c r="E565" s="3">
        <v>2</v>
      </c>
      <c r="F565" s="3">
        <v>564</v>
      </c>
      <c r="G565" s="2">
        <v>456789</v>
      </c>
      <c r="H565" t="s">
        <v>640</v>
      </c>
      <c r="I565" s="3">
        <f t="shared" si="8"/>
        <v>6</v>
      </c>
    </row>
    <row r="566" spans="5:9">
      <c r="E566" s="3">
        <v>2</v>
      </c>
      <c r="F566" s="3">
        <v>565</v>
      </c>
      <c r="G566" s="2" t="s">
        <v>877</v>
      </c>
      <c r="H566" t="s">
        <v>640</v>
      </c>
      <c r="I566" s="3">
        <f t="shared" si="8"/>
        <v>9</v>
      </c>
    </row>
    <row r="567" spans="5:9">
      <c r="E567" s="3">
        <v>2</v>
      </c>
      <c r="F567" s="3">
        <v>566</v>
      </c>
      <c r="G567" s="2" t="s">
        <v>878</v>
      </c>
      <c r="H567" t="s">
        <v>640</v>
      </c>
      <c r="I567" s="3">
        <f t="shared" si="8"/>
        <v>7</v>
      </c>
    </row>
    <row r="568" spans="5:9">
      <c r="E568" s="3">
        <v>2</v>
      </c>
      <c r="F568" s="3">
        <v>567</v>
      </c>
      <c r="G568" s="2" t="s">
        <v>879</v>
      </c>
      <c r="H568" t="s">
        <v>640</v>
      </c>
      <c r="I568" s="3">
        <f t="shared" si="8"/>
        <v>6</v>
      </c>
    </row>
    <row r="569" spans="5:9">
      <c r="E569" s="3">
        <v>2</v>
      </c>
      <c r="F569" s="3">
        <v>568</v>
      </c>
      <c r="G569" s="2" t="s">
        <v>880</v>
      </c>
      <c r="H569" t="s">
        <v>640</v>
      </c>
      <c r="I569" s="3">
        <f t="shared" si="8"/>
        <v>9</v>
      </c>
    </row>
    <row r="570" spans="5:9">
      <c r="E570" s="3">
        <v>2</v>
      </c>
      <c r="F570" s="3">
        <v>569</v>
      </c>
      <c r="G570" s="2" t="s">
        <v>881</v>
      </c>
      <c r="H570" t="s">
        <v>640</v>
      </c>
      <c r="I570" s="3">
        <f t="shared" si="8"/>
        <v>11</v>
      </c>
    </row>
    <row r="571" spans="5:9">
      <c r="E571" s="3">
        <v>2</v>
      </c>
      <c r="F571" s="3">
        <v>570</v>
      </c>
      <c r="G571" s="2" t="s">
        <v>882</v>
      </c>
      <c r="H571" t="s">
        <v>640</v>
      </c>
      <c r="I571" s="3">
        <f t="shared" si="8"/>
        <v>6</v>
      </c>
    </row>
    <row r="572" spans="5:9">
      <c r="E572" s="3">
        <v>2</v>
      </c>
      <c r="F572" s="3">
        <v>571</v>
      </c>
      <c r="G572" s="2" t="s">
        <v>883</v>
      </c>
      <c r="H572" t="s">
        <v>640</v>
      </c>
      <c r="I572" s="3">
        <f t="shared" si="8"/>
        <v>6</v>
      </c>
    </row>
    <row r="573" spans="5:9">
      <c r="E573" s="3">
        <v>2</v>
      </c>
      <c r="F573" s="3">
        <v>572</v>
      </c>
      <c r="G573" s="2" t="s">
        <v>884</v>
      </c>
      <c r="H573" t="s">
        <v>640</v>
      </c>
      <c r="I573" s="3">
        <f t="shared" si="8"/>
        <v>7</v>
      </c>
    </row>
    <row r="574" spans="5:9">
      <c r="E574" s="3">
        <v>2</v>
      </c>
      <c r="F574" s="3">
        <v>573</v>
      </c>
      <c r="G574" s="2">
        <v>123456789</v>
      </c>
      <c r="H574" t="s">
        <v>640</v>
      </c>
      <c r="I574" s="3">
        <f t="shared" si="8"/>
        <v>9</v>
      </c>
    </row>
    <row r="575" spans="5:9">
      <c r="E575" s="3">
        <v>2</v>
      </c>
      <c r="F575" s="3">
        <v>574</v>
      </c>
      <c r="G575" s="2" t="s">
        <v>885</v>
      </c>
      <c r="H575" t="s">
        <v>640</v>
      </c>
      <c r="I575" s="3">
        <f t="shared" si="8"/>
        <v>6</v>
      </c>
    </row>
    <row r="576" spans="5:9">
      <c r="E576" s="3">
        <v>2</v>
      </c>
      <c r="F576" s="3">
        <v>575</v>
      </c>
      <c r="G576" s="2" t="s">
        <v>886</v>
      </c>
      <c r="H576" t="s">
        <v>640</v>
      </c>
      <c r="I576" s="3">
        <f t="shared" si="8"/>
        <v>9</v>
      </c>
    </row>
    <row r="577" spans="5:9">
      <c r="E577" s="3">
        <v>2</v>
      </c>
      <c r="F577" s="3">
        <v>576</v>
      </c>
      <c r="G577" s="2" t="s">
        <v>887</v>
      </c>
      <c r="H577" t="s">
        <v>640</v>
      </c>
      <c r="I577" s="3">
        <f t="shared" si="8"/>
        <v>6</v>
      </c>
    </row>
    <row r="578" spans="5:9">
      <c r="E578" s="3">
        <v>2</v>
      </c>
      <c r="F578" s="3">
        <v>577</v>
      </c>
      <c r="G578" s="2" t="s">
        <v>888</v>
      </c>
      <c r="H578" t="s">
        <v>640</v>
      </c>
      <c r="I578" s="3">
        <f t="shared" ref="I578:I603" si="9">LEN(G578)</f>
        <v>7</v>
      </c>
    </row>
    <row r="579" spans="5:9">
      <c r="E579" s="3">
        <v>2</v>
      </c>
      <c r="F579" s="3">
        <v>578</v>
      </c>
      <c r="G579" s="2" t="s">
        <v>889</v>
      </c>
      <c r="H579" t="s">
        <v>640</v>
      </c>
      <c r="I579" s="3">
        <f t="shared" si="9"/>
        <v>6</v>
      </c>
    </row>
    <row r="580" spans="5:9">
      <c r="E580" s="3">
        <v>2</v>
      </c>
      <c r="F580" s="3">
        <v>579</v>
      </c>
      <c r="G580" s="2" t="s">
        <v>890</v>
      </c>
      <c r="H580" t="s">
        <v>640</v>
      </c>
      <c r="I580" s="3">
        <f t="shared" si="9"/>
        <v>7</v>
      </c>
    </row>
    <row r="581" spans="5:9">
      <c r="E581" s="3">
        <v>2</v>
      </c>
      <c r="F581" s="3">
        <v>580</v>
      </c>
      <c r="G581" s="2" t="s">
        <v>891</v>
      </c>
      <c r="H581" t="s">
        <v>640</v>
      </c>
      <c r="I581" s="3">
        <f t="shared" si="9"/>
        <v>8</v>
      </c>
    </row>
    <row r="582" spans="5:9">
      <c r="E582" s="3">
        <v>2</v>
      </c>
      <c r="F582" s="3">
        <v>581</v>
      </c>
      <c r="G582" s="2" t="s">
        <v>892</v>
      </c>
      <c r="H582" t="s">
        <v>640</v>
      </c>
      <c r="I582" s="3">
        <f t="shared" si="9"/>
        <v>8</v>
      </c>
    </row>
    <row r="583" spans="5:9">
      <c r="E583" s="3">
        <v>2</v>
      </c>
      <c r="F583" s="3">
        <v>582</v>
      </c>
      <c r="G583" s="2" t="s">
        <v>893</v>
      </c>
      <c r="H583" t="s">
        <v>640</v>
      </c>
      <c r="I583" s="3">
        <f t="shared" si="9"/>
        <v>7</v>
      </c>
    </row>
    <row r="584" spans="5:9">
      <c r="E584" s="3">
        <v>2</v>
      </c>
      <c r="F584" s="3">
        <v>583</v>
      </c>
      <c r="G584" s="2" t="s">
        <v>894</v>
      </c>
      <c r="H584" t="s">
        <v>640</v>
      </c>
      <c r="I584" s="3">
        <f t="shared" si="9"/>
        <v>6</v>
      </c>
    </row>
    <row r="585" spans="5:9">
      <c r="E585" s="3">
        <v>2</v>
      </c>
      <c r="F585" s="3">
        <v>584</v>
      </c>
      <c r="G585" s="2" t="s">
        <v>895</v>
      </c>
      <c r="H585" t="s">
        <v>640</v>
      </c>
      <c r="I585" s="3">
        <f t="shared" si="9"/>
        <v>6</v>
      </c>
    </row>
    <row r="586" spans="5:9">
      <c r="E586" s="3">
        <v>2</v>
      </c>
      <c r="F586" s="3">
        <v>585</v>
      </c>
      <c r="G586" s="2" t="s">
        <v>896</v>
      </c>
      <c r="H586" t="s">
        <v>640</v>
      </c>
      <c r="I586" s="3">
        <f t="shared" si="9"/>
        <v>5</v>
      </c>
    </row>
    <row r="587" spans="5:9">
      <c r="E587" s="3">
        <v>2</v>
      </c>
      <c r="F587" s="3">
        <v>586</v>
      </c>
      <c r="G587" s="2" t="s">
        <v>897</v>
      </c>
      <c r="H587" t="s">
        <v>640</v>
      </c>
      <c r="I587" s="3">
        <f t="shared" si="9"/>
        <v>5</v>
      </c>
    </row>
    <row r="588" spans="5:9">
      <c r="E588" s="3">
        <v>2</v>
      </c>
      <c r="F588" s="3">
        <v>587</v>
      </c>
      <c r="G588" s="2" t="s">
        <v>898</v>
      </c>
      <c r="H588" t="s">
        <v>640</v>
      </c>
      <c r="I588" s="3">
        <f t="shared" si="9"/>
        <v>7</v>
      </c>
    </row>
    <row r="589" spans="5:9">
      <c r="E589" s="3">
        <v>2</v>
      </c>
      <c r="F589" s="3">
        <v>588</v>
      </c>
      <c r="G589" s="2" t="s">
        <v>899</v>
      </c>
      <c r="H589" t="s">
        <v>640</v>
      </c>
      <c r="I589" s="3">
        <f t="shared" si="9"/>
        <v>7</v>
      </c>
    </row>
    <row r="590" spans="5:9">
      <c r="E590" s="3">
        <v>2</v>
      </c>
      <c r="F590" s="3">
        <v>589</v>
      </c>
      <c r="G590" s="2" t="s">
        <v>900</v>
      </c>
      <c r="H590" t="s">
        <v>640</v>
      </c>
      <c r="I590" s="3">
        <f t="shared" si="9"/>
        <v>6</v>
      </c>
    </row>
    <row r="591" spans="5:9">
      <c r="E591" s="3">
        <v>2</v>
      </c>
      <c r="F591" s="3">
        <v>590</v>
      </c>
      <c r="G591" s="2" t="s">
        <v>901</v>
      </c>
      <c r="H591" t="s">
        <v>640</v>
      </c>
      <c r="I591" s="3">
        <f t="shared" si="9"/>
        <v>6</v>
      </c>
    </row>
    <row r="592" spans="5:9">
      <c r="E592" s="3">
        <v>2</v>
      </c>
      <c r="F592" s="3">
        <v>591</v>
      </c>
      <c r="G592" s="2" t="s">
        <v>902</v>
      </c>
      <c r="H592" t="s">
        <v>640</v>
      </c>
      <c r="I592" s="3">
        <f t="shared" si="9"/>
        <v>6</v>
      </c>
    </row>
    <row r="593" spans="5:9">
      <c r="E593" s="3">
        <v>2</v>
      </c>
      <c r="F593" s="3">
        <v>592</v>
      </c>
      <c r="G593" s="2" t="s">
        <v>903</v>
      </c>
      <c r="H593" t="s">
        <v>640</v>
      </c>
      <c r="I593" s="3">
        <f t="shared" si="9"/>
        <v>6</v>
      </c>
    </row>
    <row r="594" spans="5:9">
      <c r="E594" s="3">
        <v>2</v>
      </c>
      <c r="F594" s="3">
        <v>593</v>
      </c>
      <c r="G594" s="2" t="s">
        <v>904</v>
      </c>
      <c r="H594" t="s">
        <v>640</v>
      </c>
      <c r="I594" s="3">
        <f t="shared" si="9"/>
        <v>5</v>
      </c>
    </row>
    <row r="595" spans="5:9">
      <c r="E595" s="3">
        <v>2</v>
      </c>
      <c r="F595" s="3">
        <v>594</v>
      </c>
      <c r="G595" s="2" t="s">
        <v>905</v>
      </c>
      <c r="H595" t="s">
        <v>640</v>
      </c>
      <c r="I595" s="3">
        <f t="shared" si="9"/>
        <v>7</v>
      </c>
    </row>
    <row r="596" spans="5:9">
      <c r="E596" s="3">
        <v>2</v>
      </c>
      <c r="F596" s="3">
        <v>595</v>
      </c>
      <c r="G596" s="2" t="s">
        <v>906</v>
      </c>
      <c r="H596" t="s">
        <v>640</v>
      </c>
      <c r="I596" s="3">
        <f t="shared" si="9"/>
        <v>6</v>
      </c>
    </row>
    <row r="597" spans="5:9">
      <c r="E597" s="3">
        <v>2</v>
      </c>
      <c r="F597" s="3">
        <v>596</v>
      </c>
      <c r="G597" s="2" t="s">
        <v>907</v>
      </c>
      <c r="H597" t="s">
        <v>640</v>
      </c>
      <c r="I597" s="3">
        <f t="shared" si="9"/>
        <v>7</v>
      </c>
    </row>
    <row r="598" spans="5:9">
      <c r="E598" s="3">
        <v>2</v>
      </c>
      <c r="F598" s="3">
        <v>597</v>
      </c>
      <c r="G598" s="2" t="s">
        <v>908</v>
      </c>
      <c r="H598" t="s">
        <v>640</v>
      </c>
      <c r="I598" s="3">
        <f t="shared" si="9"/>
        <v>7</v>
      </c>
    </row>
    <row r="599" spans="5:9">
      <c r="E599" s="3">
        <v>2</v>
      </c>
      <c r="F599" s="3">
        <v>598</v>
      </c>
      <c r="G599" s="2" t="s">
        <v>909</v>
      </c>
      <c r="H599" t="s">
        <v>640</v>
      </c>
      <c r="I599" s="3">
        <f t="shared" si="9"/>
        <v>6</v>
      </c>
    </row>
    <row r="600" spans="5:9">
      <c r="E600" s="3">
        <v>2</v>
      </c>
      <c r="F600" s="3">
        <v>599</v>
      </c>
      <c r="G600" s="2">
        <v>789456123</v>
      </c>
      <c r="H600" t="s">
        <v>640</v>
      </c>
      <c r="I600" s="3">
        <f t="shared" si="9"/>
        <v>9</v>
      </c>
    </row>
    <row r="601" spans="5:9">
      <c r="E601" s="3">
        <v>2</v>
      </c>
      <c r="F601" s="3">
        <v>600</v>
      </c>
      <c r="G601" s="2">
        <v>123654</v>
      </c>
      <c r="H601" t="s">
        <v>640</v>
      </c>
      <c r="I601" s="3">
        <f t="shared" si="9"/>
        <v>6</v>
      </c>
    </row>
    <row r="602" spans="5:9">
      <c r="E602" s="3">
        <v>2</v>
      </c>
      <c r="F602" s="3">
        <v>601</v>
      </c>
      <c r="G602" s="2" t="s">
        <v>910</v>
      </c>
      <c r="H602" t="s">
        <v>640</v>
      </c>
      <c r="I602" s="3">
        <f t="shared" si="9"/>
        <v>5</v>
      </c>
    </row>
    <row r="603" spans="5:9">
      <c r="E603" s="3">
        <v>2</v>
      </c>
      <c r="F603" s="3">
        <v>602</v>
      </c>
      <c r="G603" s="2" t="s">
        <v>911</v>
      </c>
      <c r="H603" t="s">
        <v>640</v>
      </c>
      <c r="I603" s="3">
        <f t="shared" si="9"/>
        <v>6</v>
      </c>
    </row>
    <row r="604" spans="5:9">
      <c r="E604" s="3"/>
      <c r="F604" s="3"/>
      <c r="G604" s="2"/>
      <c r="H604" s="44" t="s">
        <v>29</v>
      </c>
    </row>
  </sheetData>
  <conditionalFormatting sqref="M1:O1048576">
    <cfRule type="cellIs" dxfId="16" priority="2" operator="equal">
      <formula>"no"</formula>
    </cfRule>
  </conditionalFormatting>
  <conditionalFormatting sqref="S2:S101">
    <cfRule type="cellIs" dxfId="15" priority="1" operator="equal">
      <formula>"no"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B1CB-F0D7-45F3-94E7-21FFFC2A9E50}">
  <dimension ref="B1:BK1039"/>
  <sheetViews>
    <sheetView tabSelected="1" zoomScale="70" zoomScaleNormal="70" workbookViewId="0">
      <selection activeCell="K21" sqref="K21"/>
    </sheetView>
  </sheetViews>
  <sheetFormatPr defaultRowHeight="15" customHeight="1"/>
  <cols>
    <col min="2" max="2" width="28.85546875" customWidth="1"/>
    <col min="6" max="6" width="11.28515625" customWidth="1"/>
    <col min="7" max="7" width="9.85546875" customWidth="1"/>
    <col min="8" max="8" width="25.28515625" customWidth="1"/>
    <col min="10" max="10" width="8.7109375" customWidth="1"/>
    <col min="11" max="11" width="50.5703125" style="30" customWidth="1"/>
    <col min="12" max="12" width="40.7109375" customWidth="1"/>
    <col min="13" max="13" width="43.7109375" customWidth="1"/>
    <col min="14" max="14" width="8.5703125" customWidth="1"/>
    <col min="15" max="15" width="25.42578125" style="3" customWidth="1"/>
    <col min="16" max="16" width="23.28515625" style="3" customWidth="1"/>
    <col min="17" max="17" width="29.42578125" style="3" customWidth="1"/>
    <col min="18" max="18" width="13.85546875" style="3" customWidth="1"/>
    <col min="19" max="20" width="20.5703125" style="3" customWidth="1"/>
    <col min="21" max="21" width="24.28515625" style="3" customWidth="1"/>
    <col min="22" max="22" width="30.42578125" style="3" customWidth="1"/>
    <col min="23" max="23" width="12.28515625" style="74" customWidth="1"/>
    <col min="26" max="26" width="9.5703125" customWidth="1"/>
    <col min="27" max="27" width="16.42578125" customWidth="1"/>
    <col min="28" max="28" width="13.140625" customWidth="1"/>
    <col min="29" max="29" width="8.85546875" bestFit="1" customWidth="1"/>
    <col min="30" max="30" width="45.28515625" customWidth="1"/>
    <col min="31" max="31" width="27.7109375" customWidth="1"/>
    <col min="32" max="32" width="44.7109375" customWidth="1"/>
    <col min="33" max="33" width="4.28515625" customWidth="1"/>
    <col min="34" max="34" width="26" style="3" customWidth="1"/>
    <col min="35" max="35" width="21.5703125" style="3" customWidth="1"/>
    <col min="36" max="36" width="16.42578125" style="3" customWidth="1"/>
    <col min="37" max="37" width="28.7109375" style="3" customWidth="1"/>
    <col min="38" max="38" width="20.28515625" style="3" customWidth="1"/>
    <col min="39" max="39" width="18.85546875" style="3" customWidth="1"/>
    <col min="40" max="40" width="24.28515625" style="3" customWidth="1"/>
    <col min="41" max="41" width="28.140625" style="3" customWidth="1"/>
    <col min="42" max="42" width="13" style="74" customWidth="1"/>
    <col min="47" max="47" width="9.42578125" customWidth="1"/>
    <col min="48" max="48" width="27.5703125" customWidth="1"/>
    <col min="51" max="51" width="42.28515625" customWidth="1"/>
    <col min="52" max="52" width="31.85546875" customWidth="1"/>
    <col min="53" max="53" width="52.5703125" customWidth="1"/>
    <col min="55" max="55" width="25.7109375" style="3" customWidth="1"/>
    <col min="56" max="56" width="23.42578125" style="3" customWidth="1"/>
    <col min="57" max="57" width="27.7109375" style="3" customWidth="1"/>
    <col min="58" max="58" width="17.28515625" style="3" customWidth="1"/>
    <col min="59" max="59" width="18.140625" style="3" customWidth="1"/>
    <col min="60" max="60" width="23.28515625" style="3" customWidth="1"/>
    <col min="61" max="61" width="27.140625" style="3" customWidth="1"/>
    <col min="62" max="62" width="29.7109375" style="3" customWidth="1"/>
    <col min="63" max="63" width="12.28515625" style="74" customWidth="1"/>
  </cols>
  <sheetData>
    <row r="1" spans="2:63">
      <c r="G1" s="23" t="s">
        <v>2272</v>
      </c>
      <c r="H1" s="23" t="s">
        <v>1</v>
      </c>
      <c r="I1" s="23" t="s">
        <v>2274</v>
      </c>
      <c r="J1" s="23" t="s">
        <v>3</v>
      </c>
      <c r="K1" s="30" t="s">
        <v>2275</v>
      </c>
      <c r="L1" s="23" t="s">
        <v>7393</v>
      </c>
      <c r="M1" s="23" t="s">
        <v>7005</v>
      </c>
      <c r="N1" s="23"/>
      <c r="O1" s="21" t="s">
        <v>7394</v>
      </c>
      <c r="P1" s="21" t="s">
        <v>7395</v>
      </c>
      <c r="Q1" s="21" t="s">
        <v>7396</v>
      </c>
      <c r="R1" s="21" t="s">
        <v>7397</v>
      </c>
      <c r="S1" s="21" t="s">
        <v>7398</v>
      </c>
      <c r="T1" s="21" t="s">
        <v>7399</v>
      </c>
      <c r="U1" s="21" t="s">
        <v>7400</v>
      </c>
      <c r="V1" s="21" t="s">
        <v>7401</v>
      </c>
      <c r="W1" s="75" t="s">
        <v>7402</v>
      </c>
      <c r="Z1" s="47" t="s">
        <v>2272</v>
      </c>
      <c r="AA1" s="47" t="s">
        <v>1</v>
      </c>
      <c r="AB1" s="47" t="s">
        <v>2274</v>
      </c>
      <c r="AC1" s="47" t="s">
        <v>3</v>
      </c>
      <c r="AD1" s="30" t="s">
        <v>2275</v>
      </c>
      <c r="AE1" s="47" t="s">
        <v>7393</v>
      </c>
      <c r="AF1" s="47" t="s">
        <v>7005</v>
      </c>
      <c r="AG1" s="47"/>
      <c r="AH1" s="62" t="s">
        <v>7394</v>
      </c>
      <c r="AI1" s="62" t="s">
        <v>7395</v>
      </c>
      <c r="AJ1" s="62" t="s">
        <v>7397</v>
      </c>
      <c r="AK1" s="62" t="s">
        <v>7396</v>
      </c>
      <c r="AL1" s="62" t="s">
        <v>7398</v>
      </c>
      <c r="AM1" s="62" t="s">
        <v>7399</v>
      </c>
      <c r="AN1" s="62" t="s">
        <v>7401</v>
      </c>
      <c r="AO1" s="62" t="s">
        <v>7400</v>
      </c>
      <c r="AP1" s="73" t="s">
        <v>7402</v>
      </c>
      <c r="AU1" s="48" t="s">
        <v>2272</v>
      </c>
      <c r="AV1" s="48" t="s">
        <v>1</v>
      </c>
      <c r="AW1" s="48" t="s">
        <v>2274</v>
      </c>
      <c r="AX1" s="48" t="s">
        <v>3</v>
      </c>
      <c r="AY1" s="30" t="s">
        <v>2275</v>
      </c>
      <c r="AZ1" s="48" t="s">
        <v>7393</v>
      </c>
      <c r="BA1" s="48" t="s">
        <v>7005</v>
      </c>
      <c r="BB1" s="48"/>
      <c r="BC1" s="63" t="s">
        <v>7394</v>
      </c>
      <c r="BD1" s="63" t="s">
        <v>7395</v>
      </c>
      <c r="BE1" s="63" t="s">
        <v>7396</v>
      </c>
      <c r="BF1" s="63" t="s">
        <v>7397</v>
      </c>
      <c r="BG1" s="63" t="s">
        <v>7398</v>
      </c>
      <c r="BH1" s="63" t="s">
        <v>7399</v>
      </c>
      <c r="BI1" s="63" t="s">
        <v>7401</v>
      </c>
      <c r="BJ1" s="63" t="s">
        <v>7400</v>
      </c>
      <c r="BK1" s="76" t="s">
        <v>7402</v>
      </c>
    </row>
    <row r="2" spans="2:63">
      <c r="B2" s="65" t="s">
        <v>7403</v>
      </c>
      <c r="C2" s="64" t="s">
        <v>7404</v>
      </c>
      <c r="D2" s="64" t="s">
        <v>7405</v>
      </c>
      <c r="F2" s="55"/>
      <c r="G2">
        <v>1</v>
      </c>
      <c r="H2" s="7" t="s">
        <v>442</v>
      </c>
      <c r="I2" t="s">
        <v>29</v>
      </c>
      <c r="J2">
        <f>LEN(H2)</f>
        <v>9</v>
      </c>
      <c r="K2" s="49" t="s">
        <v>2685</v>
      </c>
      <c r="M2" t="s">
        <v>7406</v>
      </c>
      <c r="O2" s="3" t="s">
        <v>7010</v>
      </c>
      <c r="P2" s="3" t="s">
        <v>7010</v>
      </c>
      <c r="Q2" s="3" t="s">
        <v>7010</v>
      </c>
      <c r="R2" s="3" t="s">
        <v>7010</v>
      </c>
      <c r="S2" s="3" t="s">
        <v>7010</v>
      </c>
      <c r="T2" s="3" t="s">
        <v>7015</v>
      </c>
      <c r="U2" s="3" t="s">
        <v>7010</v>
      </c>
      <c r="V2" s="3" t="s">
        <v>7010</v>
      </c>
      <c r="W2" s="74" t="str">
        <f>IF(COUNTIF(O2:V2, "Yes") &gt; 0, "Yes", "No")</f>
        <v>Yes</v>
      </c>
      <c r="Z2">
        <v>1</v>
      </c>
      <c r="AA2" s="55">
        <v>123456</v>
      </c>
      <c r="AB2" t="s">
        <v>643</v>
      </c>
      <c r="AC2">
        <f t="shared" ref="AC2:AC65" si="0">LEN(AA2)</f>
        <v>6</v>
      </c>
      <c r="AD2" s="30" t="s">
        <v>2277</v>
      </c>
      <c r="AF2" t="s">
        <v>7407</v>
      </c>
      <c r="AH2" s="3" t="s">
        <v>7015</v>
      </c>
      <c r="AI2" s="3" t="s">
        <v>7010</v>
      </c>
      <c r="AJ2" s="3" t="s">
        <v>7010</v>
      </c>
      <c r="AK2" s="3" t="s">
        <v>7015</v>
      </c>
      <c r="AL2" s="3" t="s">
        <v>7010</v>
      </c>
      <c r="AM2" s="3" t="s">
        <v>7010</v>
      </c>
      <c r="AN2" s="3" t="s">
        <v>7010</v>
      </c>
      <c r="AO2" s="3" t="s">
        <v>7010</v>
      </c>
      <c r="AP2" s="74" t="s">
        <v>7015</v>
      </c>
      <c r="AS2" s="60"/>
      <c r="AU2">
        <v>1</v>
      </c>
      <c r="AV2" t="s">
        <v>2278</v>
      </c>
      <c r="AW2" t="s">
        <v>2279</v>
      </c>
      <c r="AX2">
        <f>LEN(AV2)</f>
        <v>10</v>
      </c>
      <c r="AY2" s="30" t="s">
        <v>2280</v>
      </c>
      <c r="AZ2" t="s">
        <v>7408</v>
      </c>
      <c r="BA2" t="s">
        <v>7408</v>
      </c>
      <c r="BC2" s="3" t="s">
        <v>7015</v>
      </c>
      <c r="BD2" s="3" t="s">
        <v>7010</v>
      </c>
      <c r="BE2" s="3" t="s">
        <v>7015</v>
      </c>
      <c r="BF2" s="3" t="s">
        <v>7010</v>
      </c>
      <c r="BG2" s="3" t="s">
        <v>7010</v>
      </c>
      <c r="BH2" s="3" t="s">
        <v>7010</v>
      </c>
      <c r="BI2" s="3" t="s">
        <v>7010</v>
      </c>
      <c r="BJ2" s="3" t="s">
        <v>7010</v>
      </c>
      <c r="BK2" s="74" t="str">
        <f>IF(COUNTIF(BC2:BJ2, "Yes") &gt; 0, "Yes", "No")</f>
        <v>Yes</v>
      </c>
    </row>
    <row r="3" spans="2:63">
      <c r="B3" s="64" t="s">
        <v>7409</v>
      </c>
      <c r="C3" s="64">
        <v>3</v>
      </c>
      <c r="D3" s="64">
        <v>997</v>
      </c>
      <c r="G3">
        <v>2</v>
      </c>
      <c r="H3" s="7" t="s">
        <v>604</v>
      </c>
      <c r="I3" t="s">
        <v>29</v>
      </c>
      <c r="J3">
        <f>LEN(H3)</f>
        <v>15</v>
      </c>
      <c r="K3" s="49" t="s">
        <v>3333</v>
      </c>
      <c r="M3" t="s">
        <v>7410</v>
      </c>
      <c r="O3" s="3" t="s">
        <v>7010</v>
      </c>
      <c r="P3" s="3" t="s">
        <v>7010</v>
      </c>
      <c r="Q3" s="3" t="s">
        <v>7010</v>
      </c>
      <c r="R3" s="3" t="s">
        <v>7010</v>
      </c>
      <c r="S3" s="3" t="s">
        <v>7010</v>
      </c>
      <c r="T3" s="3" t="s">
        <v>7010</v>
      </c>
      <c r="U3" s="3" t="s">
        <v>7010</v>
      </c>
      <c r="V3" s="3" t="s">
        <v>7010</v>
      </c>
      <c r="W3" s="74" t="str">
        <f t="shared" ref="W3:W66" si="1">IF(COUNTIF(O3:V3, "Yes") &gt; 0, "Yes", "No")</f>
        <v>No</v>
      </c>
      <c r="Z3">
        <v>2</v>
      </c>
      <c r="AA3" s="55">
        <v>12345</v>
      </c>
      <c r="AB3" t="s">
        <v>643</v>
      </c>
      <c r="AC3">
        <f t="shared" si="0"/>
        <v>5</v>
      </c>
      <c r="AD3" s="30" t="s">
        <v>2282</v>
      </c>
      <c r="AF3" t="s">
        <v>7411</v>
      </c>
      <c r="AH3" s="3" t="s">
        <v>7015</v>
      </c>
      <c r="AI3" s="3" t="s">
        <v>7010</v>
      </c>
      <c r="AJ3" s="3" t="s">
        <v>7010</v>
      </c>
      <c r="AK3" s="3" t="s">
        <v>7015</v>
      </c>
      <c r="AL3" s="3" t="s">
        <v>7010</v>
      </c>
      <c r="AM3" s="3" t="s">
        <v>7010</v>
      </c>
      <c r="AN3" s="3" t="s">
        <v>7010</v>
      </c>
      <c r="AO3" s="3" t="s">
        <v>7010</v>
      </c>
      <c r="AP3" s="74" t="s">
        <v>7015</v>
      </c>
      <c r="AU3">
        <v>2</v>
      </c>
      <c r="AV3" t="s">
        <v>2283</v>
      </c>
      <c r="AW3" t="s">
        <v>2279</v>
      </c>
      <c r="AX3">
        <f t="shared" ref="AX3:AX66" si="2">LEN(AV3)</f>
        <v>8</v>
      </c>
      <c r="AY3" s="30" t="s">
        <v>2284</v>
      </c>
      <c r="BC3" s="3" t="s">
        <v>7010</v>
      </c>
      <c r="BD3" s="3" t="s">
        <v>7010</v>
      </c>
      <c r="BE3" s="3" t="s">
        <v>7010</v>
      </c>
      <c r="BF3" s="3" t="s">
        <v>7010</v>
      </c>
      <c r="BG3" s="3" t="s">
        <v>7010</v>
      </c>
      <c r="BH3" s="3" t="s">
        <v>7010</v>
      </c>
      <c r="BI3" s="3" t="s">
        <v>7010</v>
      </c>
      <c r="BJ3" s="3" t="s">
        <v>7010</v>
      </c>
      <c r="BK3" s="74" t="str">
        <f t="shared" ref="BK3:BK66" si="3">IF(COUNTIF(BC3:BJ3, "Yes") &gt; 0, "Yes", "No")</f>
        <v>No</v>
      </c>
    </row>
    <row r="4" spans="2:63">
      <c r="B4" s="64" t="s">
        <v>7394</v>
      </c>
      <c r="C4" s="64">
        <f>COUNTIF(O:O, "yes")</f>
        <v>15</v>
      </c>
      <c r="D4" s="64">
        <f>COUNTIF(O:O, "no")</f>
        <v>985</v>
      </c>
      <c r="F4" s="55"/>
      <c r="G4">
        <v>3</v>
      </c>
      <c r="H4" s="7" t="s">
        <v>2067</v>
      </c>
      <c r="I4" t="s">
        <v>29</v>
      </c>
      <c r="J4">
        <f>LEN(H4)</f>
        <v>21</v>
      </c>
      <c r="K4" s="49" t="s">
        <v>6495</v>
      </c>
      <c r="M4" t="s">
        <v>7412</v>
      </c>
      <c r="O4" s="3" t="s">
        <v>7010</v>
      </c>
      <c r="P4" s="3" t="s">
        <v>7010</v>
      </c>
      <c r="Q4" s="3" t="s">
        <v>7010</v>
      </c>
      <c r="R4" s="3" t="s">
        <v>7010</v>
      </c>
      <c r="S4" s="3" t="s">
        <v>7010</v>
      </c>
      <c r="T4" s="3" t="s">
        <v>7015</v>
      </c>
      <c r="U4" s="3" t="s">
        <v>7010</v>
      </c>
      <c r="V4" s="3" t="s">
        <v>7010</v>
      </c>
      <c r="W4" s="74" t="str">
        <f t="shared" si="1"/>
        <v>Yes</v>
      </c>
      <c r="Z4">
        <v>3</v>
      </c>
      <c r="AA4" s="55">
        <v>123456789</v>
      </c>
      <c r="AB4" t="s">
        <v>643</v>
      </c>
      <c r="AC4">
        <f t="shared" si="0"/>
        <v>9</v>
      </c>
      <c r="AD4" s="30" t="s">
        <v>2286</v>
      </c>
      <c r="AF4" t="s">
        <v>7413</v>
      </c>
      <c r="AH4" s="3" t="s">
        <v>7015</v>
      </c>
      <c r="AI4" s="3" t="s">
        <v>7010</v>
      </c>
      <c r="AJ4" s="3" t="s">
        <v>7010</v>
      </c>
      <c r="AK4" s="3" t="s">
        <v>7015</v>
      </c>
      <c r="AL4" s="3" t="s">
        <v>7010</v>
      </c>
      <c r="AM4" s="3" t="s">
        <v>7010</v>
      </c>
      <c r="AN4" s="3" t="s">
        <v>7010</v>
      </c>
      <c r="AO4" s="3" t="s">
        <v>7010</v>
      </c>
      <c r="AP4" s="74" t="s">
        <v>7015</v>
      </c>
      <c r="AU4">
        <v>3</v>
      </c>
      <c r="AV4" t="s">
        <v>2287</v>
      </c>
      <c r="AW4" t="s">
        <v>2279</v>
      </c>
      <c r="AX4">
        <f t="shared" si="2"/>
        <v>8</v>
      </c>
      <c r="AY4" s="30" t="s">
        <v>2288</v>
      </c>
      <c r="BC4" s="3" t="s">
        <v>7010</v>
      </c>
      <c r="BD4" s="3" t="s">
        <v>7010</v>
      </c>
      <c r="BE4" s="3" t="s">
        <v>7010</v>
      </c>
      <c r="BF4" s="3" t="s">
        <v>7010</v>
      </c>
      <c r="BG4" s="3" t="s">
        <v>7010</v>
      </c>
      <c r="BH4" s="3" t="s">
        <v>7010</v>
      </c>
      <c r="BI4" s="3" t="s">
        <v>7010</v>
      </c>
      <c r="BJ4" s="3" t="s">
        <v>7010</v>
      </c>
      <c r="BK4" s="74" t="str">
        <f t="shared" si="3"/>
        <v>No</v>
      </c>
    </row>
    <row r="5" spans="2:63">
      <c r="B5" s="64" t="s">
        <v>7395</v>
      </c>
      <c r="C5" s="64">
        <f>COUNTIF(P:P, "yes")</f>
        <v>0</v>
      </c>
      <c r="D5" s="64">
        <f>COUNTIF(P:P, "no")</f>
        <v>1000</v>
      </c>
      <c r="F5" s="55"/>
      <c r="G5">
        <v>4</v>
      </c>
      <c r="H5" s="7" t="s">
        <v>632</v>
      </c>
      <c r="I5" t="s">
        <v>29</v>
      </c>
      <c r="J5">
        <f>LEN(H5)</f>
        <v>12</v>
      </c>
      <c r="K5" s="50" t="s">
        <v>3445</v>
      </c>
      <c r="O5" s="3" t="s">
        <v>7010</v>
      </c>
      <c r="P5" s="3" t="s">
        <v>7010</v>
      </c>
      <c r="Q5" s="3" t="s">
        <v>7010</v>
      </c>
      <c r="R5" s="3" t="s">
        <v>7010</v>
      </c>
      <c r="S5" s="3" t="s">
        <v>7010</v>
      </c>
      <c r="T5" s="3" t="s">
        <v>7010</v>
      </c>
      <c r="U5" s="3" t="s">
        <v>7010</v>
      </c>
      <c r="V5" s="3" t="s">
        <v>7010</v>
      </c>
      <c r="W5" s="74" t="str">
        <f t="shared" si="1"/>
        <v>No</v>
      </c>
      <c r="Z5">
        <v>4</v>
      </c>
      <c r="AA5" s="55" t="s">
        <v>1</v>
      </c>
      <c r="AB5" t="s">
        <v>643</v>
      </c>
      <c r="AC5">
        <f t="shared" si="0"/>
        <v>8</v>
      </c>
      <c r="AD5" s="30" t="s">
        <v>2290</v>
      </c>
      <c r="AF5" t="s">
        <v>7414</v>
      </c>
      <c r="AH5" s="3" t="s">
        <v>7015</v>
      </c>
      <c r="AI5" s="3" t="s">
        <v>7010</v>
      </c>
      <c r="AJ5" s="3" t="s">
        <v>7010</v>
      </c>
      <c r="AK5" s="3" t="s">
        <v>7015</v>
      </c>
      <c r="AL5" s="3" t="s">
        <v>7010</v>
      </c>
      <c r="AM5" s="3" t="s">
        <v>7010</v>
      </c>
      <c r="AN5" s="3" t="s">
        <v>7010</v>
      </c>
      <c r="AO5" s="3" t="s">
        <v>7010</v>
      </c>
      <c r="AP5" s="74" t="s">
        <v>7015</v>
      </c>
      <c r="AU5">
        <v>4</v>
      </c>
      <c r="AV5" t="s">
        <v>2291</v>
      </c>
      <c r="AW5" t="s">
        <v>2279</v>
      </c>
      <c r="AX5">
        <f t="shared" si="2"/>
        <v>15</v>
      </c>
      <c r="AY5" s="30" t="s">
        <v>2292</v>
      </c>
      <c r="BC5" s="3" t="s">
        <v>7010</v>
      </c>
      <c r="BD5" s="3" t="s">
        <v>7010</v>
      </c>
      <c r="BE5" s="3" t="s">
        <v>7010</v>
      </c>
      <c r="BF5" s="3" t="s">
        <v>7010</v>
      </c>
      <c r="BG5" s="3" t="s">
        <v>7010</v>
      </c>
      <c r="BH5" s="3" t="s">
        <v>7010</v>
      </c>
      <c r="BI5" s="3" t="s">
        <v>7010</v>
      </c>
      <c r="BJ5" s="3" t="s">
        <v>7010</v>
      </c>
      <c r="BK5" s="74" t="str">
        <f t="shared" si="3"/>
        <v>No</v>
      </c>
    </row>
    <row r="6" spans="2:63">
      <c r="B6" s="64" t="s">
        <v>7396</v>
      </c>
      <c r="C6" s="64">
        <f>COUNTIF(Q:Q, "yes")</f>
        <v>2</v>
      </c>
      <c r="D6" s="64">
        <f>COUNTIF(Q:Q, "no")</f>
        <v>998</v>
      </c>
      <c r="F6" s="55"/>
      <c r="G6">
        <v>5</v>
      </c>
      <c r="H6" s="7" t="s">
        <v>454</v>
      </c>
      <c r="I6" t="s">
        <v>29</v>
      </c>
      <c r="J6">
        <f>LEN(H6)</f>
        <v>13</v>
      </c>
      <c r="K6" s="49" t="s">
        <v>2733</v>
      </c>
      <c r="O6" s="3" t="s">
        <v>7010</v>
      </c>
      <c r="P6" s="3" t="s">
        <v>7010</v>
      </c>
      <c r="Q6" s="3" t="s">
        <v>7010</v>
      </c>
      <c r="R6" s="3" t="s">
        <v>7010</v>
      </c>
      <c r="S6" s="3" t="s">
        <v>7010</v>
      </c>
      <c r="T6" s="3" t="s">
        <v>7010</v>
      </c>
      <c r="U6" s="3" t="s">
        <v>7010</v>
      </c>
      <c r="V6" s="3" t="s">
        <v>7010</v>
      </c>
      <c r="W6" s="74" t="str">
        <f t="shared" si="1"/>
        <v>No</v>
      </c>
      <c r="Z6">
        <v>5</v>
      </c>
      <c r="AA6" s="55" t="s">
        <v>641</v>
      </c>
      <c r="AB6" t="s">
        <v>643</v>
      </c>
      <c r="AC6">
        <f t="shared" si="0"/>
        <v>8</v>
      </c>
      <c r="AD6" s="30" t="s">
        <v>2294</v>
      </c>
      <c r="AF6" t="s">
        <v>7415</v>
      </c>
      <c r="AH6" s="3" t="s">
        <v>7015</v>
      </c>
      <c r="AI6" s="3" t="s">
        <v>7010</v>
      </c>
      <c r="AJ6" s="3" t="s">
        <v>7010</v>
      </c>
      <c r="AK6" s="3" t="s">
        <v>7015</v>
      </c>
      <c r="AL6" s="3" t="s">
        <v>7010</v>
      </c>
      <c r="AM6" s="3" t="s">
        <v>7010</v>
      </c>
      <c r="AN6" s="3" t="s">
        <v>7010</v>
      </c>
      <c r="AO6" s="3" t="s">
        <v>7010</v>
      </c>
      <c r="AP6" s="74" t="s">
        <v>7015</v>
      </c>
      <c r="AU6">
        <v>5</v>
      </c>
      <c r="AV6" t="s">
        <v>2295</v>
      </c>
      <c r="AW6" t="s">
        <v>2279</v>
      </c>
      <c r="AX6">
        <f t="shared" si="2"/>
        <v>9</v>
      </c>
      <c r="AY6" s="30" t="s">
        <v>2296</v>
      </c>
      <c r="BC6" s="3" t="s">
        <v>7010</v>
      </c>
      <c r="BD6" s="3" t="s">
        <v>7010</v>
      </c>
      <c r="BE6" s="3" t="s">
        <v>7010</v>
      </c>
      <c r="BF6" s="3" t="s">
        <v>7010</v>
      </c>
      <c r="BG6" s="3" t="s">
        <v>7010</v>
      </c>
      <c r="BH6" s="3" t="s">
        <v>7010</v>
      </c>
      <c r="BI6" s="3" t="s">
        <v>7010</v>
      </c>
      <c r="BJ6" s="3" t="s">
        <v>7010</v>
      </c>
      <c r="BK6" s="74" t="str">
        <f t="shared" si="3"/>
        <v>No</v>
      </c>
    </row>
    <row r="7" spans="2:63">
      <c r="B7" s="64" t="s">
        <v>7397</v>
      </c>
      <c r="C7" s="64">
        <f>COUNTIF(R:R, "yes")</f>
        <v>107</v>
      </c>
      <c r="D7" s="64">
        <f>COUNTIF(R:R, "no")</f>
        <v>893</v>
      </c>
      <c r="F7" s="55"/>
      <c r="G7">
        <v>6</v>
      </c>
      <c r="H7" s="7" t="s">
        <v>538</v>
      </c>
      <c r="I7" t="s">
        <v>29</v>
      </c>
      <c r="J7">
        <f>LEN(H7)</f>
        <v>10</v>
      </c>
      <c r="K7" s="49" t="s">
        <v>3069</v>
      </c>
      <c r="O7" s="3" t="s">
        <v>7010</v>
      </c>
      <c r="P7" s="3" t="s">
        <v>7010</v>
      </c>
      <c r="Q7" s="3" t="s">
        <v>7010</v>
      </c>
      <c r="R7" s="3" t="s">
        <v>7010</v>
      </c>
      <c r="S7" s="3" t="s">
        <v>7010</v>
      </c>
      <c r="T7" s="3" t="s">
        <v>7010</v>
      </c>
      <c r="U7" s="3" t="s">
        <v>7010</v>
      </c>
      <c r="V7" s="3" t="s">
        <v>7010</v>
      </c>
      <c r="W7" s="74" t="str">
        <f t="shared" si="1"/>
        <v>No</v>
      </c>
      <c r="Z7">
        <v>6</v>
      </c>
      <c r="AA7" s="55" t="s">
        <v>642</v>
      </c>
      <c r="AB7" t="s">
        <v>643</v>
      </c>
      <c r="AC7">
        <f t="shared" si="0"/>
        <v>8</v>
      </c>
      <c r="AD7" s="30" t="s">
        <v>2298</v>
      </c>
      <c r="AF7" t="s">
        <v>7416</v>
      </c>
      <c r="AH7" s="3" t="s">
        <v>7015</v>
      </c>
      <c r="AI7" s="3" t="s">
        <v>7010</v>
      </c>
      <c r="AJ7" s="3" t="s">
        <v>7010</v>
      </c>
      <c r="AK7" s="3" t="s">
        <v>7015</v>
      </c>
      <c r="AL7" s="3" t="s">
        <v>7010</v>
      </c>
      <c r="AM7" s="3" t="s">
        <v>7010</v>
      </c>
      <c r="AN7" s="3" t="s">
        <v>7010</v>
      </c>
      <c r="AO7" s="3" t="s">
        <v>7010</v>
      </c>
      <c r="AP7" s="74" t="s">
        <v>7015</v>
      </c>
      <c r="AU7">
        <v>6</v>
      </c>
      <c r="AV7" t="s">
        <v>2299</v>
      </c>
      <c r="AW7" t="s">
        <v>2279</v>
      </c>
      <c r="AX7">
        <f t="shared" si="2"/>
        <v>13</v>
      </c>
      <c r="AY7" s="30" t="s">
        <v>2300</v>
      </c>
      <c r="BC7" s="3" t="s">
        <v>7010</v>
      </c>
      <c r="BD7" s="3" t="s">
        <v>7010</v>
      </c>
      <c r="BE7" s="3" t="s">
        <v>7010</v>
      </c>
      <c r="BF7" s="3" t="s">
        <v>7010</v>
      </c>
      <c r="BG7" s="3" t="s">
        <v>7010</v>
      </c>
      <c r="BH7" s="3" t="s">
        <v>7010</v>
      </c>
      <c r="BI7" s="3" t="s">
        <v>7010</v>
      </c>
      <c r="BJ7" s="3" t="s">
        <v>7010</v>
      </c>
      <c r="BK7" s="74" t="str">
        <f t="shared" si="3"/>
        <v>No</v>
      </c>
    </row>
    <row r="8" spans="2:63">
      <c r="B8" s="64" t="s">
        <v>7417</v>
      </c>
      <c r="C8" s="64">
        <f>COUNTIF(S:S, "yes")</f>
        <v>4</v>
      </c>
      <c r="D8" s="64">
        <f>COUNTIF(S:S, "no")</f>
        <v>996</v>
      </c>
      <c r="F8" s="55"/>
      <c r="G8">
        <v>7</v>
      </c>
      <c r="H8" t="s">
        <v>6944</v>
      </c>
      <c r="I8" t="s">
        <v>29</v>
      </c>
      <c r="J8">
        <f>LEN(H8)</f>
        <v>13</v>
      </c>
      <c r="K8" s="49" t="s">
        <v>6945</v>
      </c>
      <c r="O8" s="3" t="s">
        <v>7010</v>
      </c>
      <c r="P8" s="3" t="s">
        <v>7010</v>
      </c>
      <c r="Q8" s="3" t="s">
        <v>7010</v>
      </c>
      <c r="R8" s="3" t="s">
        <v>7015</v>
      </c>
      <c r="S8" s="3" t="s">
        <v>7010</v>
      </c>
      <c r="T8" s="3" t="s">
        <v>7015</v>
      </c>
      <c r="U8" s="3" t="s">
        <v>7010</v>
      </c>
      <c r="V8" s="3" t="s">
        <v>7015</v>
      </c>
      <c r="W8" s="74" t="str">
        <f t="shared" si="1"/>
        <v>Yes</v>
      </c>
      <c r="Z8">
        <v>7</v>
      </c>
      <c r="AA8" s="55">
        <v>1234567</v>
      </c>
      <c r="AB8" t="s">
        <v>643</v>
      </c>
      <c r="AC8">
        <f t="shared" si="0"/>
        <v>7</v>
      </c>
      <c r="AD8" s="30" t="s">
        <v>2302</v>
      </c>
      <c r="AF8" t="s">
        <v>7418</v>
      </c>
      <c r="AH8" s="3" t="s">
        <v>7015</v>
      </c>
      <c r="AI8" s="3" t="s">
        <v>7010</v>
      </c>
      <c r="AJ8" s="3" t="s">
        <v>7010</v>
      </c>
      <c r="AK8" s="3" t="s">
        <v>7015</v>
      </c>
      <c r="AL8" s="3" t="s">
        <v>7010</v>
      </c>
      <c r="AM8" s="3" t="s">
        <v>7010</v>
      </c>
      <c r="AN8" s="3" t="s">
        <v>7010</v>
      </c>
      <c r="AO8" s="3" t="s">
        <v>7010</v>
      </c>
      <c r="AP8" s="74" t="s">
        <v>7015</v>
      </c>
      <c r="AU8">
        <v>7</v>
      </c>
      <c r="AV8" t="s">
        <v>2303</v>
      </c>
      <c r="AW8" t="s">
        <v>2279</v>
      </c>
      <c r="AX8">
        <f t="shared" si="2"/>
        <v>9</v>
      </c>
      <c r="AY8" s="30" t="s">
        <v>2304</v>
      </c>
      <c r="BC8" s="3" t="s">
        <v>7010</v>
      </c>
      <c r="BD8" s="3" t="s">
        <v>7010</v>
      </c>
      <c r="BE8" s="3" t="s">
        <v>7015</v>
      </c>
      <c r="BF8" s="3" t="s">
        <v>7010</v>
      </c>
      <c r="BG8" s="3" t="s">
        <v>7010</v>
      </c>
      <c r="BH8" s="3" t="s">
        <v>7010</v>
      </c>
      <c r="BI8" s="3" t="s">
        <v>7010</v>
      </c>
      <c r="BJ8" s="3" t="s">
        <v>7010</v>
      </c>
      <c r="BK8" s="74" t="str">
        <f t="shared" si="3"/>
        <v>Yes</v>
      </c>
    </row>
    <row r="9" spans="2:63">
      <c r="B9" s="64" t="s">
        <v>7399</v>
      </c>
      <c r="C9" s="64">
        <f>COUNTIF(T:T, "yes")</f>
        <v>323</v>
      </c>
      <c r="D9" s="64">
        <f>COUNTIF(T:T, "no")</f>
        <v>677</v>
      </c>
      <c r="F9" s="55"/>
      <c r="G9">
        <v>8</v>
      </c>
      <c r="H9" t="s">
        <v>6946</v>
      </c>
      <c r="I9" t="s">
        <v>29</v>
      </c>
      <c r="J9">
        <f>LEN(H9)</f>
        <v>11</v>
      </c>
      <c r="K9" s="51" t="s">
        <v>6947</v>
      </c>
      <c r="O9" s="3" t="s">
        <v>7015</v>
      </c>
      <c r="P9" s="3" t="s">
        <v>7010</v>
      </c>
      <c r="Q9" s="3" t="s">
        <v>7010</v>
      </c>
      <c r="R9" s="3" t="s">
        <v>7015</v>
      </c>
      <c r="S9" s="3" t="s">
        <v>7010</v>
      </c>
      <c r="T9" s="3" t="s">
        <v>7015</v>
      </c>
      <c r="U9" s="3" t="s">
        <v>7010</v>
      </c>
      <c r="V9" s="3" t="s">
        <v>7010</v>
      </c>
      <c r="W9" s="74" t="str">
        <f t="shared" si="1"/>
        <v>Yes</v>
      </c>
      <c r="Z9">
        <v>8</v>
      </c>
      <c r="AA9" s="55" t="s">
        <v>643</v>
      </c>
      <c r="AB9" t="s">
        <v>643</v>
      </c>
      <c r="AC9">
        <f t="shared" si="0"/>
        <v>7</v>
      </c>
      <c r="AD9" s="30" t="s">
        <v>2306</v>
      </c>
      <c r="AF9" t="s">
        <v>7419</v>
      </c>
      <c r="AH9" s="3" t="s">
        <v>7015</v>
      </c>
      <c r="AI9" s="3" t="s">
        <v>7010</v>
      </c>
      <c r="AJ9" s="3" t="s">
        <v>7010</v>
      </c>
      <c r="AK9" s="3" t="s">
        <v>7015</v>
      </c>
      <c r="AL9" s="3" t="s">
        <v>7010</v>
      </c>
      <c r="AM9" s="3" t="s">
        <v>7010</v>
      </c>
      <c r="AN9" s="3" t="s">
        <v>7010</v>
      </c>
      <c r="AO9" s="3" t="s">
        <v>7010</v>
      </c>
      <c r="AP9" s="74" t="s">
        <v>7015</v>
      </c>
      <c r="AU9">
        <v>8</v>
      </c>
      <c r="AV9" t="s">
        <v>2307</v>
      </c>
      <c r="AW9" t="s">
        <v>2279</v>
      </c>
      <c r="AX9">
        <f t="shared" si="2"/>
        <v>11</v>
      </c>
      <c r="AY9" s="30" t="s">
        <v>2308</v>
      </c>
      <c r="BC9" s="3" t="s">
        <v>7010</v>
      </c>
      <c r="BD9" s="3" t="s">
        <v>7010</v>
      </c>
      <c r="BE9" s="3" t="s">
        <v>7010</v>
      </c>
      <c r="BF9" s="3" t="s">
        <v>7010</v>
      </c>
      <c r="BG9" s="3" t="s">
        <v>7010</v>
      </c>
      <c r="BH9" s="3" t="s">
        <v>7010</v>
      </c>
      <c r="BI9" s="3" t="s">
        <v>7010</v>
      </c>
      <c r="BJ9" s="3" t="s">
        <v>7010</v>
      </c>
      <c r="BK9" s="74" t="str">
        <f t="shared" si="3"/>
        <v>No</v>
      </c>
    </row>
    <row r="10" spans="2:63">
      <c r="B10" s="64" t="s">
        <v>7401</v>
      </c>
      <c r="C10" s="64">
        <f>COUNTIF(U:U, "yes")</f>
        <v>50</v>
      </c>
      <c r="D10" s="64">
        <f>COUNTIF(U:U, "no")</f>
        <v>950</v>
      </c>
      <c r="F10" s="55"/>
      <c r="G10">
        <v>9</v>
      </c>
      <c r="H10" s="7" t="s">
        <v>1890</v>
      </c>
      <c r="I10" t="s">
        <v>29</v>
      </c>
      <c r="J10">
        <f>LEN(H10)</f>
        <v>9</v>
      </c>
      <c r="K10" s="49" t="s">
        <v>6029</v>
      </c>
      <c r="O10" s="3" t="s">
        <v>7010</v>
      </c>
      <c r="P10" s="3" t="s">
        <v>7010</v>
      </c>
      <c r="Q10" s="3" t="s">
        <v>7010</v>
      </c>
      <c r="R10" s="3" t="s">
        <v>7010</v>
      </c>
      <c r="S10" s="3" t="s">
        <v>7010</v>
      </c>
      <c r="T10" s="3" t="s">
        <v>7015</v>
      </c>
      <c r="U10" s="3" t="s">
        <v>7010</v>
      </c>
      <c r="V10" s="3" t="s">
        <v>7010</v>
      </c>
      <c r="W10" s="74" t="str">
        <f t="shared" si="1"/>
        <v>Yes</v>
      </c>
      <c r="Z10">
        <v>9</v>
      </c>
      <c r="AA10" s="55">
        <v>12345678</v>
      </c>
      <c r="AB10" t="s">
        <v>643</v>
      </c>
      <c r="AC10">
        <f t="shared" si="0"/>
        <v>8</v>
      </c>
      <c r="AD10" s="30" t="s">
        <v>2310</v>
      </c>
      <c r="AF10" t="s">
        <v>7420</v>
      </c>
      <c r="AH10" s="3" t="s">
        <v>7015</v>
      </c>
      <c r="AI10" s="3" t="s">
        <v>7010</v>
      </c>
      <c r="AJ10" s="3" t="s">
        <v>7010</v>
      </c>
      <c r="AK10" s="3" t="s">
        <v>7015</v>
      </c>
      <c r="AL10" s="3" t="s">
        <v>7010</v>
      </c>
      <c r="AM10" s="3" t="s">
        <v>7010</v>
      </c>
      <c r="AN10" s="3" t="s">
        <v>7010</v>
      </c>
      <c r="AO10" s="3" t="s">
        <v>7010</v>
      </c>
      <c r="AP10" s="74" t="s">
        <v>7015</v>
      </c>
      <c r="AU10">
        <v>9</v>
      </c>
      <c r="AV10" t="s">
        <v>2311</v>
      </c>
      <c r="AW10" t="s">
        <v>2279</v>
      </c>
      <c r="AX10">
        <f t="shared" si="2"/>
        <v>9</v>
      </c>
      <c r="AY10" s="30" t="s">
        <v>2312</v>
      </c>
      <c r="BC10" s="3" t="s">
        <v>7010</v>
      </c>
      <c r="BD10" s="3" t="s">
        <v>7010</v>
      </c>
      <c r="BE10" s="3" t="s">
        <v>7010</v>
      </c>
      <c r="BF10" s="3" t="s">
        <v>7010</v>
      </c>
      <c r="BG10" s="3" t="s">
        <v>7010</v>
      </c>
      <c r="BH10" s="3" t="s">
        <v>7010</v>
      </c>
      <c r="BI10" s="3" t="s">
        <v>7010</v>
      </c>
      <c r="BJ10" s="3" t="s">
        <v>7010</v>
      </c>
      <c r="BK10" s="74" t="str">
        <f t="shared" si="3"/>
        <v>No</v>
      </c>
    </row>
    <row r="11" spans="2:63">
      <c r="B11" s="64" t="s">
        <v>7400</v>
      </c>
      <c r="C11" s="64">
        <f>COUNTIF(V:V, "yes")</f>
        <v>30</v>
      </c>
      <c r="D11" s="64">
        <f>COUNTIF(V:V, "no")</f>
        <v>970</v>
      </c>
      <c r="F11" s="55"/>
      <c r="G11">
        <v>10</v>
      </c>
      <c r="H11" s="7" t="s">
        <v>2115</v>
      </c>
      <c r="I11" t="s">
        <v>29</v>
      </c>
      <c r="J11">
        <f>LEN(H11)</f>
        <v>13</v>
      </c>
      <c r="K11" s="49" t="s">
        <v>6613</v>
      </c>
      <c r="O11" s="3" t="s">
        <v>7010</v>
      </c>
      <c r="P11" s="3" t="s">
        <v>7010</v>
      </c>
      <c r="Q11" s="3" t="s">
        <v>7010</v>
      </c>
      <c r="R11" s="3" t="s">
        <v>7010</v>
      </c>
      <c r="S11" s="3" t="s">
        <v>7010</v>
      </c>
      <c r="T11" s="3" t="s">
        <v>7015</v>
      </c>
      <c r="U11" s="3" t="s">
        <v>7010</v>
      </c>
      <c r="V11" s="3" t="s">
        <v>7010</v>
      </c>
      <c r="W11" s="74" t="str">
        <f t="shared" si="1"/>
        <v>Yes</v>
      </c>
      <c r="Z11">
        <v>10</v>
      </c>
      <c r="AA11" s="55" t="s">
        <v>644</v>
      </c>
      <c r="AB11" t="s">
        <v>643</v>
      </c>
      <c r="AC11">
        <f t="shared" si="0"/>
        <v>6</v>
      </c>
      <c r="AD11" s="30" t="s">
        <v>2314</v>
      </c>
      <c r="AF11" t="s">
        <v>7421</v>
      </c>
      <c r="AH11" s="3" t="s">
        <v>7015</v>
      </c>
      <c r="AI11" s="3" t="s">
        <v>7010</v>
      </c>
      <c r="AJ11" s="3" t="s">
        <v>7010</v>
      </c>
      <c r="AK11" s="3" t="s">
        <v>7015</v>
      </c>
      <c r="AL11" s="3" t="s">
        <v>7010</v>
      </c>
      <c r="AM11" s="3" t="s">
        <v>7010</v>
      </c>
      <c r="AN11" s="3" t="s">
        <v>7010</v>
      </c>
      <c r="AO11" s="3" t="s">
        <v>7010</v>
      </c>
      <c r="AP11" s="74" t="s">
        <v>7015</v>
      </c>
      <c r="AU11">
        <v>10</v>
      </c>
      <c r="AV11" t="s">
        <v>2315</v>
      </c>
      <c r="AW11" t="s">
        <v>2279</v>
      </c>
      <c r="AX11">
        <f t="shared" si="2"/>
        <v>8</v>
      </c>
      <c r="AY11" s="30" t="s">
        <v>2316</v>
      </c>
      <c r="BC11" s="3" t="s">
        <v>7010</v>
      </c>
      <c r="BD11" s="3" t="s">
        <v>7010</v>
      </c>
      <c r="BE11" s="3" t="s">
        <v>7010</v>
      </c>
      <c r="BF11" s="3" t="s">
        <v>7010</v>
      </c>
      <c r="BG11" s="3" t="s">
        <v>7010</v>
      </c>
      <c r="BH11" s="3" t="s">
        <v>7010</v>
      </c>
      <c r="BI11" s="3" t="s">
        <v>7010</v>
      </c>
      <c r="BJ11" s="3" t="s">
        <v>7010</v>
      </c>
      <c r="BK11" s="74" t="str">
        <f t="shared" si="3"/>
        <v>No</v>
      </c>
    </row>
    <row r="12" spans="2:63">
      <c r="B12" s="70" t="s">
        <v>7422</v>
      </c>
      <c r="C12" s="70">
        <f>COUNTIF(W:W, "yes")</f>
        <v>398</v>
      </c>
      <c r="D12" s="70">
        <f>COUNTIF(W:W, "no")</f>
        <v>602</v>
      </c>
      <c r="F12" s="55"/>
      <c r="G12">
        <v>11</v>
      </c>
      <c r="H12" s="7" t="s">
        <v>1734</v>
      </c>
      <c r="I12" t="s">
        <v>29</v>
      </c>
      <c r="J12">
        <f>LEN(H12)</f>
        <v>14</v>
      </c>
      <c r="K12" s="49" t="s">
        <v>5564</v>
      </c>
      <c r="O12" s="3" t="s">
        <v>7010</v>
      </c>
      <c r="P12" s="3" t="s">
        <v>7010</v>
      </c>
      <c r="Q12" s="3" t="s">
        <v>7010</v>
      </c>
      <c r="R12" s="3" t="s">
        <v>7010</v>
      </c>
      <c r="S12" s="3" t="s">
        <v>7010</v>
      </c>
      <c r="T12" s="3" t="s">
        <v>7010</v>
      </c>
      <c r="U12" s="3" t="s">
        <v>7010</v>
      </c>
      <c r="V12" s="3" t="s">
        <v>7010</v>
      </c>
      <c r="W12" s="74" t="str">
        <f t="shared" si="1"/>
        <v>No</v>
      </c>
      <c r="Z12">
        <v>11</v>
      </c>
      <c r="AA12" s="55" t="s">
        <v>645</v>
      </c>
      <c r="AB12" t="s">
        <v>643</v>
      </c>
      <c r="AC12">
        <f t="shared" si="0"/>
        <v>6</v>
      </c>
      <c r="AD12" s="30" t="s">
        <v>2318</v>
      </c>
      <c r="AF12" t="s">
        <v>7423</v>
      </c>
      <c r="AH12" s="3" t="s">
        <v>7015</v>
      </c>
      <c r="AI12" s="3" t="s">
        <v>7010</v>
      </c>
      <c r="AJ12" s="3" t="s">
        <v>7010</v>
      </c>
      <c r="AK12" s="3" t="s">
        <v>7015</v>
      </c>
      <c r="AL12" s="3" t="s">
        <v>7010</v>
      </c>
      <c r="AM12" s="3" t="s">
        <v>7010</v>
      </c>
      <c r="AN12" s="3" t="s">
        <v>7010</v>
      </c>
      <c r="AO12" s="3" t="s">
        <v>7010</v>
      </c>
      <c r="AP12" s="74" t="s">
        <v>7015</v>
      </c>
      <c r="AU12">
        <v>11</v>
      </c>
      <c r="AV12" t="s">
        <v>2319</v>
      </c>
      <c r="AW12" t="s">
        <v>2279</v>
      </c>
      <c r="AX12">
        <f t="shared" si="2"/>
        <v>8</v>
      </c>
      <c r="AY12" s="30" t="s">
        <v>2320</v>
      </c>
      <c r="BC12" s="3" t="s">
        <v>7010</v>
      </c>
      <c r="BD12" s="3" t="s">
        <v>7010</v>
      </c>
      <c r="BE12" s="3" t="s">
        <v>7010</v>
      </c>
      <c r="BF12" s="3" t="s">
        <v>7010</v>
      </c>
      <c r="BG12" s="3" t="s">
        <v>7010</v>
      </c>
      <c r="BH12" s="3" t="s">
        <v>7010</v>
      </c>
      <c r="BI12" s="3" t="s">
        <v>7010</v>
      </c>
      <c r="BJ12" s="3" t="s">
        <v>7010</v>
      </c>
      <c r="BK12" s="74" t="str">
        <f t="shared" si="3"/>
        <v>No</v>
      </c>
    </row>
    <row r="13" spans="2:63">
      <c r="F13" s="55"/>
      <c r="G13">
        <v>12</v>
      </c>
      <c r="H13" s="7" t="s">
        <v>1824</v>
      </c>
      <c r="I13" t="s">
        <v>29</v>
      </c>
      <c r="J13">
        <f>LEN(H13)</f>
        <v>13</v>
      </c>
      <c r="K13" s="49" t="s">
        <v>5808</v>
      </c>
      <c r="O13" s="3" t="s">
        <v>7010</v>
      </c>
      <c r="P13" s="3" t="s">
        <v>7010</v>
      </c>
      <c r="Q13" s="3" t="s">
        <v>7010</v>
      </c>
      <c r="R13" s="3" t="s">
        <v>7010</v>
      </c>
      <c r="S13" s="3" t="s">
        <v>7010</v>
      </c>
      <c r="T13" s="3" t="s">
        <v>7010</v>
      </c>
      <c r="U13" s="3" t="s">
        <v>7010</v>
      </c>
      <c r="V13" s="3" t="s">
        <v>7010</v>
      </c>
      <c r="W13" s="74" t="str">
        <f t="shared" si="1"/>
        <v>No</v>
      </c>
      <c r="Z13">
        <v>12</v>
      </c>
      <c r="AA13" s="55" t="s">
        <v>646</v>
      </c>
      <c r="AB13" t="s">
        <v>643</v>
      </c>
      <c r="AC13">
        <f t="shared" si="0"/>
        <v>6</v>
      </c>
      <c r="AD13" s="30" t="s">
        <v>2322</v>
      </c>
      <c r="AF13" t="s">
        <v>7424</v>
      </c>
      <c r="AH13" s="3" t="s">
        <v>7015</v>
      </c>
      <c r="AI13" s="3" t="s">
        <v>7010</v>
      </c>
      <c r="AJ13" s="3" t="s">
        <v>7010</v>
      </c>
      <c r="AK13" s="3" t="s">
        <v>7015</v>
      </c>
      <c r="AL13" s="3" t="s">
        <v>7010</v>
      </c>
      <c r="AM13" s="3" t="s">
        <v>7010</v>
      </c>
      <c r="AN13" s="3" t="s">
        <v>7010</v>
      </c>
      <c r="AO13" s="3" t="s">
        <v>7010</v>
      </c>
      <c r="AP13" s="74" t="s">
        <v>7015</v>
      </c>
      <c r="AU13">
        <v>12</v>
      </c>
      <c r="AV13" t="s">
        <v>2323</v>
      </c>
      <c r="AW13" t="s">
        <v>2279</v>
      </c>
      <c r="AX13">
        <f t="shared" si="2"/>
        <v>11</v>
      </c>
      <c r="AY13" s="30" t="s">
        <v>2324</v>
      </c>
      <c r="BC13" s="3" t="s">
        <v>7010</v>
      </c>
      <c r="BD13" s="3" t="s">
        <v>7010</v>
      </c>
      <c r="BE13" s="3" t="s">
        <v>7010</v>
      </c>
      <c r="BF13" s="3" t="s">
        <v>7010</v>
      </c>
      <c r="BG13" s="3" t="s">
        <v>7010</v>
      </c>
      <c r="BH13" s="3" t="s">
        <v>7010</v>
      </c>
      <c r="BI13" s="3" t="s">
        <v>7010</v>
      </c>
      <c r="BJ13" s="3" t="s">
        <v>7010</v>
      </c>
      <c r="BK13" s="74" t="str">
        <f t="shared" si="3"/>
        <v>No</v>
      </c>
    </row>
    <row r="14" spans="2:63">
      <c r="F14" s="55"/>
      <c r="G14">
        <v>13</v>
      </c>
      <c r="H14" s="7" t="s">
        <v>990</v>
      </c>
      <c r="I14" t="s">
        <v>29</v>
      </c>
      <c r="J14">
        <f>LEN(H14)</f>
        <v>9</v>
      </c>
      <c r="K14" s="49" t="s">
        <v>3669</v>
      </c>
      <c r="O14" s="3" t="s">
        <v>7010</v>
      </c>
      <c r="P14" s="3" t="s">
        <v>7010</v>
      </c>
      <c r="Q14" s="3" t="s">
        <v>7010</v>
      </c>
      <c r="R14" s="3" t="s">
        <v>7010</v>
      </c>
      <c r="S14" s="3" t="s">
        <v>7010</v>
      </c>
      <c r="T14" s="3" t="s">
        <v>7010</v>
      </c>
      <c r="U14" s="3" t="s">
        <v>7010</v>
      </c>
      <c r="V14" s="3" t="s">
        <v>7010</v>
      </c>
      <c r="W14" s="74" t="str">
        <f t="shared" si="1"/>
        <v>No</v>
      </c>
      <c r="Z14">
        <v>13</v>
      </c>
      <c r="AA14" s="55" t="s">
        <v>647</v>
      </c>
      <c r="AB14" t="s">
        <v>643</v>
      </c>
      <c r="AC14">
        <f t="shared" si="0"/>
        <v>8</v>
      </c>
      <c r="AD14" s="30" t="s">
        <v>2326</v>
      </c>
      <c r="AF14" t="s">
        <v>7425</v>
      </c>
      <c r="AH14" s="3" t="s">
        <v>7015</v>
      </c>
      <c r="AI14" s="3" t="s">
        <v>7010</v>
      </c>
      <c r="AJ14" s="3" t="s">
        <v>7010</v>
      </c>
      <c r="AK14" s="3" t="s">
        <v>7015</v>
      </c>
      <c r="AL14" s="3" t="s">
        <v>7010</v>
      </c>
      <c r="AM14" s="3" t="s">
        <v>7010</v>
      </c>
      <c r="AN14" s="3" t="s">
        <v>7010</v>
      </c>
      <c r="AO14" s="3" t="s">
        <v>7010</v>
      </c>
      <c r="AP14" s="74" t="s">
        <v>7015</v>
      </c>
      <c r="AU14">
        <v>13</v>
      </c>
      <c r="AV14" t="s">
        <v>2327</v>
      </c>
      <c r="AW14" t="s">
        <v>2279</v>
      </c>
      <c r="AX14">
        <f t="shared" si="2"/>
        <v>9</v>
      </c>
      <c r="AY14" s="30" t="s">
        <v>2328</v>
      </c>
      <c r="BC14" s="3" t="s">
        <v>7010</v>
      </c>
      <c r="BD14" s="3" t="s">
        <v>7010</v>
      </c>
      <c r="BE14" s="3" t="s">
        <v>7015</v>
      </c>
      <c r="BF14" s="3" t="s">
        <v>7010</v>
      </c>
      <c r="BG14" s="3" t="s">
        <v>7010</v>
      </c>
      <c r="BH14" s="3" t="s">
        <v>7010</v>
      </c>
      <c r="BI14" s="3" t="s">
        <v>7010</v>
      </c>
      <c r="BJ14" s="3" t="s">
        <v>7010</v>
      </c>
      <c r="BK14" s="74" t="str">
        <f t="shared" si="3"/>
        <v>Yes</v>
      </c>
    </row>
    <row r="15" spans="2:63">
      <c r="B15" s="66" t="s">
        <v>7426</v>
      </c>
      <c r="C15" s="67" t="s">
        <v>7404</v>
      </c>
      <c r="D15" s="67" t="s">
        <v>7405</v>
      </c>
      <c r="F15" s="55"/>
      <c r="G15">
        <v>14</v>
      </c>
      <c r="H15" s="7" t="s">
        <v>1850</v>
      </c>
      <c r="I15" t="s">
        <v>29</v>
      </c>
      <c r="J15">
        <f>LEN(H15)</f>
        <v>11</v>
      </c>
      <c r="K15" s="49" t="s">
        <v>5931</v>
      </c>
      <c r="O15" s="3" t="s">
        <v>7010</v>
      </c>
      <c r="P15" s="3" t="s">
        <v>7010</v>
      </c>
      <c r="Q15" s="3" t="s">
        <v>7010</v>
      </c>
      <c r="R15" s="3" t="s">
        <v>7010</v>
      </c>
      <c r="S15" s="3" t="s">
        <v>7010</v>
      </c>
      <c r="T15" s="3" t="s">
        <v>7015</v>
      </c>
      <c r="U15" s="3" t="s">
        <v>7010</v>
      </c>
      <c r="V15" s="3" t="s">
        <v>7010</v>
      </c>
      <c r="W15" s="74" t="str">
        <f t="shared" si="1"/>
        <v>Yes</v>
      </c>
      <c r="Z15">
        <v>14</v>
      </c>
      <c r="AA15" s="55" t="s">
        <v>648</v>
      </c>
      <c r="AB15" t="s">
        <v>643</v>
      </c>
      <c r="AC15">
        <f t="shared" si="0"/>
        <v>6</v>
      </c>
      <c r="AD15" s="30" t="s">
        <v>2330</v>
      </c>
      <c r="AF15" t="s">
        <v>7427</v>
      </c>
      <c r="AH15" s="3" t="s">
        <v>7015</v>
      </c>
      <c r="AI15" s="3" t="s">
        <v>7010</v>
      </c>
      <c r="AJ15" s="3" t="s">
        <v>7010</v>
      </c>
      <c r="AK15" s="3" t="s">
        <v>7015</v>
      </c>
      <c r="AL15" s="3" t="s">
        <v>7010</v>
      </c>
      <c r="AM15" s="3" t="s">
        <v>7010</v>
      </c>
      <c r="AN15" s="3" t="s">
        <v>7010</v>
      </c>
      <c r="AO15" s="3" t="s">
        <v>7010</v>
      </c>
      <c r="AP15" s="74" t="s">
        <v>7015</v>
      </c>
      <c r="AU15">
        <v>14</v>
      </c>
      <c r="AV15" t="s">
        <v>2331</v>
      </c>
      <c r="AW15" t="s">
        <v>2279</v>
      </c>
      <c r="AX15">
        <f t="shared" si="2"/>
        <v>8</v>
      </c>
      <c r="AY15" s="30" t="s">
        <v>2332</v>
      </c>
      <c r="BC15" s="3" t="s">
        <v>7010</v>
      </c>
      <c r="BD15" s="3" t="s">
        <v>7010</v>
      </c>
      <c r="BE15" s="3" t="s">
        <v>7010</v>
      </c>
      <c r="BF15" s="3" t="s">
        <v>7010</v>
      </c>
      <c r="BG15" s="3" t="s">
        <v>7010</v>
      </c>
      <c r="BH15" s="3" t="s">
        <v>7010</v>
      </c>
      <c r="BI15" s="3" t="s">
        <v>7010</v>
      </c>
      <c r="BJ15" s="3" t="s">
        <v>7010</v>
      </c>
      <c r="BK15" s="74" t="str">
        <f t="shared" si="3"/>
        <v>No</v>
      </c>
    </row>
    <row r="16" spans="2:63">
      <c r="B16" s="67" t="s">
        <v>7409</v>
      </c>
      <c r="C16" s="67">
        <v>677</v>
      </c>
      <c r="D16" s="67">
        <f>1000-677</f>
        <v>323</v>
      </c>
      <c r="F16" s="55"/>
      <c r="G16">
        <v>15</v>
      </c>
      <c r="H16" s="7" t="s">
        <v>920</v>
      </c>
      <c r="I16" t="s">
        <v>29</v>
      </c>
      <c r="J16">
        <f>LEN(H16)</f>
        <v>16</v>
      </c>
      <c r="K16" s="49" t="s">
        <v>3496</v>
      </c>
      <c r="O16" s="3" t="s">
        <v>7010</v>
      </c>
      <c r="P16" s="3" t="s">
        <v>7010</v>
      </c>
      <c r="Q16" s="3" t="s">
        <v>7010</v>
      </c>
      <c r="R16" s="3" t="s">
        <v>7010</v>
      </c>
      <c r="S16" s="3" t="s">
        <v>7010</v>
      </c>
      <c r="T16" s="3" t="s">
        <v>7010</v>
      </c>
      <c r="U16" s="3" t="s">
        <v>7010</v>
      </c>
      <c r="V16" s="3" t="s">
        <v>7010</v>
      </c>
      <c r="W16" s="74" t="str">
        <f t="shared" si="1"/>
        <v>No</v>
      </c>
      <c r="Z16">
        <v>15</v>
      </c>
      <c r="AA16" s="55" t="s">
        <v>649</v>
      </c>
      <c r="AB16" t="s">
        <v>643</v>
      </c>
      <c r="AC16">
        <f t="shared" si="0"/>
        <v>6</v>
      </c>
      <c r="AD16" s="30" t="s">
        <v>2334</v>
      </c>
      <c r="AF16" t="s">
        <v>7428</v>
      </c>
      <c r="AH16" s="3" t="s">
        <v>7015</v>
      </c>
      <c r="AI16" s="3" t="s">
        <v>7010</v>
      </c>
      <c r="AJ16" s="3" t="s">
        <v>7010</v>
      </c>
      <c r="AK16" s="3" t="s">
        <v>7015</v>
      </c>
      <c r="AL16" s="3" t="s">
        <v>7010</v>
      </c>
      <c r="AM16" s="3" t="s">
        <v>7010</v>
      </c>
      <c r="AN16" s="3" t="s">
        <v>7010</v>
      </c>
      <c r="AO16" s="3" t="s">
        <v>7010</v>
      </c>
      <c r="AP16" s="74" t="s">
        <v>7015</v>
      </c>
      <c r="AU16">
        <v>15</v>
      </c>
      <c r="AV16" t="s">
        <v>2335</v>
      </c>
      <c r="AW16" t="s">
        <v>2279</v>
      </c>
      <c r="AX16">
        <f t="shared" si="2"/>
        <v>9</v>
      </c>
      <c r="AY16" s="30" t="s">
        <v>2336</v>
      </c>
      <c r="BC16" s="3" t="s">
        <v>7015</v>
      </c>
      <c r="BD16" s="3" t="s">
        <v>7010</v>
      </c>
      <c r="BE16" s="3" t="s">
        <v>7015</v>
      </c>
      <c r="BF16" s="3" t="s">
        <v>7010</v>
      </c>
      <c r="BG16" s="3" t="s">
        <v>7010</v>
      </c>
      <c r="BH16" s="3" t="s">
        <v>7010</v>
      </c>
      <c r="BI16" s="3" t="s">
        <v>7010</v>
      </c>
      <c r="BJ16" s="3" t="s">
        <v>7010</v>
      </c>
      <c r="BK16" s="74" t="str">
        <f t="shared" si="3"/>
        <v>Yes</v>
      </c>
    </row>
    <row r="17" spans="2:63">
      <c r="B17" s="67" t="s">
        <v>7394</v>
      </c>
      <c r="C17" s="67">
        <f>COUNTIF(AH:AH, "yes")</f>
        <v>1000</v>
      </c>
      <c r="D17" s="67">
        <f>COUNTIF(AH:AH, "no")</f>
        <v>0</v>
      </c>
      <c r="F17" s="55"/>
      <c r="G17">
        <v>16</v>
      </c>
      <c r="H17" s="7" t="s">
        <v>1000</v>
      </c>
      <c r="I17" t="s">
        <v>29</v>
      </c>
      <c r="J17">
        <f>LEN(H17)</f>
        <v>10</v>
      </c>
      <c r="K17" s="49" t="s">
        <v>3694</v>
      </c>
      <c r="O17" s="3" t="s">
        <v>7010</v>
      </c>
      <c r="P17" s="3" t="s">
        <v>7010</v>
      </c>
      <c r="Q17" s="3" t="s">
        <v>7010</v>
      </c>
      <c r="R17" s="3" t="s">
        <v>7010</v>
      </c>
      <c r="S17" s="3" t="s">
        <v>7010</v>
      </c>
      <c r="T17" s="3" t="s">
        <v>7010</v>
      </c>
      <c r="U17" s="3" t="s">
        <v>7010</v>
      </c>
      <c r="V17" s="3" t="s">
        <v>7010</v>
      </c>
      <c r="W17" s="74" t="str">
        <f t="shared" si="1"/>
        <v>No</v>
      </c>
      <c r="Z17">
        <v>16</v>
      </c>
      <c r="AA17" s="55" t="s">
        <v>650</v>
      </c>
      <c r="AB17" t="s">
        <v>643</v>
      </c>
      <c r="AC17">
        <f t="shared" si="0"/>
        <v>7</v>
      </c>
      <c r="AD17" s="30" t="s">
        <v>2338</v>
      </c>
      <c r="AF17" t="s">
        <v>7429</v>
      </c>
      <c r="AH17" s="3" t="s">
        <v>7015</v>
      </c>
      <c r="AI17" s="3" t="s">
        <v>7010</v>
      </c>
      <c r="AJ17" s="3" t="s">
        <v>7010</v>
      </c>
      <c r="AK17" s="3" t="s">
        <v>7015</v>
      </c>
      <c r="AL17" s="3" t="s">
        <v>7010</v>
      </c>
      <c r="AM17" s="3" t="s">
        <v>7010</v>
      </c>
      <c r="AN17" s="3" t="s">
        <v>7010</v>
      </c>
      <c r="AO17" s="3" t="s">
        <v>7010</v>
      </c>
      <c r="AP17" s="74" t="s">
        <v>7015</v>
      </c>
      <c r="AU17">
        <v>16</v>
      </c>
      <c r="AV17" t="s">
        <v>2339</v>
      </c>
      <c r="AW17" t="s">
        <v>2279</v>
      </c>
      <c r="AX17">
        <f t="shared" si="2"/>
        <v>9</v>
      </c>
      <c r="AY17" s="30" t="s">
        <v>2340</v>
      </c>
      <c r="BC17" s="3" t="s">
        <v>7010</v>
      </c>
      <c r="BD17" s="3" t="s">
        <v>7010</v>
      </c>
      <c r="BE17" s="3" t="s">
        <v>7010</v>
      </c>
      <c r="BF17" s="3" t="s">
        <v>7010</v>
      </c>
      <c r="BG17" s="3" t="s">
        <v>7010</v>
      </c>
      <c r="BH17" s="3" t="s">
        <v>7010</v>
      </c>
      <c r="BI17" s="3" t="s">
        <v>7010</v>
      </c>
      <c r="BJ17" s="3" t="s">
        <v>7010</v>
      </c>
      <c r="BK17" s="74" t="str">
        <f t="shared" si="3"/>
        <v>No</v>
      </c>
    </row>
    <row r="18" spans="2:63">
      <c r="B18" s="67" t="s">
        <v>7395</v>
      </c>
      <c r="C18" s="67">
        <v>0</v>
      </c>
      <c r="D18" s="67">
        <v>1000</v>
      </c>
      <c r="F18" s="55"/>
      <c r="G18">
        <v>17</v>
      </c>
      <c r="H18" s="7" t="s">
        <v>1176</v>
      </c>
      <c r="I18" t="s">
        <v>29</v>
      </c>
      <c r="J18">
        <f>LEN(H18)</f>
        <v>11</v>
      </c>
      <c r="K18" s="49" t="s">
        <v>4152</v>
      </c>
      <c r="O18" s="3" t="s">
        <v>7010</v>
      </c>
      <c r="P18" s="3" t="s">
        <v>7010</v>
      </c>
      <c r="Q18" s="3" t="s">
        <v>7010</v>
      </c>
      <c r="R18" s="3" t="s">
        <v>7010</v>
      </c>
      <c r="S18" s="3" t="s">
        <v>7010</v>
      </c>
      <c r="T18" s="3" t="s">
        <v>7010</v>
      </c>
      <c r="U18" s="3" t="s">
        <v>7010</v>
      </c>
      <c r="V18" s="3" t="s">
        <v>7010</v>
      </c>
      <c r="W18" s="74" t="str">
        <f t="shared" si="1"/>
        <v>No</v>
      </c>
      <c r="Z18">
        <v>17</v>
      </c>
      <c r="AA18" s="55">
        <v>654321</v>
      </c>
      <c r="AB18" t="s">
        <v>643</v>
      </c>
      <c r="AC18">
        <f t="shared" si="0"/>
        <v>6</v>
      </c>
      <c r="AD18" s="30" t="s">
        <v>2342</v>
      </c>
      <c r="AF18" t="s">
        <v>7430</v>
      </c>
      <c r="AH18" s="3" t="s">
        <v>7015</v>
      </c>
      <c r="AI18" s="3" t="s">
        <v>7010</v>
      </c>
      <c r="AJ18" s="3" t="s">
        <v>7010</v>
      </c>
      <c r="AK18" s="3" t="s">
        <v>7015</v>
      </c>
      <c r="AL18" s="3" t="s">
        <v>7010</v>
      </c>
      <c r="AM18" s="3" t="s">
        <v>7010</v>
      </c>
      <c r="AN18" s="3" t="s">
        <v>7010</v>
      </c>
      <c r="AO18" s="3" t="s">
        <v>7010</v>
      </c>
      <c r="AP18" s="74" t="s">
        <v>7015</v>
      </c>
      <c r="AU18">
        <v>17</v>
      </c>
      <c r="AV18" t="s">
        <v>2343</v>
      </c>
      <c r="AW18" t="s">
        <v>2279</v>
      </c>
      <c r="AX18">
        <f t="shared" si="2"/>
        <v>11</v>
      </c>
      <c r="AY18" s="30" t="s">
        <v>2344</v>
      </c>
      <c r="BC18" s="3" t="s">
        <v>7010</v>
      </c>
      <c r="BD18" s="3" t="s">
        <v>7010</v>
      </c>
      <c r="BE18" s="3" t="s">
        <v>7015</v>
      </c>
      <c r="BF18" s="3" t="s">
        <v>7010</v>
      </c>
      <c r="BG18" s="3" t="s">
        <v>7010</v>
      </c>
      <c r="BH18" s="3" t="s">
        <v>7010</v>
      </c>
      <c r="BI18" s="3" t="s">
        <v>7010</v>
      </c>
      <c r="BJ18" s="3" t="s">
        <v>7010</v>
      </c>
      <c r="BK18" s="74" t="str">
        <f t="shared" si="3"/>
        <v>Yes</v>
      </c>
    </row>
    <row r="19" spans="2:63">
      <c r="B19" s="67" t="s">
        <v>7396</v>
      </c>
      <c r="C19" s="67">
        <f>COUNTIF(AH:AH, "yes")</f>
        <v>1000</v>
      </c>
      <c r="D19" s="67">
        <f>COUNTIF(AH:AH, "no")</f>
        <v>0</v>
      </c>
      <c r="F19" s="55"/>
      <c r="G19">
        <v>18</v>
      </c>
      <c r="H19" s="7" t="s">
        <v>968</v>
      </c>
      <c r="I19" t="s">
        <v>29</v>
      </c>
      <c r="J19">
        <f>LEN(H19)</f>
        <v>10</v>
      </c>
      <c r="K19" s="51" t="s">
        <v>3615</v>
      </c>
      <c r="O19" s="3" t="s">
        <v>7010</v>
      </c>
      <c r="P19" s="3" t="s">
        <v>7010</v>
      </c>
      <c r="Q19" s="3" t="s">
        <v>7010</v>
      </c>
      <c r="R19" s="3" t="s">
        <v>7010</v>
      </c>
      <c r="S19" s="3" t="s">
        <v>7010</v>
      </c>
      <c r="T19" s="3" t="s">
        <v>7010</v>
      </c>
      <c r="U19" s="3" t="s">
        <v>7010</v>
      </c>
      <c r="V19" s="3" t="s">
        <v>7010</v>
      </c>
      <c r="W19" s="74" t="str">
        <f t="shared" si="1"/>
        <v>No</v>
      </c>
      <c r="Z19">
        <v>18</v>
      </c>
      <c r="AA19" s="55" t="s">
        <v>651</v>
      </c>
      <c r="AB19" t="s">
        <v>643</v>
      </c>
      <c r="AC19">
        <f t="shared" si="0"/>
        <v>7</v>
      </c>
      <c r="AD19" s="30" t="s">
        <v>2346</v>
      </c>
      <c r="AF19" t="s">
        <v>7431</v>
      </c>
      <c r="AH19" s="3" t="s">
        <v>7015</v>
      </c>
      <c r="AI19" s="3" t="s">
        <v>7010</v>
      </c>
      <c r="AJ19" s="3" t="s">
        <v>7010</v>
      </c>
      <c r="AK19" s="3" t="s">
        <v>7015</v>
      </c>
      <c r="AL19" s="3" t="s">
        <v>7010</v>
      </c>
      <c r="AM19" s="3" t="s">
        <v>7010</v>
      </c>
      <c r="AN19" s="3" t="s">
        <v>7010</v>
      </c>
      <c r="AO19" s="3" t="s">
        <v>7010</v>
      </c>
      <c r="AP19" s="74" t="s">
        <v>7015</v>
      </c>
      <c r="AU19">
        <v>18</v>
      </c>
      <c r="AV19" t="s">
        <v>2347</v>
      </c>
      <c r="AW19" t="s">
        <v>2279</v>
      </c>
      <c r="AX19">
        <f t="shared" si="2"/>
        <v>16</v>
      </c>
      <c r="AY19" s="30" t="s">
        <v>2348</v>
      </c>
      <c r="BC19" s="3" t="s">
        <v>7010</v>
      </c>
      <c r="BD19" s="3" t="s">
        <v>7010</v>
      </c>
      <c r="BE19" s="3" t="s">
        <v>7010</v>
      </c>
      <c r="BF19" s="3" t="s">
        <v>7010</v>
      </c>
      <c r="BG19" s="3" t="s">
        <v>7010</v>
      </c>
      <c r="BH19" s="3" t="s">
        <v>7010</v>
      </c>
      <c r="BI19" s="3" t="s">
        <v>7010</v>
      </c>
      <c r="BJ19" s="3" t="s">
        <v>7010</v>
      </c>
      <c r="BK19" s="74" t="str">
        <f t="shared" si="3"/>
        <v>No</v>
      </c>
    </row>
    <row r="20" spans="2:63">
      <c r="B20" s="67" t="s">
        <v>7397</v>
      </c>
      <c r="C20" s="67">
        <v>0</v>
      </c>
      <c r="D20" s="67">
        <v>1000</v>
      </c>
      <c r="F20" s="55"/>
      <c r="G20">
        <v>19</v>
      </c>
      <c r="H20" s="7" t="s">
        <v>1784</v>
      </c>
      <c r="I20" t="s">
        <v>29</v>
      </c>
      <c r="J20">
        <f>LEN(H20)</f>
        <v>12</v>
      </c>
      <c r="K20" s="49" t="s">
        <v>5697</v>
      </c>
      <c r="O20" s="3" t="s">
        <v>7010</v>
      </c>
      <c r="P20" s="3" t="s">
        <v>7010</v>
      </c>
      <c r="Q20" s="3" t="s">
        <v>7010</v>
      </c>
      <c r="R20" s="3" t="s">
        <v>7010</v>
      </c>
      <c r="S20" s="3" t="s">
        <v>7010</v>
      </c>
      <c r="T20" s="3" t="s">
        <v>7010</v>
      </c>
      <c r="U20" s="3" t="s">
        <v>7010</v>
      </c>
      <c r="V20" s="3" t="s">
        <v>7010</v>
      </c>
      <c r="W20" s="74" t="str">
        <f t="shared" si="1"/>
        <v>No</v>
      </c>
      <c r="Z20">
        <v>19</v>
      </c>
      <c r="AA20" s="55" t="s">
        <v>652</v>
      </c>
      <c r="AB20" t="s">
        <v>643</v>
      </c>
      <c r="AC20">
        <f t="shared" si="0"/>
        <v>6</v>
      </c>
      <c r="AD20" s="30" t="s">
        <v>2350</v>
      </c>
      <c r="AF20" t="s">
        <v>7432</v>
      </c>
      <c r="AH20" s="3" t="s">
        <v>7015</v>
      </c>
      <c r="AI20" s="3" t="s">
        <v>7010</v>
      </c>
      <c r="AJ20" s="3" t="s">
        <v>7010</v>
      </c>
      <c r="AK20" s="3" t="s">
        <v>7015</v>
      </c>
      <c r="AL20" s="3" t="s">
        <v>7010</v>
      </c>
      <c r="AM20" s="3" t="s">
        <v>7010</v>
      </c>
      <c r="AN20" s="3" t="s">
        <v>7010</v>
      </c>
      <c r="AO20" s="3" t="s">
        <v>7010</v>
      </c>
      <c r="AP20" s="74" t="s">
        <v>7015</v>
      </c>
      <c r="AU20">
        <v>19</v>
      </c>
      <c r="AV20" t="s">
        <v>2351</v>
      </c>
      <c r="AW20" t="s">
        <v>2279</v>
      </c>
      <c r="AX20">
        <f t="shared" si="2"/>
        <v>8</v>
      </c>
      <c r="AY20" s="30" t="s">
        <v>2352</v>
      </c>
      <c r="BC20" s="3" t="s">
        <v>7010</v>
      </c>
      <c r="BD20" s="3" t="s">
        <v>7010</v>
      </c>
      <c r="BE20" s="3" t="s">
        <v>7010</v>
      </c>
      <c r="BF20" s="3" t="s">
        <v>7010</v>
      </c>
      <c r="BG20" s="3" t="s">
        <v>7010</v>
      </c>
      <c r="BH20" s="3" t="s">
        <v>7010</v>
      </c>
      <c r="BI20" s="3" t="s">
        <v>7010</v>
      </c>
      <c r="BJ20" s="3" t="s">
        <v>7010</v>
      </c>
      <c r="BK20" s="74" t="str">
        <f t="shared" si="3"/>
        <v>No</v>
      </c>
    </row>
    <row r="21" spans="2:63">
      <c r="B21" s="67" t="s">
        <v>7417</v>
      </c>
      <c r="C21" s="67">
        <v>0</v>
      </c>
      <c r="D21" s="67">
        <v>1000</v>
      </c>
      <c r="F21" s="55"/>
      <c r="G21">
        <v>20</v>
      </c>
      <c r="H21" s="7" t="s">
        <v>956</v>
      </c>
      <c r="I21" t="s">
        <v>29</v>
      </c>
      <c r="J21">
        <f>LEN(H21)</f>
        <v>11</v>
      </c>
      <c r="K21" s="51" t="s">
        <v>3585</v>
      </c>
      <c r="O21" s="3" t="s">
        <v>7010</v>
      </c>
      <c r="P21" s="3" t="s">
        <v>7010</v>
      </c>
      <c r="Q21" s="3" t="s">
        <v>7010</v>
      </c>
      <c r="R21" s="3" t="s">
        <v>7010</v>
      </c>
      <c r="S21" s="3" t="s">
        <v>7010</v>
      </c>
      <c r="T21" s="3" t="s">
        <v>7010</v>
      </c>
      <c r="U21" s="3" t="s">
        <v>7010</v>
      </c>
      <c r="V21" s="3" t="s">
        <v>7010</v>
      </c>
      <c r="W21" s="74" t="str">
        <f t="shared" si="1"/>
        <v>No</v>
      </c>
      <c r="Z21">
        <v>20</v>
      </c>
      <c r="AA21" s="55" t="s">
        <v>653</v>
      </c>
      <c r="AB21" t="s">
        <v>643</v>
      </c>
      <c r="AC21">
        <f t="shared" si="0"/>
        <v>6</v>
      </c>
      <c r="AD21" s="30" t="s">
        <v>2354</v>
      </c>
      <c r="AF21" t="s">
        <v>7433</v>
      </c>
      <c r="AH21" s="3" t="s">
        <v>7015</v>
      </c>
      <c r="AI21" s="3" t="s">
        <v>7010</v>
      </c>
      <c r="AJ21" s="3" t="s">
        <v>7010</v>
      </c>
      <c r="AK21" s="3" t="s">
        <v>7015</v>
      </c>
      <c r="AL21" s="3" t="s">
        <v>7010</v>
      </c>
      <c r="AM21" s="3" t="s">
        <v>7010</v>
      </c>
      <c r="AN21" s="3" t="s">
        <v>7010</v>
      </c>
      <c r="AO21" s="3" t="s">
        <v>7010</v>
      </c>
      <c r="AP21" s="74" t="s">
        <v>7015</v>
      </c>
      <c r="AU21">
        <v>20</v>
      </c>
      <c r="AV21" t="s">
        <v>2355</v>
      </c>
      <c r="AW21" t="s">
        <v>2279</v>
      </c>
      <c r="AX21">
        <f t="shared" si="2"/>
        <v>10</v>
      </c>
      <c r="AY21" s="30" t="s">
        <v>2356</v>
      </c>
      <c r="BC21" s="3" t="s">
        <v>7010</v>
      </c>
      <c r="BD21" s="3" t="s">
        <v>7010</v>
      </c>
      <c r="BE21" s="3" t="s">
        <v>7010</v>
      </c>
      <c r="BF21" s="3" t="s">
        <v>7010</v>
      </c>
      <c r="BG21" s="3" t="s">
        <v>7010</v>
      </c>
      <c r="BH21" s="3" t="s">
        <v>7010</v>
      </c>
      <c r="BI21" s="3" t="s">
        <v>7010</v>
      </c>
      <c r="BJ21" s="3" t="s">
        <v>7010</v>
      </c>
      <c r="BK21" s="74" t="str">
        <f t="shared" si="3"/>
        <v>No</v>
      </c>
    </row>
    <row r="22" spans="2:63">
      <c r="B22" s="67" t="s">
        <v>7399</v>
      </c>
      <c r="C22" s="67">
        <v>0</v>
      </c>
      <c r="D22" s="67">
        <v>1000</v>
      </c>
      <c r="F22" s="55"/>
      <c r="G22">
        <v>21</v>
      </c>
      <c r="H22" s="7" t="s">
        <v>1194</v>
      </c>
      <c r="I22" t="s">
        <v>29</v>
      </c>
      <c r="J22">
        <f>LEN(H22)</f>
        <v>11</v>
      </c>
      <c r="K22" s="49" t="s">
        <v>4200</v>
      </c>
      <c r="O22" s="3" t="s">
        <v>7010</v>
      </c>
      <c r="P22" s="3" t="s">
        <v>7010</v>
      </c>
      <c r="Q22" s="3" t="s">
        <v>7010</v>
      </c>
      <c r="R22" s="3" t="s">
        <v>7010</v>
      </c>
      <c r="S22" s="3" t="s">
        <v>7010</v>
      </c>
      <c r="T22" s="3" t="s">
        <v>7015</v>
      </c>
      <c r="U22" s="3" t="s">
        <v>7010</v>
      </c>
      <c r="V22" s="3" t="s">
        <v>7010</v>
      </c>
      <c r="W22" s="74" t="str">
        <f t="shared" si="1"/>
        <v>Yes</v>
      </c>
      <c r="Z22">
        <v>21</v>
      </c>
      <c r="AA22" s="55">
        <v>111111</v>
      </c>
      <c r="AB22" t="s">
        <v>643</v>
      </c>
      <c r="AC22">
        <f t="shared" si="0"/>
        <v>6</v>
      </c>
      <c r="AD22" s="31" t="s">
        <v>2358</v>
      </c>
      <c r="AF22" t="s">
        <v>7434</v>
      </c>
      <c r="AH22" s="3" t="s">
        <v>7015</v>
      </c>
      <c r="AI22" s="3" t="s">
        <v>7010</v>
      </c>
      <c r="AJ22" s="3" t="s">
        <v>7010</v>
      </c>
      <c r="AK22" s="3" t="s">
        <v>7015</v>
      </c>
      <c r="AL22" s="3" t="s">
        <v>7010</v>
      </c>
      <c r="AM22" s="3" t="s">
        <v>7010</v>
      </c>
      <c r="AN22" s="3" t="s">
        <v>7010</v>
      </c>
      <c r="AO22" s="3" t="s">
        <v>7010</v>
      </c>
      <c r="AP22" s="74" t="s">
        <v>7015</v>
      </c>
      <c r="AU22">
        <v>21</v>
      </c>
      <c r="AV22" t="s">
        <v>2359</v>
      </c>
      <c r="AW22" t="s">
        <v>2279</v>
      </c>
      <c r="AX22">
        <f t="shared" si="2"/>
        <v>8</v>
      </c>
      <c r="AY22" s="30" t="s">
        <v>2360</v>
      </c>
      <c r="BC22" s="3" t="s">
        <v>7010</v>
      </c>
      <c r="BD22" s="3" t="s">
        <v>7010</v>
      </c>
      <c r="BE22" s="3" t="s">
        <v>7010</v>
      </c>
      <c r="BF22" s="3" t="s">
        <v>7010</v>
      </c>
      <c r="BG22" s="3" t="s">
        <v>7010</v>
      </c>
      <c r="BH22" s="3" t="s">
        <v>7010</v>
      </c>
      <c r="BI22" s="3" t="s">
        <v>7010</v>
      </c>
      <c r="BJ22" s="3" t="s">
        <v>7010</v>
      </c>
      <c r="BK22" s="74" t="str">
        <f t="shared" si="3"/>
        <v>No</v>
      </c>
    </row>
    <row r="23" spans="2:63">
      <c r="B23" s="67" t="s">
        <v>7401</v>
      </c>
      <c r="C23" s="67">
        <v>0</v>
      </c>
      <c r="D23" s="67">
        <v>1000</v>
      </c>
      <c r="F23" s="55"/>
      <c r="G23">
        <v>22</v>
      </c>
      <c r="H23" s="7" t="s">
        <v>1160</v>
      </c>
      <c r="I23" t="s">
        <v>29</v>
      </c>
      <c r="J23">
        <f>LEN(H23)</f>
        <v>10</v>
      </c>
      <c r="K23" s="49" t="s">
        <v>4109</v>
      </c>
      <c r="O23" s="3" t="s">
        <v>7010</v>
      </c>
      <c r="P23" s="3" t="s">
        <v>7010</v>
      </c>
      <c r="Q23" s="3" t="s">
        <v>7010</v>
      </c>
      <c r="R23" s="3" t="s">
        <v>7010</v>
      </c>
      <c r="S23" s="3" t="s">
        <v>7010</v>
      </c>
      <c r="T23" s="3" t="s">
        <v>7015</v>
      </c>
      <c r="U23" s="3" t="s">
        <v>7010</v>
      </c>
      <c r="V23" s="3" t="s">
        <v>7010</v>
      </c>
      <c r="W23" s="74" t="str">
        <f t="shared" si="1"/>
        <v>Yes</v>
      </c>
      <c r="Z23">
        <v>22</v>
      </c>
      <c r="AA23" s="55" t="s">
        <v>654</v>
      </c>
      <c r="AB23" t="s">
        <v>643</v>
      </c>
      <c r="AC23">
        <f t="shared" si="0"/>
        <v>6</v>
      </c>
      <c r="AD23" s="30" t="s">
        <v>2362</v>
      </c>
      <c r="AF23" t="s">
        <v>7435</v>
      </c>
      <c r="AH23" s="3" t="s">
        <v>7015</v>
      </c>
      <c r="AI23" s="3" t="s">
        <v>7010</v>
      </c>
      <c r="AJ23" s="3" t="s">
        <v>7010</v>
      </c>
      <c r="AK23" s="3" t="s">
        <v>7015</v>
      </c>
      <c r="AL23" s="3" t="s">
        <v>7010</v>
      </c>
      <c r="AM23" s="3" t="s">
        <v>7010</v>
      </c>
      <c r="AN23" s="3" t="s">
        <v>7010</v>
      </c>
      <c r="AO23" s="3" t="s">
        <v>7010</v>
      </c>
      <c r="AP23" s="74" t="s">
        <v>7015</v>
      </c>
      <c r="AU23">
        <v>22</v>
      </c>
      <c r="AV23" t="s">
        <v>2363</v>
      </c>
      <c r="AW23" t="s">
        <v>2279</v>
      </c>
      <c r="AX23">
        <f t="shared" si="2"/>
        <v>8</v>
      </c>
      <c r="AY23" s="30" t="s">
        <v>2364</v>
      </c>
      <c r="BC23" s="3" t="s">
        <v>7010</v>
      </c>
      <c r="BD23" s="3" t="s">
        <v>7010</v>
      </c>
      <c r="BE23" s="3" t="s">
        <v>7010</v>
      </c>
      <c r="BF23" s="3" t="s">
        <v>7010</v>
      </c>
      <c r="BG23" s="3" t="s">
        <v>7010</v>
      </c>
      <c r="BH23" s="3" t="s">
        <v>7010</v>
      </c>
      <c r="BI23" s="3" t="s">
        <v>7010</v>
      </c>
      <c r="BJ23" s="3" t="s">
        <v>7010</v>
      </c>
      <c r="BK23" s="74" t="str">
        <f t="shared" si="3"/>
        <v>No</v>
      </c>
    </row>
    <row r="24" spans="2:63">
      <c r="B24" s="67" t="s">
        <v>7400</v>
      </c>
      <c r="C24" s="67">
        <v>0</v>
      </c>
      <c r="D24" s="67">
        <v>1000</v>
      </c>
      <c r="F24" s="55"/>
      <c r="G24">
        <v>23</v>
      </c>
      <c r="H24" s="7" t="s">
        <v>1088</v>
      </c>
      <c r="I24" t="s">
        <v>29</v>
      </c>
      <c r="J24">
        <f>LEN(H24)</f>
        <v>7</v>
      </c>
      <c r="K24" s="49" t="s">
        <v>3932</v>
      </c>
      <c r="O24" s="3" t="s">
        <v>7010</v>
      </c>
      <c r="P24" s="3" t="s">
        <v>7010</v>
      </c>
      <c r="Q24" s="3" t="s">
        <v>7010</v>
      </c>
      <c r="R24" s="3" t="s">
        <v>7010</v>
      </c>
      <c r="S24" s="3" t="s">
        <v>7010</v>
      </c>
      <c r="T24" s="3" t="s">
        <v>7015</v>
      </c>
      <c r="U24" s="3" t="s">
        <v>7010</v>
      </c>
      <c r="V24" s="3" t="s">
        <v>7010</v>
      </c>
      <c r="W24" s="74" t="str">
        <f t="shared" si="1"/>
        <v>Yes</v>
      </c>
      <c r="Z24">
        <v>23</v>
      </c>
      <c r="AA24" s="55">
        <v>0</v>
      </c>
      <c r="AB24" t="s">
        <v>643</v>
      </c>
      <c r="AC24">
        <f t="shared" si="0"/>
        <v>1</v>
      </c>
      <c r="AD24" s="30" t="s">
        <v>2366</v>
      </c>
      <c r="AF24" t="s">
        <v>7436</v>
      </c>
      <c r="AH24" s="3" t="s">
        <v>7015</v>
      </c>
      <c r="AI24" s="3" t="s">
        <v>7010</v>
      </c>
      <c r="AJ24" s="3" t="s">
        <v>7010</v>
      </c>
      <c r="AK24" s="3" t="s">
        <v>7015</v>
      </c>
      <c r="AL24" s="3" t="s">
        <v>7010</v>
      </c>
      <c r="AM24" s="3" t="s">
        <v>7010</v>
      </c>
      <c r="AN24" s="3" t="s">
        <v>7010</v>
      </c>
      <c r="AO24" s="3" t="s">
        <v>7010</v>
      </c>
      <c r="AP24" s="74" t="s">
        <v>7015</v>
      </c>
      <c r="AU24">
        <v>23</v>
      </c>
      <c r="AV24" t="s">
        <v>2367</v>
      </c>
      <c r="AW24" t="s">
        <v>2279</v>
      </c>
      <c r="AX24">
        <f t="shared" si="2"/>
        <v>8</v>
      </c>
      <c r="AY24" s="30" t="s">
        <v>2368</v>
      </c>
      <c r="BC24" s="3" t="s">
        <v>7010</v>
      </c>
      <c r="BD24" s="3" t="s">
        <v>7010</v>
      </c>
      <c r="BE24" s="3" t="s">
        <v>7010</v>
      </c>
      <c r="BF24" s="3" t="s">
        <v>7010</v>
      </c>
      <c r="BG24" s="3" t="s">
        <v>7010</v>
      </c>
      <c r="BH24" s="3" t="s">
        <v>7010</v>
      </c>
      <c r="BI24" s="3" t="s">
        <v>7010</v>
      </c>
      <c r="BJ24" s="3" t="s">
        <v>7010</v>
      </c>
      <c r="BK24" s="74" t="str">
        <f t="shared" si="3"/>
        <v>No</v>
      </c>
    </row>
    <row r="25" spans="2:63">
      <c r="B25" s="71" t="s">
        <v>7402</v>
      </c>
      <c r="C25" s="71">
        <v>1000</v>
      </c>
      <c r="D25" s="71">
        <v>0</v>
      </c>
      <c r="F25" s="55"/>
      <c r="G25">
        <v>24</v>
      </c>
      <c r="H25" s="7" t="s">
        <v>1724</v>
      </c>
      <c r="I25" t="s">
        <v>29</v>
      </c>
      <c r="J25">
        <f>LEN(H25)</f>
        <v>16</v>
      </c>
      <c r="K25" s="49" t="s">
        <v>5539</v>
      </c>
      <c r="O25" s="3" t="s">
        <v>7010</v>
      </c>
      <c r="P25" s="3" t="s">
        <v>7010</v>
      </c>
      <c r="Q25" s="3" t="s">
        <v>7010</v>
      </c>
      <c r="R25" s="3" t="s">
        <v>7010</v>
      </c>
      <c r="S25" s="3" t="s">
        <v>7010</v>
      </c>
      <c r="T25" s="3" t="s">
        <v>7010</v>
      </c>
      <c r="U25" s="3" t="s">
        <v>7010</v>
      </c>
      <c r="V25" s="3" t="s">
        <v>7010</v>
      </c>
      <c r="W25" s="74" t="str">
        <f t="shared" si="1"/>
        <v>No</v>
      </c>
      <c r="Z25">
        <v>24</v>
      </c>
      <c r="AA25" s="55" t="s">
        <v>656</v>
      </c>
      <c r="AB25" t="s">
        <v>643</v>
      </c>
      <c r="AC25">
        <f t="shared" si="0"/>
        <v>8</v>
      </c>
      <c r="AD25" s="30" t="s">
        <v>2370</v>
      </c>
      <c r="AF25" t="s">
        <v>7437</v>
      </c>
      <c r="AH25" s="3" t="s">
        <v>7015</v>
      </c>
      <c r="AI25" s="3" t="s">
        <v>7010</v>
      </c>
      <c r="AJ25" s="3" t="s">
        <v>7010</v>
      </c>
      <c r="AK25" s="3" t="s">
        <v>7015</v>
      </c>
      <c r="AL25" s="3" t="s">
        <v>7010</v>
      </c>
      <c r="AM25" s="3" t="s">
        <v>7010</v>
      </c>
      <c r="AN25" s="3" t="s">
        <v>7010</v>
      </c>
      <c r="AO25" s="3" t="s">
        <v>7010</v>
      </c>
      <c r="AP25" s="74" t="s">
        <v>7015</v>
      </c>
      <c r="AU25">
        <v>24</v>
      </c>
      <c r="AV25" t="s">
        <v>2371</v>
      </c>
      <c r="AW25" t="s">
        <v>2279</v>
      </c>
      <c r="AX25">
        <f t="shared" si="2"/>
        <v>8</v>
      </c>
      <c r="AY25" s="30" t="s">
        <v>2372</v>
      </c>
      <c r="BC25" s="3" t="s">
        <v>7010</v>
      </c>
      <c r="BD25" s="3" t="s">
        <v>7010</v>
      </c>
      <c r="BE25" s="3" t="s">
        <v>7010</v>
      </c>
      <c r="BF25" s="3" t="s">
        <v>7010</v>
      </c>
      <c r="BG25" s="3" t="s">
        <v>7010</v>
      </c>
      <c r="BH25" s="3" t="s">
        <v>7010</v>
      </c>
      <c r="BI25" s="3" t="s">
        <v>7010</v>
      </c>
      <c r="BJ25" s="3" t="s">
        <v>7010</v>
      </c>
      <c r="BK25" s="74" t="str">
        <f t="shared" si="3"/>
        <v>No</v>
      </c>
    </row>
    <row r="26" spans="2:63">
      <c r="F26" s="55"/>
      <c r="G26">
        <v>25</v>
      </c>
      <c r="H26" s="7" t="s">
        <v>1756</v>
      </c>
      <c r="I26" t="s">
        <v>29</v>
      </c>
      <c r="J26">
        <f>LEN(H26)</f>
        <v>14</v>
      </c>
      <c r="K26" s="49" t="s">
        <v>5619</v>
      </c>
      <c r="O26" s="3" t="s">
        <v>7010</v>
      </c>
      <c r="P26" s="3" t="s">
        <v>7010</v>
      </c>
      <c r="Q26" s="3" t="s">
        <v>7010</v>
      </c>
      <c r="R26" s="3" t="s">
        <v>7010</v>
      </c>
      <c r="S26" s="3" t="s">
        <v>7010</v>
      </c>
      <c r="T26" s="3" t="s">
        <v>7010</v>
      </c>
      <c r="U26" s="3" t="s">
        <v>7010</v>
      </c>
      <c r="V26" s="3" t="s">
        <v>7010</v>
      </c>
      <c r="W26" s="74" t="str">
        <f t="shared" si="1"/>
        <v>No</v>
      </c>
      <c r="Z26">
        <v>25</v>
      </c>
      <c r="AA26" s="55" t="s">
        <v>657</v>
      </c>
      <c r="AB26" t="s">
        <v>643</v>
      </c>
      <c r="AC26">
        <f t="shared" si="0"/>
        <v>6</v>
      </c>
      <c r="AD26" s="30" t="s">
        <v>2374</v>
      </c>
      <c r="AF26" t="s">
        <v>7438</v>
      </c>
      <c r="AH26" s="3" t="s">
        <v>7015</v>
      </c>
      <c r="AI26" s="3" t="s">
        <v>7010</v>
      </c>
      <c r="AJ26" s="3" t="s">
        <v>7010</v>
      </c>
      <c r="AK26" s="3" t="s">
        <v>7015</v>
      </c>
      <c r="AL26" s="3" t="s">
        <v>7010</v>
      </c>
      <c r="AM26" s="3" t="s">
        <v>7010</v>
      </c>
      <c r="AN26" s="3" t="s">
        <v>7010</v>
      </c>
      <c r="AO26" s="3" t="s">
        <v>7010</v>
      </c>
      <c r="AP26" s="74" t="s">
        <v>7015</v>
      </c>
      <c r="AU26">
        <v>25</v>
      </c>
      <c r="AV26" t="s">
        <v>2375</v>
      </c>
      <c r="AW26" t="s">
        <v>2279</v>
      </c>
      <c r="AX26">
        <f t="shared" si="2"/>
        <v>8</v>
      </c>
      <c r="AY26" s="30" t="s">
        <v>2376</v>
      </c>
      <c r="BC26" s="3" t="s">
        <v>7015</v>
      </c>
      <c r="BD26" s="3" t="s">
        <v>7010</v>
      </c>
      <c r="BE26" s="3" t="s">
        <v>7010</v>
      </c>
      <c r="BF26" s="3" t="s">
        <v>7010</v>
      </c>
      <c r="BG26" s="3" t="s">
        <v>7010</v>
      </c>
      <c r="BH26" s="3" t="s">
        <v>7010</v>
      </c>
      <c r="BI26" s="3" t="s">
        <v>7010</v>
      </c>
      <c r="BJ26" s="3" t="s">
        <v>7010</v>
      </c>
      <c r="BK26" s="74" t="str">
        <f t="shared" si="3"/>
        <v>Yes</v>
      </c>
    </row>
    <row r="27" spans="2:63">
      <c r="F27" s="55"/>
      <c r="G27">
        <v>26</v>
      </c>
      <c r="H27" s="7" t="s">
        <v>1832</v>
      </c>
      <c r="I27" t="s">
        <v>29</v>
      </c>
      <c r="J27">
        <f>LEN(H27)</f>
        <v>10</v>
      </c>
      <c r="K27" s="49" t="s">
        <v>5867</v>
      </c>
      <c r="O27" s="3" t="s">
        <v>7010</v>
      </c>
      <c r="P27" s="3" t="s">
        <v>7010</v>
      </c>
      <c r="Q27" s="3" t="s">
        <v>7010</v>
      </c>
      <c r="R27" s="3" t="s">
        <v>7010</v>
      </c>
      <c r="S27" s="3" t="s">
        <v>7010</v>
      </c>
      <c r="T27" s="3" t="s">
        <v>7010</v>
      </c>
      <c r="U27" s="3" t="s">
        <v>7010</v>
      </c>
      <c r="V27" s="3" t="s">
        <v>7010</v>
      </c>
      <c r="W27" s="74" t="str">
        <f t="shared" si="1"/>
        <v>No</v>
      </c>
      <c r="Z27">
        <v>26</v>
      </c>
      <c r="AA27" s="55" t="s">
        <v>658</v>
      </c>
      <c r="AB27" t="s">
        <v>643</v>
      </c>
      <c r="AC27">
        <f t="shared" si="0"/>
        <v>8</v>
      </c>
      <c r="AD27" s="30" t="s">
        <v>2378</v>
      </c>
      <c r="AF27" t="s">
        <v>7439</v>
      </c>
      <c r="AH27" s="3" t="s">
        <v>7015</v>
      </c>
      <c r="AI27" s="3" t="s">
        <v>7010</v>
      </c>
      <c r="AJ27" s="3" t="s">
        <v>7010</v>
      </c>
      <c r="AK27" s="3" t="s">
        <v>7015</v>
      </c>
      <c r="AL27" s="3" t="s">
        <v>7010</v>
      </c>
      <c r="AM27" s="3" t="s">
        <v>7010</v>
      </c>
      <c r="AN27" s="3" t="s">
        <v>7010</v>
      </c>
      <c r="AO27" s="3" t="s">
        <v>7010</v>
      </c>
      <c r="AP27" s="74" t="s">
        <v>7015</v>
      </c>
      <c r="AU27">
        <v>26</v>
      </c>
      <c r="AV27" t="s">
        <v>2379</v>
      </c>
      <c r="AW27" t="s">
        <v>2279</v>
      </c>
      <c r="AX27">
        <f t="shared" si="2"/>
        <v>8</v>
      </c>
      <c r="AY27" s="30" t="s">
        <v>2380</v>
      </c>
      <c r="BC27" s="3" t="s">
        <v>7010</v>
      </c>
      <c r="BD27" s="3" t="s">
        <v>7010</v>
      </c>
      <c r="BE27" s="3" t="s">
        <v>7010</v>
      </c>
      <c r="BF27" s="3" t="s">
        <v>7010</v>
      </c>
      <c r="BG27" s="3" t="s">
        <v>7010</v>
      </c>
      <c r="BH27" s="3" t="s">
        <v>7010</v>
      </c>
      <c r="BI27" s="3" t="s">
        <v>7010</v>
      </c>
      <c r="BJ27" s="3" t="s">
        <v>7010</v>
      </c>
      <c r="BK27" s="74" t="str">
        <f t="shared" si="3"/>
        <v>No</v>
      </c>
    </row>
    <row r="28" spans="2:63">
      <c r="B28" s="68" t="s">
        <v>7440</v>
      </c>
      <c r="C28" s="69" t="s">
        <v>7404</v>
      </c>
      <c r="D28" s="69" t="s">
        <v>7405</v>
      </c>
      <c r="F28" s="55"/>
      <c r="G28">
        <v>27</v>
      </c>
      <c r="H28" s="7" t="s">
        <v>1138</v>
      </c>
      <c r="I28" t="s">
        <v>29</v>
      </c>
      <c r="J28">
        <f>LEN(H28)</f>
        <v>12</v>
      </c>
      <c r="K28" s="49" t="s">
        <v>4055</v>
      </c>
      <c r="O28" s="3" t="s">
        <v>7010</v>
      </c>
      <c r="P28" s="3" t="s">
        <v>7010</v>
      </c>
      <c r="Q28" s="3" t="s">
        <v>7010</v>
      </c>
      <c r="R28" s="3" t="s">
        <v>7010</v>
      </c>
      <c r="S28" s="3" t="s">
        <v>7010</v>
      </c>
      <c r="T28" s="3" t="s">
        <v>7010</v>
      </c>
      <c r="U28" s="3" t="s">
        <v>7010</v>
      </c>
      <c r="V28" s="3" t="s">
        <v>7010</v>
      </c>
      <c r="W28" s="74" t="str">
        <f t="shared" si="1"/>
        <v>No</v>
      </c>
      <c r="Z28">
        <v>27</v>
      </c>
      <c r="AA28" s="55" t="s">
        <v>659</v>
      </c>
      <c r="AB28" t="s">
        <v>643</v>
      </c>
      <c r="AC28">
        <f t="shared" si="0"/>
        <v>9</v>
      </c>
      <c r="AD28" s="30" t="s">
        <v>2382</v>
      </c>
      <c r="AF28" t="s">
        <v>7441</v>
      </c>
      <c r="AH28" s="3" t="s">
        <v>7015</v>
      </c>
      <c r="AI28" s="3" t="s">
        <v>7010</v>
      </c>
      <c r="AJ28" s="3" t="s">
        <v>7010</v>
      </c>
      <c r="AK28" s="3" t="s">
        <v>7015</v>
      </c>
      <c r="AL28" s="3" t="s">
        <v>7010</v>
      </c>
      <c r="AM28" s="3" t="s">
        <v>7010</v>
      </c>
      <c r="AN28" s="3" t="s">
        <v>7010</v>
      </c>
      <c r="AO28" s="3" t="s">
        <v>7010</v>
      </c>
      <c r="AP28" s="74" t="s">
        <v>7015</v>
      </c>
      <c r="AU28">
        <v>27</v>
      </c>
      <c r="AV28" t="s">
        <v>2383</v>
      </c>
      <c r="AW28" t="s">
        <v>2279</v>
      </c>
      <c r="AX28">
        <f t="shared" si="2"/>
        <v>15</v>
      </c>
      <c r="AY28" s="30" t="s">
        <v>2384</v>
      </c>
      <c r="BC28" s="3" t="s">
        <v>7010</v>
      </c>
      <c r="BD28" s="3" t="s">
        <v>7010</v>
      </c>
      <c r="BE28" s="3" t="s">
        <v>7015</v>
      </c>
      <c r="BF28" s="3" t="s">
        <v>7010</v>
      </c>
      <c r="BG28" s="3" t="s">
        <v>7010</v>
      </c>
      <c r="BH28" s="3" t="s">
        <v>7010</v>
      </c>
      <c r="BI28" s="3" t="s">
        <v>7010</v>
      </c>
      <c r="BJ28" s="3" t="s">
        <v>7010</v>
      </c>
      <c r="BK28" s="74" t="str">
        <f t="shared" si="3"/>
        <v>Yes</v>
      </c>
    </row>
    <row r="29" spans="2:63">
      <c r="B29" s="69" t="s">
        <v>7409</v>
      </c>
      <c r="C29" s="69">
        <v>0</v>
      </c>
      <c r="D29" s="69">
        <v>1000</v>
      </c>
      <c r="F29" s="55"/>
      <c r="G29">
        <v>28</v>
      </c>
      <c r="H29" s="7" t="s">
        <v>1714</v>
      </c>
      <c r="I29" t="s">
        <v>29</v>
      </c>
      <c r="J29">
        <f>LEN(H29)</f>
        <v>16</v>
      </c>
      <c r="K29" s="49" t="s">
        <v>5515</v>
      </c>
      <c r="O29" s="3" t="s">
        <v>7010</v>
      </c>
      <c r="P29" s="3" t="s">
        <v>7010</v>
      </c>
      <c r="Q29" s="3" t="s">
        <v>7010</v>
      </c>
      <c r="R29" s="3" t="s">
        <v>7010</v>
      </c>
      <c r="S29" s="3" t="s">
        <v>7010</v>
      </c>
      <c r="T29" s="3" t="s">
        <v>7010</v>
      </c>
      <c r="U29" s="3" t="s">
        <v>7010</v>
      </c>
      <c r="V29" s="3" t="s">
        <v>7010</v>
      </c>
      <c r="W29" s="74" t="str">
        <f t="shared" si="1"/>
        <v>No</v>
      </c>
      <c r="Z29">
        <v>28</v>
      </c>
      <c r="AA29" s="55" t="s">
        <v>660</v>
      </c>
      <c r="AB29" t="s">
        <v>643</v>
      </c>
      <c r="AC29">
        <f t="shared" si="0"/>
        <v>9</v>
      </c>
      <c r="AD29" s="30" t="s">
        <v>2386</v>
      </c>
      <c r="AF29" t="s">
        <v>7442</v>
      </c>
      <c r="AH29" s="3" t="s">
        <v>7015</v>
      </c>
      <c r="AI29" s="3" t="s">
        <v>7010</v>
      </c>
      <c r="AJ29" s="3" t="s">
        <v>7010</v>
      </c>
      <c r="AK29" s="3" t="s">
        <v>7015</v>
      </c>
      <c r="AL29" s="3" t="s">
        <v>7010</v>
      </c>
      <c r="AM29" s="3" t="s">
        <v>7010</v>
      </c>
      <c r="AN29" s="3" t="s">
        <v>7010</v>
      </c>
      <c r="AO29" s="3" t="s">
        <v>7010</v>
      </c>
      <c r="AP29" s="74" t="s">
        <v>7015</v>
      </c>
      <c r="AU29">
        <v>28</v>
      </c>
      <c r="AV29" t="s">
        <v>2387</v>
      </c>
      <c r="AW29" t="s">
        <v>2279</v>
      </c>
      <c r="AX29">
        <f t="shared" si="2"/>
        <v>11</v>
      </c>
      <c r="AY29" s="30" t="s">
        <v>2388</v>
      </c>
      <c r="BC29" s="3" t="s">
        <v>7010</v>
      </c>
      <c r="BD29" s="3" t="s">
        <v>7010</v>
      </c>
      <c r="BE29" s="3" t="s">
        <v>7010</v>
      </c>
      <c r="BF29" s="3" t="s">
        <v>7010</v>
      </c>
      <c r="BG29" s="3" t="s">
        <v>7010</v>
      </c>
      <c r="BH29" s="3" t="s">
        <v>7010</v>
      </c>
      <c r="BI29" s="3" t="s">
        <v>7010</v>
      </c>
      <c r="BJ29" s="3" t="s">
        <v>7010</v>
      </c>
      <c r="BK29" s="74" t="str">
        <f t="shared" si="3"/>
        <v>No</v>
      </c>
    </row>
    <row r="30" spans="2:63">
      <c r="B30" s="69" t="s">
        <v>7394</v>
      </c>
      <c r="C30" s="69">
        <f>COUNTIF(BC:BC, "yes")</f>
        <v>83</v>
      </c>
      <c r="D30" s="69">
        <f>COUNTIF(BC:BC, "no")</f>
        <v>917</v>
      </c>
      <c r="F30" s="55"/>
      <c r="G30">
        <v>29</v>
      </c>
      <c r="H30" s="7" t="s">
        <v>1170</v>
      </c>
      <c r="I30" t="s">
        <v>29</v>
      </c>
      <c r="J30">
        <f>LEN(H30)</f>
        <v>13</v>
      </c>
      <c r="K30" s="49" t="s">
        <v>4133</v>
      </c>
      <c r="O30" s="3" t="s">
        <v>7010</v>
      </c>
      <c r="P30" s="3" t="s">
        <v>7010</v>
      </c>
      <c r="Q30" s="3" t="s">
        <v>7010</v>
      </c>
      <c r="R30" s="3" t="s">
        <v>7010</v>
      </c>
      <c r="S30" s="3" t="s">
        <v>7010</v>
      </c>
      <c r="T30" s="3" t="s">
        <v>7010</v>
      </c>
      <c r="U30" s="3" t="s">
        <v>7010</v>
      </c>
      <c r="V30" s="3" t="s">
        <v>7010</v>
      </c>
      <c r="W30" s="74" t="str">
        <f t="shared" si="1"/>
        <v>No</v>
      </c>
      <c r="Z30">
        <v>29</v>
      </c>
      <c r="AA30" s="55" t="s">
        <v>661</v>
      </c>
      <c r="AB30" t="s">
        <v>643</v>
      </c>
      <c r="AC30">
        <f t="shared" si="0"/>
        <v>6</v>
      </c>
      <c r="AD30" s="30" t="s">
        <v>2390</v>
      </c>
      <c r="AF30" t="s">
        <v>7443</v>
      </c>
      <c r="AH30" s="3" t="s">
        <v>7015</v>
      </c>
      <c r="AI30" s="3" t="s">
        <v>7010</v>
      </c>
      <c r="AJ30" s="3" t="s">
        <v>7010</v>
      </c>
      <c r="AK30" s="3" t="s">
        <v>7015</v>
      </c>
      <c r="AL30" s="3" t="s">
        <v>7010</v>
      </c>
      <c r="AM30" s="3" t="s">
        <v>7010</v>
      </c>
      <c r="AN30" s="3" t="s">
        <v>7010</v>
      </c>
      <c r="AO30" s="3" t="s">
        <v>7010</v>
      </c>
      <c r="AP30" s="74" t="s">
        <v>7015</v>
      </c>
      <c r="AU30">
        <v>29</v>
      </c>
      <c r="AV30" t="s">
        <v>2391</v>
      </c>
      <c r="AW30" t="s">
        <v>2279</v>
      </c>
      <c r="AX30">
        <f t="shared" si="2"/>
        <v>8</v>
      </c>
      <c r="AY30" s="30" t="s">
        <v>2392</v>
      </c>
      <c r="BC30" s="3" t="s">
        <v>7010</v>
      </c>
      <c r="BD30" s="3" t="s">
        <v>7010</v>
      </c>
      <c r="BE30" s="3" t="s">
        <v>7010</v>
      </c>
      <c r="BF30" s="3" t="s">
        <v>7010</v>
      </c>
      <c r="BG30" s="3" t="s">
        <v>7010</v>
      </c>
      <c r="BH30" s="3" t="s">
        <v>7010</v>
      </c>
      <c r="BI30" s="3" t="s">
        <v>7010</v>
      </c>
      <c r="BJ30" s="3" t="s">
        <v>7010</v>
      </c>
      <c r="BK30" s="74" t="str">
        <f t="shared" si="3"/>
        <v>No</v>
      </c>
    </row>
    <row r="31" spans="2:63">
      <c r="B31" s="69" t="s">
        <v>7395</v>
      </c>
      <c r="C31" s="69">
        <f>COUNTIF(BD:BD, "yes")</f>
        <v>3</v>
      </c>
      <c r="D31" s="69">
        <f>COUNTIF(BD:BD, "no")</f>
        <v>997</v>
      </c>
      <c r="F31" s="55"/>
      <c r="G31">
        <v>30</v>
      </c>
      <c r="H31" s="7" t="s">
        <v>1812</v>
      </c>
      <c r="I31" t="s">
        <v>29</v>
      </c>
      <c r="J31">
        <f>LEN(H31)</f>
        <v>14</v>
      </c>
      <c r="K31" s="49" t="s">
        <v>5774</v>
      </c>
      <c r="O31" s="3" t="s">
        <v>7010</v>
      </c>
      <c r="P31" s="3" t="s">
        <v>7010</v>
      </c>
      <c r="Q31" s="3" t="s">
        <v>7010</v>
      </c>
      <c r="R31" s="3" t="s">
        <v>7010</v>
      </c>
      <c r="S31" s="3" t="s">
        <v>7010</v>
      </c>
      <c r="T31" s="3" t="s">
        <v>7010</v>
      </c>
      <c r="U31" s="3" t="s">
        <v>7010</v>
      </c>
      <c r="V31" s="3" t="s">
        <v>7010</v>
      </c>
      <c r="W31" s="74" t="str">
        <f t="shared" si="1"/>
        <v>No</v>
      </c>
      <c r="Z31">
        <v>30</v>
      </c>
      <c r="AA31" s="55" t="s">
        <v>662</v>
      </c>
      <c r="AB31" t="s">
        <v>643</v>
      </c>
      <c r="AC31">
        <f t="shared" si="0"/>
        <v>7</v>
      </c>
      <c r="AD31" s="30" t="s">
        <v>2394</v>
      </c>
      <c r="AF31" t="s">
        <v>7444</v>
      </c>
      <c r="AH31" s="3" t="s">
        <v>7015</v>
      </c>
      <c r="AI31" s="3" t="s">
        <v>7010</v>
      </c>
      <c r="AJ31" s="3" t="s">
        <v>7010</v>
      </c>
      <c r="AK31" s="3" t="s">
        <v>7015</v>
      </c>
      <c r="AL31" s="3" t="s">
        <v>7010</v>
      </c>
      <c r="AM31" s="3" t="s">
        <v>7010</v>
      </c>
      <c r="AN31" s="3" t="s">
        <v>7010</v>
      </c>
      <c r="AO31" s="3" t="s">
        <v>7010</v>
      </c>
      <c r="AP31" s="74" t="s">
        <v>7015</v>
      </c>
      <c r="AU31">
        <v>30</v>
      </c>
      <c r="AV31" t="s">
        <v>2395</v>
      </c>
      <c r="AW31" t="s">
        <v>2279</v>
      </c>
      <c r="AX31">
        <f t="shared" si="2"/>
        <v>8</v>
      </c>
      <c r="AY31" s="30" t="s">
        <v>2396</v>
      </c>
      <c r="BC31" s="3" t="s">
        <v>7015</v>
      </c>
      <c r="BD31" s="3" t="s">
        <v>7010</v>
      </c>
      <c r="BE31" s="3" t="s">
        <v>7015</v>
      </c>
      <c r="BF31" s="3" t="s">
        <v>7010</v>
      </c>
      <c r="BG31" s="3" t="s">
        <v>7010</v>
      </c>
      <c r="BH31" s="3" t="s">
        <v>7010</v>
      </c>
      <c r="BI31" s="3" t="s">
        <v>7010</v>
      </c>
      <c r="BJ31" s="3" t="s">
        <v>7010</v>
      </c>
      <c r="BK31" s="74" t="str">
        <f t="shared" si="3"/>
        <v>Yes</v>
      </c>
    </row>
    <row r="32" spans="2:63">
      <c r="B32" s="69" t="s">
        <v>7396</v>
      </c>
      <c r="C32" s="69">
        <f>COUNTIF(BE:BE, "yes")</f>
        <v>227</v>
      </c>
      <c r="D32" s="69">
        <f>COUNTIF(BE:BE, "no")</f>
        <v>773</v>
      </c>
      <c r="F32" s="55"/>
      <c r="G32">
        <v>31</v>
      </c>
      <c r="H32" s="7" t="s">
        <v>1800</v>
      </c>
      <c r="I32" t="s">
        <v>29</v>
      </c>
      <c r="J32">
        <f>LEN(H32)</f>
        <v>10</v>
      </c>
      <c r="K32" s="49" t="s">
        <v>5741</v>
      </c>
      <c r="O32" s="3" t="s">
        <v>7010</v>
      </c>
      <c r="P32" s="3" t="s">
        <v>7010</v>
      </c>
      <c r="Q32" s="3" t="s">
        <v>7010</v>
      </c>
      <c r="R32" s="3" t="s">
        <v>7010</v>
      </c>
      <c r="S32" s="3" t="s">
        <v>7010</v>
      </c>
      <c r="T32" s="3" t="s">
        <v>7010</v>
      </c>
      <c r="U32" s="3" t="s">
        <v>7010</v>
      </c>
      <c r="V32" s="3" t="s">
        <v>7010</v>
      </c>
      <c r="W32" s="74" t="str">
        <f t="shared" si="1"/>
        <v>No</v>
      </c>
      <c r="Z32">
        <v>31</v>
      </c>
      <c r="AA32" s="55" t="s">
        <v>663</v>
      </c>
      <c r="AB32" t="s">
        <v>643</v>
      </c>
      <c r="AC32">
        <f t="shared" si="0"/>
        <v>7</v>
      </c>
      <c r="AD32" s="30" t="s">
        <v>2398</v>
      </c>
      <c r="AF32" t="s">
        <v>7445</v>
      </c>
      <c r="AH32" s="3" t="s">
        <v>7015</v>
      </c>
      <c r="AI32" s="3" t="s">
        <v>7010</v>
      </c>
      <c r="AJ32" s="3" t="s">
        <v>7010</v>
      </c>
      <c r="AK32" s="3" t="s">
        <v>7015</v>
      </c>
      <c r="AL32" s="3" t="s">
        <v>7010</v>
      </c>
      <c r="AM32" s="3" t="s">
        <v>7010</v>
      </c>
      <c r="AN32" s="3" t="s">
        <v>7010</v>
      </c>
      <c r="AO32" s="3" t="s">
        <v>7010</v>
      </c>
      <c r="AP32" s="74" t="s">
        <v>7015</v>
      </c>
      <c r="AU32">
        <v>31</v>
      </c>
      <c r="AV32" t="s">
        <v>2399</v>
      </c>
      <c r="AW32" t="s">
        <v>2279</v>
      </c>
      <c r="AX32">
        <f t="shared" si="2"/>
        <v>14</v>
      </c>
      <c r="AY32" s="30" t="s">
        <v>2400</v>
      </c>
      <c r="BC32" s="3" t="s">
        <v>7010</v>
      </c>
      <c r="BD32" s="3" t="s">
        <v>7010</v>
      </c>
      <c r="BE32" s="3" t="s">
        <v>7010</v>
      </c>
      <c r="BF32" s="3" t="s">
        <v>7010</v>
      </c>
      <c r="BG32" s="3" t="s">
        <v>7010</v>
      </c>
      <c r="BH32" s="3" t="s">
        <v>7010</v>
      </c>
      <c r="BI32" s="3" t="s">
        <v>7010</v>
      </c>
      <c r="BJ32" s="3" t="s">
        <v>7010</v>
      </c>
      <c r="BK32" s="74" t="str">
        <f t="shared" si="3"/>
        <v>No</v>
      </c>
    </row>
    <row r="33" spans="2:63">
      <c r="B33" s="69" t="s">
        <v>7397</v>
      </c>
      <c r="C33" s="69">
        <v>0</v>
      </c>
      <c r="D33" s="69">
        <v>1000</v>
      </c>
      <c r="F33" s="55"/>
      <c r="G33">
        <v>32</v>
      </c>
      <c r="H33" s="7" t="s">
        <v>1842</v>
      </c>
      <c r="I33" t="s">
        <v>29</v>
      </c>
      <c r="J33">
        <f>LEN(H33)</f>
        <v>13</v>
      </c>
      <c r="K33" s="49" t="s">
        <v>5899</v>
      </c>
      <c r="O33" s="3" t="s">
        <v>7010</v>
      </c>
      <c r="P33" s="3" t="s">
        <v>7010</v>
      </c>
      <c r="Q33" s="3" t="s">
        <v>7010</v>
      </c>
      <c r="R33" s="3" t="s">
        <v>7010</v>
      </c>
      <c r="S33" s="3" t="s">
        <v>7010</v>
      </c>
      <c r="T33" s="3" t="s">
        <v>7010</v>
      </c>
      <c r="U33" s="3" t="s">
        <v>7010</v>
      </c>
      <c r="V33" s="3" t="s">
        <v>7010</v>
      </c>
      <c r="W33" s="74" t="str">
        <f t="shared" si="1"/>
        <v>No</v>
      </c>
      <c r="Z33">
        <v>32</v>
      </c>
      <c r="AA33" s="55" t="s">
        <v>664</v>
      </c>
      <c r="AB33" t="s">
        <v>643</v>
      </c>
      <c r="AC33">
        <f t="shared" si="0"/>
        <v>9</v>
      </c>
      <c r="AD33" s="30" t="s">
        <v>2402</v>
      </c>
      <c r="AF33" t="s">
        <v>7446</v>
      </c>
      <c r="AH33" s="3" t="s">
        <v>7015</v>
      </c>
      <c r="AI33" s="3" t="s">
        <v>7010</v>
      </c>
      <c r="AJ33" s="3" t="s">
        <v>7010</v>
      </c>
      <c r="AK33" s="3" t="s">
        <v>7015</v>
      </c>
      <c r="AL33" s="3" t="s">
        <v>7010</v>
      </c>
      <c r="AM33" s="3" t="s">
        <v>7010</v>
      </c>
      <c r="AN33" s="3" t="s">
        <v>7010</v>
      </c>
      <c r="AO33" s="3" t="s">
        <v>7010</v>
      </c>
      <c r="AP33" s="74" t="s">
        <v>7015</v>
      </c>
      <c r="AU33">
        <v>32</v>
      </c>
      <c r="AV33" t="s">
        <v>2403</v>
      </c>
      <c r="AW33" t="s">
        <v>2279</v>
      </c>
      <c r="AX33">
        <f t="shared" si="2"/>
        <v>8</v>
      </c>
      <c r="AY33" s="30" t="s">
        <v>2404</v>
      </c>
      <c r="BC33" s="3" t="s">
        <v>7010</v>
      </c>
      <c r="BD33" s="3" t="s">
        <v>7010</v>
      </c>
      <c r="BE33" s="3" t="s">
        <v>7010</v>
      </c>
      <c r="BF33" s="3" t="s">
        <v>7010</v>
      </c>
      <c r="BG33" s="3" t="s">
        <v>7010</v>
      </c>
      <c r="BH33" s="3" t="s">
        <v>7010</v>
      </c>
      <c r="BI33" s="3" t="s">
        <v>7010</v>
      </c>
      <c r="BJ33" s="3" t="s">
        <v>7010</v>
      </c>
      <c r="BK33" s="74" t="str">
        <f t="shared" si="3"/>
        <v>No</v>
      </c>
    </row>
    <row r="34" spans="2:63">
      <c r="B34" s="69" t="s">
        <v>7417</v>
      </c>
      <c r="C34" s="69">
        <v>0</v>
      </c>
      <c r="D34" s="69">
        <v>1000</v>
      </c>
      <c r="F34" s="55"/>
      <c r="G34">
        <v>33</v>
      </c>
      <c r="H34" s="7" t="s">
        <v>1148</v>
      </c>
      <c r="I34" t="s">
        <v>29</v>
      </c>
      <c r="J34">
        <f>LEN(H34)</f>
        <v>12</v>
      </c>
      <c r="K34" s="49" t="s">
        <v>4079</v>
      </c>
      <c r="O34" s="3" t="s">
        <v>7010</v>
      </c>
      <c r="P34" s="3" t="s">
        <v>7010</v>
      </c>
      <c r="Q34" s="3" t="s">
        <v>7010</v>
      </c>
      <c r="R34" s="3" t="s">
        <v>7010</v>
      </c>
      <c r="S34" s="3" t="s">
        <v>7010</v>
      </c>
      <c r="T34" s="3" t="s">
        <v>7010</v>
      </c>
      <c r="U34" s="3" t="s">
        <v>7010</v>
      </c>
      <c r="V34" s="3" t="s">
        <v>7010</v>
      </c>
      <c r="W34" s="74" t="str">
        <f t="shared" si="1"/>
        <v>No</v>
      </c>
      <c r="Z34">
        <v>33</v>
      </c>
      <c r="AA34" s="55" t="s">
        <v>665</v>
      </c>
      <c r="AB34" t="s">
        <v>643</v>
      </c>
      <c r="AC34">
        <f t="shared" si="0"/>
        <v>6</v>
      </c>
      <c r="AD34" s="30" t="s">
        <v>2406</v>
      </c>
      <c r="AF34" t="s">
        <v>7447</v>
      </c>
      <c r="AH34" s="3" t="s">
        <v>7015</v>
      </c>
      <c r="AI34" s="3" t="s">
        <v>7010</v>
      </c>
      <c r="AJ34" s="3" t="s">
        <v>7010</v>
      </c>
      <c r="AK34" s="3" t="s">
        <v>7015</v>
      </c>
      <c r="AL34" s="3" t="s">
        <v>7010</v>
      </c>
      <c r="AM34" s="3" t="s">
        <v>7010</v>
      </c>
      <c r="AN34" s="3" t="s">
        <v>7010</v>
      </c>
      <c r="AO34" s="3" t="s">
        <v>7010</v>
      </c>
      <c r="AP34" s="74" t="s">
        <v>7015</v>
      </c>
      <c r="AU34">
        <v>33</v>
      </c>
      <c r="AV34" t="s">
        <v>2407</v>
      </c>
      <c r="AW34" t="s">
        <v>2279</v>
      </c>
      <c r="AX34">
        <f t="shared" si="2"/>
        <v>8</v>
      </c>
      <c r="AY34" s="31" t="s">
        <v>2408</v>
      </c>
      <c r="BC34" s="3" t="s">
        <v>7010</v>
      </c>
      <c r="BD34" s="3" t="s">
        <v>7010</v>
      </c>
      <c r="BE34" s="3" t="s">
        <v>7015</v>
      </c>
      <c r="BF34" s="3" t="s">
        <v>7010</v>
      </c>
      <c r="BG34" s="3" t="s">
        <v>7010</v>
      </c>
      <c r="BH34" s="3" t="s">
        <v>7010</v>
      </c>
      <c r="BI34" s="3" t="s">
        <v>7010</v>
      </c>
      <c r="BJ34" s="3" t="s">
        <v>7010</v>
      </c>
      <c r="BK34" s="74" t="str">
        <f t="shared" si="3"/>
        <v>Yes</v>
      </c>
    </row>
    <row r="35" spans="2:63">
      <c r="B35" s="69" t="s">
        <v>7399</v>
      </c>
      <c r="C35" s="69">
        <v>0</v>
      </c>
      <c r="D35" s="69">
        <v>1000</v>
      </c>
      <c r="F35" s="55"/>
      <c r="G35">
        <v>34</v>
      </c>
      <c r="H35" s="7" t="s">
        <v>978</v>
      </c>
      <c r="I35" t="s">
        <v>29</v>
      </c>
      <c r="J35">
        <f>LEN(H35)</f>
        <v>12</v>
      </c>
      <c r="K35" s="49" t="s">
        <v>3639</v>
      </c>
      <c r="O35" s="3" t="s">
        <v>7010</v>
      </c>
      <c r="P35" s="3" t="s">
        <v>7010</v>
      </c>
      <c r="Q35" s="3" t="s">
        <v>7010</v>
      </c>
      <c r="R35" s="3" t="s">
        <v>7010</v>
      </c>
      <c r="S35" s="3" t="s">
        <v>7010</v>
      </c>
      <c r="T35" s="3" t="s">
        <v>7010</v>
      </c>
      <c r="U35" s="3" t="s">
        <v>7010</v>
      </c>
      <c r="V35" s="3" t="s">
        <v>7010</v>
      </c>
      <c r="W35" s="74" t="str">
        <f t="shared" si="1"/>
        <v>No</v>
      </c>
      <c r="Z35">
        <v>34</v>
      </c>
      <c r="AA35" s="55" t="s">
        <v>666</v>
      </c>
      <c r="AB35" t="s">
        <v>643</v>
      </c>
      <c r="AC35">
        <f t="shared" si="0"/>
        <v>5</v>
      </c>
      <c r="AD35" s="30" t="s">
        <v>2410</v>
      </c>
      <c r="AF35" t="s">
        <v>7448</v>
      </c>
      <c r="AH35" s="3" t="s">
        <v>7015</v>
      </c>
      <c r="AI35" s="3" t="s">
        <v>7010</v>
      </c>
      <c r="AJ35" s="3" t="s">
        <v>7010</v>
      </c>
      <c r="AK35" s="3" t="s">
        <v>7015</v>
      </c>
      <c r="AL35" s="3" t="s">
        <v>7010</v>
      </c>
      <c r="AM35" s="3" t="s">
        <v>7010</v>
      </c>
      <c r="AN35" s="3" t="s">
        <v>7010</v>
      </c>
      <c r="AO35" s="3" t="s">
        <v>7010</v>
      </c>
      <c r="AP35" s="74" t="s">
        <v>7015</v>
      </c>
      <c r="AU35">
        <v>34</v>
      </c>
      <c r="AV35" t="s">
        <v>2411</v>
      </c>
      <c r="AW35" t="s">
        <v>2279</v>
      </c>
      <c r="AX35">
        <f t="shared" si="2"/>
        <v>15</v>
      </c>
      <c r="AY35" s="30" t="s">
        <v>2412</v>
      </c>
      <c r="BC35" s="3" t="s">
        <v>7010</v>
      </c>
      <c r="BD35" s="3" t="s">
        <v>7010</v>
      </c>
      <c r="BE35" s="3" t="s">
        <v>7010</v>
      </c>
      <c r="BF35" s="3" t="s">
        <v>7010</v>
      </c>
      <c r="BG35" s="3" t="s">
        <v>7010</v>
      </c>
      <c r="BH35" s="3" t="s">
        <v>7010</v>
      </c>
      <c r="BI35" s="3" t="s">
        <v>7010</v>
      </c>
      <c r="BJ35" s="3" t="s">
        <v>7010</v>
      </c>
      <c r="BK35" s="74" t="str">
        <f t="shared" si="3"/>
        <v>No</v>
      </c>
    </row>
    <row r="36" spans="2:63">
      <c r="B36" s="69" t="s">
        <v>7401</v>
      </c>
      <c r="C36" s="69">
        <v>0</v>
      </c>
      <c r="D36" s="69">
        <v>1000</v>
      </c>
      <c r="F36" s="55"/>
      <c r="G36">
        <v>35</v>
      </c>
      <c r="H36" s="7" t="s">
        <v>1186</v>
      </c>
      <c r="I36" t="s">
        <v>29</v>
      </c>
      <c r="J36">
        <f>LEN(H36)</f>
        <v>12</v>
      </c>
      <c r="K36" s="51" t="s">
        <v>4176</v>
      </c>
      <c r="O36" s="3" t="s">
        <v>7010</v>
      </c>
      <c r="P36" s="3" t="s">
        <v>7010</v>
      </c>
      <c r="Q36" s="3" t="s">
        <v>7010</v>
      </c>
      <c r="R36" s="3" t="s">
        <v>7010</v>
      </c>
      <c r="S36" s="3" t="s">
        <v>7010</v>
      </c>
      <c r="T36" s="3" t="s">
        <v>7010</v>
      </c>
      <c r="U36" s="3" t="s">
        <v>7010</v>
      </c>
      <c r="V36" s="3" t="s">
        <v>7010</v>
      </c>
      <c r="W36" s="74" t="str">
        <f t="shared" si="1"/>
        <v>No</v>
      </c>
      <c r="Z36">
        <v>35</v>
      </c>
      <c r="AA36" s="55" t="s">
        <v>667</v>
      </c>
      <c r="AB36" t="s">
        <v>643</v>
      </c>
      <c r="AC36">
        <f t="shared" si="0"/>
        <v>6</v>
      </c>
      <c r="AD36" s="30" t="s">
        <v>2414</v>
      </c>
      <c r="AF36" t="s">
        <v>7449</v>
      </c>
      <c r="AH36" s="3" t="s">
        <v>7015</v>
      </c>
      <c r="AI36" s="3" t="s">
        <v>7010</v>
      </c>
      <c r="AJ36" s="3" t="s">
        <v>7010</v>
      </c>
      <c r="AK36" s="3" t="s">
        <v>7015</v>
      </c>
      <c r="AL36" s="3" t="s">
        <v>7010</v>
      </c>
      <c r="AM36" s="3" t="s">
        <v>7010</v>
      </c>
      <c r="AN36" s="3" t="s">
        <v>7010</v>
      </c>
      <c r="AO36" s="3" t="s">
        <v>7010</v>
      </c>
      <c r="AP36" s="74" t="s">
        <v>7015</v>
      </c>
      <c r="AU36">
        <v>35</v>
      </c>
      <c r="AV36" t="s">
        <v>2415</v>
      </c>
      <c r="AW36" t="s">
        <v>2279</v>
      </c>
      <c r="AX36">
        <f t="shared" si="2"/>
        <v>8</v>
      </c>
      <c r="AY36" s="30" t="s">
        <v>2416</v>
      </c>
      <c r="BC36" s="3" t="s">
        <v>7010</v>
      </c>
      <c r="BD36" s="3" t="s">
        <v>7010</v>
      </c>
      <c r="BE36" s="3" t="s">
        <v>7010</v>
      </c>
      <c r="BF36" s="3" t="s">
        <v>7010</v>
      </c>
      <c r="BG36" s="3" t="s">
        <v>7010</v>
      </c>
      <c r="BH36" s="3" t="s">
        <v>7010</v>
      </c>
      <c r="BI36" s="3" t="s">
        <v>7010</v>
      </c>
      <c r="BJ36" s="3" t="s">
        <v>7010</v>
      </c>
      <c r="BK36" s="74" t="str">
        <f t="shared" si="3"/>
        <v>No</v>
      </c>
    </row>
    <row r="37" spans="2:63">
      <c r="B37" s="69" t="s">
        <v>7400</v>
      </c>
      <c r="C37" s="69">
        <v>0</v>
      </c>
      <c r="D37" s="69">
        <v>1000</v>
      </c>
      <c r="F37" s="55"/>
      <c r="G37">
        <v>36</v>
      </c>
      <c r="H37" s="7" t="s">
        <v>1702</v>
      </c>
      <c r="I37" t="s">
        <v>29</v>
      </c>
      <c r="J37">
        <f>LEN(H37)</f>
        <v>16</v>
      </c>
      <c r="K37" s="49" t="s">
        <v>5485</v>
      </c>
      <c r="O37" s="3" t="s">
        <v>7010</v>
      </c>
      <c r="P37" s="3" t="s">
        <v>7010</v>
      </c>
      <c r="Q37" s="3" t="s">
        <v>7010</v>
      </c>
      <c r="R37" s="3" t="s">
        <v>7010</v>
      </c>
      <c r="S37" s="3" t="s">
        <v>7010</v>
      </c>
      <c r="T37" s="3" t="s">
        <v>7010</v>
      </c>
      <c r="U37" s="3" t="s">
        <v>7010</v>
      </c>
      <c r="V37" s="3" t="s">
        <v>7010</v>
      </c>
      <c r="W37" s="74" t="str">
        <f t="shared" si="1"/>
        <v>No</v>
      </c>
      <c r="Z37">
        <v>36</v>
      </c>
      <c r="AA37" s="55" t="s">
        <v>668</v>
      </c>
      <c r="AB37" t="s">
        <v>643</v>
      </c>
      <c r="AC37">
        <f t="shared" si="0"/>
        <v>9</v>
      </c>
      <c r="AD37" s="30" t="s">
        <v>2418</v>
      </c>
      <c r="AF37" t="s">
        <v>7450</v>
      </c>
      <c r="AH37" s="3" t="s">
        <v>7015</v>
      </c>
      <c r="AI37" s="3" t="s">
        <v>7010</v>
      </c>
      <c r="AJ37" s="3" t="s">
        <v>7010</v>
      </c>
      <c r="AK37" s="3" t="s">
        <v>7015</v>
      </c>
      <c r="AL37" s="3" t="s">
        <v>7010</v>
      </c>
      <c r="AM37" s="3" t="s">
        <v>7010</v>
      </c>
      <c r="AN37" s="3" t="s">
        <v>7010</v>
      </c>
      <c r="AO37" s="3" t="s">
        <v>7010</v>
      </c>
      <c r="AP37" s="74" t="s">
        <v>7015</v>
      </c>
      <c r="AU37">
        <v>36</v>
      </c>
      <c r="AV37" t="s">
        <v>2419</v>
      </c>
      <c r="AW37" t="s">
        <v>2279</v>
      </c>
      <c r="AX37">
        <f t="shared" si="2"/>
        <v>10</v>
      </c>
      <c r="AY37" s="30" t="s">
        <v>2420</v>
      </c>
      <c r="BC37" s="3" t="s">
        <v>7010</v>
      </c>
      <c r="BD37" s="3" t="s">
        <v>7010</v>
      </c>
      <c r="BE37" s="3" t="s">
        <v>7015</v>
      </c>
      <c r="BF37" s="3" t="s">
        <v>7010</v>
      </c>
      <c r="BG37" s="3" t="s">
        <v>7010</v>
      </c>
      <c r="BH37" s="3" t="s">
        <v>7010</v>
      </c>
      <c r="BI37" s="3" t="s">
        <v>7010</v>
      </c>
      <c r="BJ37" s="3" t="s">
        <v>7010</v>
      </c>
      <c r="BK37" s="74" t="str">
        <f t="shared" si="3"/>
        <v>Yes</v>
      </c>
    </row>
    <row r="38" spans="2:63">
      <c r="B38" s="72" t="s">
        <v>7402</v>
      </c>
      <c r="C38" s="72">
        <f>COUNTIF(BK:BK, "yes")</f>
        <v>236</v>
      </c>
      <c r="D38" s="72">
        <f>COUNTIF(BK:BK, "no")</f>
        <v>764</v>
      </c>
      <c r="F38" s="55"/>
      <c r="G38">
        <v>37</v>
      </c>
      <c r="H38" s="7" t="s">
        <v>1010</v>
      </c>
      <c r="I38" t="s">
        <v>29</v>
      </c>
      <c r="J38">
        <f>LEN(H38)</f>
        <v>11</v>
      </c>
      <c r="K38" s="49" t="s">
        <v>3719</v>
      </c>
      <c r="O38" s="3" t="s">
        <v>7010</v>
      </c>
      <c r="P38" s="3" t="s">
        <v>7010</v>
      </c>
      <c r="Q38" s="3" t="s">
        <v>7010</v>
      </c>
      <c r="R38" s="3" t="s">
        <v>7010</v>
      </c>
      <c r="S38" s="3" t="s">
        <v>7010</v>
      </c>
      <c r="T38" s="3" t="s">
        <v>7010</v>
      </c>
      <c r="U38" s="3" t="s">
        <v>7010</v>
      </c>
      <c r="V38" s="3" t="s">
        <v>7010</v>
      </c>
      <c r="W38" s="74" t="str">
        <f t="shared" si="1"/>
        <v>No</v>
      </c>
      <c r="Z38">
        <v>37</v>
      </c>
      <c r="AA38" s="55" t="s">
        <v>669</v>
      </c>
      <c r="AB38" t="s">
        <v>643</v>
      </c>
      <c r="AC38">
        <f t="shared" si="0"/>
        <v>6</v>
      </c>
      <c r="AD38" s="30" t="s">
        <v>2422</v>
      </c>
      <c r="AF38" t="s">
        <v>7451</v>
      </c>
      <c r="AH38" s="3" t="s">
        <v>7015</v>
      </c>
      <c r="AI38" s="3" t="s">
        <v>7010</v>
      </c>
      <c r="AJ38" s="3" t="s">
        <v>7010</v>
      </c>
      <c r="AK38" s="3" t="s">
        <v>7015</v>
      </c>
      <c r="AL38" s="3" t="s">
        <v>7010</v>
      </c>
      <c r="AM38" s="3" t="s">
        <v>7010</v>
      </c>
      <c r="AN38" s="3" t="s">
        <v>7010</v>
      </c>
      <c r="AO38" s="3" t="s">
        <v>7010</v>
      </c>
      <c r="AP38" s="74" t="s">
        <v>7015</v>
      </c>
      <c r="AU38">
        <v>37</v>
      </c>
      <c r="AV38" t="s">
        <v>2423</v>
      </c>
      <c r="AW38" t="s">
        <v>2279</v>
      </c>
      <c r="AX38">
        <f t="shared" si="2"/>
        <v>9</v>
      </c>
      <c r="AY38" s="30" t="s">
        <v>2424</v>
      </c>
      <c r="BC38" s="3" t="s">
        <v>7010</v>
      </c>
      <c r="BD38" s="3" t="s">
        <v>7010</v>
      </c>
      <c r="BE38" s="3" t="s">
        <v>7010</v>
      </c>
      <c r="BF38" s="3" t="s">
        <v>7010</v>
      </c>
      <c r="BG38" s="3" t="s">
        <v>7010</v>
      </c>
      <c r="BH38" s="3" t="s">
        <v>7010</v>
      </c>
      <c r="BI38" s="3" t="s">
        <v>7010</v>
      </c>
      <c r="BJ38" s="3" t="s">
        <v>7010</v>
      </c>
      <c r="BK38" s="74" t="str">
        <f t="shared" si="3"/>
        <v>No</v>
      </c>
    </row>
    <row r="39" spans="2:63">
      <c r="F39" s="55"/>
      <c r="G39">
        <v>38</v>
      </c>
      <c r="H39" s="7" t="s">
        <v>1108</v>
      </c>
      <c r="I39" t="s">
        <v>29</v>
      </c>
      <c r="J39">
        <f>LEN(H39)</f>
        <v>14</v>
      </c>
      <c r="K39" s="49" t="s">
        <v>3982</v>
      </c>
      <c r="O39" s="3" t="s">
        <v>7010</v>
      </c>
      <c r="P39" s="3" t="s">
        <v>7010</v>
      </c>
      <c r="Q39" s="3" t="s">
        <v>7010</v>
      </c>
      <c r="R39" s="3" t="s">
        <v>7010</v>
      </c>
      <c r="S39" s="3" t="s">
        <v>7010</v>
      </c>
      <c r="T39" s="3" t="s">
        <v>7010</v>
      </c>
      <c r="U39" s="3" t="s">
        <v>7010</v>
      </c>
      <c r="V39" s="3" t="s">
        <v>7010</v>
      </c>
      <c r="W39" s="74" t="str">
        <f t="shared" si="1"/>
        <v>No</v>
      </c>
      <c r="Z39">
        <v>38</v>
      </c>
      <c r="AA39" s="55" t="s">
        <v>670</v>
      </c>
      <c r="AB39" t="s">
        <v>643</v>
      </c>
      <c r="AC39">
        <f t="shared" si="0"/>
        <v>6</v>
      </c>
      <c r="AD39" s="30" t="s">
        <v>2426</v>
      </c>
      <c r="AF39" t="s">
        <v>7452</v>
      </c>
      <c r="AH39" s="3" t="s">
        <v>7015</v>
      </c>
      <c r="AI39" s="3" t="s">
        <v>7010</v>
      </c>
      <c r="AJ39" s="3" t="s">
        <v>7010</v>
      </c>
      <c r="AK39" s="3" t="s">
        <v>7015</v>
      </c>
      <c r="AL39" s="3" t="s">
        <v>7010</v>
      </c>
      <c r="AM39" s="3" t="s">
        <v>7010</v>
      </c>
      <c r="AN39" s="3" t="s">
        <v>7010</v>
      </c>
      <c r="AO39" s="3" t="s">
        <v>7010</v>
      </c>
      <c r="AP39" s="74" t="s">
        <v>7015</v>
      </c>
      <c r="AU39">
        <v>38</v>
      </c>
      <c r="AV39" t="s">
        <v>2427</v>
      </c>
      <c r="AW39" t="s">
        <v>2279</v>
      </c>
      <c r="AX39">
        <f t="shared" si="2"/>
        <v>14</v>
      </c>
      <c r="AY39" s="30" t="s">
        <v>2428</v>
      </c>
      <c r="BC39" s="3" t="s">
        <v>7010</v>
      </c>
      <c r="BD39" s="3" t="s">
        <v>7010</v>
      </c>
      <c r="BE39" s="3" t="s">
        <v>7010</v>
      </c>
      <c r="BF39" s="3" t="s">
        <v>7010</v>
      </c>
      <c r="BG39" s="3" t="s">
        <v>7010</v>
      </c>
      <c r="BH39" s="3" t="s">
        <v>7010</v>
      </c>
      <c r="BI39" s="3" t="s">
        <v>7010</v>
      </c>
      <c r="BJ39" s="3" t="s">
        <v>7010</v>
      </c>
      <c r="BK39" s="74" t="str">
        <f t="shared" si="3"/>
        <v>No</v>
      </c>
    </row>
    <row r="40" spans="2:63">
      <c r="F40" s="55"/>
      <c r="G40">
        <v>39</v>
      </c>
      <c r="H40" s="7" t="s">
        <v>932</v>
      </c>
      <c r="I40" t="s">
        <v>29</v>
      </c>
      <c r="J40">
        <f>LEN(H40)</f>
        <v>12</v>
      </c>
      <c r="K40" s="49" t="s">
        <v>3526</v>
      </c>
      <c r="O40" s="3" t="s">
        <v>7010</v>
      </c>
      <c r="P40" s="3" t="s">
        <v>7010</v>
      </c>
      <c r="Q40" s="3" t="s">
        <v>7010</v>
      </c>
      <c r="R40" s="3" t="s">
        <v>7010</v>
      </c>
      <c r="S40" s="3" t="s">
        <v>7010</v>
      </c>
      <c r="T40" s="3" t="s">
        <v>7010</v>
      </c>
      <c r="U40" s="3" t="s">
        <v>7010</v>
      </c>
      <c r="V40" s="3" t="s">
        <v>7010</v>
      </c>
      <c r="W40" s="74" t="str">
        <f t="shared" si="1"/>
        <v>No</v>
      </c>
      <c r="Z40">
        <v>39</v>
      </c>
      <c r="AA40" s="55" t="s">
        <v>671</v>
      </c>
      <c r="AB40" t="s">
        <v>643</v>
      </c>
      <c r="AC40">
        <f t="shared" si="0"/>
        <v>7</v>
      </c>
      <c r="AD40" s="30" t="s">
        <v>2430</v>
      </c>
      <c r="AF40" t="s">
        <v>7453</v>
      </c>
      <c r="AH40" s="3" t="s">
        <v>7015</v>
      </c>
      <c r="AI40" s="3" t="s">
        <v>7010</v>
      </c>
      <c r="AJ40" s="3" t="s">
        <v>7010</v>
      </c>
      <c r="AK40" s="3" t="s">
        <v>7015</v>
      </c>
      <c r="AL40" s="3" t="s">
        <v>7010</v>
      </c>
      <c r="AM40" s="3" t="s">
        <v>7010</v>
      </c>
      <c r="AN40" s="3" t="s">
        <v>7010</v>
      </c>
      <c r="AO40" s="3" t="s">
        <v>7010</v>
      </c>
      <c r="AP40" s="74" t="s">
        <v>7015</v>
      </c>
      <c r="AU40">
        <v>39</v>
      </c>
      <c r="AV40" t="s">
        <v>2431</v>
      </c>
      <c r="AW40" t="s">
        <v>2279</v>
      </c>
      <c r="AX40">
        <f t="shared" si="2"/>
        <v>10</v>
      </c>
      <c r="AY40" s="30" t="s">
        <v>2432</v>
      </c>
      <c r="BC40" s="3" t="s">
        <v>7010</v>
      </c>
      <c r="BD40" s="3" t="s">
        <v>7010</v>
      </c>
      <c r="BE40" s="3" t="s">
        <v>7015</v>
      </c>
      <c r="BF40" s="3" t="s">
        <v>7010</v>
      </c>
      <c r="BG40" s="3" t="s">
        <v>7010</v>
      </c>
      <c r="BH40" s="3" t="s">
        <v>7010</v>
      </c>
      <c r="BI40" s="3" t="s">
        <v>7010</v>
      </c>
      <c r="BJ40" s="3" t="s">
        <v>7010</v>
      </c>
      <c r="BK40" s="74" t="str">
        <f t="shared" si="3"/>
        <v>Yes</v>
      </c>
    </row>
    <row r="41" spans="2:63">
      <c r="F41" s="55"/>
      <c r="G41">
        <v>40</v>
      </c>
      <c r="H41" s="7" t="s">
        <v>1742</v>
      </c>
      <c r="I41" t="s">
        <v>29</v>
      </c>
      <c r="J41">
        <f>LEN(H41)</f>
        <v>11</v>
      </c>
      <c r="K41" s="49" t="s">
        <v>5584</v>
      </c>
      <c r="O41" s="3" t="s">
        <v>7010</v>
      </c>
      <c r="P41" s="3" t="s">
        <v>7010</v>
      </c>
      <c r="Q41" s="3" t="s">
        <v>7010</v>
      </c>
      <c r="R41" s="3" t="s">
        <v>7010</v>
      </c>
      <c r="S41" s="3" t="s">
        <v>7010</v>
      </c>
      <c r="T41" s="3" t="s">
        <v>7010</v>
      </c>
      <c r="U41" s="3" t="s">
        <v>7010</v>
      </c>
      <c r="V41" s="3" t="s">
        <v>7010</v>
      </c>
      <c r="W41" s="74" t="str">
        <f t="shared" si="1"/>
        <v>No</v>
      </c>
      <c r="Z41">
        <v>40</v>
      </c>
      <c r="AA41" s="55">
        <v>123123</v>
      </c>
      <c r="AB41" t="s">
        <v>643</v>
      </c>
      <c r="AC41">
        <f t="shared" si="0"/>
        <v>6</v>
      </c>
      <c r="AD41" s="30" t="s">
        <v>2434</v>
      </c>
      <c r="AF41" t="s">
        <v>7454</v>
      </c>
      <c r="AH41" s="3" t="s">
        <v>7015</v>
      </c>
      <c r="AI41" s="3" t="s">
        <v>7010</v>
      </c>
      <c r="AJ41" s="3" t="s">
        <v>7010</v>
      </c>
      <c r="AK41" s="3" t="s">
        <v>7015</v>
      </c>
      <c r="AL41" s="3" t="s">
        <v>7010</v>
      </c>
      <c r="AM41" s="3" t="s">
        <v>7010</v>
      </c>
      <c r="AN41" s="3" t="s">
        <v>7010</v>
      </c>
      <c r="AO41" s="3" t="s">
        <v>7010</v>
      </c>
      <c r="AP41" s="74" t="s">
        <v>7015</v>
      </c>
      <c r="AU41">
        <v>40</v>
      </c>
      <c r="AV41" t="s">
        <v>2435</v>
      </c>
      <c r="AW41" t="s">
        <v>2279</v>
      </c>
      <c r="AX41">
        <f t="shared" si="2"/>
        <v>8</v>
      </c>
      <c r="AY41" s="30" t="s">
        <v>2436</v>
      </c>
      <c r="BC41" s="3" t="s">
        <v>7010</v>
      </c>
      <c r="BD41" s="3" t="s">
        <v>7010</v>
      </c>
      <c r="BE41" s="3" t="s">
        <v>7015</v>
      </c>
      <c r="BF41" s="3" t="s">
        <v>7010</v>
      </c>
      <c r="BG41" s="3" t="s">
        <v>7010</v>
      </c>
      <c r="BH41" s="3" t="s">
        <v>7010</v>
      </c>
      <c r="BI41" s="3" t="s">
        <v>7010</v>
      </c>
      <c r="BJ41" s="3" t="s">
        <v>7010</v>
      </c>
      <c r="BK41" s="74" t="str">
        <f t="shared" si="3"/>
        <v>Yes</v>
      </c>
    </row>
    <row r="42" spans="2:63">
      <c r="F42" s="55"/>
      <c r="G42">
        <v>41</v>
      </c>
      <c r="H42" s="7" t="s">
        <v>1026</v>
      </c>
      <c r="I42" t="s">
        <v>29</v>
      </c>
      <c r="J42">
        <f>LEN(H42)</f>
        <v>11</v>
      </c>
      <c r="K42" s="49" t="s">
        <v>3767</v>
      </c>
      <c r="O42" s="3" t="s">
        <v>7010</v>
      </c>
      <c r="P42" s="3" t="s">
        <v>7010</v>
      </c>
      <c r="Q42" s="3" t="s">
        <v>7010</v>
      </c>
      <c r="R42" s="3" t="s">
        <v>7010</v>
      </c>
      <c r="S42" s="3" t="s">
        <v>7010</v>
      </c>
      <c r="T42" s="3" t="s">
        <v>7010</v>
      </c>
      <c r="U42" s="3" t="s">
        <v>7010</v>
      </c>
      <c r="V42" s="3" t="s">
        <v>7010</v>
      </c>
      <c r="W42" s="74" t="str">
        <f t="shared" si="1"/>
        <v>No</v>
      </c>
      <c r="Z42">
        <v>41</v>
      </c>
      <c r="AA42" s="55" t="s">
        <v>672</v>
      </c>
      <c r="AB42" t="s">
        <v>643</v>
      </c>
      <c r="AC42">
        <f t="shared" si="0"/>
        <v>8</v>
      </c>
      <c r="AD42" s="30" t="s">
        <v>2438</v>
      </c>
      <c r="AF42" t="s">
        <v>7455</v>
      </c>
      <c r="AH42" s="3" t="s">
        <v>7015</v>
      </c>
      <c r="AI42" s="3" t="s">
        <v>7010</v>
      </c>
      <c r="AJ42" s="3" t="s">
        <v>7010</v>
      </c>
      <c r="AK42" s="3" t="s">
        <v>7015</v>
      </c>
      <c r="AL42" s="3" t="s">
        <v>7010</v>
      </c>
      <c r="AM42" s="3" t="s">
        <v>7010</v>
      </c>
      <c r="AN42" s="3" t="s">
        <v>7010</v>
      </c>
      <c r="AO42" s="3" t="s">
        <v>7010</v>
      </c>
      <c r="AP42" s="74" t="s">
        <v>7015</v>
      </c>
      <c r="AU42">
        <v>41</v>
      </c>
      <c r="AV42" t="s">
        <v>2439</v>
      </c>
      <c r="AW42" t="s">
        <v>2279</v>
      </c>
      <c r="AX42">
        <f t="shared" si="2"/>
        <v>9</v>
      </c>
      <c r="AY42" s="30" t="s">
        <v>2440</v>
      </c>
      <c r="BC42" s="3" t="s">
        <v>7010</v>
      </c>
      <c r="BD42" s="3" t="s">
        <v>7010</v>
      </c>
      <c r="BE42" s="3" t="s">
        <v>7015</v>
      </c>
      <c r="BF42" s="3" t="s">
        <v>7010</v>
      </c>
      <c r="BG42" s="3" t="s">
        <v>7010</v>
      </c>
      <c r="BH42" s="3" t="s">
        <v>7010</v>
      </c>
      <c r="BI42" s="3" t="s">
        <v>7010</v>
      </c>
      <c r="BJ42" s="3" t="s">
        <v>7010</v>
      </c>
      <c r="BK42" s="74" t="str">
        <f t="shared" si="3"/>
        <v>Yes</v>
      </c>
    </row>
    <row r="43" spans="2:63">
      <c r="F43" s="55"/>
      <c r="G43">
        <v>42</v>
      </c>
      <c r="H43" s="7" t="s">
        <v>554</v>
      </c>
      <c r="I43" t="s">
        <v>29</v>
      </c>
      <c r="J43">
        <f>LEN(H43)</f>
        <v>11</v>
      </c>
      <c r="K43" s="49" t="s">
        <v>3133</v>
      </c>
      <c r="O43" s="3" t="s">
        <v>7010</v>
      </c>
      <c r="P43" s="3" t="s">
        <v>7010</v>
      </c>
      <c r="Q43" s="3" t="s">
        <v>7010</v>
      </c>
      <c r="R43" s="3" t="s">
        <v>7010</v>
      </c>
      <c r="S43" s="3" t="s">
        <v>7010</v>
      </c>
      <c r="T43" s="3" t="s">
        <v>7015</v>
      </c>
      <c r="U43" s="3" t="s">
        <v>7010</v>
      </c>
      <c r="V43" s="3" t="s">
        <v>7010</v>
      </c>
      <c r="W43" s="74" t="str">
        <f t="shared" si="1"/>
        <v>Yes</v>
      </c>
      <c r="Z43">
        <v>42</v>
      </c>
      <c r="AA43" s="55" t="s">
        <v>673</v>
      </c>
      <c r="AB43" t="s">
        <v>643</v>
      </c>
      <c r="AC43">
        <f t="shared" si="0"/>
        <v>6</v>
      </c>
      <c r="AD43" s="30" t="s">
        <v>2442</v>
      </c>
      <c r="AF43" s="54" t="s">
        <v>7456</v>
      </c>
      <c r="AH43" s="3" t="s">
        <v>7015</v>
      </c>
      <c r="AI43" s="3" t="s">
        <v>7010</v>
      </c>
      <c r="AJ43" s="3" t="s">
        <v>7010</v>
      </c>
      <c r="AK43" s="3" t="s">
        <v>7015</v>
      </c>
      <c r="AL43" s="3" t="s">
        <v>7010</v>
      </c>
      <c r="AM43" s="3" t="s">
        <v>7010</v>
      </c>
      <c r="AN43" s="3" t="s">
        <v>7010</v>
      </c>
      <c r="AO43" s="3" t="s">
        <v>7010</v>
      </c>
      <c r="AP43" s="74" t="s">
        <v>7015</v>
      </c>
      <c r="AU43">
        <v>42</v>
      </c>
      <c r="AV43" t="s">
        <v>2443</v>
      </c>
      <c r="AW43" t="s">
        <v>2279</v>
      </c>
      <c r="AX43">
        <f t="shared" si="2"/>
        <v>9</v>
      </c>
      <c r="AY43" s="30" t="s">
        <v>2444</v>
      </c>
      <c r="BC43" s="3" t="s">
        <v>7010</v>
      </c>
      <c r="BD43" s="3" t="s">
        <v>7010</v>
      </c>
      <c r="BE43" s="3" t="s">
        <v>7015</v>
      </c>
      <c r="BF43" s="3" t="s">
        <v>7010</v>
      </c>
      <c r="BG43" s="3" t="s">
        <v>7010</v>
      </c>
      <c r="BH43" s="3" t="s">
        <v>7010</v>
      </c>
      <c r="BI43" s="3" t="s">
        <v>7010</v>
      </c>
      <c r="BJ43" s="3" t="s">
        <v>7010</v>
      </c>
      <c r="BK43" s="74" t="str">
        <f t="shared" si="3"/>
        <v>Yes</v>
      </c>
    </row>
    <row r="44" spans="2:63">
      <c r="B44" s="74"/>
      <c r="F44" s="55"/>
      <c r="G44">
        <v>43</v>
      </c>
      <c r="H44" s="7" t="s">
        <v>462</v>
      </c>
      <c r="I44" t="s">
        <v>29</v>
      </c>
      <c r="J44">
        <f>LEN(H44)</f>
        <v>11</v>
      </c>
      <c r="K44" s="49" t="s">
        <v>2765</v>
      </c>
      <c r="O44" s="3" t="s">
        <v>7010</v>
      </c>
      <c r="P44" s="3" t="s">
        <v>7010</v>
      </c>
      <c r="Q44" s="3" t="s">
        <v>7010</v>
      </c>
      <c r="R44" s="3" t="s">
        <v>7010</v>
      </c>
      <c r="S44" s="3" t="s">
        <v>7010</v>
      </c>
      <c r="T44" s="3" t="s">
        <v>7015</v>
      </c>
      <c r="U44" s="3" t="s">
        <v>7010</v>
      </c>
      <c r="V44" s="3" t="s">
        <v>7010</v>
      </c>
      <c r="W44" s="74" t="str">
        <f t="shared" si="1"/>
        <v>Yes</v>
      </c>
      <c r="Z44">
        <v>43</v>
      </c>
      <c r="AA44" s="55" t="s">
        <v>674</v>
      </c>
      <c r="AB44" t="s">
        <v>643</v>
      </c>
      <c r="AC44">
        <f t="shared" si="0"/>
        <v>6</v>
      </c>
      <c r="AD44" s="30" t="s">
        <v>2446</v>
      </c>
      <c r="AF44" t="s">
        <v>7457</v>
      </c>
      <c r="AH44" s="3" t="s">
        <v>7015</v>
      </c>
      <c r="AI44" s="3" t="s">
        <v>7010</v>
      </c>
      <c r="AJ44" s="3" t="s">
        <v>7010</v>
      </c>
      <c r="AK44" s="3" t="s">
        <v>7015</v>
      </c>
      <c r="AL44" s="3" t="s">
        <v>7010</v>
      </c>
      <c r="AM44" s="3" t="s">
        <v>7010</v>
      </c>
      <c r="AN44" s="3" t="s">
        <v>7010</v>
      </c>
      <c r="AO44" s="3" t="s">
        <v>7010</v>
      </c>
      <c r="AP44" s="74" t="s">
        <v>7015</v>
      </c>
      <c r="AU44">
        <v>43</v>
      </c>
      <c r="AV44" t="s">
        <v>2447</v>
      </c>
      <c r="AW44" t="s">
        <v>2279</v>
      </c>
      <c r="AX44">
        <f t="shared" si="2"/>
        <v>8</v>
      </c>
      <c r="AY44" s="30" t="s">
        <v>2448</v>
      </c>
      <c r="BC44" s="3" t="s">
        <v>7015</v>
      </c>
      <c r="BD44" s="3" t="s">
        <v>7010</v>
      </c>
      <c r="BE44" s="3" t="s">
        <v>7015</v>
      </c>
      <c r="BF44" s="3" t="s">
        <v>7010</v>
      </c>
      <c r="BG44" s="3" t="s">
        <v>7010</v>
      </c>
      <c r="BH44" s="3" t="s">
        <v>7010</v>
      </c>
      <c r="BI44" s="3" t="s">
        <v>7010</v>
      </c>
      <c r="BJ44" s="3" t="s">
        <v>7010</v>
      </c>
      <c r="BK44" s="74" t="str">
        <f t="shared" si="3"/>
        <v>Yes</v>
      </c>
    </row>
    <row r="45" spans="2:63">
      <c r="F45" s="55"/>
      <c r="G45">
        <v>44</v>
      </c>
      <c r="H45" s="7" t="s">
        <v>1064</v>
      </c>
      <c r="I45" t="s">
        <v>29</v>
      </c>
      <c r="J45">
        <f>LEN(H45)</f>
        <v>14</v>
      </c>
      <c r="K45" s="49" t="s">
        <v>3868</v>
      </c>
      <c r="O45" s="3" t="s">
        <v>7010</v>
      </c>
      <c r="P45" s="3" t="s">
        <v>7010</v>
      </c>
      <c r="Q45" s="3" t="s">
        <v>7010</v>
      </c>
      <c r="R45" s="3" t="s">
        <v>7010</v>
      </c>
      <c r="S45" s="3" t="s">
        <v>7010</v>
      </c>
      <c r="T45" s="3" t="s">
        <v>7015</v>
      </c>
      <c r="U45" s="3" t="s">
        <v>7010</v>
      </c>
      <c r="V45" s="3" t="s">
        <v>7010</v>
      </c>
      <c r="W45" s="74" t="str">
        <f t="shared" si="1"/>
        <v>Yes</v>
      </c>
      <c r="Z45">
        <v>44</v>
      </c>
      <c r="AA45" s="55" t="s">
        <v>675</v>
      </c>
      <c r="AB45" t="s">
        <v>643</v>
      </c>
      <c r="AC45">
        <f t="shared" si="0"/>
        <v>6</v>
      </c>
      <c r="AD45" s="30" t="s">
        <v>2450</v>
      </c>
      <c r="AF45" t="s">
        <v>7458</v>
      </c>
      <c r="AH45" s="3" t="s">
        <v>7015</v>
      </c>
      <c r="AI45" s="3" t="s">
        <v>7010</v>
      </c>
      <c r="AJ45" s="3" t="s">
        <v>7010</v>
      </c>
      <c r="AK45" s="3" t="s">
        <v>7015</v>
      </c>
      <c r="AL45" s="3" t="s">
        <v>7010</v>
      </c>
      <c r="AM45" s="3" t="s">
        <v>7010</v>
      </c>
      <c r="AN45" s="3" t="s">
        <v>7010</v>
      </c>
      <c r="AO45" s="3" t="s">
        <v>7010</v>
      </c>
      <c r="AP45" s="74" t="s">
        <v>7015</v>
      </c>
      <c r="AU45">
        <v>44</v>
      </c>
      <c r="AV45" t="s">
        <v>2451</v>
      </c>
      <c r="AW45" t="s">
        <v>2279</v>
      </c>
      <c r="AX45">
        <f t="shared" si="2"/>
        <v>14</v>
      </c>
      <c r="AY45" s="30" t="s">
        <v>2452</v>
      </c>
      <c r="BC45" s="3" t="s">
        <v>7010</v>
      </c>
      <c r="BD45" s="3" t="s">
        <v>7010</v>
      </c>
      <c r="BE45" s="3" t="s">
        <v>7010</v>
      </c>
      <c r="BF45" s="3" t="s">
        <v>7010</v>
      </c>
      <c r="BG45" s="3" t="s">
        <v>7010</v>
      </c>
      <c r="BH45" s="3" t="s">
        <v>7010</v>
      </c>
      <c r="BI45" s="3" t="s">
        <v>7010</v>
      </c>
      <c r="BJ45" s="3" t="s">
        <v>7010</v>
      </c>
      <c r="BK45" s="74" t="str">
        <f t="shared" si="3"/>
        <v>No</v>
      </c>
    </row>
    <row r="46" spans="2:63">
      <c r="F46" s="55"/>
      <c r="G46">
        <v>45</v>
      </c>
      <c r="H46" t="s">
        <v>6950</v>
      </c>
      <c r="I46" t="s">
        <v>29</v>
      </c>
      <c r="J46">
        <f>LEN(H46)</f>
        <v>9</v>
      </c>
      <c r="K46" s="51" t="s">
        <v>6951</v>
      </c>
      <c r="O46" s="3" t="s">
        <v>7010</v>
      </c>
      <c r="P46" s="3" t="s">
        <v>7010</v>
      </c>
      <c r="Q46" s="3" t="s">
        <v>7010</v>
      </c>
      <c r="R46" s="3" t="s">
        <v>7015</v>
      </c>
      <c r="S46" s="3" t="s">
        <v>7010</v>
      </c>
      <c r="T46" s="3" t="s">
        <v>7015</v>
      </c>
      <c r="U46" s="3" t="s">
        <v>7010</v>
      </c>
      <c r="V46" s="3" t="s">
        <v>7010</v>
      </c>
      <c r="W46" s="74" t="str">
        <f t="shared" si="1"/>
        <v>Yes</v>
      </c>
      <c r="Z46">
        <v>45</v>
      </c>
      <c r="AA46" s="55" t="s">
        <v>676</v>
      </c>
      <c r="AB46" t="s">
        <v>643</v>
      </c>
      <c r="AC46">
        <f t="shared" si="0"/>
        <v>8</v>
      </c>
      <c r="AD46" s="30" t="s">
        <v>2454</v>
      </c>
      <c r="AF46" t="s">
        <v>7459</v>
      </c>
      <c r="AH46" s="3" t="s">
        <v>7015</v>
      </c>
      <c r="AI46" s="3" t="s">
        <v>7010</v>
      </c>
      <c r="AJ46" s="3" t="s">
        <v>7010</v>
      </c>
      <c r="AK46" s="3" t="s">
        <v>7015</v>
      </c>
      <c r="AL46" s="3" t="s">
        <v>7010</v>
      </c>
      <c r="AM46" s="3" t="s">
        <v>7010</v>
      </c>
      <c r="AN46" s="3" t="s">
        <v>7010</v>
      </c>
      <c r="AO46" s="3" t="s">
        <v>7010</v>
      </c>
      <c r="AP46" s="74" t="s">
        <v>7015</v>
      </c>
      <c r="AU46">
        <v>45</v>
      </c>
      <c r="AV46" t="s">
        <v>2455</v>
      </c>
      <c r="AW46" t="s">
        <v>2279</v>
      </c>
      <c r="AX46">
        <f t="shared" si="2"/>
        <v>10</v>
      </c>
      <c r="AY46" s="30" t="s">
        <v>2456</v>
      </c>
      <c r="BC46" s="3" t="s">
        <v>7010</v>
      </c>
      <c r="BD46" s="3" t="s">
        <v>7010</v>
      </c>
      <c r="BE46" s="3" t="s">
        <v>7010</v>
      </c>
      <c r="BF46" s="3" t="s">
        <v>7010</v>
      </c>
      <c r="BG46" s="3" t="s">
        <v>7010</v>
      </c>
      <c r="BH46" s="3" t="s">
        <v>7010</v>
      </c>
      <c r="BI46" s="3" t="s">
        <v>7010</v>
      </c>
      <c r="BJ46" s="3" t="s">
        <v>7010</v>
      </c>
      <c r="BK46" s="74" t="str">
        <f t="shared" si="3"/>
        <v>No</v>
      </c>
    </row>
    <row r="47" spans="2:63">
      <c r="F47" s="55"/>
      <c r="G47">
        <v>46</v>
      </c>
      <c r="H47" s="7" t="s">
        <v>628</v>
      </c>
      <c r="I47" t="s">
        <v>29</v>
      </c>
      <c r="J47">
        <f>LEN(H47)</f>
        <v>13</v>
      </c>
      <c r="K47" s="49" t="s">
        <v>3429</v>
      </c>
      <c r="O47" s="3" t="s">
        <v>7010</v>
      </c>
      <c r="P47" s="3" t="s">
        <v>7010</v>
      </c>
      <c r="Q47" s="3" t="s">
        <v>7010</v>
      </c>
      <c r="R47" s="3" t="s">
        <v>7010</v>
      </c>
      <c r="S47" s="3" t="s">
        <v>7010</v>
      </c>
      <c r="T47" s="3" t="s">
        <v>7015</v>
      </c>
      <c r="U47" s="3" t="s">
        <v>7010</v>
      </c>
      <c r="V47" s="3" t="s">
        <v>7010</v>
      </c>
      <c r="W47" s="74" t="str">
        <f t="shared" si="1"/>
        <v>Yes</v>
      </c>
      <c r="Z47">
        <v>46</v>
      </c>
      <c r="AA47" s="55" t="s">
        <v>677</v>
      </c>
      <c r="AB47" t="s">
        <v>643</v>
      </c>
      <c r="AC47">
        <f t="shared" si="0"/>
        <v>6</v>
      </c>
      <c r="AD47" s="30" t="s">
        <v>2458</v>
      </c>
      <c r="AF47" t="s">
        <v>7460</v>
      </c>
      <c r="AH47" s="3" t="s">
        <v>7015</v>
      </c>
      <c r="AI47" s="3" t="s">
        <v>7010</v>
      </c>
      <c r="AJ47" s="3" t="s">
        <v>7010</v>
      </c>
      <c r="AK47" s="3" t="s">
        <v>7015</v>
      </c>
      <c r="AL47" s="3" t="s">
        <v>7010</v>
      </c>
      <c r="AM47" s="3" t="s">
        <v>7010</v>
      </c>
      <c r="AN47" s="3" t="s">
        <v>7010</v>
      </c>
      <c r="AO47" s="3" t="s">
        <v>7010</v>
      </c>
      <c r="AP47" s="74" t="s">
        <v>7015</v>
      </c>
      <c r="AU47">
        <v>46</v>
      </c>
      <c r="AV47" t="s">
        <v>2459</v>
      </c>
      <c r="AW47" t="s">
        <v>2279</v>
      </c>
      <c r="AX47">
        <f t="shared" si="2"/>
        <v>9</v>
      </c>
      <c r="AY47" s="30" t="s">
        <v>2460</v>
      </c>
      <c r="BC47" s="3" t="s">
        <v>7010</v>
      </c>
      <c r="BD47" s="3" t="s">
        <v>7010</v>
      </c>
      <c r="BE47" s="3" t="s">
        <v>7010</v>
      </c>
      <c r="BF47" s="3" t="s">
        <v>7010</v>
      </c>
      <c r="BG47" s="3" t="s">
        <v>7010</v>
      </c>
      <c r="BH47" s="3" t="s">
        <v>7010</v>
      </c>
      <c r="BI47" s="3" t="s">
        <v>7010</v>
      </c>
      <c r="BJ47" s="3" t="s">
        <v>7010</v>
      </c>
      <c r="BK47" s="74" t="str">
        <f t="shared" si="3"/>
        <v>No</v>
      </c>
    </row>
    <row r="48" spans="2:63">
      <c r="F48" s="55"/>
      <c r="G48">
        <v>47</v>
      </c>
      <c r="H48" s="7" t="s">
        <v>1512</v>
      </c>
      <c r="I48" t="s">
        <v>29</v>
      </c>
      <c r="J48">
        <f>LEN(H48)</f>
        <v>13</v>
      </c>
      <c r="K48" s="49" t="s">
        <v>5006</v>
      </c>
      <c r="O48" s="3" t="s">
        <v>7010</v>
      </c>
      <c r="P48" s="3" t="s">
        <v>7010</v>
      </c>
      <c r="Q48" s="3" t="s">
        <v>7010</v>
      </c>
      <c r="R48" s="3" t="s">
        <v>7010</v>
      </c>
      <c r="S48" s="3" t="s">
        <v>7010</v>
      </c>
      <c r="T48" s="3" t="s">
        <v>7010</v>
      </c>
      <c r="U48" s="3" t="s">
        <v>7015</v>
      </c>
      <c r="V48" s="3" t="s">
        <v>7015</v>
      </c>
      <c r="W48" s="74" t="str">
        <f t="shared" si="1"/>
        <v>Yes</v>
      </c>
      <c r="Z48">
        <v>47</v>
      </c>
      <c r="AA48" s="55" t="s">
        <v>678</v>
      </c>
      <c r="AB48" t="s">
        <v>643</v>
      </c>
      <c r="AC48">
        <f t="shared" si="0"/>
        <v>7</v>
      </c>
      <c r="AD48" s="30" t="s">
        <v>2462</v>
      </c>
      <c r="AF48" t="s">
        <v>7461</v>
      </c>
      <c r="AH48" s="3" t="s">
        <v>7015</v>
      </c>
      <c r="AI48" s="3" t="s">
        <v>7010</v>
      </c>
      <c r="AJ48" s="3" t="s">
        <v>7010</v>
      </c>
      <c r="AK48" s="3" t="s">
        <v>7015</v>
      </c>
      <c r="AL48" s="3" t="s">
        <v>7010</v>
      </c>
      <c r="AM48" s="3" t="s">
        <v>7010</v>
      </c>
      <c r="AN48" s="3" t="s">
        <v>7010</v>
      </c>
      <c r="AO48" s="3" t="s">
        <v>7010</v>
      </c>
      <c r="AP48" s="74" t="s">
        <v>7015</v>
      </c>
      <c r="AU48">
        <v>47</v>
      </c>
      <c r="AV48" t="s">
        <v>2463</v>
      </c>
      <c r="AW48" t="s">
        <v>2279</v>
      </c>
      <c r="AX48">
        <f t="shared" si="2"/>
        <v>8</v>
      </c>
      <c r="AY48" s="30" t="s">
        <v>2464</v>
      </c>
      <c r="BC48" s="3" t="s">
        <v>7010</v>
      </c>
      <c r="BD48" s="3" t="s">
        <v>7010</v>
      </c>
      <c r="BE48" s="3" t="s">
        <v>7010</v>
      </c>
      <c r="BF48" s="3" t="s">
        <v>7010</v>
      </c>
      <c r="BG48" s="3" t="s">
        <v>7010</v>
      </c>
      <c r="BH48" s="3" t="s">
        <v>7010</v>
      </c>
      <c r="BI48" s="3" t="s">
        <v>7010</v>
      </c>
      <c r="BJ48" s="3" t="s">
        <v>7010</v>
      </c>
      <c r="BK48" s="74" t="str">
        <f t="shared" si="3"/>
        <v>No</v>
      </c>
    </row>
    <row r="49" spans="6:63">
      <c r="F49" s="55"/>
      <c r="G49">
        <v>48</v>
      </c>
      <c r="H49" s="7" t="s">
        <v>1216</v>
      </c>
      <c r="I49" t="s">
        <v>29</v>
      </c>
      <c r="J49">
        <f>LEN(H49)</f>
        <v>9</v>
      </c>
      <c r="K49" s="49" t="s">
        <v>4256</v>
      </c>
      <c r="O49" s="3" t="s">
        <v>7010</v>
      </c>
      <c r="P49" s="3" t="s">
        <v>7010</v>
      </c>
      <c r="Q49" s="3" t="s">
        <v>7010</v>
      </c>
      <c r="R49" s="3" t="s">
        <v>7010</v>
      </c>
      <c r="S49" s="3" t="s">
        <v>7010</v>
      </c>
      <c r="T49" s="3" t="s">
        <v>7015</v>
      </c>
      <c r="U49" s="3" t="s">
        <v>7010</v>
      </c>
      <c r="V49" s="3" t="s">
        <v>7010</v>
      </c>
      <c r="W49" s="74" t="str">
        <f t="shared" si="1"/>
        <v>Yes</v>
      </c>
      <c r="Z49">
        <v>48</v>
      </c>
      <c r="AA49" s="55">
        <v>1234567890</v>
      </c>
      <c r="AB49" t="s">
        <v>643</v>
      </c>
      <c r="AC49">
        <f t="shared" si="0"/>
        <v>10</v>
      </c>
      <c r="AD49" s="30" t="s">
        <v>2466</v>
      </c>
      <c r="AF49" t="s">
        <v>7462</v>
      </c>
      <c r="AH49" s="3" t="s">
        <v>7015</v>
      </c>
      <c r="AI49" s="3" t="s">
        <v>7010</v>
      </c>
      <c r="AJ49" s="3" t="s">
        <v>7010</v>
      </c>
      <c r="AK49" s="3" t="s">
        <v>7015</v>
      </c>
      <c r="AL49" s="3" t="s">
        <v>7010</v>
      </c>
      <c r="AM49" s="3" t="s">
        <v>7010</v>
      </c>
      <c r="AN49" s="3" t="s">
        <v>7010</v>
      </c>
      <c r="AO49" s="3" t="s">
        <v>7010</v>
      </c>
      <c r="AP49" s="74" t="s">
        <v>7015</v>
      </c>
      <c r="AU49">
        <v>48</v>
      </c>
      <c r="AV49" t="s">
        <v>2467</v>
      </c>
      <c r="AW49" t="s">
        <v>2279</v>
      </c>
      <c r="AX49">
        <f t="shared" si="2"/>
        <v>10</v>
      </c>
      <c r="AY49" s="30" t="s">
        <v>2468</v>
      </c>
      <c r="BC49" s="3" t="s">
        <v>7010</v>
      </c>
      <c r="BD49" s="3" t="s">
        <v>7010</v>
      </c>
      <c r="BE49" s="3" t="s">
        <v>7010</v>
      </c>
      <c r="BF49" s="3" t="s">
        <v>7010</v>
      </c>
      <c r="BG49" s="3" t="s">
        <v>7010</v>
      </c>
      <c r="BH49" s="3" t="s">
        <v>7010</v>
      </c>
      <c r="BI49" s="3" t="s">
        <v>7010</v>
      </c>
      <c r="BJ49" s="3" t="s">
        <v>7010</v>
      </c>
      <c r="BK49" s="74" t="str">
        <f t="shared" si="3"/>
        <v>No</v>
      </c>
    </row>
    <row r="50" spans="6:63">
      <c r="F50" s="55"/>
      <c r="G50">
        <v>49</v>
      </c>
      <c r="H50" s="7" t="s">
        <v>1402</v>
      </c>
      <c r="I50" t="s">
        <v>29</v>
      </c>
      <c r="J50">
        <f>LEN(H50)</f>
        <v>10</v>
      </c>
      <c r="K50" s="49" t="s">
        <v>4725</v>
      </c>
      <c r="O50" s="3" t="s">
        <v>7010</v>
      </c>
      <c r="P50" s="3" t="s">
        <v>7010</v>
      </c>
      <c r="Q50" s="3" t="s">
        <v>7010</v>
      </c>
      <c r="R50" s="3" t="s">
        <v>7010</v>
      </c>
      <c r="S50" s="3" t="s">
        <v>7010</v>
      </c>
      <c r="T50" s="3" t="s">
        <v>7015</v>
      </c>
      <c r="U50" s="3" t="s">
        <v>7015</v>
      </c>
      <c r="V50" s="3" t="s">
        <v>7015</v>
      </c>
      <c r="W50" s="74" t="str">
        <f t="shared" si="1"/>
        <v>Yes</v>
      </c>
      <c r="Z50">
        <v>49</v>
      </c>
      <c r="AA50" s="55" t="s">
        <v>679</v>
      </c>
      <c r="AB50" t="s">
        <v>643</v>
      </c>
      <c r="AC50">
        <f t="shared" si="0"/>
        <v>8</v>
      </c>
      <c r="AD50" s="30" t="s">
        <v>2470</v>
      </c>
      <c r="AF50" t="s">
        <v>7463</v>
      </c>
      <c r="AH50" s="3" t="s">
        <v>7015</v>
      </c>
      <c r="AI50" s="3" t="s">
        <v>7010</v>
      </c>
      <c r="AJ50" s="3" t="s">
        <v>7010</v>
      </c>
      <c r="AK50" s="3" t="s">
        <v>7015</v>
      </c>
      <c r="AL50" s="3" t="s">
        <v>7010</v>
      </c>
      <c r="AM50" s="3" t="s">
        <v>7010</v>
      </c>
      <c r="AN50" s="3" t="s">
        <v>7010</v>
      </c>
      <c r="AO50" s="3" t="s">
        <v>7010</v>
      </c>
      <c r="AP50" s="74" t="s">
        <v>7015</v>
      </c>
      <c r="AU50">
        <v>49</v>
      </c>
      <c r="AV50" t="s">
        <v>2471</v>
      </c>
      <c r="AW50" t="s">
        <v>2279</v>
      </c>
      <c r="AX50">
        <f t="shared" si="2"/>
        <v>9</v>
      </c>
      <c r="AY50" s="30" t="s">
        <v>2472</v>
      </c>
      <c r="BC50" s="3" t="s">
        <v>7010</v>
      </c>
      <c r="BD50" s="3" t="s">
        <v>7010</v>
      </c>
      <c r="BE50" s="3" t="s">
        <v>7010</v>
      </c>
      <c r="BF50" s="3" t="s">
        <v>7010</v>
      </c>
      <c r="BG50" s="3" t="s">
        <v>7010</v>
      </c>
      <c r="BH50" s="3" t="s">
        <v>7010</v>
      </c>
      <c r="BI50" s="3" t="s">
        <v>7010</v>
      </c>
      <c r="BJ50" s="3" t="s">
        <v>7010</v>
      </c>
      <c r="BK50" s="74" t="str">
        <f t="shared" si="3"/>
        <v>No</v>
      </c>
    </row>
    <row r="51" spans="6:63">
      <c r="F51" s="55"/>
      <c r="G51">
        <v>50</v>
      </c>
      <c r="H51" s="7" t="s">
        <v>1284</v>
      </c>
      <c r="I51" t="s">
        <v>29</v>
      </c>
      <c r="J51">
        <f>LEN(H51)</f>
        <v>9</v>
      </c>
      <c r="K51" s="49" t="s">
        <v>4426</v>
      </c>
      <c r="O51" s="3" t="s">
        <v>7010</v>
      </c>
      <c r="P51" s="3" t="s">
        <v>7010</v>
      </c>
      <c r="Q51" s="3" t="s">
        <v>7010</v>
      </c>
      <c r="R51" s="3" t="s">
        <v>7010</v>
      </c>
      <c r="S51" s="3" t="s">
        <v>7010</v>
      </c>
      <c r="T51" s="3" t="s">
        <v>7015</v>
      </c>
      <c r="U51" s="3" t="s">
        <v>7010</v>
      </c>
      <c r="V51" s="3" t="s">
        <v>7010</v>
      </c>
      <c r="W51" s="74" t="str">
        <f t="shared" si="1"/>
        <v>Yes</v>
      </c>
      <c r="Z51">
        <v>50</v>
      </c>
      <c r="AA51" s="55" t="s">
        <v>680</v>
      </c>
      <c r="AB51" t="s">
        <v>643</v>
      </c>
      <c r="AC51">
        <f t="shared" si="0"/>
        <v>6</v>
      </c>
      <c r="AD51" s="30" t="s">
        <v>2474</v>
      </c>
      <c r="AF51" t="s">
        <v>7464</v>
      </c>
      <c r="AH51" s="3" t="s">
        <v>7015</v>
      </c>
      <c r="AI51" s="3" t="s">
        <v>7010</v>
      </c>
      <c r="AJ51" s="3" t="s">
        <v>7010</v>
      </c>
      <c r="AK51" s="3" t="s">
        <v>7015</v>
      </c>
      <c r="AL51" s="3" t="s">
        <v>7010</v>
      </c>
      <c r="AM51" s="3" t="s">
        <v>7010</v>
      </c>
      <c r="AN51" s="3" t="s">
        <v>7010</v>
      </c>
      <c r="AO51" s="3" t="s">
        <v>7010</v>
      </c>
      <c r="AP51" s="74" t="s">
        <v>7015</v>
      </c>
      <c r="AU51">
        <v>50</v>
      </c>
      <c r="AV51" t="s">
        <v>2475</v>
      </c>
      <c r="AW51" t="s">
        <v>2279</v>
      </c>
      <c r="AX51">
        <f t="shared" si="2"/>
        <v>8</v>
      </c>
      <c r="AY51" s="30" t="s">
        <v>2476</v>
      </c>
      <c r="BC51" s="3" t="s">
        <v>7010</v>
      </c>
      <c r="BD51" s="3" t="s">
        <v>7010</v>
      </c>
      <c r="BE51" s="3" t="s">
        <v>7010</v>
      </c>
      <c r="BF51" s="3" t="s">
        <v>7010</v>
      </c>
      <c r="BG51" s="3" t="s">
        <v>7010</v>
      </c>
      <c r="BH51" s="3" t="s">
        <v>7010</v>
      </c>
      <c r="BI51" s="3" t="s">
        <v>7010</v>
      </c>
      <c r="BJ51" s="3" t="s">
        <v>7010</v>
      </c>
      <c r="BK51" s="74" t="str">
        <f t="shared" si="3"/>
        <v>No</v>
      </c>
    </row>
    <row r="52" spans="6:63">
      <c r="F52" s="7"/>
      <c r="G52">
        <v>51</v>
      </c>
      <c r="H52" s="7" t="s">
        <v>1242</v>
      </c>
      <c r="I52" t="s">
        <v>29</v>
      </c>
      <c r="J52">
        <f>LEN(H52)</f>
        <v>8</v>
      </c>
      <c r="K52" s="49" t="s">
        <v>4320</v>
      </c>
      <c r="O52" s="3" t="s">
        <v>7010</v>
      </c>
      <c r="P52" s="3" t="s">
        <v>7010</v>
      </c>
      <c r="Q52" s="3" t="s">
        <v>7010</v>
      </c>
      <c r="R52" s="3" t="s">
        <v>7010</v>
      </c>
      <c r="S52" s="3" t="s">
        <v>7010</v>
      </c>
      <c r="T52" s="3" t="s">
        <v>7015</v>
      </c>
      <c r="U52" s="3" t="s">
        <v>7010</v>
      </c>
      <c r="V52" s="3" t="s">
        <v>7010</v>
      </c>
      <c r="W52" s="74" t="str">
        <f t="shared" si="1"/>
        <v>Yes</v>
      </c>
      <c r="Z52">
        <v>51</v>
      </c>
      <c r="AA52" s="55" t="s">
        <v>681</v>
      </c>
      <c r="AB52" t="s">
        <v>643</v>
      </c>
      <c r="AC52">
        <f t="shared" si="0"/>
        <v>6</v>
      </c>
      <c r="AD52" s="30" t="s">
        <v>2478</v>
      </c>
      <c r="AF52" t="s">
        <v>7465</v>
      </c>
      <c r="AH52" s="3" t="s">
        <v>7015</v>
      </c>
      <c r="AI52" s="3" t="s">
        <v>7010</v>
      </c>
      <c r="AJ52" s="3" t="s">
        <v>7010</v>
      </c>
      <c r="AK52" s="3" t="s">
        <v>7015</v>
      </c>
      <c r="AL52" s="3" t="s">
        <v>7010</v>
      </c>
      <c r="AM52" s="3" t="s">
        <v>7010</v>
      </c>
      <c r="AN52" s="3" t="s">
        <v>7010</v>
      </c>
      <c r="AO52" s="3" t="s">
        <v>7010</v>
      </c>
      <c r="AP52" s="74" t="s">
        <v>7015</v>
      </c>
      <c r="AU52">
        <v>51</v>
      </c>
      <c r="AV52" t="s">
        <v>2479</v>
      </c>
      <c r="AW52" t="s">
        <v>2279</v>
      </c>
      <c r="AX52">
        <f t="shared" si="2"/>
        <v>9</v>
      </c>
      <c r="AY52" s="30" t="s">
        <v>2480</v>
      </c>
      <c r="BC52" s="3" t="s">
        <v>7010</v>
      </c>
      <c r="BD52" s="3" t="s">
        <v>7010</v>
      </c>
      <c r="BE52" s="3" t="s">
        <v>7010</v>
      </c>
      <c r="BF52" s="3" t="s">
        <v>7010</v>
      </c>
      <c r="BG52" s="3" t="s">
        <v>7010</v>
      </c>
      <c r="BH52" s="3" t="s">
        <v>7010</v>
      </c>
      <c r="BI52" s="3" t="s">
        <v>7010</v>
      </c>
      <c r="BJ52" s="3" t="s">
        <v>7010</v>
      </c>
      <c r="BK52" s="74" t="str">
        <f t="shared" si="3"/>
        <v>No</v>
      </c>
    </row>
    <row r="53" spans="6:63">
      <c r="G53">
        <v>52</v>
      </c>
      <c r="H53" s="7" t="s">
        <v>461</v>
      </c>
      <c r="I53" t="s">
        <v>29</v>
      </c>
      <c r="J53">
        <f>LEN(H53)</f>
        <v>11</v>
      </c>
      <c r="K53" s="49" t="s">
        <v>2761</v>
      </c>
      <c r="O53" s="3" t="s">
        <v>7010</v>
      </c>
      <c r="P53" s="3" t="s">
        <v>7010</v>
      </c>
      <c r="Q53" s="3" t="s">
        <v>7010</v>
      </c>
      <c r="R53" s="3" t="s">
        <v>7015</v>
      </c>
      <c r="S53" s="3" t="s">
        <v>7010</v>
      </c>
      <c r="T53" s="3" t="s">
        <v>7015</v>
      </c>
      <c r="U53" s="3" t="s">
        <v>7010</v>
      </c>
      <c r="V53" s="3" t="s">
        <v>7010</v>
      </c>
      <c r="W53" s="74" t="str">
        <f t="shared" si="1"/>
        <v>Yes</v>
      </c>
      <c r="Z53">
        <v>52</v>
      </c>
      <c r="AA53" s="55" t="s">
        <v>682</v>
      </c>
      <c r="AB53" t="s">
        <v>643</v>
      </c>
      <c r="AC53">
        <f t="shared" si="0"/>
        <v>7</v>
      </c>
      <c r="AD53" s="30" t="s">
        <v>2482</v>
      </c>
      <c r="AF53" t="s">
        <v>7466</v>
      </c>
      <c r="AH53" s="3" t="s">
        <v>7015</v>
      </c>
      <c r="AI53" s="3" t="s">
        <v>7010</v>
      </c>
      <c r="AJ53" s="3" t="s">
        <v>7010</v>
      </c>
      <c r="AK53" s="3" t="s">
        <v>7015</v>
      </c>
      <c r="AL53" s="3" t="s">
        <v>7010</v>
      </c>
      <c r="AM53" s="3" t="s">
        <v>7010</v>
      </c>
      <c r="AN53" s="3" t="s">
        <v>7010</v>
      </c>
      <c r="AO53" s="3" t="s">
        <v>7010</v>
      </c>
      <c r="AP53" s="74" t="s">
        <v>7015</v>
      </c>
      <c r="AU53">
        <v>52</v>
      </c>
      <c r="AV53" t="s">
        <v>2483</v>
      </c>
      <c r="AW53" t="s">
        <v>2279</v>
      </c>
      <c r="AX53">
        <f t="shared" si="2"/>
        <v>8</v>
      </c>
      <c r="AY53" s="30" t="s">
        <v>2484</v>
      </c>
      <c r="BC53" s="3" t="s">
        <v>7015</v>
      </c>
      <c r="BD53" s="3" t="s">
        <v>7010</v>
      </c>
      <c r="BE53" s="3" t="s">
        <v>7015</v>
      </c>
      <c r="BF53" s="3" t="s">
        <v>7010</v>
      </c>
      <c r="BG53" s="3" t="s">
        <v>7010</v>
      </c>
      <c r="BH53" s="3" t="s">
        <v>7010</v>
      </c>
      <c r="BI53" s="3" t="s">
        <v>7010</v>
      </c>
      <c r="BJ53" s="3" t="s">
        <v>7010</v>
      </c>
      <c r="BK53" s="74" t="str">
        <f t="shared" si="3"/>
        <v>Yes</v>
      </c>
    </row>
    <row r="54" spans="6:63">
      <c r="F54" s="7"/>
      <c r="G54">
        <v>53</v>
      </c>
      <c r="H54" s="7" t="s">
        <v>514</v>
      </c>
      <c r="I54" t="s">
        <v>29</v>
      </c>
      <c r="J54">
        <f>LEN(H54)</f>
        <v>15</v>
      </c>
      <c r="K54" s="51" t="s">
        <v>2973</v>
      </c>
      <c r="O54" s="3" t="s">
        <v>7010</v>
      </c>
      <c r="P54" s="3" t="s">
        <v>7010</v>
      </c>
      <c r="Q54" s="3" t="s">
        <v>7010</v>
      </c>
      <c r="R54" s="3" t="s">
        <v>7010</v>
      </c>
      <c r="S54" s="3" t="s">
        <v>7010</v>
      </c>
      <c r="T54" s="3" t="s">
        <v>7015</v>
      </c>
      <c r="U54" s="3" t="s">
        <v>7010</v>
      </c>
      <c r="V54" s="3" t="s">
        <v>7010</v>
      </c>
      <c r="W54" s="74" t="str">
        <f t="shared" si="1"/>
        <v>Yes</v>
      </c>
      <c r="Z54">
        <v>53</v>
      </c>
      <c r="AA54" s="55" t="s">
        <v>683</v>
      </c>
      <c r="AB54" t="s">
        <v>643</v>
      </c>
      <c r="AC54">
        <f t="shared" si="0"/>
        <v>6</v>
      </c>
      <c r="AD54" s="30" t="s">
        <v>2486</v>
      </c>
      <c r="AF54" t="s">
        <v>7467</v>
      </c>
      <c r="AH54" s="3" t="s">
        <v>7015</v>
      </c>
      <c r="AI54" s="3" t="s">
        <v>7010</v>
      </c>
      <c r="AJ54" s="3" t="s">
        <v>7010</v>
      </c>
      <c r="AK54" s="3" t="s">
        <v>7015</v>
      </c>
      <c r="AL54" s="3" t="s">
        <v>7010</v>
      </c>
      <c r="AM54" s="3" t="s">
        <v>7010</v>
      </c>
      <c r="AN54" s="3" t="s">
        <v>7010</v>
      </c>
      <c r="AO54" s="3" t="s">
        <v>7010</v>
      </c>
      <c r="AP54" s="74" t="s">
        <v>7015</v>
      </c>
      <c r="AU54">
        <v>53</v>
      </c>
      <c r="AV54" t="s">
        <v>2487</v>
      </c>
      <c r="AW54" t="s">
        <v>2279</v>
      </c>
      <c r="AX54">
        <f t="shared" si="2"/>
        <v>8</v>
      </c>
      <c r="AY54" s="30" t="s">
        <v>2488</v>
      </c>
      <c r="BC54" s="3" t="s">
        <v>7010</v>
      </c>
      <c r="BD54" s="3" t="s">
        <v>7010</v>
      </c>
      <c r="BE54" s="3" t="s">
        <v>7010</v>
      </c>
      <c r="BF54" s="3" t="s">
        <v>7010</v>
      </c>
      <c r="BG54" s="3" t="s">
        <v>7010</v>
      </c>
      <c r="BH54" s="3" t="s">
        <v>7010</v>
      </c>
      <c r="BI54" s="3" t="s">
        <v>7010</v>
      </c>
      <c r="BJ54" s="3" t="s">
        <v>7010</v>
      </c>
      <c r="BK54" s="74" t="str">
        <f t="shared" si="3"/>
        <v>No</v>
      </c>
    </row>
    <row r="55" spans="6:63">
      <c r="F55" s="7"/>
      <c r="G55">
        <v>54</v>
      </c>
      <c r="H55" s="7" t="s">
        <v>2207</v>
      </c>
      <c r="I55" t="s">
        <v>29</v>
      </c>
      <c r="J55">
        <f>LEN(H55)</f>
        <v>16</v>
      </c>
      <c r="K55" s="49" t="s">
        <v>6840</v>
      </c>
      <c r="O55" s="3" t="s">
        <v>7010</v>
      </c>
      <c r="P55" s="3" t="s">
        <v>7010</v>
      </c>
      <c r="Q55" s="3" t="s">
        <v>7010</v>
      </c>
      <c r="R55" s="3" t="s">
        <v>7010</v>
      </c>
      <c r="S55" s="3" t="s">
        <v>7010</v>
      </c>
      <c r="T55" s="3" t="s">
        <v>7010</v>
      </c>
      <c r="U55" s="3" t="s">
        <v>7010</v>
      </c>
      <c r="V55" s="3" t="s">
        <v>7010</v>
      </c>
      <c r="W55" s="74" t="str">
        <f t="shared" si="1"/>
        <v>No</v>
      </c>
      <c r="Z55">
        <v>54</v>
      </c>
      <c r="AA55" s="55" t="s">
        <v>684</v>
      </c>
      <c r="AB55" t="s">
        <v>643</v>
      </c>
      <c r="AC55">
        <f t="shared" si="0"/>
        <v>10</v>
      </c>
      <c r="AD55" s="30" t="s">
        <v>2490</v>
      </c>
      <c r="AF55" t="s">
        <v>7468</v>
      </c>
      <c r="AH55" s="3" t="s">
        <v>7015</v>
      </c>
      <c r="AI55" s="3" t="s">
        <v>7010</v>
      </c>
      <c r="AJ55" s="3" t="s">
        <v>7010</v>
      </c>
      <c r="AK55" s="3" t="s">
        <v>7015</v>
      </c>
      <c r="AL55" s="3" t="s">
        <v>7010</v>
      </c>
      <c r="AM55" s="3" t="s">
        <v>7010</v>
      </c>
      <c r="AN55" s="3" t="s">
        <v>7010</v>
      </c>
      <c r="AO55" s="3" t="s">
        <v>7010</v>
      </c>
      <c r="AP55" s="74" t="s">
        <v>7015</v>
      </c>
      <c r="AU55">
        <v>54</v>
      </c>
      <c r="AV55" t="s">
        <v>2491</v>
      </c>
      <c r="AW55" t="s">
        <v>2279</v>
      </c>
      <c r="AX55">
        <f t="shared" si="2"/>
        <v>8</v>
      </c>
      <c r="AY55" s="30" t="s">
        <v>2492</v>
      </c>
      <c r="BC55" s="3" t="s">
        <v>7010</v>
      </c>
      <c r="BD55" s="3" t="s">
        <v>7010</v>
      </c>
      <c r="BE55" s="3" t="s">
        <v>7010</v>
      </c>
      <c r="BF55" s="3" t="s">
        <v>7010</v>
      </c>
      <c r="BG55" s="3" t="s">
        <v>7010</v>
      </c>
      <c r="BH55" s="3" t="s">
        <v>7010</v>
      </c>
      <c r="BI55" s="3" t="s">
        <v>7010</v>
      </c>
      <c r="BJ55" s="3" t="s">
        <v>7010</v>
      </c>
      <c r="BK55" s="74" t="str">
        <f t="shared" si="3"/>
        <v>No</v>
      </c>
    </row>
    <row r="56" spans="6:63">
      <c r="F56" s="7"/>
      <c r="G56">
        <v>55</v>
      </c>
      <c r="H56" s="7" t="s">
        <v>2169</v>
      </c>
      <c r="I56" t="s">
        <v>29</v>
      </c>
      <c r="J56">
        <f>LEN(H56)</f>
        <v>13</v>
      </c>
      <c r="K56" s="49" t="s">
        <v>6747</v>
      </c>
      <c r="O56" s="3" t="s">
        <v>7010</v>
      </c>
      <c r="P56" s="3" t="s">
        <v>7010</v>
      </c>
      <c r="Q56" s="3" t="s">
        <v>7010</v>
      </c>
      <c r="R56" s="3" t="s">
        <v>7010</v>
      </c>
      <c r="S56" s="3" t="s">
        <v>7010</v>
      </c>
      <c r="T56" s="3" t="s">
        <v>7015</v>
      </c>
      <c r="U56" s="3" t="s">
        <v>7010</v>
      </c>
      <c r="V56" s="3" t="s">
        <v>7010</v>
      </c>
      <c r="W56" s="74" t="str">
        <f t="shared" si="1"/>
        <v>Yes</v>
      </c>
      <c r="Z56">
        <v>55</v>
      </c>
      <c r="AA56" s="55" t="s">
        <v>685</v>
      </c>
      <c r="AB56" t="s">
        <v>643</v>
      </c>
      <c r="AC56">
        <f t="shared" si="0"/>
        <v>6</v>
      </c>
      <c r="AD56" s="30" t="s">
        <v>2494</v>
      </c>
      <c r="AF56" t="s">
        <v>7469</v>
      </c>
      <c r="AH56" s="3" t="s">
        <v>7015</v>
      </c>
      <c r="AI56" s="3" t="s">
        <v>7010</v>
      </c>
      <c r="AJ56" s="3" t="s">
        <v>7010</v>
      </c>
      <c r="AK56" s="3" t="s">
        <v>7015</v>
      </c>
      <c r="AL56" s="3" t="s">
        <v>7010</v>
      </c>
      <c r="AM56" s="3" t="s">
        <v>7010</v>
      </c>
      <c r="AN56" s="3" t="s">
        <v>7010</v>
      </c>
      <c r="AO56" s="3" t="s">
        <v>7010</v>
      </c>
      <c r="AP56" s="74" t="s">
        <v>7015</v>
      </c>
      <c r="AU56">
        <v>55</v>
      </c>
      <c r="AV56" t="s">
        <v>2495</v>
      </c>
      <c r="AW56" t="s">
        <v>2279</v>
      </c>
      <c r="AX56">
        <f t="shared" si="2"/>
        <v>8</v>
      </c>
      <c r="AY56" s="30" t="s">
        <v>2496</v>
      </c>
      <c r="BC56" s="3" t="s">
        <v>7010</v>
      </c>
      <c r="BD56" s="3" t="s">
        <v>7010</v>
      </c>
      <c r="BE56" s="3" t="s">
        <v>7010</v>
      </c>
      <c r="BF56" s="3" t="s">
        <v>7010</v>
      </c>
      <c r="BG56" s="3" t="s">
        <v>7010</v>
      </c>
      <c r="BH56" s="3" t="s">
        <v>7010</v>
      </c>
      <c r="BI56" s="3" t="s">
        <v>7010</v>
      </c>
      <c r="BJ56" s="3" t="s">
        <v>7010</v>
      </c>
      <c r="BK56" s="74" t="str">
        <f t="shared" si="3"/>
        <v>No</v>
      </c>
    </row>
    <row r="57" spans="6:63">
      <c r="F57" s="7"/>
      <c r="G57">
        <v>56</v>
      </c>
      <c r="H57" s="7" t="s">
        <v>2239</v>
      </c>
      <c r="I57" t="s">
        <v>29</v>
      </c>
      <c r="J57">
        <f>LEN(H57)</f>
        <v>16</v>
      </c>
      <c r="K57" s="49" t="s">
        <v>6923</v>
      </c>
      <c r="O57" s="3" t="s">
        <v>7010</v>
      </c>
      <c r="P57" s="3" t="s">
        <v>7010</v>
      </c>
      <c r="Q57" s="3" t="s">
        <v>7010</v>
      </c>
      <c r="R57" s="3" t="s">
        <v>7010</v>
      </c>
      <c r="S57" s="3" t="s">
        <v>7010</v>
      </c>
      <c r="T57" s="3" t="s">
        <v>7010</v>
      </c>
      <c r="U57" s="3" t="s">
        <v>7010</v>
      </c>
      <c r="V57" s="3" t="s">
        <v>7010</v>
      </c>
      <c r="W57" s="74" t="str">
        <f t="shared" si="1"/>
        <v>No</v>
      </c>
      <c r="Z57">
        <v>56</v>
      </c>
      <c r="AA57" s="55" t="s">
        <v>686</v>
      </c>
      <c r="AB57" t="s">
        <v>643</v>
      </c>
      <c r="AC57">
        <f t="shared" si="0"/>
        <v>6</v>
      </c>
      <c r="AD57" s="30" t="s">
        <v>2498</v>
      </c>
      <c r="AF57" t="s">
        <v>7470</v>
      </c>
      <c r="AH57" s="3" t="s">
        <v>7015</v>
      </c>
      <c r="AI57" s="3" t="s">
        <v>7010</v>
      </c>
      <c r="AJ57" s="3" t="s">
        <v>7010</v>
      </c>
      <c r="AK57" s="3" t="s">
        <v>7015</v>
      </c>
      <c r="AL57" s="3" t="s">
        <v>7010</v>
      </c>
      <c r="AM57" s="3" t="s">
        <v>7010</v>
      </c>
      <c r="AN57" s="3" t="s">
        <v>7010</v>
      </c>
      <c r="AO57" s="3" t="s">
        <v>7010</v>
      </c>
      <c r="AP57" s="74" t="s">
        <v>7015</v>
      </c>
      <c r="AU57">
        <v>56</v>
      </c>
      <c r="AV57" t="s">
        <v>2499</v>
      </c>
      <c r="AW57" t="s">
        <v>2279</v>
      </c>
      <c r="AX57">
        <f t="shared" si="2"/>
        <v>8</v>
      </c>
      <c r="AY57" s="30" t="s">
        <v>2500</v>
      </c>
      <c r="BC57" s="3" t="s">
        <v>7010</v>
      </c>
      <c r="BD57" s="3" t="s">
        <v>7010</v>
      </c>
      <c r="BE57" s="3" t="s">
        <v>7010</v>
      </c>
      <c r="BF57" s="3" t="s">
        <v>7010</v>
      </c>
      <c r="BG57" s="3" t="s">
        <v>7010</v>
      </c>
      <c r="BH57" s="3" t="s">
        <v>7010</v>
      </c>
      <c r="BI57" s="3" t="s">
        <v>7010</v>
      </c>
      <c r="BJ57" s="3" t="s">
        <v>7010</v>
      </c>
      <c r="BK57" s="74" t="str">
        <f t="shared" si="3"/>
        <v>No</v>
      </c>
    </row>
    <row r="58" spans="6:63">
      <c r="F58" s="7"/>
      <c r="G58">
        <v>57</v>
      </c>
      <c r="H58" s="7" t="s">
        <v>2195</v>
      </c>
      <c r="I58" t="s">
        <v>29</v>
      </c>
      <c r="J58">
        <f>LEN(H58)</f>
        <v>17</v>
      </c>
      <c r="K58" s="49" t="s">
        <v>6811</v>
      </c>
      <c r="O58" s="3" t="s">
        <v>7010</v>
      </c>
      <c r="P58" s="3" t="s">
        <v>7010</v>
      </c>
      <c r="Q58" s="3" t="s">
        <v>7010</v>
      </c>
      <c r="R58" s="3" t="s">
        <v>7010</v>
      </c>
      <c r="S58" s="3" t="s">
        <v>7010</v>
      </c>
      <c r="T58" s="3" t="s">
        <v>7010</v>
      </c>
      <c r="U58" s="3" t="s">
        <v>7010</v>
      </c>
      <c r="V58" s="3" t="s">
        <v>7010</v>
      </c>
      <c r="W58" s="74" t="str">
        <f t="shared" si="1"/>
        <v>No</v>
      </c>
      <c r="Z58">
        <v>57</v>
      </c>
      <c r="AA58" s="55" t="s">
        <v>687</v>
      </c>
      <c r="AB58" t="s">
        <v>643</v>
      </c>
      <c r="AC58">
        <f t="shared" si="0"/>
        <v>6</v>
      </c>
      <c r="AD58" s="30" t="s">
        <v>2502</v>
      </c>
      <c r="AF58" t="s">
        <v>7471</v>
      </c>
      <c r="AH58" s="3" t="s">
        <v>7015</v>
      </c>
      <c r="AI58" s="3" t="s">
        <v>7010</v>
      </c>
      <c r="AJ58" s="3" t="s">
        <v>7010</v>
      </c>
      <c r="AK58" s="3" t="s">
        <v>7015</v>
      </c>
      <c r="AL58" s="3" t="s">
        <v>7010</v>
      </c>
      <c r="AM58" s="3" t="s">
        <v>7010</v>
      </c>
      <c r="AN58" s="3" t="s">
        <v>7010</v>
      </c>
      <c r="AO58" s="3" t="s">
        <v>7010</v>
      </c>
      <c r="AP58" s="74" t="s">
        <v>7015</v>
      </c>
      <c r="AU58">
        <v>57</v>
      </c>
      <c r="AV58" t="s">
        <v>2503</v>
      </c>
      <c r="AW58" t="s">
        <v>2279</v>
      </c>
      <c r="AX58">
        <f t="shared" si="2"/>
        <v>8</v>
      </c>
      <c r="AY58" s="30" t="s">
        <v>2504</v>
      </c>
      <c r="BC58" s="3" t="s">
        <v>7010</v>
      </c>
      <c r="BD58" s="3" t="s">
        <v>7010</v>
      </c>
      <c r="BE58" s="3" t="s">
        <v>7010</v>
      </c>
      <c r="BF58" s="3" t="s">
        <v>7010</v>
      </c>
      <c r="BG58" s="3" t="s">
        <v>7010</v>
      </c>
      <c r="BH58" s="3" t="s">
        <v>7010</v>
      </c>
      <c r="BI58" s="3" t="s">
        <v>7010</v>
      </c>
      <c r="BJ58" s="3" t="s">
        <v>7010</v>
      </c>
      <c r="BK58" s="74" t="str">
        <f t="shared" si="3"/>
        <v>No</v>
      </c>
    </row>
    <row r="59" spans="6:63">
      <c r="F59" s="7"/>
      <c r="G59">
        <v>58</v>
      </c>
      <c r="H59" s="7" t="s">
        <v>2197</v>
      </c>
      <c r="I59" t="s">
        <v>29</v>
      </c>
      <c r="J59">
        <f>LEN(H59)</f>
        <v>17</v>
      </c>
      <c r="K59" s="49" t="s">
        <v>6816</v>
      </c>
      <c r="O59" s="3" t="s">
        <v>7010</v>
      </c>
      <c r="P59" s="3" t="s">
        <v>7010</v>
      </c>
      <c r="Q59" s="3" t="s">
        <v>7010</v>
      </c>
      <c r="R59" s="3" t="s">
        <v>7010</v>
      </c>
      <c r="S59" s="3" t="s">
        <v>7010</v>
      </c>
      <c r="T59" s="3" t="s">
        <v>7010</v>
      </c>
      <c r="U59" s="3" t="s">
        <v>7010</v>
      </c>
      <c r="V59" s="3" t="s">
        <v>7010</v>
      </c>
      <c r="W59" s="74" t="str">
        <f t="shared" si="1"/>
        <v>No</v>
      </c>
      <c r="Z59">
        <v>58</v>
      </c>
      <c r="AA59" s="55" t="s">
        <v>688</v>
      </c>
      <c r="AB59" t="s">
        <v>643</v>
      </c>
      <c r="AC59">
        <f t="shared" si="0"/>
        <v>6</v>
      </c>
      <c r="AD59" s="30" t="s">
        <v>2506</v>
      </c>
      <c r="AF59" t="s">
        <v>7472</v>
      </c>
      <c r="AH59" s="3" t="s">
        <v>7015</v>
      </c>
      <c r="AI59" s="3" t="s">
        <v>7010</v>
      </c>
      <c r="AJ59" s="3" t="s">
        <v>7010</v>
      </c>
      <c r="AK59" s="3" t="s">
        <v>7015</v>
      </c>
      <c r="AL59" s="3" t="s">
        <v>7010</v>
      </c>
      <c r="AM59" s="3" t="s">
        <v>7010</v>
      </c>
      <c r="AN59" s="3" t="s">
        <v>7010</v>
      </c>
      <c r="AO59" s="3" t="s">
        <v>7010</v>
      </c>
      <c r="AP59" s="74" t="s">
        <v>7015</v>
      </c>
      <c r="AU59">
        <v>58</v>
      </c>
      <c r="AV59" t="s">
        <v>2507</v>
      </c>
      <c r="AW59" t="s">
        <v>2279</v>
      </c>
      <c r="AX59">
        <f t="shared" si="2"/>
        <v>11</v>
      </c>
      <c r="AY59" s="30" t="s">
        <v>2508</v>
      </c>
      <c r="BC59" s="3" t="s">
        <v>7010</v>
      </c>
      <c r="BD59" s="3" t="s">
        <v>7010</v>
      </c>
      <c r="BE59" s="3" t="s">
        <v>7010</v>
      </c>
      <c r="BF59" s="3" t="s">
        <v>7010</v>
      </c>
      <c r="BG59" s="3" t="s">
        <v>7010</v>
      </c>
      <c r="BH59" s="3" t="s">
        <v>7010</v>
      </c>
      <c r="BI59" s="3" t="s">
        <v>7010</v>
      </c>
      <c r="BJ59" s="3" t="s">
        <v>7010</v>
      </c>
      <c r="BK59" s="74" t="str">
        <f t="shared" si="3"/>
        <v>No</v>
      </c>
    </row>
    <row r="60" spans="6:63">
      <c r="F60" s="7"/>
      <c r="G60">
        <v>59</v>
      </c>
      <c r="H60" s="7" t="s">
        <v>2211</v>
      </c>
      <c r="I60" t="s">
        <v>29</v>
      </c>
      <c r="J60">
        <f>LEN(H60)</f>
        <v>11</v>
      </c>
      <c r="K60" s="49" t="s">
        <v>6850</v>
      </c>
      <c r="O60" s="3" t="s">
        <v>7010</v>
      </c>
      <c r="P60" s="3" t="s">
        <v>7010</v>
      </c>
      <c r="Q60" s="3" t="s">
        <v>7010</v>
      </c>
      <c r="R60" s="3" t="s">
        <v>7010</v>
      </c>
      <c r="S60" s="3" t="s">
        <v>7010</v>
      </c>
      <c r="T60" s="3" t="s">
        <v>7010</v>
      </c>
      <c r="U60" s="3" t="s">
        <v>7010</v>
      </c>
      <c r="V60" s="3" t="s">
        <v>7010</v>
      </c>
      <c r="W60" s="74" t="str">
        <f t="shared" si="1"/>
        <v>No</v>
      </c>
      <c r="Z60">
        <v>59</v>
      </c>
      <c r="AA60" s="55" t="s">
        <v>689</v>
      </c>
      <c r="AB60" t="s">
        <v>643</v>
      </c>
      <c r="AC60">
        <f t="shared" si="0"/>
        <v>7</v>
      </c>
      <c r="AD60" s="30" t="s">
        <v>2510</v>
      </c>
      <c r="AF60" t="s">
        <v>7473</v>
      </c>
      <c r="AH60" s="3" t="s">
        <v>7015</v>
      </c>
      <c r="AI60" s="3" t="s">
        <v>7010</v>
      </c>
      <c r="AJ60" s="3" t="s">
        <v>7010</v>
      </c>
      <c r="AK60" s="3" t="s">
        <v>7015</v>
      </c>
      <c r="AL60" s="3" t="s">
        <v>7010</v>
      </c>
      <c r="AM60" s="3" t="s">
        <v>7010</v>
      </c>
      <c r="AN60" s="3" t="s">
        <v>7010</v>
      </c>
      <c r="AO60" s="3" t="s">
        <v>7010</v>
      </c>
      <c r="AP60" s="74" t="s">
        <v>7015</v>
      </c>
      <c r="AU60">
        <v>59</v>
      </c>
      <c r="AV60" t="s">
        <v>2511</v>
      </c>
      <c r="AW60" t="s">
        <v>2279</v>
      </c>
      <c r="AX60">
        <f t="shared" si="2"/>
        <v>9</v>
      </c>
      <c r="AY60" s="30" t="s">
        <v>2512</v>
      </c>
      <c r="BC60" s="3" t="s">
        <v>7010</v>
      </c>
      <c r="BD60" s="3" t="s">
        <v>7010</v>
      </c>
      <c r="BE60" s="3" t="s">
        <v>7010</v>
      </c>
      <c r="BF60" s="3" t="s">
        <v>7010</v>
      </c>
      <c r="BG60" s="3" t="s">
        <v>7010</v>
      </c>
      <c r="BH60" s="3" t="s">
        <v>7010</v>
      </c>
      <c r="BI60" s="3" t="s">
        <v>7010</v>
      </c>
      <c r="BJ60" s="3" t="s">
        <v>7010</v>
      </c>
      <c r="BK60" s="74" t="str">
        <f t="shared" si="3"/>
        <v>No</v>
      </c>
    </row>
    <row r="61" spans="6:63">
      <c r="F61" s="7"/>
      <c r="G61">
        <v>60</v>
      </c>
      <c r="H61" s="7" t="s">
        <v>2217</v>
      </c>
      <c r="I61" t="s">
        <v>29</v>
      </c>
      <c r="J61">
        <f>LEN(H61)</f>
        <v>15</v>
      </c>
      <c r="K61" s="49" t="s">
        <v>6865</v>
      </c>
      <c r="O61" s="3" t="s">
        <v>7010</v>
      </c>
      <c r="P61" s="3" t="s">
        <v>7010</v>
      </c>
      <c r="Q61" s="3" t="s">
        <v>7010</v>
      </c>
      <c r="R61" s="3" t="s">
        <v>7010</v>
      </c>
      <c r="S61" s="3" t="s">
        <v>7010</v>
      </c>
      <c r="T61" s="3" t="s">
        <v>7015</v>
      </c>
      <c r="U61" s="3" t="s">
        <v>7010</v>
      </c>
      <c r="V61" s="3" t="s">
        <v>7010</v>
      </c>
      <c r="W61" s="74" t="str">
        <f t="shared" si="1"/>
        <v>Yes</v>
      </c>
      <c r="Z61">
        <v>60</v>
      </c>
      <c r="AA61" s="55" t="s">
        <v>690</v>
      </c>
      <c r="AB61" t="s">
        <v>643</v>
      </c>
      <c r="AC61">
        <f t="shared" si="0"/>
        <v>5</v>
      </c>
      <c r="AD61" s="30" t="s">
        <v>2514</v>
      </c>
      <c r="AF61" t="s">
        <v>7474</v>
      </c>
      <c r="AH61" s="3" t="s">
        <v>7015</v>
      </c>
      <c r="AI61" s="3" t="s">
        <v>7010</v>
      </c>
      <c r="AJ61" s="3" t="s">
        <v>7010</v>
      </c>
      <c r="AK61" s="3" t="s">
        <v>7015</v>
      </c>
      <c r="AL61" s="3" t="s">
        <v>7010</v>
      </c>
      <c r="AM61" s="3" t="s">
        <v>7010</v>
      </c>
      <c r="AN61" s="3" t="s">
        <v>7010</v>
      </c>
      <c r="AO61" s="3" t="s">
        <v>7010</v>
      </c>
      <c r="AP61" s="74" t="s">
        <v>7015</v>
      </c>
      <c r="AU61">
        <v>60</v>
      </c>
      <c r="AV61" t="s">
        <v>2515</v>
      </c>
      <c r="AW61" t="s">
        <v>2279</v>
      </c>
      <c r="AX61">
        <f t="shared" si="2"/>
        <v>9</v>
      </c>
      <c r="AY61" s="30" t="s">
        <v>2516</v>
      </c>
      <c r="BC61" s="3" t="s">
        <v>7010</v>
      </c>
      <c r="BD61" s="3" t="s">
        <v>7010</v>
      </c>
      <c r="BE61" s="3" t="s">
        <v>7010</v>
      </c>
      <c r="BF61" s="3" t="s">
        <v>7010</v>
      </c>
      <c r="BG61" s="3" t="s">
        <v>7010</v>
      </c>
      <c r="BH61" s="3" t="s">
        <v>7010</v>
      </c>
      <c r="BI61" s="3" t="s">
        <v>7010</v>
      </c>
      <c r="BJ61" s="3" t="s">
        <v>7010</v>
      </c>
      <c r="BK61" s="74" t="str">
        <f t="shared" si="3"/>
        <v>No</v>
      </c>
    </row>
    <row r="62" spans="6:63">
      <c r="F62" s="7"/>
      <c r="G62">
        <v>61</v>
      </c>
      <c r="H62" s="7" t="s">
        <v>1882</v>
      </c>
      <c r="I62" t="s">
        <v>29</v>
      </c>
      <c r="J62">
        <f>LEN(H62)</f>
        <v>10</v>
      </c>
      <c r="K62" s="49" t="s">
        <v>7475</v>
      </c>
      <c r="O62" s="3" t="s">
        <v>7010</v>
      </c>
      <c r="P62" s="3" t="s">
        <v>7010</v>
      </c>
      <c r="Q62" s="3" t="s">
        <v>7010</v>
      </c>
      <c r="R62" s="3" t="s">
        <v>7010</v>
      </c>
      <c r="S62" s="3" t="s">
        <v>7010</v>
      </c>
      <c r="T62" s="3" t="s">
        <v>7010</v>
      </c>
      <c r="U62" s="3" t="s">
        <v>7010</v>
      </c>
      <c r="V62" s="3" t="s">
        <v>7010</v>
      </c>
      <c r="W62" s="74" t="str">
        <f t="shared" si="1"/>
        <v>No</v>
      </c>
      <c r="Z62">
        <v>61</v>
      </c>
      <c r="AA62" s="55" t="s">
        <v>691</v>
      </c>
      <c r="AB62" t="s">
        <v>643</v>
      </c>
      <c r="AC62">
        <f t="shared" si="0"/>
        <v>9</v>
      </c>
      <c r="AD62" s="30" t="s">
        <v>2518</v>
      </c>
      <c r="AF62" t="s">
        <v>7476</v>
      </c>
      <c r="AH62" s="3" t="s">
        <v>7015</v>
      </c>
      <c r="AI62" s="3" t="s">
        <v>7010</v>
      </c>
      <c r="AJ62" s="3" t="s">
        <v>7010</v>
      </c>
      <c r="AK62" s="3" t="s">
        <v>7015</v>
      </c>
      <c r="AL62" s="3" t="s">
        <v>7010</v>
      </c>
      <c r="AM62" s="3" t="s">
        <v>7010</v>
      </c>
      <c r="AN62" s="3" t="s">
        <v>7010</v>
      </c>
      <c r="AO62" s="3" t="s">
        <v>7010</v>
      </c>
      <c r="AP62" s="74" t="s">
        <v>7015</v>
      </c>
      <c r="AU62">
        <v>61</v>
      </c>
      <c r="AV62" t="s">
        <v>2519</v>
      </c>
      <c r="AW62" t="s">
        <v>2279</v>
      </c>
      <c r="AX62">
        <f t="shared" si="2"/>
        <v>8</v>
      </c>
      <c r="AY62" s="30" t="s">
        <v>2520</v>
      </c>
      <c r="BC62" s="3" t="s">
        <v>7010</v>
      </c>
      <c r="BD62" s="3" t="s">
        <v>7010</v>
      </c>
      <c r="BE62" s="3" t="s">
        <v>7010</v>
      </c>
      <c r="BF62" s="3" t="s">
        <v>7010</v>
      </c>
      <c r="BG62" s="3" t="s">
        <v>7010</v>
      </c>
      <c r="BH62" s="3" t="s">
        <v>7010</v>
      </c>
      <c r="BI62" s="3" t="s">
        <v>7010</v>
      </c>
      <c r="BJ62" s="3" t="s">
        <v>7010</v>
      </c>
      <c r="BK62" s="74" t="str">
        <f t="shared" si="3"/>
        <v>No</v>
      </c>
    </row>
    <row r="63" spans="6:63">
      <c r="G63">
        <v>62</v>
      </c>
      <c r="H63" s="7" t="s">
        <v>432</v>
      </c>
      <c r="I63" t="s">
        <v>29</v>
      </c>
      <c r="J63">
        <f>LEN(H63)</f>
        <v>10</v>
      </c>
      <c r="K63" s="49" t="s">
        <v>7477</v>
      </c>
      <c r="O63" s="3" t="s">
        <v>7010</v>
      </c>
      <c r="P63" s="3" t="s">
        <v>7010</v>
      </c>
      <c r="Q63" s="3" t="s">
        <v>7010</v>
      </c>
      <c r="R63" s="3" t="s">
        <v>7010</v>
      </c>
      <c r="S63" s="3" t="s">
        <v>7010</v>
      </c>
      <c r="T63" s="3" t="s">
        <v>7010</v>
      </c>
      <c r="U63" s="3" t="s">
        <v>7010</v>
      </c>
      <c r="V63" s="3" t="s">
        <v>7010</v>
      </c>
      <c r="W63" s="74" t="str">
        <f t="shared" si="1"/>
        <v>No</v>
      </c>
      <c r="Z63">
        <v>62</v>
      </c>
      <c r="AA63" s="55" t="s">
        <v>692</v>
      </c>
      <c r="AB63" t="s">
        <v>643</v>
      </c>
      <c r="AC63">
        <f t="shared" si="0"/>
        <v>6</v>
      </c>
      <c r="AD63" s="30" t="s">
        <v>2522</v>
      </c>
      <c r="AF63" t="s">
        <v>7478</v>
      </c>
      <c r="AH63" s="3" t="s">
        <v>7015</v>
      </c>
      <c r="AI63" s="3" t="s">
        <v>7010</v>
      </c>
      <c r="AJ63" s="3" t="s">
        <v>7010</v>
      </c>
      <c r="AK63" s="3" t="s">
        <v>7015</v>
      </c>
      <c r="AL63" s="3" t="s">
        <v>7010</v>
      </c>
      <c r="AM63" s="3" t="s">
        <v>7010</v>
      </c>
      <c r="AN63" s="3" t="s">
        <v>7010</v>
      </c>
      <c r="AO63" s="3" t="s">
        <v>7010</v>
      </c>
      <c r="AP63" s="74" t="s">
        <v>7015</v>
      </c>
      <c r="AU63">
        <v>62</v>
      </c>
      <c r="AV63" t="s">
        <v>2523</v>
      </c>
      <c r="AW63" t="s">
        <v>2279</v>
      </c>
      <c r="AX63">
        <f t="shared" si="2"/>
        <v>12</v>
      </c>
      <c r="AY63" s="30" t="s">
        <v>2524</v>
      </c>
      <c r="BC63" s="3" t="s">
        <v>7010</v>
      </c>
      <c r="BD63" s="3" t="s">
        <v>7010</v>
      </c>
      <c r="BE63" s="3" t="s">
        <v>7015</v>
      </c>
      <c r="BF63" s="3" t="s">
        <v>7010</v>
      </c>
      <c r="BG63" s="3" t="s">
        <v>7010</v>
      </c>
      <c r="BH63" s="3" t="s">
        <v>7010</v>
      </c>
      <c r="BI63" s="3" t="s">
        <v>7010</v>
      </c>
      <c r="BJ63" s="3" t="s">
        <v>7010</v>
      </c>
      <c r="BK63" s="74" t="str">
        <f t="shared" si="3"/>
        <v>Yes</v>
      </c>
    </row>
    <row r="64" spans="6:63">
      <c r="G64">
        <v>63</v>
      </c>
      <c r="H64" s="7" t="s">
        <v>546</v>
      </c>
      <c r="I64" t="s">
        <v>29</v>
      </c>
      <c r="J64">
        <f>LEN(H64)</f>
        <v>10</v>
      </c>
      <c r="K64" s="49" t="s">
        <v>3101</v>
      </c>
      <c r="O64" s="3" t="s">
        <v>7010</v>
      </c>
      <c r="P64" s="3" t="s">
        <v>7010</v>
      </c>
      <c r="Q64" s="3" t="s">
        <v>7010</v>
      </c>
      <c r="R64" s="3" t="s">
        <v>7010</v>
      </c>
      <c r="S64" s="3" t="s">
        <v>7010</v>
      </c>
      <c r="T64" s="3" t="s">
        <v>7010</v>
      </c>
      <c r="U64" s="3" t="s">
        <v>7010</v>
      </c>
      <c r="V64" s="3" t="s">
        <v>7010</v>
      </c>
      <c r="W64" s="74" t="str">
        <f t="shared" si="1"/>
        <v>No</v>
      </c>
      <c r="Z64">
        <v>63</v>
      </c>
      <c r="AA64" s="55" t="s">
        <v>693</v>
      </c>
      <c r="AB64" t="s">
        <v>643</v>
      </c>
      <c r="AC64">
        <f t="shared" si="0"/>
        <v>10</v>
      </c>
      <c r="AD64" s="30" t="s">
        <v>2526</v>
      </c>
      <c r="AF64" t="s">
        <v>7479</v>
      </c>
      <c r="AH64" s="3" t="s">
        <v>7015</v>
      </c>
      <c r="AI64" s="3" t="s">
        <v>7010</v>
      </c>
      <c r="AJ64" s="3" t="s">
        <v>7010</v>
      </c>
      <c r="AK64" s="3" t="s">
        <v>7015</v>
      </c>
      <c r="AL64" s="3" t="s">
        <v>7010</v>
      </c>
      <c r="AM64" s="3" t="s">
        <v>7010</v>
      </c>
      <c r="AN64" s="3" t="s">
        <v>7010</v>
      </c>
      <c r="AO64" s="3" t="s">
        <v>7010</v>
      </c>
      <c r="AP64" s="74" t="s">
        <v>7015</v>
      </c>
      <c r="AU64">
        <v>63</v>
      </c>
      <c r="AV64" t="s">
        <v>2527</v>
      </c>
      <c r="AW64" t="s">
        <v>2279</v>
      </c>
      <c r="AX64">
        <f t="shared" si="2"/>
        <v>8</v>
      </c>
      <c r="AY64" s="30" t="s">
        <v>2528</v>
      </c>
      <c r="BC64" s="3" t="s">
        <v>7010</v>
      </c>
      <c r="BD64" s="3" t="s">
        <v>7010</v>
      </c>
      <c r="BE64" s="3" t="s">
        <v>7015</v>
      </c>
      <c r="BF64" s="3" t="s">
        <v>7010</v>
      </c>
      <c r="BG64" s="3" t="s">
        <v>7010</v>
      </c>
      <c r="BH64" s="3" t="s">
        <v>7010</v>
      </c>
      <c r="BI64" s="3" t="s">
        <v>7010</v>
      </c>
      <c r="BJ64" s="3" t="s">
        <v>7010</v>
      </c>
      <c r="BK64" s="74" t="str">
        <f t="shared" si="3"/>
        <v>Yes</v>
      </c>
    </row>
    <row r="65" spans="6:63">
      <c r="G65">
        <v>64</v>
      </c>
      <c r="H65" s="7" t="s">
        <v>1266</v>
      </c>
      <c r="I65" t="s">
        <v>29</v>
      </c>
      <c r="J65">
        <f>LEN(H65)</f>
        <v>10</v>
      </c>
      <c r="K65" s="49" t="s">
        <v>4380</v>
      </c>
      <c r="O65" s="3" t="s">
        <v>7010</v>
      </c>
      <c r="P65" s="3" t="s">
        <v>7010</v>
      </c>
      <c r="Q65" s="3" t="s">
        <v>7010</v>
      </c>
      <c r="R65" s="3" t="s">
        <v>7010</v>
      </c>
      <c r="S65" s="3" t="s">
        <v>7010</v>
      </c>
      <c r="T65" s="3" t="s">
        <v>7010</v>
      </c>
      <c r="U65" s="3" t="s">
        <v>7010</v>
      </c>
      <c r="V65" s="3" t="s">
        <v>7010</v>
      </c>
      <c r="W65" s="74" t="str">
        <f t="shared" si="1"/>
        <v>No</v>
      </c>
      <c r="Z65">
        <v>64</v>
      </c>
      <c r="AA65" s="55" t="s">
        <v>694</v>
      </c>
      <c r="AB65" t="s">
        <v>643</v>
      </c>
      <c r="AC65">
        <f t="shared" si="0"/>
        <v>7</v>
      </c>
      <c r="AD65" s="30" t="s">
        <v>2530</v>
      </c>
      <c r="AF65" t="s">
        <v>7480</v>
      </c>
      <c r="AH65" s="3" t="s">
        <v>7015</v>
      </c>
      <c r="AI65" s="3" t="s">
        <v>7010</v>
      </c>
      <c r="AJ65" s="3" t="s">
        <v>7010</v>
      </c>
      <c r="AK65" s="3" t="s">
        <v>7015</v>
      </c>
      <c r="AL65" s="3" t="s">
        <v>7010</v>
      </c>
      <c r="AM65" s="3" t="s">
        <v>7010</v>
      </c>
      <c r="AN65" s="3" t="s">
        <v>7010</v>
      </c>
      <c r="AO65" s="3" t="s">
        <v>7010</v>
      </c>
      <c r="AP65" s="74" t="s">
        <v>7015</v>
      </c>
      <c r="AU65">
        <v>64</v>
      </c>
      <c r="AV65" t="s">
        <v>2531</v>
      </c>
      <c r="AW65" t="s">
        <v>2279</v>
      </c>
      <c r="AX65">
        <f t="shared" si="2"/>
        <v>10</v>
      </c>
      <c r="AY65" s="30" t="s">
        <v>2532</v>
      </c>
      <c r="BC65" s="3" t="s">
        <v>7010</v>
      </c>
      <c r="BD65" s="3" t="s">
        <v>7010</v>
      </c>
      <c r="BE65" s="3" t="s">
        <v>7010</v>
      </c>
      <c r="BF65" s="3" t="s">
        <v>7010</v>
      </c>
      <c r="BG65" s="3" t="s">
        <v>7010</v>
      </c>
      <c r="BH65" s="3" t="s">
        <v>7010</v>
      </c>
      <c r="BI65" s="3" t="s">
        <v>7010</v>
      </c>
      <c r="BJ65" s="3" t="s">
        <v>7010</v>
      </c>
      <c r="BK65" s="74" t="str">
        <f t="shared" si="3"/>
        <v>No</v>
      </c>
    </row>
    <row r="66" spans="6:63">
      <c r="F66" s="7"/>
      <c r="G66">
        <v>65</v>
      </c>
      <c r="H66" s="7" t="s">
        <v>1380</v>
      </c>
      <c r="I66" t="s">
        <v>29</v>
      </c>
      <c r="J66">
        <f>LEN(H66)</f>
        <v>10</v>
      </c>
      <c r="K66" s="49" t="s">
        <v>4671</v>
      </c>
      <c r="O66" s="3" t="s">
        <v>7010</v>
      </c>
      <c r="P66" s="3" t="s">
        <v>7010</v>
      </c>
      <c r="Q66" s="3" t="s">
        <v>7010</v>
      </c>
      <c r="R66" s="3" t="s">
        <v>7010</v>
      </c>
      <c r="S66" s="3" t="s">
        <v>7010</v>
      </c>
      <c r="T66" s="3" t="s">
        <v>7010</v>
      </c>
      <c r="U66" s="3" t="s">
        <v>7010</v>
      </c>
      <c r="V66" s="3" t="s">
        <v>7010</v>
      </c>
      <c r="W66" s="74" t="str">
        <f t="shared" si="1"/>
        <v>No</v>
      </c>
      <c r="Z66">
        <v>65</v>
      </c>
      <c r="AA66" s="55" t="s">
        <v>695</v>
      </c>
      <c r="AB66" t="s">
        <v>643</v>
      </c>
      <c r="AC66">
        <f t="shared" ref="AC66:AC129" si="4">LEN(AA66)</f>
        <v>8</v>
      </c>
      <c r="AD66" s="30" t="s">
        <v>2534</v>
      </c>
      <c r="AF66" t="s">
        <v>7481</v>
      </c>
      <c r="AH66" s="3" t="s">
        <v>7015</v>
      </c>
      <c r="AI66" s="3" t="s">
        <v>7010</v>
      </c>
      <c r="AJ66" s="3" t="s">
        <v>7010</v>
      </c>
      <c r="AK66" s="3" t="s">
        <v>7015</v>
      </c>
      <c r="AL66" s="3" t="s">
        <v>7010</v>
      </c>
      <c r="AM66" s="3" t="s">
        <v>7010</v>
      </c>
      <c r="AN66" s="3" t="s">
        <v>7010</v>
      </c>
      <c r="AO66" s="3" t="s">
        <v>7010</v>
      </c>
      <c r="AP66" s="74" t="s">
        <v>7015</v>
      </c>
      <c r="AU66">
        <v>65</v>
      </c>
      <c r="AV66" t="s">
        <v>2535</v>
      </c>
      <c r="AW66" t="s">
        <v>2279</v>
      </c>
      <c r="AX66">
        <f t="shared" si="2"/>
        <v>12</v>
      </c>
      <c r="AY66" s="30" t="s">
        <v>2536</v>
      </c>
      <c r="BC66" s="3" t="s">
        <v>7010</v>
      </c>
      <c r="BD66" s="3" t="s">
        <v>7010</v>
      </c>
      <c r="BE66" s="3" t="s">
        <v>7015</v>
      </c>
      <c r="BF66" s="3" t="s">
        <v>7010</v>
      </c>
      <c r="BG66" s="3" t="s">
        <v>7010</v>
      </c>
      <c r="BH66" s="3" t="s">
        <v>7010</v>
      </c>
      <c r="BI66" s="3" t="s">
        <v>7010</v>
      </c>
      <c r="BJ66" s="3" t="s">
        <v>7010</v>
      </c>
      <c r="BK66" s="74" t="str">
        <f t="shared" si="3"/>
        <v>Yes</v>
      </c>
    </row>
    <row r="67" spans="6:63">
      <c r="G67">
        <v>66</v>
      </c>
      <c r="H67" s="7" t="s">
        <v>1482</v>
      </c>
      <c r="I67" t="s">
        <v>29</v>
      </c>
      <c r="J67">
        <f>LEN(H67)</f>
        <v>8</v>
      </c>
      <c r="K67" s="49" t="s">
        <v>4929</v>
      </c>
      <c r="O67" s="3" t="s">
        <v>7010</v>
      </c>
      <c r="P67" s="3" t="s">
        <v>7010</v>
      </c>
      <c r="Q67" s="3" t="s">
        <v>7010</v>
      </c>
      <c r="R67" s="3" t="s">
        <v>7010</v>
      </c>
      <c r="S67" s="3" t="s">
        <v>7010</v>
      </c>
      <c r="T67" s="3" t="s">
        <v>7010</v>
      </c>
      <c r="U67" s="3" t="s">
        <v>7010</v>
      </c>
      <c r="V67" s="3" t="s">
        <v>7010</v>
      </c>
      <c r="W67" s="74" t="str">
        <f t="shared" ref="W67:W130" si="5">IF(COUNTIF(O67:V67, "Yes") &gt; 0, "Yes", "No")</f>
        <v>No</v>
      </c>
      <c r="Z67">
        <v>66</v>
      </c>
      <c r="AA67" s="55" t="s">
        <v>696</v>
      </c>
      <c r="AB67" t="s">
        <v>643</v>
      </c>
      <c r="AC67">
        <f t="shared" si="4"/>
        <v>6</v>
      </c>
      <c r="AD67" s="30" t="s">
        <v>2538</v>
      </c>
      <c r="AF67" t="s">
        <v>7482</v>
      </c>
      <c r="AH67" s="3" t="s">
        <v>7015</v>
      </c>
      <c r="AI67" s="3" t="s">
        <v>7010</v>
      </c>
      <c r="AJ67" s="3" t="s">
        <v>7010</v>
      </c>
      <c r="AK67" s="3" t="s">
        <v>7015</v>
      </c>
      <c r="AL67" s="3" t="s">
        <v>7010</v>
      </c>
      <c r="AM67" s="3" t="s">
        <v>7010</v>
      </c>
      <c r="AN67" s="3" t="s">
        <v>7010</v>
      </c>
      <c r="AO67" s="3" t="s">
        <v>7010</v>
      </c>
      <c r="AP67" s="74" t="s">
        <v>7015</v>
      </c>
      <c r="AU67">
        <v>66</v>
      </c>
      <c r="AV67" t="s">
        <v>2539</v>
      </c>
      <c r="AW67" t="s">
        <v>2279</v>
      </c>
      <c r="AX67">
        <f t="shared" ref="AX67:AX130" si="6">LEN(AV67)</f>
        <v>10</v>
      </c>
      <c r="AY67" s="30" t="s">
        <v>2540</v>
      </c>
      <c r="BC67" s="3" t="s">
        <v>7010</v>
      </c>
      <c r="BD67" s="3" t="s">
        <v>7010</v>
      </c>
      <c r="BE67" s="3" t="s">
        <v>7010</v>
      </c>
      <c r="BF67" s="3" t="s">
        <v>7010</v>
      </c>
      <c r="BG67" s="3" t="s">
        <v>7010</v>
      </c>
      <c r="BH67" s="3" t="s">
        <v>7010</v>
      </c>
      <c r="BI67" s="3" t="s">
        <v>7010</v>
      </c>
      <c r="BJ67" s="3" t="s">
        <v>7010</v>
      </c>
      <c r="BK67" s="74" t="str">
        <f t="shared" ref="BK67:BK130" si="7">IF(COUNTIF(BC67:BJ67, "Yes") &gt; 0, "Yes", "No")</f>
        <v>No</v>
      </c>
    </row>
    <row r="68" spans="6:63">
      <c r="G68">
        <v>67</v>
      </c>
      <c r="H68" s="7" t="s">
        <v>1582</v>
      </c>
      <c r="I68" t="s">
        <v>29</v>
      </c>
      <c r="J68">
        <f>LEN(H68)</f>
        <v>11</v>
      </c>
      <c r="K68" s="49" t="s">
        <v>5183</v>
      </c>
      <c r="O68" s="3" t="s">
        <v>7010</v>
      </c>
      <c r="P68" s="3" t="s">
        <v>7010</v>
      </c>
      <c r="Q68" s="3" t="s">
        <v>7010</v>
      </c>
      <c r="R68" s="3" t="s">
        <v>7010</v>
      </c>
      <c r="S68" s="3" t="s">
        <v>7010</v>
      </c>
      <c r="T68" s="3" t="s">
        <v>7010</v>
      </c>
      <c r="U68" s="3" t="s">
        <v>7015</v>
      </c>
      <c r="V68" s="3" t="s">
        <v>7010</v>
      </c>
      <c r="W68" s="74" t="str">
        <f t="shared" si="5"/>
        <v>Yes</v>
      </c>
      <c r="Z68">
        <v>67</v>
      </c>
      <c r="AA68" s="55" t="s">
        <v>697</v>
      </c>
      <c r="AB68" t="s">
        <v>643</v>
      </c>
      <c r="AC68">
        <f t="shared" si="4"/>
        <v>7</v>
      </c>
      <c r="AD68" s="30" t="s">
        <v>2542</v>
      </c>
      <c r="AF68" t="s">
        <v>7483</v>
      </c>
      <c r="AH68" s="3" t="s">
        <v>7015</v>
      </c>
      <c r="AI68" s="3" t="s">
        <v>7010</v>
      </c>
      <c r="AJ68" s="3" t="s">
        <v>7010</v>
      </c>
      <c r="AK68" s="3" t="s">
        <v>7015</v>
      </c>
      <c r="AL68" s="3" t="s">
        <v>7010</v>
      </c>
      <c r="AM68" s="3" t="s">
        <v>7010</v>
      </c>
      <c r="AN68" s="3" t="s">
        <v>7010</v>
      </c>
      <c r="AO68" s="3" t="s">
        <v>7010</v>
      </c>
      <c r="AP68" s="74" t="s">
        <v>7015</v>
      </c>
      <c r="AU68">
        <v>67</v>
      </c>
      <c r="AV68" t="s">
        <v>2543</v>
      </c>
      <c r="AW68" t="s">
        <v>2279</v>
      </c>
      <c r="AX68">
        <f t="shared" si="6"/>
        <v>16</v>
      </c>
      <c r="AY68" s="30" t="s">
        <v>2544</v>
      </c>
      <c r="BC68" s="3" t="s">
        <v>7010</v>
      </c>
      <c r="BD68" s="3" t="s">
        <v>7010</v>
      </c>
      <c r="BE68" s="3" t="s">
        <v>7010</v>
      </c>
      <c r="BF68" s="3" t="s">
        <v>7010</v>
      </c>
      <c r="BG68" s="3" t="s">
        <v>7010</v>
      </c>
      <c r="BH68" s="3" t="s">
        <v>7010</v>
      </c>
      <c r="BI68" s="3" t="s">
        <v>7010</v>
      </c>
      <c r="BJ68" s="3" t="s">
        <v>7010</v>
      </c>
      <c r="BK68" s="74" t="str">
        <f t="shared" si="7"/>
        <v>No</v>
      </c>
    </row>
    <row r="69" spans="6:63">
      <c r="G69">
        <v>68</v>
      </c>
      <c r="H69" s="7" t="s">
        <v>1686</v>
      </c>
      <c r="I69" t="s">
        <v>29</v>
      </c>
      <c r="J69">
        <f>LEN(H69)</f>
        <v>12</v>
      </c>
      <c r="K69" s="49" t="s">
        <v>5445</v>
      </c>
      <c r="O69" s="3" t="s">
        <v>7010</v>
      </c>
      <c r="P69" s="3" t="s">
        <v>7010</v>
      </c>
      <c r="Q69" s="3" t="s">
        <v>7010</v>
      </c>
      <c r="R69" s="3" t="s">
        <v>7010</v>
      </c>
      <c r="S69" s="3" t="s">
        <v>7010</v>
      </c>
      <c r="T69" s="3" t="s">
        <v>7010</v>
      </c>
      <c r="U69" s="3" t="s">
        <v>7010</v>
      </c>
      <c r="V69" s="3" t="s">
        <v>7010</v>
      </c>
      <c r="W69" s="74" t="str">
        <f t="shared" si="5"/>
        <v>No</v>
      </c>
      <c r="Z69">
        <v>68</v>
      </c>
      <c r="AA69" s="55" t="s">
        <v>698</v>
      </c>
      <c r="AB69" t="s">
        <v>643</v>
      </c>
      <c r="AC69">
        <f t="shared" si="4"/>
        <v>6</v>
      </c>
      <c r="AD69" s="30" t="s">
        <v>2546</v>
      </c>
      <c r="AF69" t="s">
        <v>7484</v>
      </c>
      <c r="AH69" s="3" t="s">
        <v>7015</v>
      </c>
      <c r="AI69" s="3" t="s">
        <v>7010</v>
      </c>
      <c r="AJ69" s="3" t="s">
        <v>7010</v>
      </c>
      <c r="AK69" s="3" t="s">
        <v>7015</v>
      </c>
      <c r="AL69" s="3" t="s">
        <v>7010</v>
      </c>
      <c r="AM69" s="3" t="s">
        <v>7010</v>
      </c>
      <c r="AN69" s="3" t="s">
        <v>7010</v>
      </c>
      <c r="AO69" s="3" t="s">
        <v>7010</v>
      </c>
      <c r="AP69" s="74" t="s">
        <v>7015</v>
      </c>
      <c r="AU69">
        <v>68</v>
      </c>
      <c r="AV69" t="s">
        <v>2547</v>
      </c>
      <c r="AW69" t="s">
        <v>2279</v>
      </c>
      <c r="AX69">
        <f t="shared" si="6"/>
        <v>8</v>
      </c>
      <c r="AY69" s="30" t="s">
        <v>2548</v>
      </c>
      <c r="BC69" s="3" t="s">
        <v>7010</v>
      </c>
      <c r="BD69" s="3" t="s">
        <v>7010</v>
      </c>
      <c r="BE69" s="3" t="s">
        <v>7010</v>
      </c>
      <c r="BF69" s="3" t="s">
        <v>7010</v>
      </c>
      <c r="BG69" s="3" t="s">
        <v>7010</v>
      </c>
      <c r="BH69" s="3" t="s">
        <v>7010</v>
      </c>
      <c r="BI69" s="3" t="s">
        <v>7010</v>
      </c>
      <c r="BJ69" s="3" t="s">
        <v>7010</v>
      </c>
      <c r="BK69" s="74" t="str">
        <f t="shared" si="7"/>
        <v>No</v>
      </c>
    </row>
    <row r="70" spans="6:63">
      <c r="F70" s="7"/>
      <c r="G70">
        <v>69</v>
      </c>
      <c r="H70" s="7" t="s">
        <v>507</v>
      </c>
      <c r="I70" t="s">
        <v>29</v>
      </c>
      <c r="J70">
        <f>LEN(H70)</f>
        <v>10</v>
      </c>
      <c r="K70" s="49" t="s">
        <v>2945</v>
      </c>
      <c r="O70" s="3" t="s">
        <v>7010</v>
      </c>
      <c r="P70" s="3" t="s">
        <v>7010</v>
      </c>
      <c r="Q70" s="3" t="s">
        <v>7010</v>
      </c>
      <c r="R70" s="3" t="s">
        <v>7010</v>
      </c>
      <c r="S70" s="3" t="s">
        <v>7010</v>
      </c>
      <c r="T70" s="3" t="s">
        <v>7015</v>
      </c>
      <c r="U70" s="3" t="s">
        <v>7010</v>
      </c>
      <c r="V70" s="3" t="s">
        <v>7010</v>
      </c>
      <c r="W70" s="74" t="str">
        <f t="shared" si="5"/>
        <v>Yes</v>
      </c>
      <c r="Z70">
        <v>69</v>
      </c>
      <c r="AA70" s="55" t="s">
        <v>699</v>
      </c>
      <c r="AB70" t="s">
        <v>643</v>
      </c>
      <c r="AC70">
        <f t="shared" si="4"/>
        <v>5</v>
      </c>
      <c r="AD70" s="30" t="s">
        <v>2550</v>
      </c>
      <c r="AF70" t="s">
        <v>7485</v>
      </c>
      <c r="AH70" s="3" t="s">
        <v>7015</v>
      </c>
      <c r="AI70" s="3" t="s">
        <v>7010</v>
      </c>
      <c r="AJ70" s="3" t="s">
        <v>7010</v>
      </c>
      <c r="AK70" s="3" t="s">
        <v>7015</v>
      </c>
      <c r="AL70" s="3" t="s">
        <v>7010</v>
      </c>
      <c r="AM70" s="3" t="s">
        <v>7010</v>
      </c>
      <c r="AN70" s="3" t="s">
        <v>7010</v>
      </c>
      <c r="AO70" s="3" t="s">
        <v>7010</v>
      </c>
      <c r="AP70" s="74" t="s">
        <v>7015</v>
      </c>
      <c r="AU70">
        <v>69</v>
      </c>
      <c r="AV70" t="s">
        <v>2551</v>
      </c>
      <c r="AW70" t="s">
        <v>2279</v>
      </c>
      <c r="AX70">
        <f t="shared" si="6"/>
        <v>11</v>
      </c>
      <c r="AY70" s="30" t="s">
        <v>2552</v>
      </c>
      <c r="BC70" s="3" t="s">
        <v>7010</v>
      </c>
      <c r="BD70" s="3" t="s">
        <v>7010</v>
      </c>
      <c r="BE70" s="3" t="s">
        <v>7015</v>
      </c>
      <c r="BF70" s="3" t="s">
        <v>7010</v>
      </c>
      <c r="BG70" s="3" t="s">
        <v>7010</v>
      </c>
      <c r="BH70" s="3" t="s">
        <v>7010</v>
      </c>
      <c r="BI70" s="3" t="s">
        <v>7010</v>
      </c>
      <c r="BJ70" s="3" t="s">
        <v>7010</v>
      </c>
      <c r="BK70" s="74" t="str">
        <f t="shared" si="7"/>
        <v>Yes</v>
      </c>
    </row>
    <row r="71" spans="6:63">
      <c r="G71">
        <v>70</v>
      </c>
      <c r="H71" s="7" t="s">
        <v>1444</v>
      </c>
      <c r="I71" t="s">
        <v>29</v>
      </c>
      <c r="J71">
        <f>LEN(H71)</f>
        <v>10</v>
      </c>
      <c r="K71" s="49" t="s">
        <v>4835</v>
      </c>
      <c r="O71" s="3" t="s">
        <v>7010</v>
      </c>
      <c r="P71" s="3" t="s">
        <v>7010</v>
      </c>
      <c r="Q71" s="3" t="s">
        <v>7010</v>
      </c>
      <c r="R71" s="3" t="s">
        <v>7010</v>
      </c>
      <c r="S71" s="3" t="s">
        <v>7010</v>
      </c>
      <c r="T71" s="3" t="s">
        <v>7010</v>
      </c>
      <c r="U71" s="3" t="s">
        <v>7010</v>
      </c>
      <c r="V71" s="3" t="s">
        <v>7010</v>
      </c>
      <c r="W71" s="74" t="str">
        <f t="shared" si="5"/>
        <v>No</v>
      </c>
      <c r="Z71">
        <v>70</v>
      </c>
      <c r="AA71" s="55" t="s">
        <v>700</v>
      </c>
      <c r="AB71" t="s">
        <v>643</v>
      </c>
      <c r="AC71">
        <f t="shared" si="4"/>
        <v>7</v>
      </c>
      <c r="AD71" s="30" t="s">
        <v>2554</v>
      </c>
      <c r="AF71" t="s">
        <v>7486</v>
      </c>
      <c r="AH71" s="3" t="s">
        <v>7015</v>
      </c>
      <c r="AI71" s="3" t="s">
        <v>7010</v>
      </c>
      <c r="AJ71" s="3" t="s">
        <v>7010</v>
      </c>
      <c r="AK71" s="3" t="s">
        <v>7015</v>
      </c>
      <c r="AL71" s="3" t="s">
        <v>7010</v>
      </c>
      <c r="AM71" s="3" t="s">
        <v>7010</v>
      </c>
      <c r="AN71" s="3" t="s">
        <v>7010</v>
      </c>
      <c r="AO71" s="3" t="s">
        <v>7010</v>
      </c>
      <c r="AP71" s="74" t="s">
        <v>7015</v>
      </c>
      <c r="AU71">
        <v>70</v>
      </c>
      <c r="AV71" t="s">
        <v>2555</v>
      </c>
      <c r="AW71" t="s">
        <v>2279</v>
      </c>
      <c r="AX71">
        <f t="shared" si="6"/>
        <v>8</v>
      </c>
      <c r="AY71" s="30" t="s">
        <v>2556</v>
      </c>
      <c r="BC71" s="3" t="s">
        <v>7015</v>
      </c>
      <c r="BD71" s="3" t="s">
        <v>7010</v>
      </c>
      <c r="BE71" s="3" t="s">
        <v>7015</v>
      </c>
      <c r="BF71" s="3" t="s">
        <v>7010</v>
      </c>
      <c r="BG71" s="3" t="s">
        <v>7010</v>
      </c>
      <c r="BH71" s="3" t="s">
        <v>7010</v>
      </c>
      <c r="BI71" s="3" t="s">
        <v>7010</v>
      </c>
      <c r="BJ71" s="3" t="s">
        <v>7010</v>
      </c>
      <c r="BK71" s="74" t="str">
        <f t="shared" si="7"/>
        <v>Yes</v>
      </c>
    </row>
    <row r="72" spans="6:63">
      <c r="G72">
        <v>71</v>
      </c>
      <c r="H72" s="7" t="s">
        <v>1368</v>
      </c>
      <c r="I72" t="s">
        <v>29</v>
      </c>
      <c r="J72">
        <f>LEN(H72)</f>
        <v>10</v>
      </c>
      <c r="K72" s="49" t="s">
        <v>4634</v>
      </c>
      <c r="O72" s="3" t="s">
        <v>7010</v>
      </c>
      <c r="P72" s="3" t="s">
        <v>7010</v>
      </c>
      <c r="Q72" s="3" t="s">
        <v>7010</v>
      </c>
      <c r="R72" s="3" t="s">
        <v>7010</v>
      </c>
      <c r="S72" s="3" t="s">
        <v>7010</v>
      </c>
      <c r="T72" s="3" t="s">
        <v>7010</v>
      </c>
      <c r="U72" s="3" t="s">
        <v>7010</v>
      </c>
      <c r="V72" s="3" t="s">
        <v>7010</v>
      </c>
      <c r="W72" s="74" t="str">
        <f t="shared" si="5"/>
        <v>No</v>
      </c>
      <c r="Z72">
        <v>71</v>
      </c>
      <c r="AA72" s="55" t="s">
        <v>701</v>
      </c>
      <c r="AB72" t="s">
        <v>643</v>
      </c>
      <c r="AC72">
        <f t="shared" si="4"/>
        <v>7</v>
      </c>
      <c r="AD72" s="30" t="s">
        <v>2558</v>
      </c>
      <c r="AF72" t="s">
        <v>7487</v>
      </c>
      <c r="AH72" s="3" t="s">
        <v>7015</v>
      </c>
      <c r="AI72" s="3" t="s">
        <v>7010</v>
      </c>
      <c r="AJ72" s="3" t="s">
        <v>7010</v>
      </c>
      <c r="AK72" s="3" t="s">
        <v>7015</v>
      </c>
      <c r="AL72" s="3" t="s">
        <v>7010</v>
      </c>
      <c r="AM72" s="3" t="s">
        <v>7010</v>
      </c>
      <c r="AN72" s="3" t="s">
        <v>7010</v>
      </c>
      <c r="AO72" s="3" t="s">
        <v>7010</v>
      </c>
      <c r="AP72" s="74" t="s">
        <v>7015</v>
      </c>
      <c r="AU72">
        <v>71</v>
      </c>
      <c r="AV72" t="s">
        <v>2559</v>
      </c>
      <c r="AW72" t="s">
        <v>2279</v>
      </c>
      <c r="AX72">
        <f t="shared" si="6"/>
        <v>8</v>
      </c>
      <c r="AY72" s="30" t="s">
        <v>2560</v>
      </c>
      <c r="BC72" s="3" t="s">
        <v>7010</v>
      </c>
      <c r="BD72" s="3" t="s">
        <v>7010</v>
      </c>
      <c r="BE72" s="3" t="s">
        <v>7010</v>
      </c>
      <c r="BF72" s="3" t="s">
        <v>7010</v>
      </c>
      <c r="BG72" s="3" t="s">
        <v>7010</v>
      </c>
      <c r="BH72" s="3" t="s">
        <v>7010</v>
      </c>
      <c r="BI72" s="3" t="s">
        <v>7010</v>
      </c>
      <c r="BJ72" s="3" t="s">
        <v>7010</v>
      </c>
      <c r="BK72" s="74" t="str">
        <f t="shared" si="7"/>
        <v>No</v>
      </c>
    </row>
    <row r="73" spans="6:63">
      <c r="F73" s="18"/>
      <c r="G73">
        <v>72</v>
      </c>
      <c r="H73" s="7" t="s">
        <v>1658</v>
      </c>
      <c r="I73" t="s">
        <v>29</v>
      </c>
      <c r="J73">
        <f>LEN(H73)</f>
        <v>12</v>
      </c>
      <c r="K73" s="49" t="s">
        <v>5376</v>
      </c>
      <c r="O73" s="3" t="s">
        <v>7010</v>
      </c>
      <c r="P73" s="3" t="s">
        <v>7010</v>
      </c>
      <c r="Q73" s="3" t="s">
        <v>7010</v>
      </c>
      <c r="R73" s="3" t="s">
        <v>7010</v>
      </c>
      <c r="S73" s="3" t="s">
        <v>7010</v>
      </c>
      <c r="T73" s="3" t="s">
        <v>7010</v>
      </c>
      <c r="U73" s="3" t="s">
        <v>7010</v>
      </c>
      <c r="V73" s="3" t="s">
        <v>7010</v>
      </c>
      <c r="W73" s="74" t="str">
        <f t="shared" si="5"/>
        <v>No</v>
      </c>
      <c r="Z73">
        <v>72</v>
      </c>
      <c r="AA73" s="55">
        <v>666666</v>
      </c>
      <c r="AB73" t="s">
        <v>643</v>
      </c>
      <c r="AC73">
        <f t="shared" si="4"/>
        <v>6</v>
      </c>
      <c r="AD73" s="30" t="s">
        <v>2562</v>
      </c>
      <c r="AF73" t="s">
        <v>7488</v>
      </c>
      <c r="AH73" s="3" t="s">
        <v>7015</v>
      </c>
      <c r="AI73" s="3" t="s">
        <v>7010</v>
      </c>
      <c r="AJ73" s="3" t="s">
        <v>7010</v>
      </c>
      <c r="AK73" s="3" t="s">
        <v>7015</v>
      </c>
      <c r="AL73" s="3" t="s">
        <v>7010</v>
      </c>
      <c r="AM73" s="3" t="s">
        <v>7010</v>
      </c>
      <c r="AN73" s="3" t="s">
        <v>7010</v>
      </c>
      <c r="AO73" s="3" t="s">
        <v>7010</v>
      </c>
      <c r="AP73" s="74" t="s">
        <v>7015</v>
      </c>
      <c r="AU73">
        <v>72</v>
      </c>
      <c r="AV73" t="s">
        <v>2563</v>
      </c>
      <c r="AW73" t="s">
        <v>2279</v>
      </c>
      <c r="AX73">
        <f t="shared" si="6"/>
        <v>8</v>
      </c>
      <c r="AY73" s="30" t="s">
        <v>2564</v>
      </c>
      <c r="BC73" s="3" t="s">
        <v>7010</v>
      </c>
      <c r="BD73" s="3" t="s">
        <v>7010</v>
      </c>
      <c r="BE73" s="3" t="s">
        <v>7010</v>
      </c>
      <c r="BF73" s="3" t="s">
        <v>7010</v>
      </c>
      <c r="BG73" s="3" t="s">
        <v>7010</v>
      </c>
      <c r="BH73" s="3" t="s">
        <v>7010</v>
      </c>
      <c r="BI73" s="3" t="s">
        <v>7010</v>
      </c>
      <c r="BJ73" s="3" t="s">
        <v>7010</v>
      </c>
      <c r="BK73" s="74" t="str">
        <f t="shared" si="7"/>
        <v>No</v>
      </c>
    </row>
    <row r="74" spans="6:63">
      <c r="F74" s="7"/>
      <c r="G74">
        <v>73</v>
      </c>
      <c r="H74" s="7" t="s">
        <v>1562</v>
      </c>
      <c r="I74" t="s">
        <v>29</v>
      </c>
      <c r="J74">
        <f>LEN(H74)</f>
        <v>17</v>
      </c>
      <c r="K74" s="49" t="s">
        <v>5133</v>
      </c>
      <c r="O74" s="3" t="s">
        <v>7010</v>
      </c>
      <c r="P74" s="3" t="s">
        <v>7010</v>
      </c>
      <c r="Q74" s="3" t="s">
        <v>7010</v>
      </c>
      <c r="R74" s="3" t="s">
        <v>7010</v>
      </c>
      <c r="S74" s="3" t="s">
        <v>7010</v>
      </c>
      <c r="T74" s="3" t="s">
        <v>7010</v>
      </c>
      <c r="U74" s="3" t="s">
        <v>7010</v>
      </c>
      <c r="V74" s="3" t="s">
        <v>7010</v>
      </c>
      <c r="W74" s="74" t="str">
        <f t="shared" si="5"/>
        <v>No</v>
      </c>
      <c r="Z74">
        <v>73</v>
      </c>
      <c r="AA74" s="55" t="s">
        <v>702</v>
      </c>
      <c r="AB74" t="s">
        <v>643</v>
      </c>
      <c r="AC74">
        <f t="shared" si="4"/>
        <v>6</v>
      </c>
      <c r="AD74" s="30" t="s">
        <v>2566</v>
      </c>
      <c r="AF74" t="s">
        <v>7489</v>
      </c>
      <c r="AH74" s="3" t="s">
        <v>7015</v>
      </c>
      <c r="AI74" s="3" t="s">
        <v>7010</v>
      </c>
      <c r="AJ74" s="3" t="s">
        <v>7010</v>
      </c>
      <c r="AK74" s="3" t="s">
        <v>7015</v>
      </c>
      <c r="AL74" s="3" t="s">
        <v>7010</v>
      </c>
      <c r="AM74" s="3" t="s">
        <v>7010</v>
      </c>
      <c r="AN74" s="3" t="s">
        <v>7010</v>
      </c>
      <c r="AO74" s="3" t="s">
        <v>7010</v>
      </c>
      <c r="AP74" s="74" t="s">
        <v>7015</v>
      </c>
      <c r="AU74">
        <v>73</v>
      </c>
      <c r="AV74" t="s">
        <v>2567</v>
      </c>
      <c r="AW74" t="s">
        <v>2279</v>
      </c>
      <c r="AX74">
        <f t="shared" si="6"/>
        <v>14</v>
      </c>
      <c r="AY74" s="30" t="s">
        <v>2568</v>
      </c>
      <c r="BC74" s="3" t="s">
        <v>7010</v>
      </c>
      <c r="BD74" s="3" t="s">
        <v>7010</v>
      </c>
      <c r="BE74" s="3" t="s">
        <v>7010</v>
      </c>
      <c r="BF74" s="3" t="s">
        <v>7010</v>
      </c>
      <c r="BG74" s="3" t="s">
        <v>7010</v>
      </c>
      <c r="BH74" s="3" t="s">
        <v>7010</v>
      </c>
      <c r="BI74" s="3" t="s">
        <v>7010</v>
      </c>
      <c r="BJ74" s="3" t="s">
        <v>7010</v>
      </c>
      <c r="BK74" s="74" t="str">
        <f t="shared" si="7"/>
        <v>No</v>
      </c>
    </row>
    <row r="75" spans="6:63">
      <c r="F75" s="7"/>
      <c r="G75">
        <v>74</v>
      </c>
      <c r="H75" s="7" t="s">
        <v>1226</v>
      </c>
      <c r="I75" t="s">
        <v>29</v>
      </c>
      <c r="J75">
        <f>LEN(H75)</f>
        <v>10</v>
      </c>
      <c r="K75" s="49" t="s">
        <v>4280</v>
      </c>
      <c r="O75" s="3" t="s">
        <v>7010</v>
      </c>
      <c r="P75" s="3" t="s">
        <v>7010</v>
      </c>
      <c r="Q75" s="3" t="s">
        <v>7010</v>
      </c>
      <c r="R75" s="3" t="s">
        <v>7010</v>
      </c>
      <c r="S75" s="3" t="s">
        <v>7010</v>
      </c>
      <c r="T75" s="3" t="s">
        <v>7010</v>
      </c>
      <c r="U75" s="3" t="s">
        <v>7010</v>
      </c>
      <c r="V75" s="3" t="s">
        <v>7010</v>
      </c>
      <c r="W75" s="74" t="str">
        <f t="shared" si="5"/>
        <v>No</v>
      </c>
      <c r="Z75">
        <v>74</v>
      </c>
      <c r="AA75" s="55" t="s">
        <v>703</v>
      </c>
      <c r="AB75" t="s">
        <v>643</v>
      </c>
      <c r="AC75">
        <f t="shared" si="4"/>
        <v>7</v>
      </c>
      <c r="AD75" s="30" t="s">
        <v>2570</v>
      </c>
      <c r="AF75" t="s">
        <v>7490</v>
      </c>
      <c r="AH75" s="3" t="s">
        <v>7015</v>
      </c>
      <c r="AI75" s="3" t="s">
        <v>7010</v>
      </c>
      <c r="AJ75" s="3" t="s">
        <v>7010</v>
      </c>
      <c r="AK75" s="3" t="s">
        <v>7015</v>
      </c>
      <c r="AL75" s="3" t="s">
        <v>7010</v>
      </c>
      <c r="AM75" s="3" t="s">
        <v>7010</v>
      </c>
      <c r="AN75" s="3" t="s">
        <v>7010</v>
      </c>
      <c r="AO75" s="3" t="s">
        <v>7010</v>
      </c>
      <c r="AP75" s="74" t="s">
        <v>7015</v>
      </c>
      <c r="AU75">
        <v>74</v>
      </c>
      <c r="AV75" t="s">
        <v>2571</v>
      </c>
      <c r="AW75" t="s">
        <v>2279</v>
      </c>
      <c r="AX75">
        <f t="shared" si="6"/>
        <v>10</v>
      </c>
      <c r="AY75" s="30" t="s">
        <v>2572</v>
      </c>
      <c r="BC75" s="3" t="s">
        <v>7010</v>
      </c>
      <c r="BD75" s="3" t="s">
        <v>7010</v>
      </c>
      <c r="BE75" s="3" t="s">
        <v>7010</v>
      </c>
      <c r="BF75" s="3" t="s">
        <v>7010</v>
      </c>
      <c r="BG75" s="3" t="s">
        <v>7010</v>
      </c>
      <c r="BH75" s="3" t="s">
        <v>7010</v>
      </c>
      <c r="BI75" s="3" t="s">
        <v>7010</v>
      </c>
      <c r="BJ75" s="3" t="s">
        <v>7010</v>
      </c>
      <c r="BK75" s="74" t="str">
        <f t="shared" si="7"/>
        <v>No</v>
      </c>
    </row>
    <row r="76" spans="6:63">
      <c r="F76" s="7"/>
      <c r="G76">
        <v>75</v>
      </c>
      <c r="H76" s="7" t="s">
        <v>519</v>
      </c>
      <c r="I76" t="s">
        <v>29</v>
      </c>
      <c r="J76">
        <f>LEN(H76)</f>
        <v>14</v>
      </c>
      <c r="K76" s="49" t="s">
        <v>2993</v>
      </c>
      <c r="O76" s="3" t="s">
        <v>7010</v>
      </c>
      <c r="P76" s="3" t="s">
        <v>7010</v>
      </c>
      <c r="Q76" s="3" t="s">
        <v>7010</v>
      </c>
      <c r="R76" s="3" t="s">
        <v>7010</v>
      </c>
      <c r="S76" s="3" t="s">
        <v>7010</v>
      </c>
      <c r="T76" s="3" t="s">
        <v>7015</v>
      </c>
      <c r="U76" s="3" t="s">
        <v>7010</v>
      </c>
      <c r="V76" s="3" t="s">
        <v>7010</v>
      </c>
      <c r="W76" s="74" t="str">
        <f t="shared" si="5"/>
        <v>Yes</v>
      </c>
      <c r="Z76">
        <v>75</v>
      </c>
      <c r="AA76" s="55" t="s">
        <v>704</v>
      </c>
      <c r="AB76" t="s">
        <v>643</v>
      </c>
      <c r="AC76">
        <f t="shared" si="4"/>
        <v>6</v>
      </c>
      <c r="AD76" s="30" t="s">
        <v>2574</v>
      </c>
      <c r="AF76" t="s">
        <v>7491</v>
      </c>
      <c r="AH76" s="3" t="s">
        <v>7015</v>
      </c>
      <c r="AI76" s="3" t="s">
        <v>7010</v>
      </c>
      <c r="AJ76" s="3" t="s">
        <v>7010</v>
      </c>
      <c r="AK76" s="3" t="s">
        <v>7015</v>
      </c>
      <c r="AL76" s="3" t="s">
        <v>7010</v>
      </c>
      <c r="AM76" s="3" t="s">
        <v>7010</v>
      </c>
      <c r="AN76" s="3" t="s">
        <v>7010</v>
      </c>
      <c r="AO76" s="3" t="s">
        <v>7010</v>
      </c>
      <c r="AP76" s="74" t="s">
        <v>7015</v>
      </c>
      <c r="AU76">
        <v>75</v>
      </c>
      <c r="AV76" t="s">
        <v>2575</v>
      </c>
      <c r="AW76" t="s">
        <v>2279</v>
      </c>
      <c r="AX76">
        <f t="shared" si="6"/>
        <v>9</v>
      </c>
      <c r="AY76" s="30" t="s">
        <v>2576</v>
      </c>
      <c r="BC76" s="3" t="s">
        <v>7010</v>
      </c>
      <c r="BD76" s="3" t="s">
        <v>7010</v>
      </c>
      <c r="BE76" s="3" t="s">
        <v>7010</v>
      </c>
      <c r="BF76" s="3" t="s">
        <v>7010</v>
      </c>
      <c r="BG76" s="3" t="s">
        <v>7010</v>
      </c>
      <c r="BH76" s="3" t="s">
        <v>7010</v>
      </c>
      <c r="BI76" s="3" t="s">
        <v>7010</v>
      </c>
      <c r="BJ76" s="3" t="s">
        <v>7010</v>
      </c>
      <c r="BK76" s="74" t="str">
        <f t="shared" si="7"/>
        <v>No</v>
      </c>
    </row>
    <row r="77" spans="6:63">
      <c r="F77" s="7"/>
      <c r="G77">
        <v>76</v>
      </c>
      <c r="H77" s="7" t="s">
        <v>376</v>
      </c>
      <c r="I77" t="s">
        <v>29</v>
      </c>
      <c r="J77">
        <f>LEN(H77)</f>
        <v>11</v>
      </c>
      <c r="K77" s="49" t="s">
        <v>2421</v>
      </c>
      <c r="O77" s="3" t="s">
        <v>7010</v>
      </c>
      <c r="P77" s="3" t="s">
        <v>7010</v>
      </c>
      <c r="Q77" s="3" t="s">
        <v>7010</v>
      </c>
      <c r="R77" s="3" t="s">
        <v>7010</v>
      </c>
      <c r="S77" s="3" t="s">
        <v>7010</v>
      </c>
      <c r="T77" s="3" t="s">
        <v>7010</v>
      </c>
      <c r="U77" s="3" t="s">
        <v>7010</v>
      </c>
      <c r="V77" s="3" t="s">
        <v>7010</v>
      </c>
      <c r="W77" s="74" t="str">
        <f t="shared" si="5"/>
        <v>No</v>
      </c>
      <c r="Z77">
        <v>76</v>
      </c>
      <c r="AA77" s="55" t="s">
        <v>705</v>
      </c>
      <c r="AB77" t="s">
        <v>643</v>
      </c>
      <c r="AC77">
        <f t="shared" si="4"/>
        <v>7</v>
      </c>
      <c r="AD77" s="30" t="s">
        <v>2578</v>
      </c>
      <c r="AF77" t="s">
        <v>7492</v>
      </c>
      <c r="AH77" s="3" t="s">
        <v>7015</v>
      </c>
      <c r="AI77" s="3" t="s">
        <v>7010</v>
      </c>
      <c r="AJ77" s="3" t="s">
        <v>7010</v>
      </c>
      <c r="AK77" s="3" t="s">
        <v>7015</v>
      </c>
      <c r="AL77" s="3" t="s">
        <v>7010</v>
      </c>
      <c r="AM77" s="3" t="s">
        <v>7010</v>
      </c>
      <c r="AN77" s="3" t="s">
        <v>7010</v>
      </c>
      <c r="AO77" s="3" t="s">
        <v>7010</v>
      </c>
      <c r="AP77" s="74" t="s">
        <v>7015</v>
      </c>
      <c r="AU77">
        <v>76</v>
      </c>
      <c r="AV77" t="s">
        <v>2579</v>
      </c>
      <c r="AW77" t="s">
        <v>2279</v>
      </c>
      <c r="AX77">
        <f t="shared" si="6"/>
        <v>8</v>
      </c>
      <c r="AY77" s="30" t="s">
        <v>2580</v>
      </c>
      <c r="BC77" s="3" t="s">
        <v>7010</v>
      </c>
      <c r="BD77" s="3" t="s">
        <v>7010</v>
      </c>
      <c r="BE77" s="3" t="s">
        <v>7010</v>
      </c>
      <c r="BF77" s="3" t="s">
        <v>7010</v>
      </c>
      <c r="BG77" s="3" t="s">
        <v>7010</v>
      </c>
      <c r="BH77" s="3" t="s">
        <v>7010</v>
      </c>
      <c r="BI77" s="3" t="s">
        <v>7010</v>
      </c>
      <c r="BJ77" s="3" t="s">
        <v>7010</v>
      </c>
      <c r="BK77" s="74" t="str">
        <f t="shared" si="7"/>
        <v>No</v>
      </c>
    </row>
    <row r="78" spans="6:63">
      <c r="G78">
        <v>77</v>
      </c>
      <c r="H78" s="9" t="s">
        <v>608</v>
      </c>
      <c r="I78" t="s">
        <v>29</v>
      </c>
      <c r="J78">
        <f>LEN(H78)</f>
        <v>10</v>
      </c>
      <c r="K78" s="49" t="s">
        <v>3349</v>
      </c>
      <c r="O78" s="3" t="s">
        <v>7010</v>
      </c>
      <c r="P78" s="3" t="s">
        <v>7010</v>
      </c>
      <c r="Q78" s="3" t="s">
        <v>7010</v>
      </c>
      <c r="R78" s="3" t="s">
        <v>7010</v>
      </c>
      <c r="S78" s="3" t="s">
        <v>7010</v>
      </c>
      <c r="T78" s="3" t="s">
        <v>7010</v>
      </c>
      <c r="U78" s="3" t="s">
        <v>7010</v>
      </c>
      <c r="V78" s="3" t="s">
        <v>7010</v>
      </c>
      <c r="W78" s="74" t="str">
        <f t="shared" si="5"/>
        <v>No</v>
      </c>
      <c r="Z78">
        <v>77</v>
      </c>
      <c r="AA78" s="55" t="s">
        <v>706</v>
      </c>
      <c r="AB78" t="s">
        <v>643</v>
      </c>
      <c r="AC78">
        <f t="shared" si="4"/>
        <v>6</v>
      </c>
      <c r="AD78" s="30" t="s">
        <v>2582</v>
      </c>
      <c r="AF78" t="s">
        <v>7493</v>
      </c>
      <c r="AH78" s="3" t="s">
        <v>7015</v>
      </c>
      <c r="AI78" s="3" t="s">
        <v>7010</v>
      </c>
      <c r="AJ78" s="3" t="s">
        <v>7010</v>
      </c>
      <c r="AK78" s="3" t="s">
        <v>7015</v>
      </c>
      <c r="AL78" s="3" t="s">
        <v>7010</v>
      </c>
      <c r="AM78" s="3" t="s">
        <v>7010</v>
      </c>
      <c r="AN78" s="3" t="s">
        <v>7010</v>
      </c>
      <c r="AO78" s="3" t="s">
        <v>7010</v>
      </c>
      <c r="AP78" s="74" t="s">
        <v>7015</v>
      </c>
      <c r="AU78">
        <v>77</v>
      </c>
      <c r="AV78" t="s">
        <v>2583</v>
      </c>
      <c r="AW78" t="s">
        <v>2279</v>
      </c>
      <c r="AX78">
        <f t="shared" si="6"/>
        <v>8</v>
      </c>
      <c r="AY78" s="30" t="s">
        <v>2584</v>
      </c>
      <c r="BC78" s="3" t="s">
        <v>7010</v>
      </c>
      <c r="BD78" s="3" t="s">
        <v>7010</v>
      </c>
      <c r="BE78" s="3" t="s">
        <v>7010</v>
      </c>
      <c r="BF78" s="3" t="s">
        <v>7010</v>
      </c>
      <c r="BG78" s="3" t="s">
        <v>7010</v>
      </c>
      <c r="BH78" s="3" t="s">
        <v>7010</v>
      </c>
      <c r="BI78" s="3" t="s">
        <v>7010</v>
      </c>
      <c r="BJ78" s="3" t="s">
        <v>7010</v>
      </c>
      <c r="BK78" s="74" t="str">
        <f t="shared" si="7"/>
        <v>No</v>
      </c>
    </row>
    <row r="79" spans="6:63">
      <c r="F79" s="7"/>
      <c r="G79">
        <v>78</v>
      </c>
      <c r="H79" s="7" t="s">
        <v>279</v>
      </c>
      <c r="I79" t="s">
        <v>29</v>
      </c>
      <c r="J79">
        <f>LEN(H79)</f>
        <v>10</v>
      </c>
      <c r="K79" s="49" t="s">
        <v>2337</v>
      </c>
      <c r="O79" s="3" t="s">
        <v>7010</v>
      </c>
      <c r="P79" s="3" t="s">
        <v>7010</v>
      </c>
      <c r="Q79" s="3" t="s">
        <v>7010</v>
      </c>
      <c r="R79" s="3" t="s">
        <v>7010</v>
      </c>
      <c r="S79" s="3" t="s">
        <v>7010</v>
      </c>
      <c r="T79" s="3" t="s">
        <v>7010</v>
      </c>
      <c r="U79" s="3" t="s">
        <v>7010</v>
      </c>
      <c r="V79" s="3" t="s">
        <v>7010</v>
      </c>
      <c r="W79" s="74" t="str">
        <f t="shared" si="5"/>
        <v>No</v>
      </c>
      <c r="Z79">
        <v>78</v>
      </c>
      <c r="AA79" s="55" t="s">
        <v>707</v>
      </c>
      <c r="AB79" t="s">
        <v>643</v>
      </c>
      <c r="AC79">
        <f t="shared" si="4"/>
        <v>8</v>
      </c>
      <c r="AD79" s="30" t="s">
        <v>2586</v>
      </c>
      <c r="AF79" t="s">
        <v>7494</v>
      </c>
      <c r="AH79" s="3" t="s">
        <v>7015</v>
      </c>
      <c r="AI79" s="3" t="s">
        <v>7010</v>
      </c>
      <c r="AJ79" s="3" t="s">
        <v>7010</v>
      </c>
      <c r="AK79" s="3" t="s">
        <v>7015</v>
      </c>
      <c r="AL79" s="3" t="s">
        <v>7010</v>
      </c>
      <c r="AM79" s="3" t="s">
        <v>7010</v>
      </c>
      <c r="AN79" s="3" t="s">
        <v>7010</v>
      </c>
      <c r="AO79" s="3" t="s">
        <v>7010</v>
      </c>
      <c r="AP79" s="74" t="s">
        <v>7015</v>
      </c>
      <c r="AU79">
        <v>78</v>
      </c>
      <c r="AV79" t="s">
        <v>2587</v>
      </c>
      <c r="AW79" t="s">
        <v>2279</v>
      </c>
      <c r="AX79">
        <f t="shared" si="6"/>
        <v>8</v>
      </c>
      <c r="AY79" s="30" t="s">
        <v>2588</v>
      </c>
      <c r="BC79" s="3" t="s">
        <v>7010</v>
      </c>
      <c r="BD79" s="3" t="s">
        <v>7010</v>
      </c>
      <c r="BE79" s="3" t="s">
        <v>7010</v>
      </c>
      <c r="BF79" s="3" t="s">
        <v>7010</v>
      </c>
      <c r="BG79" s="3" t="s">
        <v>7010</v>
      </c>
      <c r="BH79" s="3" t="s">
        <v>7010</v>
      </c>
      <c r="BI79" s="3" t="s">
        <v>7010</v>
      </c>
      <c r="BJ79" s="3" t="s">
        <v>7010</v>
      </c>
      <c r="BK79" s="74" t="str">
        <f t="shared" si="7"/>
        <v>No</v>
      </c>
    </row>
    <row r="80" spans="6:63">
      <c r="F80" s="7"/>
      <c r="G80">
        <v>79</v>
      </c>
      <c r="H80" s="7" t="s">
        <v>5284</v>
      </c>
      <c r="I80" t="s">
        <v>29</v>
      </c>
      <c r="J80">
        <f>LEN(H80)</f>
        <v>13</v>
      </c>
      <c r="K80" s="49" t="s">
        <v>5285</v>
      </c>
      <c r="O80" s="3" t="s">
        <v>7010</v>
      </c>
      <c r="P80" s="3" t="s">
        <v>7010</v>
      </c>
      <c r="Q80" s="3" t="s">
        <v>7010</v>
      </c>
      <c r="R80" s="3" t="s">
        <v>7010</v>
      </c>
      <c r="S80" s="3" t="s">
        <v>7010</v>
      </c>
      <c r="T80" s="3" t="s">
        <v>7010</v>
      </c>
      <c r="U80" s="3" t="s">
        <v>7010</v>
      </c>
      <c r="V80" s="3" t="s">
        <v>7010</v>
      </c>
      <c r="W80" s="74" t="str">
        <f t="shared" si="5"/>
        <v>No</v>
      </c>
      <c r="Z80">
        <v>79</v>
      </c>
      <c r="AA80" s="55" t="s">
        <v>708</v>
      </c>
      <c r="AB80" t="s">
        <v>643</v>
      </c>
      <c r="AC80">
        <f t="shared" si="4"/>
        <v>7</v>
      </c>
      <c r="AD80" s="30" t="s">
        <v>2590</v>
      </c>
      <c r="AF80" t="s">
        <v>7495</v>
      </c>
      <c r="AH80" s="3" t="s">
        <v>7015</v>
      </c>
      <c r="AI80" s="3" t="s">
        <v>7010</v>
      </c>
      <c r="AJ80" s="3" t="s">
        <v>7010</v>
      </c>
      <c r="AK80" s="3" t="s">
        <v>7015</v>
      </c>
      <c r="AL80" s="3" t="s">
        <v>7010</v>
      </c>
      <c r="AM80" s="3" t="s">
        <v>7010</v>
      </c>
      <c r="AN80" s="3" t="s">
        <v>7010</v>
      </c>
      <c r="AO80" s="3" t="s">
        <v>7010</v>
      </c>
      <c r="AP80" s="74" t="s">
        <v>7015</v>
      </c>
      <c r="AU80">
        <v>79</v>
      </c>
      <c r="AV80" t="s">
        <v>2591</v>
      </c>
      <c r="AW80" t="s">
        <v>2279</v>
      </c>
      <c r="AX80">
        <f t="shared" si="6"/>
        <v>9</v>
      </c>
      <c r="AY80" s="30" t="s">
        <v>2592</v>
      </c>
      <c r="BC80" s="3" t="s">
        <v>7010</v>
      </c>
      <c r="BD80" s="3" t="s">
        <v>7010</v>
      </c>
      <c r="BE80" s="3" t="s">
        <v>7010</v>
      </c>
      <c r="BF80" s="3" t="s">
        <v>7010</v>
      </c>
      <c r="BG80" s="3" t="s">
        <v>7010</v>
      </c>
      <c r="BH80" s="3" t="s">
        <v>7010</v>
      </c>
      <c r="BI80" s="3" t="s">
        <v>7010</v>
      </c>
      <c r="BJ80" s="3" t="s">
        <v>7010</v>
      </c>
      <c r="BK80" s="74" t="str">
        <f t="shared" si="7"/>
        <v>No</v>
      </c>
    </row>
    <row r="81" spans="6:63">
      <c r="G81">
        <v>80</v>
      </c>
      <c r="H81" s="7" t="s">
        <v>1470</v>
      </c>
      <c r="I81" t="s">
        <v>29</v>
      </c>
      <c r="J81">
        <f>LEN(H81)</f>
        <v>10</v>
      </c>
      <c r="K81" s="49" t="s">
        <v>4900</v>
      </c>
      <c r="O81" s="3" t="s">
        <v>7010</v>
      </c>
      <c r="P81" s="3" t="s">
        <v>7010</v>
      </c>
      <c r="Q81" s="3" t="s">
        <v>7010</v>
      </c>
      <c r="R81" s="3" t="s">
        <v>7010</v>
      </c>
      <c r="S81" s="3" t="s">
        <v>7010</v>
      </c>
      <c r="T81" s="3" t="s">
        <v>7010</v>
      </c>
      <c r="U81" s="3" t="s">
        <v>7010</v>
      </c>
      <c r="V81" s="3" t="s">
        <v>7010</v>
      </c>
      <c r="W81" s="74" t="str">
        <f t="shared" si="5"/>
        <v>No</v>
      </c>
      <c r="Z81">
        <v>80</v>
      </c>
      <c r="AA81" s="55" t="s">
        <v>709</v>
      </c>
      <c r="AB81" t="s">
        <v>643</v>
      </c>
      <c r="AC81">
        <f t="shared" si="4"/>
        <v>6</v>
      </c>
      <c r="AD81" s="30" t="s">
        <v>2594</v>
      </c>
      <c r="AF81" t="s">
        <v>7496</v>
      </c>
      <c r="AH81" s="3" t="s">
        <v>7015</v>
      </c>
      <c r="AI81" s="3" t="s">
        <v>7010</v>
      </c>
      <c r="AJ81" s="3" t="s">
        <v>7010</v>
      </c>
      <c r="AK81" s="3" t="s">
        <v>7015</v>
      </c>
      <c r="AL81" s="3" t="s">
        <v>7010</v>
      </c>
      <c r="AM81" s="3" t="s">
        <v>7010</v>
      </c>
      <c r="AN81" s="3" t="s">
        <v>7010</v>
      </c>
      <c r="AO81" s="3" t="s">
        <v>7010</v>
      </c>
      <c r="AP81" s="74" t="s">
        <v>7015</v>
      </c>
      <c r="AU81">
        <v>80</v>
      </c>
      <c r="AV81" t="s">
        <v>2595</v>
      </c>
      <c r="AW81" t="s">
        <v>2279</v>
      </c>
      <c r="AX81">
        <f t="shared" si="6"/>
        <v>12</v>
      </c>
      <c r="AY81" s="30" t="s">
        <v>2596</v>
      </c>
      <c r="BC81" s="3" t="s">
        <v>7010</v>
      </c>
      <c r="BD81" s="3" t="s">
        <v>7010</v>
      </c>
      <c r="BE81" s="3" t="s">
        <v>7010</v>
      </c>
      <c r="BF81" s="3" t="s">
        <v>7010</v>
      </c>
      <c r="BG81" s="3" t="s">
        <v>7010</v>
      </c>
      <c r="BH81" s="3" t="s">
        <v>7010</v>
      </c>
      <c r="BI81" s="3" t="s">
        <v>7010</v>
      </c>
      <c r="BJ81" s="3" t="s">
        <v>7010</v>
      </c>
      <c r="BK81" s="74" t="str">
        <f t="shared" si="7"/>
        <v>No</v>
      </c>
    </row>
    <row r="82" spans="6:63">
      <c r="F82" s="7"/>
      <c r="G82">
        <v>81</v>
      </c>
      <c r="H82" s="7" t="s">
        <v>1524</v>
      </c>
      <c r="I82" t="s">
        <v>29</v>
      </c>
      <c r="J82">
        <f>LEN(H82)</f>
        <v>18</v>
      </c>
      <c r="K82" s="49" t="s">
        <v>5036</v>
      </c>
      <c r="O82" s="3" t="s">
        <v>7010</v>
      </c>
      <c r="P82" s="3" t="s">
        <v>7010</v>
      </c>
      <c r="Q82" s="3" t="s">
        <v>7010</v>
      </c>
      <c r="R82" s="3" t="s">
        <v>7010</v>
      </c>
      <c r="S82" s="3" t="s">
        <v>7010</v>
      </c>
      <c r="T82" s="3" t="s">
        <v>7010</v>
      </c>
      <c r="U82" s="3" t="s">
        <v>7010</v>
      </c>
      <c r="V82" s="3" t="s">
        <v>7010</v>
      </c>
      <c r="W82" s="74" t="str">
        <f t="shared" si="5"/>
        <v>No</v>
      </c>
      <c r="Z82">
        <v>81</v>
      </c>
      <c r="AA82" s="55" t="s">
        <v>710</v>
      </c>
      <c r="AB82" t="s">
        <v>643</v>
      </c>
      <c r="AC82">
        <f t="shared" si="4"/>
        <v>8</v>
      </c>
      <c r="AD82" s="30" t="s">
        <v>2598</v>
      </c>
      <c r="AF82" t="s">
        <v>7497</v>
      </c>
      <c r="AH82" s="3" t="s">
        <v>7015</v>
      </c>
      <c r="AI82" s="3" t="s">
        <v>7010</v>
      </c>
      <c r="AJ82" s="3" t="s">
        <v>7010</v>
      </c>
      <c r="AK82" s="3" t="s">
        <v>7015</v>
      </c>
      <c r="AL82" s="3" t="s">
        <v>7010</v>
      </c>
      <c r="AM82" s="3" t="s">
        <v>7010</v>
      </c>
      <c r="AN82" s="3" t="s">
        <v>7010</v>
      </c>
      <c r="AO82" s="3" t="s">
        <v>7010</v>
      </c>
      <c r="AP82" s="74" t="s">
        <v>7015</v>
      </c>
      <c r="AU82">
        <v>81</v>
      </c>
      <c r="AV82" t="s">
        <v>2599</v>
      </c>
      <c r="AW82" t="s">
        <v>2279</v>
      </c>
      <c r="AX82">
        <f t="shared" si="6"/>
        <v>11</v>
      </c>
      <c r="AY82" s="30" t="s">
        <v>2600</v>
      </c>
      <c r="BC82" s="3" t="s">
        <v>7010</v>
      </c>
      <c r="BD82" s="3" t="s">
        <v>7010</v>
      </c>
      <c r="BE82" s="3" t="s">
        <v>7010</v>
      </c>
      <c r="BF82" s="3" t="s">
        <v>7010</v>
      </c>
      <c r="BG82" s="3" t="s">
        <v>7010</v>
      </c>
      <c r="BH82" s="3" t="s">
        <v>7010</v>
      </c>
      <c r="BI82" s="3" t="s">
        <v>7010</v>
      </c>
      <c r="BJ82" s="3" t="s">
        <v>7010</v>
      </c>
      <c r="BK82" s="74" t="str">
        <f t="shared" si="7"/>
        <v>No</v>
      </c>
    </row>
    <row r="83" spans="6:63">
      <c r="F83" s="7"/>
      <c r="G83">
        <v>82</v>
      </c>
      <c r="H83" s="7" t="s">
        <v>1314</v>
      </c>
      <c r="I83" t="s">
        <v>29</v>
      </c>
      <c r="J83">
        <f>LEN(H83)</f>
        <v>10</v>
      </c>
      <c r="K83" s="49" t="s">
        <v>4501</v>
      </c>
      <c r="O83" s="3" t="s">
        <v>7010</v>
      </c>
      <c r="P83" s="3" t="s">
        <v>7010</v>
      </c>
      <c r="Q83" s="3" t="s">
        <v>7010</v>
      </c>
      <c r="R83" s="3" t="s">
        <v>7010</v>
      </c>
      <c r="S83" s="3" t="s">
        <v>7010</v>
      </c>
      <c r="T83" s="3" t="s">
        <v>7010</v>
      </c>
      <c r="U83" s="3" t="s">
        <v>7010</v>
      </c>
      <c r="V83" s="3" t="s">
        <v>7010</v>
      </c>
      <c r="W83" s="74" t="str">
        <f t="shared" si="5"/>
        <v>No</v>
      </c>
      <c r="Z83">
        <v>82</v>
      </c>
      <c r="AA83" s="55">
        <v>987654321</v>
      </c>
      <c r="AB83" t="s">
        <v>643</v>
      </c>
      <c r="AC83">
        <f t="shared" si="4"/>
        <v>9</v>
      </c>
      <c r="AD83" s="30" t="s">
        <v>2602</v>
      </c>
      <c r="AF83" t="s">
        <v>7498</v>
      </c>
      <c r="AH83" s="3" t="s">
        <v>7015</v>
      </c>
      <c r="AI83" s="3" t="s">
        <v>7010</v>
      </c>
      <c r="AJ83" s="3" t="s">
        <v>7010</v>
      </c>
      <c r="AK83" s="3" t="s">
        <v>7015</v>
      </c>
      <c r="AL83" s="3" t="s">
        <v>7010</v>
      </c>
      <c r="AM83" s="3" t="s">
        <v>7010</v>
      </c>
      <c r="AN83" s="3" t="s">
        <v>7010</v>
      </c>
      <c r="AO83" s="3" t="s">
        <v>7010</v>
      </c>
      <c r="AP83" s="74" t="s">
        <v>7015</v>
      </c>
      <c r="AU83">
        <v>82</v>
      </c>
      <c r="AV83" t="s">
        <v>2603</v>
      </c>
      <c r="AW83" t="s">
        <v>2279</v>
      </c>
      <c r="AX83">
        <f t="shared" si="6"/>
        <v>8</v>
      </c>
      <c r="AY83" s="30" t="s">
        <v>2604</v>
      </c>
      <c r="BC83" s="3" t="s">
        <v>7010</v>
      </c>
      <c r="BD83" s="3" t="s">
        <v>7010</v>
      </c>
      <c r="BE83" s="3" t="s">
        <v>7010</v>
      </c>
      <c r="BF83" s="3" t="s">
        <v>7010</v>
      </c>
      <c r="BG83" s="3" t="s">
        <v>7010</v>
      </c>
      <c r="BH83" s="3" t="s">
        <v>7010</v>
      </c>
      <c r="BI83" s="3" t="s">
        <v>7010</v>
      </c>
      <c r="BJ83" s="3" t="s">
        <v>7010</v>
      </c>
      <c r="BK83" s="74" t="str">
        <f t="shared" si="7"/>
        <v>No</v>
      </c>
    </row>
    <row r="84" spans="6:63">
      <c r="F84" s="7"/>
      <c r="G84">
        <v>83</v>
      </c>
      <c r="H84" s="7" t="s">
        <v>1426</v>
      </c>
      <c r="I84" t="s">
        <v>29</v>
      </c>
      <c r="J84">
        <f>LEN(H84)</f>
        <v>10</v>
      </c>
      <c r="K84" s="49" t="s">
        <v>4789</v>
      </c>
      <c r="O84" s="3" t="s">
        <v>7010</v>
      </c>
      <c r="P84" s="3" t="s">
        <v>7010</v>
      </c>
      <c r="Q84" s="3" t="s">
        <v>7010</v>
      </c>
      <c r="R84" s="3" t="s">
        <v>7010</v>
      </c>
      <c r="S84" s="3" t="s">
        <v>7010</v>
      </c>
      <c r="T84" s="3" t="s">
        <v>7010</v>
      </c>
      <c r="U84" s="3" t="s">
        <v>7010</v>
      </c>
      <c r="V84" s="3" t="s">
        <v>7010</v>
      </c>
      <c r="W84" s="74" t="str">
        <f t="shared" si="5"/>
        <v>No</v>
      </c>
      <c r="Z84">
        <v>83</v>
      </c>
      <c r="AA84" s="55" t="s">
        <v>711</v>
      </c>
      <c r="AB84" t="s">
        <v>643</v>
      </c>
      <c r="AC84">
        <f t="shared" si="4"/>
        <v>8</v>
      </c>
      <c r="AD84" s="30" t="s">
        <v>2606</v>
      </c>
      <c r="AF84" t="s">
        <v>7499</v>
      </c>
      <c r="AH84" s="3" t="s">
        <v>7015</v>
      </c>
      <c r="AI84" s="3" t="s">
        <v>7010</v>
      </c>
      <c r="AJ84" s="3" t="s">
        <v>7010</v>
      </c>
      <c r="AK84" s="3" t="s">
        <v>7015</v>
      </c>
      <c r="AL84" s="3" t="s">
        <v>7010</v>
      </c>
      <c r="AM84" s="3" t="s">
        <v>7010</v>
      </c>
      <c r="AN84" s="3" t="s">
        <v>7010</v>
      </c>
      <c r="AO84" s="3" t="s">
        <v>7010</v>
      </c>
      <c r="AP84" s="74" t="s">
        <v>7015</v>
      </c>
      <c r="AU84">
        <v>83</v>
      </c>
      <c r="AV84" t="s">
        <v>2607</v>
      </c>
      <c r="AW84" t="s">
        <v>2279</v>
      </c>
      <c r="AX84">
        <f t="shared" si="6"/>
        <v>16</v>
      </c>
      <c r="AY84" s="30" t="s">
        <v>2608</v>
      </c>
      <c r="BC84" s="3" t="s">
        <v>7010</v>
      </c>
      <c r="BD84" s="3" t="s">
        <v>7010</v>
      </c>
      <c r="BE84" s="3" t="s">
        <v>7010</v>
      </c>
      <c r="BF84" s="3" t="s">
        <v>7010</v>
      </c>
      <c r="BG84" s="3" t="s">
        <v>7010</v>
      </c>
      <c r="BH84" s="3" t="s">
        <v>7010</v>
      </c>
      <c r="BI84" s="3" t="s">
        <v>7010</v>
      </c>
      <c r="BJ84" s="3" t="s">
        <v>7010</v>
      </c>
      <c r="BK84" s="74" t="str">
        <f t="shared" si="7"/>
        <v>No</v>
      </c>
    </row>
    <row r="85" spans="6:63">
      <c r="F85" s="7"/>
      <c r="G85">
        <v>84</v>
      </c>
      <c r="H85" s="7" t="s">
        <v>1352</v>
      </c>
      <c r="I85" t="s">
        <v>29</v>
      </c>
      <c r="J85">
        <f>LEN(H85)</f>
        <v>11</v>
      </c>
      <c r="K85" s="49" t="s">
        <v>4595</v>
      </c>
      <c r="O85" s="3" t="s">
        <v>7010</v>
      </c>
      <c r="P85" s="3" t="s">
        <v>7010</v>
      </c>
      <c r="Q85" s="3" t="s">
        <v>7010</v>
      </c>
      <c r="R85" s="3" t="s">
        <v>7010</v>
      </c>
      <c r="S85" s="3" t="s">
        <v>7010</v>
      </c>
      <c r="T85" s="3" t="s">
        <v>7010</v>
      </c>
      <c r="U85" s="3" t="s">
        <v>7010</v>
      </c>
      <c r="V85" s="3" t="s">
        <v>7010</v>
      </c>
      <c r="W85" s="74" t="str">
        <f t="shared" si="5"/>
        <v>No</v>
      </c>
      <c r="Z85">
        <v>84</v>
      </c>
      <c r="AA85" s="55" t="s">
        <v>712</v>
      </c>
      <c r="AB85" t="s">
        <v>643</v>
      </c>
      <c r="AC85">
        <f t="shared" si="4"/>
        <v>8</v>
      </c>
      <c r="AD85" s="30" t="s">
        <v>2610</v>
      </c>
      <c r="AF85" t="s">
        <v>7500</v>
      </c>
      <c r="AH85" s="3" t="s">
        <v>7015</v>
      </c>
      <c r="AI85" s="3" t="s">
        <v>7010</v>
      </c>
      <c r="AJ85" s="3" t="s">
        <v>7010</v>
      </c>
      <c r="AK85" s="3" t="s">
        <v>7015</v>
      </c>
      <c r="AL85" s="3" t="s">
        <v>7010</v>
      </c>
      <c r="AM85" s="3" t="s">
        <v>7010</v>
      </c>
      <c r="AN85" s="3" t="s">
        <v>7010</v>
      </c>
      <c r="AO85" s="3" t="s">
        <v>7010</v>
      </c>
      <c r="AP85" s="74" t="s">
        <v>7015</v>
      </c>
      <c r="AU85">
        <v>84</v>
      </c>
      <c r="AV85" t="s">
        <v>2611</v>
      </c>
      <c r="AW85" t="s">
        <v>2279</v>
      </c>
      <c r="AX85">
        <f t="shared" si="6"/>
        <v>8</v>
      </c>
      <c r="AY85" s="30" t="s">
        <v>2612</v>
      </c>
      <c r="BC85" s="3" t="s">
        <v>7010</v>
      </c>
      <c r="BD85" s="3" t="s">
        <v>7010</v>
      </c>
      <c r="BE85" s="3" t="s">
        <v>7010</v>
      </c>
      <c r="BF85" s="3" t="s">
        <v>7010</v>
      </c>
      <c r="BG85" s="3" t="s">
        <v>7010</v>
      </c>
      <c r="BH85" s="3" t="s">
        <v>7010</v>
      </c>
      <c r="BI85" s="3" t="s">
        <v>7010</v>
      </c>
      <c r="BJ85" s="3" t="s">
        <v>7010</v>
      </c>
      <c r="BK85" s="74" t="str">
        <f t="shared" si="7"/>
        <v>No</v>
      </c>
    </row>
    <row r="86" spans="6:63">
      <c r="G86">
        <v>85</v>
      </c>
      <c r="H86" s="7" t="s">
        <v>1552</v>
      </c>
      <c r="I86" t="s">
        <v>29</v>
      </c>
      <c r="J86">
        <f>LEN(H86)</f>
        <v>11</v>
      </c>
      <c r="K86" s="49" t="s">
        <v>5108</v>
      </c>
      <c r="O86" s="3" t="s">
        <v>7010</v>
      </c>
      <c r="P86" s="3" t="s">
        <v>7010</v>
      </c>
      <c r="Q86" s="3" t="s">
        <v>7010</v>
      </c>
      <c r="R86" s="3" t="s">
        <v>7010</v>
      </c>
      <c r="S86" s="3" t="s">
        <v>7010</v>
      </c>
      <c r="T86" s="3" t="s">
        <v>7010</v>
      </c>
      <c r="U86" s="3" t="s">
        <v>7015</v>
      </c>
      <c r="V86" s="3" t="s">
        <v>7010</v>
      </c>
      <c r="W86" s="74" t="str">
        <f t="shared" si="5"/>
        <v>Yes</v>
      </c>
      <c r="Z86">
        <v>85</v>
      </c>
      <c r="AA86" s="55" t="s">
        <v>713</v>
      </c>
      <c r="AB86" t="s">
        <v>643</v>
      </c>
      <c r="AC86">
        <f t="shared" si="4"/>
        <v>6</v>
      </c>
      <c r="AD86" s="30" t="s">
        <v>2614</v>
      </c>
      <c r="AF86" t="s">
        <v>7501</v>
      </c>
      <c r="AH86" s="3" t="s">
        <v>7015</v>
      </c>
      <c r="AI86" s="3" t="s">
        <v>7010</v>
      </c>
      <c r="AJ86" s="3" t="s">
        <v>7010</v>
      </c>
      <c r="AK86" s="3" t="s">
        <v>7015</v>
      </c>
      <c r="AL86" s="3" t="s">
        <v>7010</v>
      </c>
      <c r="AM86" s="3" t="s">
        <v>7010</v>
      </c>
      <c r="AN86" s="3" t="s">
        <v>7010</v>
      </c>
      <c r="AO86" s="3" t="s">
        <v>7010</v>
      </c>
      <c r="AP86" s="74" t="s">
        <v>7015</v>
      </c>
      <c r="AU86">
        <v>85</v>
      </c>
      <c r="AV86" t="s">
        <v>2615</v>
      </c>
      <c r="AW86" t="s">
        <v>2279</v>
      </c>
      <c r="AX86">
        <f t="shared" si="6"/>
        <v>9</v>
      </c>
      <c r="AY86" s="30" t="s">
        <v>2616</v>
      </c>
      <c r="BC86" s="3" t="s">
        <v>7010</v>
      </c>
      <c r="BD86" s="3" t="s">
        <v>7010</v>
      </c>
      <c r="BE86" s="3" t="s">
        <v>7010</v>
      </c>
      <c r="BF86" s="3" t="s">
        <v>7010</v>
      </c>
      <c r="BG86" s="3" t="s">
        <v>7010</v>
      </c>
      <c r="BH86" s="3" t="s">
        <v>7010</v>
      </c>
      <c r="BI86" s="3" t="s">
        <v>7010</v>
      </c>
      <c r="BJ86" s="3" t="s">
        <v>7010</v>
      </c>
      <c r="BK86" s="74" t="str">
        <f t="shared" si="7"/>
        <v>No</v>
      </c>
    </row>
    <row r="87" spans="6:63">
      <c r="F87" s="9"/>
      <c r="G87">
        <v>86</v>
      </c>
      <c r="H87" s="7" t="s">
        <v>2227</v>
      </c>
      <c r="I87" t="s">
        <v>29</v>
      </c>
      <c r="J87">
        <f>LEN(H87)</f>
        <v>16</v>
      </c>
      <c r="K87" s="49" t="s">
        <v>6889</v>
      </c>
      <c r="O87" s="3" t="s">
        <v>7010</v>
      </c>
      <c r="P87" s="3" t="s">
        <v>7010</v>
      </c>
      <c r="Q87" s="3" t="s">
        <v>7010</v>
      </c>
      <c r="R87" s="3" t="s">
        <v>7010</v>
      </c>
      <c r="S87" s="3" t="s">
        <v>7010</v>
      </c>
      <c r="T87" s="3" t="s">
        <v>7015</v>
      </c>
      <c r="U87" s="3" t="s">
        <v>7010</v>
      </c>
      <c r="V87" s="3" t="s">
        <v>7010</v>
      </c>
      <c r="W87" s="74" t="str">
        <f t="shared" si="5"/>
        <v>Yes</v>
      </c>
      <c r="Z87">
        <v>86</v>
      </c>
      <c r="AA87" s="55" t="s">
        <v>714</v>
      </c>
      <c r="AB87" t="s">
        <v>643</v>
      </c>
      <c r="AC87">
        <f t="shared" si="4"/>
        <v>7</v>
      </c>
      <c r="AD87" s="30" t="s">
        <v>2618</v>
      </c>
      <c r="AF87" t="s">
        <v>7502</v>
      </c>
      <c r="AH87" s="3" t="s">
        <v>7015</v>
      </c>
      <c r="AI87" s="3" t="s">
        <v>7010</v>
      </c>
      <c r="AJ87" s="3" t="s">
        <v>7010</v>
      </c>
      <c r="AK87" s="3" t="s">
        <v>7015</v>
      </c>
      <c r="AL87" s="3" t="s">
        <v>7010</v>
      </c>
      <c r="AM87" s="3" t="s">
        <v>7010</v>
      </c>
      <c r="AN87" s="3" t="s">
        <v>7010</v>
      </c>
      <c r="AO87" s="3" t="s">
        <v>7010</v>
      </c>
      <c r="AP87" s="74" t="s">
        <v>7015</v>
      </c>
      <c r="AU87">
        <v>86</v>
      </c>
      <c r="AV87" t="s">
        <v>2619</v>
      </c>
      <c r="AW87" t="s">
        <v>2279</v>
      </c>
      <c r="AX87">
        <f t="shared" si="6"/>
        <v>8</v>
      </c>
      <c r="AY87" s="30" t="s">
        <v>2620</v>
      </c>
      <c r="BC87" s="3" t="s">
        <v>7010</v>
      </c>
      <c r="BD87" s="3" t="s">
        <v>7010</v>
      </c>
      <c r="BE87" s="3" t="s">
        <v>7010</v>
      </c>
      <c r="BF87" s="3" t="s">
        <v>7010</v>
      </c>
      <c r="BG87" s="3" t="s">
        <v>7010</v>
      </c>
      <c r="BH87" s="3" t="s">
        <v>7010</v>
      </c>
      <c r="BI87" s="3" t="s">
        <v>7010</v>
      </c>
      <c r="BJ87" s="3" t="s">
        <v>7010</v>
      </c>
      <c r="BK87" s="74" t="str">
        <f t="shared" si="7"/>
        <v>No</v>
      </c>
    </row>
    <row r="88" spans="6:63">
      <c r="G88">
        <v>87</v>
      </c>
      <c r="H88" s="4" t="s">
        <v>101</v>
      </c>
      <c r="I88" t="s">
        <v>29</v>
      </c>
      <c r="J88">
        <f>LEN(H88)</f>
        <v>13</v>
      </c>
      <c r="K88" s="49" t="s">
        <v>2293</v>
      </c>
      <c r="O88" s="3" t="s">
        <v>7010</v>
      </c>
      <c r="P88" s="3" t="s">
        <v>7010</v>
      </c>
      <c r="Q88" s="3" t="s">
        <v>7010</v>
      </c>
      <c r="R88" s="3" t="s">
        <v>7015</v>
      </c>
      <c r="S88" s="3" t="s">
        <v>7010</v>
      </c>
      <c r="T88" s="3" t="s">
        <v>7010</v>
      </c>
      <c r="U88" s="3" t="s">
        <v>7010</v>
      </c>
      <c r="V88" s="3" t="s">
        <v>7010</v>
      </c>
      <c r="W88" s="74" t="str">
        <f t="shared" si="5"/>
        <v>Yes</v>
      </c>
      <c r="Z88">
        <v>87</v>
      </c>
      <c r="AA88" s="55" t="s">
        <v>715</v>
      </c>
      <c r="AB88" t="s">
        <v>643</v>
      </c>
      <c r="AC88">
        <f t="shared" si="4"/>
        <v>6</v>
      </c>
      <c r="AD88" s="30" t="s">
        <v>2622</v>
      </c>
      <c r="AF88" t="s">
        <v>7503</v>
      </c>
      <c r="AH88" s="3" t="s">
        <v>7015</v>
      </c>
      <c r="AI88" s="3" t="s">
        <v>7010</v>
      </c>
      <c r="AJ88" s="3" t="s">
        <v>7010</v>
      </c>
      <c r="AK88" s="3" t="s">
        <v>7015</v>
      </c>
      <c r="AL88" s="3" t="s">
        <v>7010</v>
      </c>
      <c r="AM88" s="3" t="s">
        <v>7010</v>
      </c>
      <c r="AN88" s="3" t="s">
        <v>7010</v>
      </c>
      <c r="AO88" s="3" t="s">
        <v>7010</v>
      </c>
      <c r="AP88" s="74" t="s">
        <v>7015</v>
      </c>
      <c r="AU88">
        <v>87</v>
      </c>
      <c r="AV88" t="s">
        <v>2623</v>
      </c>
      <c r="AW88" t="s">
        <v>2279</v>
      </c>
      <c r="AX88">
        <f t="shared" si="6"/>
        <v>8</v>
      </c>
      <c r="AY88" s="30" t="s">
        <v>2624</v>
      </c>
      <c r="BC88" s="3" t="s">
        <v>7010</v>
      </c>
      <c r="BD88" s="3" t="s">
        <v>7010</v>
      </c>
      <c r="BE88" s="3" t="s">
        <v>7010</v>
      </c>
      <c r="BF88" s="3" t="s">
        <v>7010</v>
      </c>
      <c r="BG88" s="3" t="s">
        <v>7010</v>
      </c>
      <c r="BH88" s="3" t="s">
        <v>7010</v>
      </c>
      <c r="BI88" s="3" t="s">
        <v>7010</v>
      </c>
      <c r="BJ88" s="3" t="s">
        <v>7010</v>
      </c>
      <c r="BK88" s="74" t="str">
        <f t="shared" si="7"/>
        <v>No</v>
      </c>
    </row>
    <row r="89" spans="6:63">
      <c r="F89" s="7"/>
      <c r="G89">
        <v>88</v>
      </c>
      <c r="H89" s="7" t="s">
        <v>571</v>
      </c>
      <c r="I89" t="s">
        <v>29</v>
      </c>
      <c r="J89">
        <f>LEN(H89)</f>
        <v>8</v>
      </c>
      <c r="K89" s="49" t="s">
        <v>3201</v>
      </c>
      <c r="O89" s="3" t="s">
        <v>7010</v>
      </c>
      <c r="P89" s="3" t="s">
        <v>7010</v>
      </c>
      <c r="Q89" s="3" t="s">
        <v>7010</v>
      </c>
      <c r="R89" s="3" t="s">
        <v>7010</v>
      </c>
      <c r="S89" s="3" t="s">
        <v>7010</v>
      </c>
      <c r="T89" s="3" t="s">
        <v>7015</v>
      </c>
      <c r="U89" s="3" t="s">
        <v>7010</v>
      </c>
      <c r="V89" s="3" t="s">
        <v>7010</v>
      </c>
      <c r="W89" s="74" t="str">
        <f t="shared" si="5"/>
        <v>Yes</v>
      </c>
      <c r="Z89">
        <v>88</v>
      </c>
      <c r="AA89" s="55" t="s">
        <v>716</v>
      </c>
      <c r="AB89" t="s">
        <v>643</v>
      </c>
      <c r="AC89">
        <f t="shared" si="4"/>
        <v>6</v>
      </c>
      <c r="AD89" s="30" t="s">
        <v>2626</v>
      </c>
      <c r="AF89" t="s">
        <v>7504</v>
      </c>
      <c r="AH89" s="3" t="s">
        <v>7015</v>
      </c>
      <c r="AI89" s="3" t="s">
        <v>7010</v>
      </c>
      <c r="AJ89" s="3" t="s">
        <v>7010</v>
      </c>
      <c r="AK89" s="3" t="s">
        <v>7015</v>
      </c>
      <c r="AL89" s="3" t="s">
        <v>7010</v>
      </c>
      <c r="AM89" s="3" t="s">
        <v>7010</v>
      </c>
      <c r="AN89" s="3" t="s">
        <v>7010</v>
      </c>
      <c r="AO89" s="3" t="s">
        <v>7010</v>
      </c>
      <c r="AP89" s="74" t="s">
        <v>7015</v>
      </c>
      <c r="AU89">
        <v>88</v>
      </c>
      <c r="AV89" t="s">
        <v>2627</v>
      </c>
      <c r="AW89" t="s">
        <v>2279</v>
      </c>
      <c r="AX89">
        <f t="shared" si="6"/>
        <v>9</v>
      </c>
      <c r="AY89" s="30" t="s">
        <v>2628</v>
      </c>
      <c r="BC89" s="3" t="s">
        <v>7010</v>
      </c>
      <c r="BD89" s="3" t="s">
        <v>7010</v>
      </c>
      <c r="BE89" s="3" t="s">
        <v>7015</v>
      </c>
      <c r="BF89" s="3" t="s">
        <v>7010</v>
      </c>
      <c r="BG89" s="3" t="s">
        <v>7010</v>
      </c>
      <c r="BH89" s="3" t="s">
        <v>7010</v>
      </c>
      <c r="BI89" s="3" t="s">
        <v>7010</v>
      </c>
      <c r="BJ89" s="3" t="s">
        <v>7010</v>
      </c>
      <c r="BK89" s="74" t="str">
        <f t="shared" si="7"/>
        <v>Yes</v>
      </c>
    </row>
    <row r="90" spans="6:63">
      <c r="F90" s="7"/>
      <c r="G90">
        <v>89</v>
      </c>
      <c r="H90" s="7" t="s">
        <v>560</v>
      </c>
      <c r="I90" t="s">
        <v>29</v>
      </c>
      <c r="J90">
        <f>LEN(H90)</f>
        <v>10</v>
      </c>
      <c r="K90" s="49" t="s">
        <v>3157</v>
      </c>
      <c r="O90" s="3" t="s">
        <v>7010</v>
      </c>
      <c r="P90" s="3" t="s">
        <v>7010</v>
      </c>
      <c r="Q90" s="3" t="s">
        <v>7010</v>
      </c>
      <c r="R90" s="3" t="s">
        <v>7010</v>
      </c>
      <c r="S90" s="3" t="s">
        <v>7010</v>
      </c>
      <c r="T90" s="3" t="s">
        <v>7010</v>
      </c>
      <c r="U90" s="3" t="s">
        <v>7010</v>
      </c>
      <c r="V90" s="3" t="s">
        <v>7010</v>
      </c>
      <c r="W90" s="74" t="str">
        <f t="shared" si="5"/>
        <v>No</v>
      </c>
      <c r="Z90">
        <v>89</v>
      </c>
      <c r="AA90" s="55" t="s">
        <v>717</v>
      </c>
      <c r="AB90" t="s">
        <v>643</v>
      </c>
      <c r="AC90">
        <f t="shared" si="4"/>
        <v>6</v>
      </c>
      <c r="AD90" s="30" t="s">
        <v>2630</v>
      </c>
      <c r="AF90" t="s">
        <v>7505</v>
      </c>
      <c r="AH90" s="3" t="s">
        <v>7015</v>
      </c>
      <c r="AI90" s="3" t="s">
        <v>7010</v>
      </c>
      <c r="AJ90" s="3" t="s">
        <v>7010</v>
      </c>
      <c r="AK90" s="3" t="s">
        <v>7015</v>
      </c>
      <c r="AL90" s="3" t="s">
        <v>7010</v>
      </c>
      <c r="AM90" s="3" t="s">
        <v>7010</v>
      </c>
      <c r="AN90" s="3" t="s">
        <v>7010</v>
      </c>
      <c r="AO90" s="3" t="s">
        <v>7010</v>
      </c>
      <c r="AP90" s="74" t="s">
        <v>7015</v>
      </c>
      <c r="AU90">
        <v>89</v>
      </c>
      <c r="AV90" t="s">
        <v>2631</v>
      </c>
      <c r="AW90" t="s">
        <v>2279</v>
      </c>
      <c r="AX90">
        <f t="shared" si="6"/>
        <v>8</v>
      </c>
      <c r="AY90" s="30" t="s">
        <v>2632</v>
      </c>
      <c r="BC90" s="3" t="s">
        <v>7010</v>
      </c>
      <c r="BD90" s="3" t="s">
        <v>7010</v>
      </c>
      <c r="BE90" s="3" t="s">
        <v>7010</v>
      </c>
      <c r="BF90" s="3" t="s">
        <v>7010</v>
      </c>
      <c r="BG90" s="3" t="s">
        <v>7010</v>
      </c>
      <c r="BH90" s="3" t="s">
        <v>7010</v>
      </c>
      <c r="BI90" s="3" t="s">
        <v>7010</v>
      </c>
      <c r="BJ90" s="3" t="s">
        <v>7010</v>
      </c>
      <c r="BK90" s="74" t="str">
        <f t="shared" si="7"/>
        <v>No</v>
      </c>
    </row>
    <row r="91" spans="6:63">
      <c r="F91" s="7"/>
      <c r="G91">
        <v>90</v>
      </c>
      <c r="H91" s="7" t="s">
        <v>570</v>
      </c>
      <c r="I91" t="s">
        <v>29</v>
      </c>
      <c r="J91">
        <f>LEN(H91)</f>
        <v>16</v>
      </c>
      <c r="K91" s="49" t="s">
        <v>3197</v>
      </c>
      <c r="O91" s="3" t="s">
        <v>7010</v>
      </c>
      <c r="P91" s="3" t="s">
        <v>7010</v>
      </c>
      <c r="Q91" s="3" t="s">
        <v>7010</v>
      </c>
      <c r="R91" s="3" t="s">
        <v>7010</v>
      </c>
      <c r="S91" s="3" t="s">
        <v>7010</v>
      </c>
      <c r="T91" s="3" t="s">
        <v>7015</v>
      </c>
      <c r="U91" s="3" t="s">
        <v>7010</v>
      </c>
      <c r="V91" s="3" t="s">
        <v>7010</v>
      </c>
      <c r="W91" s="74" t="str">
        <f t="shared" si="5"/>
        <v>Yes</v>
      </c>
      <c r="Z91">
        <v>90</v>
      </c>
      <c r="AA91" s="55" t="s">
        <v>718</v>
      </c>
      <c r="AB91" t="s">
        <v>643</v>
      </c>
      <c r="AC91">
        <f t="shared" si="4"/>
        <v>6</v>
      </c>
      <c r="AD91" s="30" t="s">
        <v>2634</v>
      </c>
      <c r="AF91" t="s">
        <v>7506</v>
      </c>
      <c r="AH91" s="3" t="s">
        <v>7015</v>
      </c>
      <c r="AI91" s="3" t="s">
        <v>7010</v>
      </c>
      <c r="AJ91" s="3" t="s">
        <v>7010</v>
      </c>
      <c r="AK91" s="3" t="s">
        <v>7015</v>
      </c>
      <c r="AL91" s="3" t="s">
        <v>7010</v>
      </c>
      <c r="AM91" s="3" t="s">
        <v>7010</v>
      </c>
      <c r="AN91" s="3" t="s">
        <v>7010</v>
      </c>
      <c r="AO91" s="3" t="s">
        <v>7010</v>
      </c>
      <c r="AP91" s="74" t="s">
        <v>7015</v>
      </c>
      <c r="AU91">
        <v>90</v>
      </c>
      <c r="AV91" t="s">
        <v>2635</v>
      </c>
      <c r="AW91" t="s">
        <v>2279</v>
      </c>
      <c r="AX91">
        <f t="shared" si="6"/>
        <v>11</v>
      </c>
      <c r="AY91" s="30" t="s">
        <v>2636</v>
      </c>
      <c r="BC91" s="3" t="s">
        <v>7010</v>
      </c>
      <c r="BD91" s="3" t="s">
        <v>7010</v>
      </c>
      <c r="BE91" s="3" t="s">
        <v>7010</v>
      </c>
      <c r="BF91" s="3" t="s">
        <v>7010</v>
      </c>
      <c r="BG91" s="3" t="s">
        <v>7010</v>
      </c>
      <c r="BH91" s="3" t="s">
        <v>7010</v>
      </c>
      <c r="BI91" s="3" t="s">
        <v>7010</v>
      </c>
      <c r="BJ91" s="3" t="s">
        <v>7010</v>
      </c>
      <c r="BK91" s="74" t="str">
        <f t="shared" si="7"/>
        <v>No</v>
      </c>
    </row>
    <row r="92" spans="6:63">
      <c r="F92" s="7"/>
      <c r="G92">
        <v>91</v>
      </c>
      <c r="H92" s="7" t="s">
        <v>537</v>
      </c>
      <c r="I92" t="s">
        <v>29</v>
      </c>
      <c r="J92">
        <f>LEN(H92)</f>
        <v>13</v>
      </c>
      <c r="K92" s="49" t="s">
        <v>3065</v>
      </c>
      <c r="O92" s="3" t="s">
        <v>7010</v>
      </c>
      <c r="P92" s="3" t="s">
        <v>7010</v>
      </c>
      <c r="Q92" s="3" t="s">
        <v>7010</v>
      </c>
      <c r="R92" s="3" t="s">
        <v>7010</v>
      </c>
      <c r="S92" s="3" t="s">
        <v>7010</v>
      </c>
      <c r="T92" s="3" t="s">
        <v>7010</v>
      </c>
      <c r="U92" s="3" t="s">
        <v>7010</v>
      </c>
      <c r="V92" s="3" t="s">
        <v>7010</v>
      </c>
      <c r="W92" s="74" t="str">
        <f t="shared" si="5"/>
        <v>No</v>
      </c>
      <c r="Z92">
        <v>91</v>
      </c>
      <c r="AA92" s="55" t="s">
        <v>719</v>
      </c>
      <c r="AB92" t="s">
        <v>643</v>
      </c>
      <c r="AC92">
        <f t="shared" si="4"/>
        <v>9</v>
      </c>
      <c r="AD92" s="30" t="s">
        <v>2638</v>
      </c>
      <c r="AF92" t="s">
        <v>7507</v>
      </c>
      <c r="AH92" s="3" t="s">
        <v>7015</v>
      </c>
      <c r="AI92" s="3" t="s">
        <v>7010</v>
      </c>
      <c r="AJ92" s="3" t="s">
        <v>7010</v>
      </c>
      <c r="AK92" s="3" t="s">
        <v>7015</v>
      </c>
      <c r="AL92" s="3" t="s">
        <v>7010</v>
      </c>
      <c r="AM92" s="3" t="s">
        <v>7010</v>
      </c>
      <c r="AN92" s="3" t="s">
        <v>7010</v>
      </c>
      <c r="AO92" s="3" t="s">
        <v>7010</v>
      </c>
      <c r="AP92" s="74" t="s">
        <v>7015</v>
      </c>
      <c r="AU92">
        <v>91</v>
      </c>
      <c r="AV92" t="s">
        <v>2639</v>
      </c>
      <c r="AW92" t="s">
        <v>2279</v>
      </c>
      <c r="AX92">
        <f t="shared" si="6"/>
        <v>8</v>
      </c>
      <c r="AY92" s="30" t="s">
        <v>2640</v>
      </c>
      <c r="BC92" s="3" t="s">
        <v>7010</v>
      </c>
      <c r="BD92" s="3" t="s">
        <v>7010</v>
      </c>
      <c r="BE92" s="3" t="s">
        <v>7010</v>
      </c>
      <c r="BF92" s="3" t="s">
        <v>7010</v>
      </c>
      <c r="BG92" s="3" t="s">
        <v>7010</v>
      </c>
      <c r="BH92" s="3" t="s">
        <v>7010</v>
      </c>
      <c r="BI92" s="3" t="s">
        <v>7010</v>
      </c>
      <c r="BJ92" s="3" t="s">
        <v>7010</v>
      </c>
      <c r="BK92" s="74" t="str">
        <f t="shared" si="7"/>
        <v>No</v>
      </c>
    </row>
    <row r="93" spans="6:63">
      <c r="G93">
        <v>92</v>
      </c>
      <c r="H93" s="7" t="s">
        <v>1012</v>
      </c>
      <c r="I93" t="s">
        <v>29</v>
      </c>
      <c r="J93">
        <f>LEN(H93)</f>
        <v>13</v>
      </c>
      <c r="K93" s="49" t="s">
        <v>3732</v>
      </c>
      <c r="O93" s="3" t="s">
        <v>7010</v>
      </c>
      <c r="P93" s="3" t="s">
        <v>7010</v>
      </c>
      <c r="Q93" s="3" t="s">
        <v>7010</v>
      </c>
      <c r="R93" s="3" t="s">
        <v>7010</v>
      </c>
      <c r="S93" s="3" t="s">
        <v>7010</v>
      </c>
      <c r="T93" s="3" t="s">
        <v>7010</v>
      </c>
      <c r="U93" s="3" t="s">
        <v>7010</v>
      </c>
      <c r="V93" s="3" t="s">
        <v>7010</v>
      </c>
      <c r="W93" s="74" t="str">
        <f t="shared" si="5"/>
        <v>No</v>
      </c>
      <c r="Z93">
        <v>92</v>
      </c>
      <c r="AA93" s="55" t="s">
        <v>720</v>
      </c>
      <c r="AB93" t="s">
        <v>643</v>
      </c>
      <c r="AC93">
        <f t="shared" si="4"/>
        <v>6</v>
      </c>
      <c r="AD93" s="30" t="s">
        <v>2642</v>
      </c>
      <c r="AF93" t="s">
        <v>7508</v>
      </c>
      <c r="AH93" s="3" t="s">
        <v>7015</v>
      </c>
      <c r="AI93" s="3" t="s">
        <v>7010</v>
      </c>
      <c r="AJ93" s="3" t="s">
        <v>7010</v>
      </c>
      <c r="AK93" s="3" t="s">
        <v>7015</v>
      </c>
      <c r="AL93" s="3" t="s">
        <v>7010</v>
      </c>
      <c r="AM93" s="3" t="s">
        <v>7010</v>
      </c>
      <c r="AN93" s="3" t="s">
        <v>7010</v>
      </c>
      <c r="AO93" s="3" t="s">
        <v>7010</v>
      </c>
      <c r="AP93" s="74" t="s">
        <v>7015</v>
      </c>
      <c r="AU93">
        <v>92</v>
      </c>
      <c r="AV93" t="s">
        <v>2643</v>
      </c>
      <c r="AW93" t="s">
        <v>2279</v>
      </c>
      <c r="AX93">
        <f t="shared" si="6"/>
        <v>12</v>
      </c>
      <c r="AY93" s="30" t="s">
        <v>2644</v>
      </c>
      <c r="BC93" s="3" t="s">
        <v>7010</v>
      </c>
      <c r="BD93" s="3" t="s">
        <v>7010</v>
      </c>
      <c r="BE93" s="3" t="s">
        <v>7010</v>
      </c>
      <c r="BF93" s="3" t="s">
        <v>7010</v>
      </c>
      <c r="BG93" s="3" t="s">
        <v>7010</v>
      </c>
      <c r="BH93" s="3" t="s">
        <v>7010</v>
      </c>
      <c r="BI93" s="3" t="s">
        <v>7010</v>
      </c>
      <c r="BJ93" s="3" t="s">
        <v>7010</v>
      </c>
      <c r="BK93" s="74" t="str">
        <f t="shared" si="7"/>
        <v>No</v>
      </c>
    </row>
    <row r="94" spans="6:63">
      <c r="G94">
        <v>93</v>
      </c>
      <c r="H94" s="7" t="s">
        <v>2205</v>
      </c>
      <c r="I94" t="s">
        <v>29</v>
      </c>
      <c r="J94">
        <f>LEN(H94)</f>
        <v>12</v>
      </c>
      <c r="K94" s="49" t="s">
        <v>6835</v>
      </c>
      <c r="O94" s="3" t="s">
        <v>7010</v>
      </c>
      <c r="P94" s="3" t="s">
        <v>7010</v>
      </c>
      <c r="Q94" s="3" t="s">
        <v>7010</v>
      </c>
      <c r="R94" s="3" t="s">
        <v>7010</v>
      </c>
      <c r="S94" s="3" t="s">
        <v>7010</v>
      </c>
      <c r="T94" s="3" t="s">
        <v>7010</v>
      </c>
      <c r="U94" s="3" t="s">
        <v>7010</v>
      </c>
      <c r="V94" s="3" t="s">
        <v>7010</v>
      </c>
      <c r="W94" s="74" t="str">
        <f t="shared" si="5"/>
        <v>No</v>
      </c>
      <c r="Z94">
        <v>93</v>
      </c>
      <c r="AA94" s="55" t="s">
        <v>721</v>
      </c>
      <c r="AB94" t="s">
        <v>643</v>
      </c>
      <c r="AC94">
        <f t="shared" si="4"/>
        <v>6</v>
      </c>
      <c r="AD94" s="30" t="s">
        <v>2646</v>
      </c>
      <c r="AF94" t="s">
        <v>7509</v>
      </c>
      <c r="AH94" s="3" t="s">
        <v>7015</v>
      </c>
      <c r="AI94" s="3" t="s">
        <v>7010</v>
      </c>
      <c r="AJ94" s="3" t="s">
        <v>7010</v>
      </c>
      <c r="AK94" s="3" t="s">
        <v>7015</v>
      </c>
      <c r="AL94" s="3" t="s">
        <v>7010</v>
      </c>
      <c r="AM94" s="3" t="s">
        <v>7010</v>
      </c>
      <c r="AN94" s="3" t="s">
        <v>7010</v>
      </c>
      <c r="AO94" s="3" t="s">
        <v>7010</v>
      </c>
      <c r="AP94" s="74" t="s">
        <v>7015</v>
      </c>
      <c r="AU94">
        <v>93</v>
      </c>
      <c r="AV94" t="s">
        <v>2647</v>
      </c>
      <c r="AW94" t="s">
        <v>2279</v>
      </c>
      <c r="AX94">
        <f t="shared" si="6"/>
        <v>9</v>
      </c>
      <c r="AY94" s="30" t="s">
        <v>2648</v>
      </c>
      <c r="BC94" s="3" t="s">
        <v>7010</v>
      </c>
      <c r="BD94" s="3" t="s">
        <v>7010</v>
      </c>
      <c r="BE94" s="3" t="s">
        <v>7015</v>
      </c>
      <c r="BF94" s="3" t="s">
        <v>7010</v>
      </c>
      <c r="BG94" s="3" t="s">
        <v>7010</v>
      </c>
      <c r="BH94" s="3" t="s">
        <v>7010</v>
      </c>
      <c r="BI94" s="3" t="s">
        <v>7010</v>
      </c>
      <c r="BJ94" s="3" t="s">
        <v>7010</v>
      </c>
      <c r="BK94" s="74" t="str">
        <f t="shared" si="7"/>
        <v>Yes</v>
      </c>
    </row>
    <row r="95" spans="6:63">
      <c r="G95">
        <v>94</v>
      </c>
      <c r="H95" s="7" t="s">
        <v>441</v>
      </c>
      <c r="I95" t="s">
        <v>29</v>
      </c>
      <c r="J95">
        <f>LEN(H95)</f>
        <v>11</v>
      </c>
      <c r="K95" s="49" t="s">
        <v>2681</v>
      </c>
      <c r="O95" s="3" t="s">
        <v>7010</v>
      </c>
      <c r="P95" s="3" t="s">
        <v>7010</v>
      </c>
      <c r="Q95" s="3" t="s">
        <v>7010</v>
      </c>
      <c r="R95" s="3" t="s">
        <v>7010</v>
      </c>
      <c r="S95" s="3" t="s">
        <v>7010</v>
      </c>
      <c r="T95" s="3" t="s">
        <v>7015</v>
      </c>
      <c r="U95" s="3" t="s">
        <v>7010</v>
      </c>
      <c r="V95" s="3" t="s">
        <v>7010</v>
      </c>
      <c r="W95" s="74" t="str">
        <f t="shared" si="5"/>
        <v>Yes</v>
      </c>
      <c r="Z95">
        <v>94</v>
      </c>
      <c r="AA95" s="55" t="s">
        <v>722</v>
      </c>
      <c r="AB95" t="s">
        <v>643</v>
      </c>
      <c r="AC95">
        <f t="shared" si="4"/>
        <v>8</v>
      </c>
      <c r="AD95" s="30" t="s">
        <v>2650</v>
      </c>
      <c r="AF95" t="s">
        <v>7510</v>
      </c>
      <c r="AH95" s="3" t="s">
        <v>7015</v>
      </c>
      <c r="AI95" s="3" t="s">
        <v>7010</v>
      </c>
      <c r="AJ95" s="3" t="s">
        <v>7010</v>
      </c>
      <c r="AK95" s="3" t="s">
        <v>7015</v>
      </c>
      <c r="AL95" s="3" t="s">
        <v>7010</v>
      </c>
      <c r="AM95" s="3" t="s">
        <v>7010</v>
      </c>
      <c r="AN95" s="3" t="s">
        <v>7010</v>
      </c>
      <c r="AO95" s="3" t="s">
        <v>7010</v>
      </c>
      <c r="AP95" s="74" t="s">
        <v>7015</v>
      </c>
      <c r="AU95">
        <v>94</v>
      </c>
      <c r="AV95" t="s">
        <v>2651</v>
      </c>
      <c r="AW95" t="s">
        <v>2279</v>
      </c>
      <c r="AX95">
        <f t="shared" si="6"/>
        <v>15</v>
      </c>
      <c r="AY95" s="30" t="s">
        <v>2652</v>
      </c>
      <c r="BC95" s="3" t="s">
        <v>7010</v>
      </c>
      <c r="BD95" s="3" t="s">
        <v>7010</v>
      </c>
      <c r="BE95" s="3" t="s">
        <v>7010</v>
      </c>
      <c r="BF95" s="3" t="s">
        <v>7010</v>
      </c>
      <c r="BG95" s="3" t="s">
        <v>7010</v>
      </c>
      <c r="BH95" s="3" t="s">
        <v>7010</v>
      </c>
      <c r="BI95" s="3" t="s">
        <v>7010</v>
      </c>
      <c r="BJ95" s="3" t="s">
        <v>7010</v>
      </c>
      <c r="BK95" s="74" t="str">
        <f t="shared" si="7"/>
        <v>No</v>
      </c>
    </row>
    <row r="96" spans="6:63">
      <c r="F96" s="7"/>
      <c r="G96">
        <v>95</v>
      </c>
      <c r="H96" s="7" t="s">
        <v>2075</v>
      </c>
      <c r="I96" t="s">
        <v>29</v>
      </c>
      <c r="J96">
        <f>LEN(H96)</f>
        <v>23</v>
      </c>
      <c r="K96" s="51" t="s">
        <v>6513</v>
      </c>
      <c r="O96" s="3" t="s">
        <v>7010</v>
      </c>
      <c r="P96" s="3" t="s">
        <v>7010</v>
      </c>
      <c r="Q96" s="3" t="s">
        <v>7010</v>
      </c>
      <c r="R96" s="3" t="s">
        <v>7010</v>
      </c>
      <c r="S96" s="3" t="s">
        <v>7010</v>
      </c>
      <c r="T96" s="3" t="s">
        <v>7010</v>
      </c>
      <c r="U96" s="3" t="s">
        <v>7010</v>
      </c>
      <c r="V96" s="3" t="s">
        <v>7010</v>
      </c>
      <c r="W96" s="74" t="str">
        <f t="shared" si="5"/>
        <v>No</v>
      </c>
      <c r="Z96">
        <v>95</v>
      </c>
      <c r="AA96" s="55" t="s">
        <v>723</v>
      </c>
      <c r="AB96" t="s">
        <v>643</v>
      </c>
      <c r="AC96">
        <f t="shared" si="4"/>
        <v>6</v>
      </c>
      <c r="AD96" s="30" t="s">
        <v>2654</v>
      </c>
      <c r="AF96" t="s">
        <v>7511</v>
      </c>
      <c r="AH96" s="3" t="s">
        <v>7015</v>
      </c>
      <c r="AI96" s="3" t="s">
        <v>7010</v>
      </c>
      <c r="AJ96" s="3" t="s">
        <v>7010</v>
      </c>
      <c r="AK96" s="3" t="s">
        <v>7015</v>
      </c>
      <c r="AL96" s="3" t="s">
        <v>7010</v>
      </c>
      <c r="AM96" s="3" t="s">
        <v>7010</v>
      </c>
      <c r="AN96" s="3" t="s">
        <v>7010</v>
      </c>
      <c r="AO96" s="3" t="s">
        <v>7010</v>
      </c>
      <c r="AP96" s="74" t="s">
        <v>7015</v>
      </c>
      <c r="AU96">
        <v>95</v>
      </c>
      <c r="AV96" t="s">
        <v>2655</v>
      </c>
      <c r="AW96" t="s">
        <v>2279</v>
      </c>
      <c r="AX96">
        <f t="shared" si="6"/>
        <v>13</v>
      </c>
      <c r="AY96" s="30" t="s">
        <v>2656</v>
      </c>
      <c r="BC96" s="3" t="s">
        <v>7010</v>
      </c>
      <c r="BD96" s="3" t="s">
        <v>7010</v>
      </c>
      <c r="BE96" s="3" t="s">
        <v>7010</v>
      </c>
      <c r="BF96" s="3" t="s">
        <v>7010</v>
      </c>
      <c r="BG96" s="3" t="s">
        <v>7010</v>
      </c>
      <c r="BH96" s="3" t="s">
        <v>7010</v>
      </c>
      <c r="BI96" s="3" t="s">
        <v>7010</v>
      </c>
      <c r="BJ96" s="3" t="s">
        <v>7010</v>
      </c>
      <c r="BK96" s="74" t="str">
        <f t="shared" si="7"/>
        <v>No</v>
      </c>
    </row>
    <row r="97" spans="6:63">
      <c r="F97" s="7"/>
      <c r="G97">
        <v>96</v>
      </c>
      <c r="H97" t="s">
        <v>6976</v>
      </c>
      <c r="I97" t="s">
        <v>29</v>
      </c>
      <c r="J97">
        <f>LEN(H97)</f>
        <v>8</v>
      </c>
      <c r="K97" s="49" t="s">
        <v>6977</v>
      </c>
      <c r="O97" s="3" t="s">
        <v>7010</v>
      </c>
      <c r="P97" s="3" t="s">
        <v>7010</v>
      </c>
      <c r="Q97" s="3" t="s">
        <v>7010</v>
      </c>
      <c r="R97" s="3" t="s">
        <v>7015</v>
      </c>
      <c r="S97" s="3" t="s">
        <v>7010</v>
      </c>
      <c r="T97" s="3" t="s">
        <v>7010</v>
      </c>
      <c r="U97" s="3" t="s">
        <v>7010</v>
      </c>
      <c r="V97" s="3" t="s">
        <v>7010</v>
      </c>
      <c r="W97" s="74" t="str">
        <f t="shared" si="5"/>
        <v>Yes</v>
      </c>
      <c r="Z97">
        <v>96</v>
      </c>
      <c r="AA97" s="55" t="s">
        <v>724</v>
      </c>
      <c r="AB97" t="s">
        <v>643</v>
      </c>
      <c r="AC97">
        <f t="shared" si="4"/>
        <v>6</v>
      </c>
      <c r="AD97" s="30" t="s">
        <v>2658</v>
      </c>
      <c r="AF97" t="s">
        <v>7512</v>
      </c>
      <c r="AH97" s="3" t="s">
        <v>7015</v>
      </c>
      <c r="AI97" s="3" t="s">
        <v>7010</v>
      </c>
      <c r="AJ97" s="3" t="s">
        <v>7010</v>
      </c>
      <c r="AK97" s="3" t="s">
        <v>7015</v>
      </c>
      <c r="AL97" s="3" t="s">
        <v>7010</v>
      </c>
      <c r="AM97" s="3" t="s">
        <v>7010</v>
      </c>
      <c r="AN97" s="3" t="s">
        <v>7010</v>
      </c>
      <c r="AO97" s="3" t="s">
        <v>7010</v>
      </c>
      <c r="AP97" s="74" t="s">
        <v>7015</v>
      </c>
      <c r="AU97">
        <v>96</v>
      </c>
      <c r="AV97" t="s">
        <v>2659</v>
      </c>
      <c r="AW97" t="s">
        <v>2279</v>
      </c>
      <c r="AX97">
        <f t="shared" si="6"/>
        <v>10</v>
      </c>
      <c r="AY97" s="30" t="s">
        <v>2660</v>
      </c>
      <c r="BC97" s="3" t="s">
        <v>7010</v>
      </c>
      <c r="BD97" s="3" t="s">
        <v>7010</v>
      </c>
      <c r="BE97" s="3" t="s">
        <v>7010</v>
      </c>
      <c r="BF97" s="3" t="s">
        <v>7010</v>
      </c>
      <c r="BG97" s="3" t="s">
        <v>7010</v>
      </c>
      <c r="BH97" s="3" t="s">
        <v>7010</v>
      </c>
      <c r="BI97" s="3" t="s">
        <v>7010</v>
      </c>
      <c r="BJ97" s="3" t="s">
        <v>7010</v>
      </c>
      <c r="BK97" s="74" t="str">
        <f t="shared" si="7"/>
        <v>No</v>
      </c>
    </row>
    <row r="98" spans="6:63">
      <c r="F98" s="7"/>
      <c r="G98">
        <v>97</v>
      </c>
      <c r="H98" s="7" t="s">
        <v>2039</v>
      </c>
      <c r="I98" t="s">
        <v>29</v>
      </c>
      <c r="J98">
        <f>LEN(H98)</f>
        <v>14</v>
      </c>
      <c r="K98" s="49" t="s">
        <v>6427</v>
      </c>
      <c r="O98" s="3" t="s">
        <v>7010</v>
      </c>
      <c r="P98" s="3" t="s">
        <v>7010</v>
      </c>
      <c r="Q98" s="3" t="s">
        <v>7010</v>
      </c>
      <c r="R98" s="3" t="s">
        <v>7010</v>
      </c>
      <c r="S98" s="3" t="s">
        <v>7010</v>
      </c>
      <c r="T98" s="3" t="s">
        <v>7015</v>
      </c>
      <c r="U98" s="3" t="s">
        <v>7010</v>
      </c>
      <c r="V98" s="3" t="s">
        <v>7010</v>
      </c>
      <c r="W98" s="74" t="str">
        <f t="shared" si="5"/>
        <v>Yes</v>
      </c>
      <c r="Z98">
        <v>97</v>
      </c>
      <c r="AA98" s="55" t="s">
        <v>725</v>
      </c>
      <c r="AB98" t="s">
        <v>643</v>
      </c>
      <c r="AC98">
        <f t="shared" si="4"/>
        <v>7</v>
      </c>
      <c r="AD98" s="30" t="s">
        <v>2662</v>
      </c>
      <c r="AF98" t="s">
        <v>7513</v>
      </c>
      <c r="AH98" s="3" t="s">
        <v>7015</v>
      </c>
      <c r="AI98" s="3" t="s">
        <v>7010</v>
      </c>
      <c r="AJ98" s="3" t="s">
        <v>7010</v>
      </c>
      <c r="AK98" s="3" t="s">
        <v>7015</v>
      </c>
      <c r="AL98" s="3" t="s">
        <v>7010</v>
      </c>
      <c r="AM98" s="3" t="s">
        <v>7010</v>
      </c>
      <c r="AN98" s="3" t="s">
        <v>7010</v>
      </c>
      <c r="AO98" s="3" t="s">
        <v>7010</v>
      </c>
      <c r="AP98" s="74" t="s">
        <v>7015</v>
      </c>
      <c r="AU98">
        <v>97</v>
      </c>
      <c r="AV98" t="s">
        <v>2663</v>
      </c>
      <c r="AW98" t="s">
        <v>2279</v>
      </c>
      <c r="AX98">
        <f t="shared" si="6"/>
        <v>8</v>
      </c>
      <c r="AY98" s="30" t="s">
        <v>2664</v>
      </c>
      <c r="BC98" s="3" t="s">
        <v>7010</v>
      </c>
      <c r="BD98" s="3" t="s">
        <v>7010</v>
      </c>
      <c r="BE98" s="3" t="s">
        <v>7010</v>
      </c>
      <c r="BF98" s="3" t="s">
        <v>7010</v>
      </c>
      <c r="BG98" s="3" t="s">
        <v>7010</v>
      </c>
      <c r="BH98" s="3" t="s">
        <v>7010</v>
      </c>
      <c r="BI98" s="3" t="s">
        <v>7010</v>
      </c>
      <c r="BJ98" s="3" t="s">
        <v>7010</v>
      </c>
      <c r="BK98" s="74" t="str">
        <f t="shared" si="7"/>
        <v>No</v>
      </c>
    </row>
    <row r="99" spans="6:63">
      <c r="F99" s="7"/>
      <c r="G99">
        <v>98</v>
      </c>
      <c r="H99" s="7" t="s">
        <v>2081</v>
      </c>
      <c r="I99" t="s">
        <v>29</v>
      </c>
      <c r="J99">
        <f>LEN(H99)</f>
        <v>13</v>
      </c>
      <c r="K99" s="49" t="s">
        <v>6528</v>
      </c>
      <c r="O99" s="3" t="s">
        <v>7010</v>
      </c>
      <c r="P99" s="3" t="s">
        <v>7010</v>
      </c>
      <c r="Q99" s="3" t="s">
        <v>7010</v>
      </c>
      <c r="R99" s="3" t="s">
        <v>7010</v>
      </c>
      <c r="S99" s="3" t="s">
        <v>7010</v>
      </c>
      <c r="T99" s="3" t="s">
        <v>7015</v>
      </c>
      <c r="U99" s="3" t="s">
        <v>7010</v>
      </c>
      <c r="V99" s="3" t="s">
        <v>7010</v>
      </c>
      <c r="W99" s="74" t="str">
        <f t="shared" si="5"/>
        <v>Yes</v>
      </c>
      <c r="Z99">
        <v>98</v>
      </c>
      <c r="AA99" s="55" t="s">
        <v>726</v>
      </c>
      <c r="AB99" t="s">
        <v>643</v>
      </c>
      <c r="AC99">
        <f t="shared" si="4"/>
        <v>6</v>
      </c>
      <c r="AD99" s="30" t="s">
        <v>2666</v>
      </c>
      <c r="AF99" t="s">
        <v>7514</v>
      </c>
      <c r="AH99" s="3" t="s">
        <v>7015</v>
      </c>
      <c r="AI99" s="3" t="s">
        <v>7010</v>
      </c>
      <c r="AJ99" s="3" t="s">
        <v>7010</v>
      </c>
      <c r="AK99" s="3" t="s">
        <v>7015</v>
      </c>
      <c r="AL99" s="3" t="s">
        <v>7010</v>
      </c>
      <c r="AM99" s="3" t="s">
        <v>7010</v>
      </c>
      <c r="AN99" s="3" t="s">
        <v>7010</v>
      </c>
      <c r="AO99" s="3" t="s">
        <v>7010</v>
      </c>
      <c r="AP99" s="74" t="s">
        <v>7015</v>
      </c>
      <c r="AU99">
        <v>98</v>
      </c>
      <c r="AV99" t="s">
        <v>2667</v>
      </c>
      <c r="AW99" t="s">
        <v>2279</v>
      </c>
      <c r="AX99">
        <f t="shared" si="6"/>
        <v>10</v>
      </c>
      <c r="AY99" s="30" t="s">
        <v>2668</v>
      </c>
      <c r="BC99" s="3" t="s">
        <v>7010</v>
      </c>
      <c r="BD99" s="3" t="s">
        <v>7010</v>
      </c>
      <c r="BE99" s="3" t="s">
        <v>7015</v>
      </c>
      <c r="BF99" s="3" t="s">
        <v>7010</v>
      </c>
      <c r="BG99" s="3" t="s">
        <v>7010</v>
      </c>
      <c r="BH99" s="3" t="s">
        <v>7010</v>
      </c>
      <c r="BI99" s="3" t="s">
        <v>7010</v>
      </c>
      <c r="BJ99" s="3" t="s">
        <v>7010</v>
      </c>
      <c r="BK99" s="74" t="str">
        <f t="shared" si="7"/>
        <v>Yes</v>
      </c>
    </row>
    <row r="100" spans="6:63">
      <c r="F100" s="7"/>
      <c r="G100">
        <v>99</v>
      </c>
      <c r="H100" s="7" t="s">
        <v>1144</v>
      </c>
      <c r="I100" t="s">
        <v>29</v>
      </c>
      <c r="J100">
        <f>LEN(H100)</f>
        <v>14</v>
      </c>
      <c r="K100" s="49" t="s">
        <v>4069</v>
      </c>
      <c r="O100" s="3" t="s">
        <v>7010</v>
      </c>
      <c r="P100" s="3" t="s">
        <v>7010</v>
      </c>
      <c r="Q100" s="3" t="s">
        <v>7010</v>
      </c>
      <c r="R100" s="3" t="s">
        <v>7010</v>
      </c>
      <c r="S100" s="3" t="s">
        <v>7010</v>
      </c>
      <c r="T100" s="3" t="s">
        <v>7010</v>
      </c>
      <c r="U100" s="3" t="s">
        <v>7010</v>
      </c>
      <c r="V100" s="3" t="s">
        <v>7010</v>
      </c>
      <c r="W100" s="74" t="str">
        <f t="shared" si="5"/>
        <v>No</v>
      </c>
      <c r="Z100">
        <v>99</v>
      </c>
      <c r="AA100" s="55" t="s">
        <v>727</v>
      </c>
      <c r="AB100" t="s">
        <v>643</v>
      </c>
      <c r="AC100">
        <f t="shared" si="4"/>
        <v>6</v>
      </c>
      <c r="AD100" s="30" t="s">
        <v>2670</v>
      </c>
      <c r="AF100" t="s">
        <v>7515</v>
      </c>
      <c r="AH100" s="3" t="s">
        <v>7015</v>
      </c>
      <c r="AI100" s="3" t="s">
        <v>7010</v>
      </c>
      <c r="AJ100" s="3" t="s">
        <v>7010</v>
      </c>
      <c r="AK100" s="3" t="s">
        <v>7015</v>
      </c>
      <c r="AL100" s="3" t="s">
        <v>7010</v>
      </c>
      <c r="AM100" s="3" t="s">
        <v>7010</v>
      </c>
      <c r="AN100" s="3" t="s">
        <v>7010</v>
      </c>
      <c r="AO100" s="3" t="s">
        <v>7010</v>
      </c>
      <c r="AP100" s="74" t="s">
        <v>7015</v>
      </c>
      <c r="AU100">
        <v>99</v>
      </c>
      <c r="AV100" t="s">
        <v>2671</v>
      </c>
      <c r="AW100" t="s">
        <v>2279</v>
      </c>
      <c r="AX100">
        <f t="shared" si="6"/>
        <v>8</v>
      </c>
      <c r="AY100" s="30" t="s">
        <v>2672</v>
      </c>
      <c r="BC100" s="3" t="s">
        <v>7010</v>
      </c>
      <c r="BD100" s="3" t="s">
        <v>7010</v>
      </c>
      <c r="BE100" s="3" t="s">
        <v>7010</v>
      </c>
      <c r="BF100" s="3" t="s">
        <v>7010</v>
      </c>
      <c r="BG100" s="3" t="s">
        <v>7010</v>
      </c>
      <c r="BH100" s="3" t="s">
        <v>7010</v>
      </c>
      <c r="BI100" s="3" t="s">
        <v>7010</v>
      </c>
      <c r="BJ100" s="3" t="s">
        <v>7010</v>
      </c>
      <c r="BK100" s="74" t="str">
        <f t="shared" si="7"/>
        <v>No</v>
      </c>
    </row>
    <row r="101" spans="6:63">
      <c r="G101">
        <v>100</v>
      </c>
      <c r="H101" s="7" t="s">
        <v>986</v>
      </c>
      <c r="I101" t="s">
        <v>29</v>
      </c>
      <c r="J101">
        <f>LEN(H101)</f>
        <v>12</v>
      </c>
      <c r="K101" s="49" t="s">
        <v>3659</v>
      </c>
      <c r="O101" s="3" t="s">
        <v>7010</v>
      </c>
      <c r="P101" s="3" t="s">
        <v>7010</v>
      </c>
      <c r="Q101" s="3" t="s">
        <v>7010</v>
      </c>
      <c r="R101" s="3" t="s">
        <v>7010</v>
      </c>
      <c r="S101" s="3" t="s">
        <v>7010</v>
      </c>
      <c r="T101" s="3" t="s">
        <v>7010</v>
      </c>
      <c r="U101" s="3" t="s">
        <v>7010</v>
      </c>
      <c r="V101" s="3" t="s">
        <v>7010</v>
      </c>
      <c r="W101" s="74" t="str">
        <f t="shared" si="5"/>
        <v>No</v>
      </c>
      <c r="Z101">
        <v>100</v>
      </c>
      <c r="AA101" s="55" t="s">
        <v>728</v>
      </c>
      <c r="AB101" t="s">
        <v>643</v>
      </c>
      <c r="AC101">
        <f t="shared" si="4"/>
        <v>8</v>
      </c>
      <c r="AD101" s="30" t="s">
        <v>2674</v>
      </c>
      <c r="AF101" t="s">
        <v>7516</v>
      </c>
      <c r="AH101" s="3" t="s">
        <v>7015</v>
      </c>
      <c r="AI101" s="3" t="s">
        <v>7010</v>
      </c>
      <c r="AJ101" s="3" t="s">
        <v>7010</v>
      </c>
      <c r="AK101" s="3" t="s">
        <v>7015</v>
      </c>
      <c r="AL101" s="3" t="s">
        <v>7010</v>
      </c>
      <c r="AM101" s="3" t="s">
        <v>7010</v>
      </c>
      <c r="AN101" s="3" t="s">
        <v>7010</v>
      </c>
      <c r="AO101" s="3" t="s">
        <v>7010</v>
      </c>
      <c r="AP101" s="74" t="s">
        <v>7015</v>
      </c>
      <c r="AU101">
        <v>100</v>
      </c>
      <c r="AV101" t="s">
        <v>2675</v>
      </c>
      <c r="AW101" t="s">
        <v>2279</v>
      </c>
      <c r="AX101">
        <f t="shared" si="6"/>
        <v>8</v>
      </c>
      <c r="AY101" s="30" t="s">
        <v>2676</v>
      </c>
      <c r="BC101" s="3" t="s">
        <v>7010</v>
      </c>
      <c r="BD101" s="3" t="s">
        <v>7010</v>
      </c>
      <c r="BE101" s="3" t="s">
        <v>7015</v>
      </c>
      <c r="BF101" s="3" t="s">
        <v>7010</v>
      </c>
      <c r="BG101" s="3" t="s">
        <v>7010</v>
      </c>
      <c r="BH101" s="3" t="s">
        <v>7010</v>
      </c>
      <c r="BI101" s="3" t="s">
        <v>7010</v>
      </c>
      <c r="BJ101" s="3" t="s">
        <v>7010</v>
      </c>
      <c r="BK101" s="74" t="str">
        <f t="shared" si="7"/>
        <v>Yes</v>
      </c>
    </row>
    <row r="102" spans="6:63">
      <c r="G102">
        <v>101</v>
      </c>
      <c r="H102" s="7" t="s">
        <v>1808</v>
      </c>
      <c r="I102" t="s">
        <v>29</v>
      </c>
      <c r="J102">
        <f>LEN(H102)</f>
        <v>13</v>
      </c>
      <c r="K102" s="49" t="s">
        <v>5760</v>
      </c>
      <c r="O102" s="3" t="s">
        <v>7010</v>
      </c>
      <c r="P102" s="3" t="s">
        <v>7010</v>
      </c>
      <c r="Q102" s="3" t="s">
        <v>7010</v>
      </c>
      <c r="R102" s="3" t="s">
        <v>7010</v>
      </c>
      <c r="S102" s="3" t="s">
        <v>7010</v>
      </c>
      <c r="T102" s="3" t="s">
        <v>7010</v>
      </c>
      <c r="U102" s="3" t="s">
        <v>7010</v>
      </c>
      <c r="V102" s="3" t="s">
        <v>7010</v>
      </c>
      <c r="W102" s="74" t="str">
        <f t="shared" si="5"/>
        <v>No</v>
      </c>
      <c r="Z102">
        <v>101</v>
      </c>
      <c r="AA102" s="55" t="s">
        <v>729</v>
      </c>
      <c r="AB102" t="s">
        <v>643</v>
      </c>
      <c r="AC102">
        <f t="shared" si="4"/>
        <v>9</v>
      </c>
      <c r="AD102" s="30" t="s">
        <v>2678</v>
      </c>
      <c r="AF102" t="s">
        <v>7517</v>
      </c>
      <c r="AH102" s="3" t="s">
        <v>7015</v>
      </c>
      <c r="AI102" s="3" t="s">
        <v>7010</v>
      </c>
      <c r="AJ102" s="3" t="s">
        <v>7010</v>
      </c>
      <c r="AK102" s="3" t="s">
        <v>7015</v>
      </c>
      <c r="AL102" s="3" t="s">
        <v>7010</v>
      </c>
      <c r="AM102" s="3" t="s">
        <v>7010</v>
      </c>
      <c r="AN102" s="3" t="s">
        <v>7010</v>
      </c>
      <c r="AO102" s="3" t="s">
        <v>7010</v>
      </c>
      <c r="AP102" s="74" t="s">
        <v>7015</v>
      </c>
      <c r="AU102">
        <v>101</v>
      </c>
      <c r="AV102" t="s">
        <v>2679</v>
      </c>
      <c r="AW102" t="s">
        <v>2279</v>
      </c>
      <c r="AX102">
        <f t="shared" si="6"/>
        <v>8</v>
      </c>
      <c r="AY102" s="30" t="s">
        <v>2680</v>
      </c>
      <c r="BC102" s="3" t="s">
        <v>7010</v>
      </c>
      <c r="BD102" s="3" t="s">
        <v>7010</v>
      </c>
      <c r="BE102" s="3" t="s">
        <v>7010</v>
      </c>
      <c r="BF102" s="3" t="s">
        <v>7010</v>
      </c>
      <c r="BG102" s="3" t="s">
        <v>7010</v>
      </c>
      <c r="BH102" s="3" t="s">
        <v>7010</v>
      </c>
      <c r="BI102" s="3" t="s">
        <v>7010</v>
      </c>
      <c r="BJ102" s="3" t="s">
        <v>7010</v>
      </c>
      <c r="BK102" s="74" t="str">
        <f t="shared" si="7"/>
        <v>No</v>
      </c>
    </row>
    <row r="103" spans="6:63">
      <c r="F103" s="7"/>
      <c r="G103">
        <v>102</v>
      </c>
      <c r="H103" s="7" t="s">
        <v>966</v>
      </c>
      <c r="I103" t="s">
        <v>29</v>
      </c>
      <c r="J103">
        <f>LEN(H103)</f>
        <v>12</v>
      </c>
      <c r="K103" s="49" t="s">
        <v>3610</v>
      </c>
      <c r="O103" s="3" t="s">
        <v>7010</v>
      </c>
      <c r="P103" s="3" t="s">
        <v>7010</v>
      </c>
      <c r="Q103" s="3" t="s">
        <v>7010</v>
      </c>
      <c r="R103" s="3" t="s">
        <v>7010</v>
      </c>
      <c r="S103" s="3" t="s">
        <v>7010</v>
      </c>
      <c r="T103" s="3" t="s">
        <v>7010</v>
      </c>
      <c r="U103" s="3" t="s">
        <v>7010</v>
      </c>
      <c r="V103" s="3" t="s">
        <v>7010</v>
      </c>
      <c r="W103" s="74" t="str">
        <f t="shared" si="5"/>
        <v>No</v>
      </c>
      <c r="Z103">
        <v>102</v>
      </c>
      <c r="AA103" s="55" t="s">
        <v>730</v>
      </c>
      <c r="AB103" t="s">
        <v>643</v>
      </c>
      <c r="AC103">
        <f t="shared" si="4"/>
        <v>6</v>
      </c>
      <c r="AD103" s="30" t="s">
        <v>2682</v>
      </c>
      <c r="AF103" t="s">
        <v>7518</v>
      </c>
      <c r="AH103" s="3" t="s">
        <v>7015</v>
      </c>
      <c r="AI103" s="3" t="s">
        <v>7010</v>
      </c>
      <c r="AJ103" s="3" t="s">
        <v>7010</v>
      </c>
      <c r="AK103" s="3" t="s">
        <v>7015</v>
      </c>
      <c r="AL103" s="3" t="s">
        <v>7010</v>
      </c>
      <c r="AM103" s="3" t="s">
        <v>7010</v>
      </c>
      <c r="AN103" s="3" t="s">
        <v>7010</v>
      </c>
      <c r="AO103" s="3" t="s">
        <v>7010</v>
      </c>
      <c r="AP103" s="74" t="s">
        <v>7015</v>
      </c>
      <c r="AU103">
        <v>102</v>
      </c>
      <c r="AV103" t="s">
        <v>2683</v>
      </c>
      <c r="AW103" t="s">
        <v>2279</v>
      </c>
      <c r="AX103">
        <f t="shared" si="6"/>
        <v>8</v>
      </c>
      <c r="AY103" s="30" t="s">
        <v>2684</v>
      </c>
      <c r="BC103" s="3" t="s">
        <v>7015</v>
      </c>
      <c r="BD103" s="3" t="s">
        <v>7010</v>
      </c>
      <c r="BE103" s="3" t="s">
        <v>7015</v>
      </c>
      <c r="BF103" s="3" t="s">
        <v>7010</v>
      </c>
      <c r="BG103" s="3" t="s">
        <v>7010</v>
      </c>
      <c r="BH103" s="3" t="s">
        <v>7010</v>
      </c>
      <c r="BI103" s="3" t="s">
        <v>7010</v>
      </c>
      <c r="BJ103" s="3" t="s">
        <v>7010</v>
      </c>
      <c r="BK103" s="74" t="str">
        <f t="shared" si="7"/>
        <v>Yes</v>
      </c>
    </row>
    <row r="104" spans="6:63">
      <c r="F104" s="7"/>
      <c r="G104">
        <v>103</v>
      </c>
      <c r="H104" s="7" t="s">
        <v>1738</v>
      </c>
      <c r="I104" t="s">
        <v>29</v>
      </c>
      <c r="J104">
        <f>LEN(H104)</f>
        <v>15</v>
      </c>
      <c r="K104" s="49" t="s">
        <v>5574</v>
      </c>
      <c r="O104" s="3" t="s">
        <v>7010</v>
      </c>
      <c r="P104" s="3" t="s">
        <v>7010</v>
      </c>
      <c r="Q104" s="3" t="s">
        <v>7010</v>
      </c>
      <c r="R104" s="3" t="s">
        <v>7010</v>
      </c>
      <c r="S104" s="3" t="s">
        <v>7010</v>
      </c>
      <c r="T104" s="3" t="s">
        <v>7010</v>
      </c>
      <c r="U104" s="3" t="s">
        <v>7010</v>
      </c>
      <c r="V104" s="3" t="s">
        <v>7010</v>
      </c>
      <c r="W104" s="74" t="str">
        <f t="shared" si="5"/>
        <v>No</v>
      </c>
      <c r="Z104">
        <v>103</v>
      </c>
      <c r="AA104" s="55" t="s">
        <v>731</v>
      </c>
      <c r="AB104" t="s">
        <v>643</v>
      </c>
      <c r="AC104">
        <f t="shared" si="4"/>
        <v>5</v>
      </c>
      <c r="AD104" s="30" t="s">
        <v>2686</v>
      </c>
      <c r="AF104" t="s">
        <v>7519</v>
      </c>
      <c r="AH104" s="3" t="s">
        <v>7015</v>
      </c>
      <c r="AI104" s="3" t="s">
        <v>7010</v>
      </c>
      <c r="AJ104" s="3" t="s">
        <v>7010</v>
      </c>
      <c r="AK104" s="3" t="s">
        <v>7015</v>
      </c>
      <c r="AL104" s="3" t="s">
        <v>7010</v>
      </c>
      <c r="AM104" s="3" t="s">
        <v>7010</v>
      </c>
      <c r="AN104" s="3" t="s">
        <v>7010</v>
      </c>
      <c r="AO104" s="3" t="s">
        <v>7010</v>
      </c>
      <c r="AP104" s="74" t="s">
        <v>7015</v>
      </c>
      <c r="AU104">
        <v>103</v>
      </c>
      <c r="AV104" t="s">
        <v>2687</v>
      </c>
      <c r="AW104" t="s">
        <v>2279</v>
      </c>
      <c r="AX104">
        <f t="shared" si="6"/>
        <v>12</v>
      </c>
      <c r="AY104" s="30" t="s">
        <v>2688</v>
      </c>
      <c r="BC104" s="3" t="s">
        <v>7010</v>
      </c>
      <c r="BD104" s="3" t="s">
        <v>7010</v>
      </c>
      <c r="BE104" s="3" t="s">
        <v>7010</v>
      </c>
      <c r="BF104" s="3" t="s">
        <v>7010</v>
      </c>
      <c r="BG104" s="3" t="s">
        <v>7010</v>
      </c>
      <c r="BH104" s="3" t="s">
        <v>7010</v>
      </c>
      <c r="BI104" s="3" t="s">
        <v>7010</v>
      </c>
      <c r="BJ104" s="3" t="s">
        <v>7010</v>
      </c>
      <c r="BK104" s="74" t="str">
        <f t="shared" si="7"/>
        <v>No</v>
      </c>
    </row>
    <row r="105" spans="6:63">
      <c r="F105" s="7"/>
      <c r="G105">
        <v>104</v>
      </c>
      <c r="H105" s="7" t="s">
        <v>1694</v>
      </c>
      <c r="I105" t="s">
        <v>29</v>
      </c>
      <c r="J105">
        <f>LEN(H105)</f>
        <v>21</v>
      </c>
      <c r="K105" s="49" t="s">
        <v>5465</v>
      </c>
      <c r="O105" s="3" t="s">
        <v>7010</v>
      </c>
      <c r="P105" s="3" t="s">
        <v>7010</v>
      </c>
      <c r="Q105" s="3" t="s">
        <v>7010</v>
      </c>
      <c r="R105" s="3" t="s">
        <v>7010</v>
      </c>
      <c r="S105" s="3" t="s">
        <v>7010</v>
      </c>
      <c r="T105" s="3" t="s">
        <v>7010</v>
      </c>
      <c r="U105" s="3" t="s">
        <v>7010</v>
      </c>
      <c r="V105" s="3" t="s">
        <v>7010</v>
      </c>
      <c r="W105" s="74" t="str">
        <f t="shared" si="5"/>
        <v>No</v>
      </c>
      <c r="Z105">
        <v>104</v>
      </c>
      <c r="AA105" s="55" t="s">
        <v>732</v>
      </c>
      <c r="AB105" t="s">
        <v>643</v>
      </c>
      <c r="AC105">
        <f t="shared" si="4"/>
        <v>8</v>
      </c>
      <c r="AD105" s="30" t="s">
        <v>2690</v>
      </c>
      <c r="AF105" t="s">
        <v>7520</v>
      </c>
      <c r="AH105" s="3" t="s">
        <v>7015</v>
      </c>
      <c r="AI105" s="3" t="s">
        <v>7010</v>
      </c>
      <c r="AJ105" s="3" t="s">
        <v>7010</v>
      </c>
      <c r="AK105" s="3" t="s">
        <v>7015</v>
      </c>
      <c r="AL105" s="3" t="s">
        <v>7010</v>
      </c>
      <c r="AM105" s="3" t="s">
        <v>7010</v>
      </c>
      <c r="AN105" s="3" t="s">
        <v>7010</v>
      </c>
      <c r="AO105" s="3" t="s">
        <v>7010</v>
      </c>
      <c r="AP105" s="74" t="s">
        <v>7015</v>
      </c>
      <c r="AU105">
        <v>104</v>
      </c>
      <c r="AV105" t="s">
        <v>2691</v>
      </c>
      <c r="AW105" t="s">
        <v>2279</v>
      </c>
      <c r="AX105">
        <f t="shared" si="6"/>
        <v>8</v>
      </c>
      <c r="AY105" s="30" t="s">
        <v>2692</v>
      </c>
      <c r="BC105" s="3" t="s">
        <v>7010</v>
      </c>
      <c r="BD105" s="3" t="s">
        <v>7010</v>
      </c>
      <c r="BE105" s="3" t="s">
        <v>7010</v>
      </c>
      <c r="BF105" s="3" t="s">
        <v>7010</v>
      </c>
      <c r="BG105" s="3" t="s">
        <v>7010</v>
      </c>
      <c r="BH105" s="3" t="s">
        <v>7010</v>
      </c>
      <c r="BI105" s="3" t="s">
        <v>7010</v>
      </c>
      <c r="BJ105" s="3" t="s">
        <v>7010</v>
      </c>
      <c r="BK105" s="74" t="str">
        <f t="shared" si="7"/>
        <v>No</v>
      </c>
    </row>
    <row r="106" spans="6:63">
      <c r="G106">
        <v>105</v>
      </c>
      <c r="H106" s="7" t="s">
        <v>1116</v>
      </c>
      <c r="I106" t="s">
        <v>29</v>
      </c>
      <c r="J106">
        <f>LEN(H106)</f>
        <v>14</v>
      </c>
      <c r="K106" s="49" t="s">
        <v>4002</v>
      </c>
      <c r="O106" s="3" t="s">
        <v>7010</v>
      </c>
      <c r="P106" s="3" t="s">
        <v>7010</v>
      </c>
      <c r="Q106" s="3" t="s">
        <v>7010</v>
      </c>
      <c r="R106" s="3" t="s">
        <v>7010</v>
      </c>
      <c r="S106" s="3" t="s">
        <v>7010</v>
      </c>
      <c r="T106" s="3" t="s">
        <v>7015</v>
      </c>
      <c r="U106" s="3" t="s">
        <v>7010</v>
      </c>
      <c r="V106" s="3" t="s">
        <v>7010</v>
      </c>
      <c r="W106" s="74" t="str">
        <f t="shared" si="5"/>
        <v>Yes</v>
      </c>
      <c r="Z106">
        <v>105</v>
      </c>
      <c r="AA106" s="55" t="s">
        <v>733</v>
      </c>
      <c r="AB106" t="s">
        <v>643</v>
      </c>
      <c r="AC106">
        <f t="shared" si="4"/>
        <v>6</v>
      </c>
      <c r="AD106" s="30" t="s">
        <v>2694</v>
      </c>
      <c r="AF106" t="s">
        <v>7521</v>
      </c>
      <c r="AH106" s="3" t="s">
        <v>7015</v>
      </c>
      <c r="AI106" s="3" t="s">
        <v>7010</v>
      </c>
      <c r="AJ106" s="3" t="s">
        <v>7010</v>
      </c>
      <c r="AK106" s="3" t="s">
        <v>7015</v>
      </c>
      <c r="AL106" s="3" t="s">
        <v>7010</v>
      </c>
      <c r="AM106" s="3" t="s">
        <v>7010</v>
      </c>
      <c r="AN106" s="3" t="s">
        <v>7010</v>
      </c>
      <c r="AO106" s="3" t="s">
        <v>7010</v>
      </c>
      <c r="AP106" s="74" t="s">
        <v>7015</v>
      </c>
      <c r="AU106">
        <v>105</v>
      </c>
      <c r="AV106" t="s">
        <v>2695</v>
      </c>
      <c r="AW106" t="s">
        <v>2279</v>
      </c>
      <c r="AX106">
        <f t="shared" si="6"/>
        <v>9</v>
      </c>
      <c r="AY106" s="30" t="s">
        <v>2696</v>
      </c>
      <c r="BC106" s="3" t="s">
        <v>7010</v>
      </c>
      <c r="BD106" s="3" t="s">
        <v>7010</v>
      </c>
      <c r="BE106" s="3" t="s">
        <v>7015</v>
      </c>
      <c r="BF106" s="3" t="s">
        <v>7010</v>
      </c>
      <c r="BG106" s="3" t="s">
        <v>7010</v>
      </c>
      <c r="BH106" s="3" t="s">
        <v>7010</v>
      </c>
      <c r="BI106" s="3" t="s">
        <v>7010</v>
      </c>
      <c r="BJ106" s="3" t="s">
        <v>7010</v>
      </c>
      <c r="BK106" s="74" t="str">
        <f t="shared" si="7"/>
        <v>Yes</v>
      </c>
    </row>
    <row r="107" spans="6:63">
      <c r="F107" s="7"/>
      <c r="G107">
        <v>106</v>
      </c>
      <c r="H107" s="7" t="s">
        <v>1710</v>
      </c>
      <c r="I107" t="s">
        <v>29</v>
      </c>
      <c r="J107">
        <f>LEN(H107)</f>
        <v>17</v>
      </c>
      <c r="K107" s="49" t="s">
        <v>5505</v>
      </c>
      <c r="O107" s="3" t="s">
        <v>7010</v>
      </c>
      <c r="P107" s="3" t="s">
        <v>7010</v>
      </c>
      <c r="Q107" s="3" t="s">
        <v>7010</v>
      </c>
      <c r="R107" s="3" t="s">
        <v>7010</v>
      </c>
      <c r="S107" s="3" t="s">
        <v>7010</v>
      </c>
      <c r="T107" s="3" t="s">
        <v>7010</v>
      </c>
      <c r="U107" s="3" t="s">
        <v>7010</v>
      </c>
      <c r="V107" s="3" t="s">
        <v>7010</v>
      </c>
      <c r="W107" s="74" t="str">
        <f t="shared" si="5"/>
        <v>No</v>
      </c>
      <c r="Z107">
        <v>106</v>
      </c>
      <c r="AA107" s="55" t="s">
        <v>734</v>
      </c>
      <c r="AB107" t="s">
        <v>643</v>
      </c>
      <c r="AC107">
        <f t="shared" si="4"/>
        <v>7</v>
      </c>
      <c r="AD107" s="30" t="s">
        <v>2698</v>
      </c>
      <c r="AF107" t="s">
        <v>7522</v>
      </c>
      <c r="AH107" s="3" t="s">
        <v>7015</v>
      </c>
      <c r="AI107" s="3" t="s">
        <v>7010</v>
      </c>
      <c r="AJ107" s="3" t="s">
        <v>7010</v>
      </c>
      <c r="AK107" s="3" t="s">
        <v>7015</v>
      </c>
      <c r="AL107" s="3" t="s">
        <v>7010</v>
      </c>
      <c r="AM107" s="3" t="s">
        <v>7010</v>
      </c>
      <c r="AN107" s="3" t="s">
        <v>7010</v>
      </c>
      <c r="AO107" s="3" t="s">
        <v>7010</v>
      </c>
      <c r="AP107" s="74" t="s">
        <v>7015</v>
      </c>
      <c r="AU107">
        <v>106</v>
      </c>
      <c r="AV107" t="s">
        <v>2699</v>
      </c>
      <c r="AW107" t="s">
        <v>2279</v>
      </c>
      <c r="AX107">
        <f t="shared" si="6"/>
        <v>9</v>
      </c>
      <c r="AY107" s="30" t="s">
        <v>2700</v>
      </c>
      <c r="BC107" s="3" t="s">
        <v>7010</v>
      </c>
      <c r="BD107" s="3" t="s">
        <v>7010</v>
      </c>
      <c r="BE107" s="3" t="s">
        <v>7010</v>
      </c>
      <c r="BF107" s="3" t="s">
        <v>7010</v>
      </c>
      <c r="BG107" s="3" t="s">
        <v>7010</v>
      </c>
      <c r="BH107" s="3" t="s">
        <v>7010</v>
      </c>
      <c r="BI107" s="3" t="s">
        <v>7010</v>
      </c>
      <c r="BJ107" s="3" t="s">
        <v>7010</v>
      </c>
      <c r="BK107" s="74" t="str">
        <f t="shared" si="7"/>
        <v>No</v>
      </c>
    </row>
    <row r="108" spans="6:63">
      <c r="F108" s="7"/>
      <c r="G108">
        <v>107</v>
      </c>
      <c r="H108" s="7" t="s">
        <v>1758</v>
      </c>
      <c r="I108" t="s">
        <v>29</v>
      </c>
      <c r="J108">
        <f>LEN(H108)</f>
        <v>16</v>
      </c>
      <c r="K108" s="49" t="s">
        <v>5624</v>
      </c>
      <c r="O108" s="3" t="s">
        <v>7010</v>
      </c>
      <c r="P108" s="3" t="s">
        <v>7010</v>
      </c>
      <c r="Q108" s="3" t="s">
        <v>7010</v>
      </c>
      <c r="R108" s="3" t="s">
        <v>7010</v>
      </c>
      <c r="S108" s="3" t="s">
        <v>7010</v>
      </c>
      <c r="T108" s="3" t="s">
        <v>7010</v>
      </c>
      <c r="U108" s="3" t="s">
        <v>7010</v>
      </c>
      <c r="V108" s="3" t="s">
        <v>7010</v>
      </c>
      <c r="W108" s="74" t="str">
        <f t="shared" si="5"/>
        <v>No</v>
      </c>
      <c r="Z108">
        <v>107</v>
      </c>
      <c r="AA108" s="55" t="s">
        <v>735</v>
      </c>
      <c r="AB108" t="s">
        <v>643</v>
      </c>
      <c r="AC108">
        <f t="shared" si="4"/>
        <v>6</v>
      </c>
      <c r="AD108" s="30" t="s">
        <v>2702</v>
      </c>
      <c r="AF108" t="s">
        <v>7523</v>
      </c>
      <c r="AH108" s="3" t="s">
        <v>7015</v>
      </c>
      <c r="AI108" s="3" t="s">
        <v>7010</v>
      </c>
      <c r="AJ108" s="3" t="s">
        <v>7010</v>
      </c>
      <c r="AK108" s="3" t="s">
        <v>7015</v>
      </c>
      <c r="AL108" s="3" t="s">
        <v>7010</v>
      </c>
      <c r="AM108" s="3" t="s">
        <v>7010</v>
      </c>
      <c r="AN108" s="3" t="s">
        <v>7010</v>
      </c>
      <c r="AO108" s="3" t="s">
        <v>7010</v>
      </c>
      <c r="AP108" s="74" t="s">
        <v>7015</v>
      </c>
      <c r="AU108">
        <v>107</v>
      </c>
      <c r="AV108" t="s">
        <v>2703</v>
      </c>
      <c r="AW108" t="s">
        <v>2279</v>
      </c>
      <c r="AX108">
        <f t="shared" si="6"/>
        <v>8</v>
      </c>
      <c r="AY108" s="30" t="s">
        <v>2704</v>
      </c>
      <c r="BC108" s="3" t="s">
        <v>7010</v>
      </c>
      <c r="BD108" s="3" t="s">
        <v>7010</v>
      </c>
      <c r="BE108" s="3" t="s">
        <v>7010</v>
      </c>
      <c r="BF108" s="3" t="s">
        <v>7010</v>
      </c>
      <c r="BG108" s="3" t="s">
        <v>7010</v>
      </c>
      <c r="BH108" s="3" t="s">
        <v>7010</v>
      </c>
      <c r="BI108" s="3" t="s">
        <v>7010</v>
      </c>
      <c r="BJ108" s="3" t="s">
        <v>7010</v>
      </c>
      <c r="BK108" s="74" t="str">
        <f t="shared" si="7"/>
        <v>No</v>
      </c>
    </row>
    <row r="109" spans="6:63">
      <c r="F109" s="55"/>
      <c r="G109">
        <v>108</v>
      </c>
      <c r="H109" s="7" t="s">
        <v>916</v>
      </c>
      <c r="I109" t="s">
        <v>29</v>
      </c>
      <c r="J109">
        <f>LEN(H109)</f>
        <v>12</v>
      </c>
      <c r="K109" s="49" t="s">
        <v>3487</v>
      </c>
      <c r="O109" s="3" t="s">
        <v>7010</v>
      </c>
      <c r="P109" s="3" t="s">
        <v>7010</v>
      </c>
      <c r="Q109" s="3" t="s">
        <v>7010</v>
      </c>
      <c r="R109" s="3" t="s">
        <v>7010</v>
      </c>
      <c r="S109" s="3" t="s">
        <v>7010</v>
      </c>
      <c r="T109" s="3" t="s">
        <v>7010</v>
      </c>
      <c r="U109" s="3" t="s">
        <v>7010</v>
      </c>
      <c r="V109" s="3" t="s">
        <v>7010</v>
      </c>
      <c r="W109" s="74" t="str">
        <f t="shared" si="5"/>
        <v>No</v>
      </c>
      <c r="Z109">
        <v>108</v>
      </c>
      <c r="AA109" s="55" t="s">
        <v>736</v>
      </c>
      <c r="AB109" t="s">
        <v>643</v>
      </c>
      <c r="AC109">
        <f t="shared" si="4"/>
        <v>9</v>
      </c>
      <c r="AD109" s="30" t="s">
        <v>2706</v>
      </c>
      <c r="AF109" t="s">
        <v>7524</v>
      </c>
      <c r="AH109" s="3" t="s">
        <v>7015</v>
      </c>
      <c r="AI109" s="3" t="s">
        <v>7010</v>
      </c>
      <c r="AJ109" s="3" t="s">
        <v>7010</v>
      </c>
      <c r="AK109" s="3" t="s">
        <v>7015</v>
      </c>
      <c r="AL109" s="3" t="s">
        <v>7010</v>
      </c>
      <c r="AM109" s="3" t="s">
        <v>7010</v>
      </c>
      <c r="AN109" s="3" t="s">
        <v>7010</v>
      </c>
      <c r="AO109" s="3" t="s">
        <v>7010</v>
      </c>
      <c r="AP109" s="74" t="s">
        <v>7015</v>
      </c>
      <c r="AU109">
        <v>108</v>
      </c>
      <c r="AV109" t="s">
        <v>2707</v>
      </c>
      <c r="AW109" t="s">
        <v>2279</v>
      </c>
      <c r="AX109">
        <f t="shared" si="6"/>
        <v>10</v>
      </c>
      <c r="AY109" s="30" t="s">
        <v>2708</v>
      </c>
      <c r="BC109" s="3" t="s">
        <v>7010</v>
      </c>
      <c r="BD109" s="3" t="s">
        <v>7010</v>
      </c>
      <c r="BE109" s="3" t="s">
        <v>7010</v>
      </c>
      <c r="BF109" s="3" t="s">
        <v>7010</v>
      </c>
      <c r="BG109" s="3" t="s">
        <v>7010</v>
      </c>
      <c r="BH109" s="3" t="s">
        <v>7010</v>
      </c>
      <c r="BI109" s="3" t="s">
        <v>7010</v>
      </c>
      <c r="BJ109" s="3" t="s">
        <v>7010</v>
      </c>
      <c r="BK109" s="74" t="str">
        <f t="shared" si="7"/>
        <v>No</v>
      </c>
    </row>
    <row r="110" spans="6:63">
      <c r="F110" s="55"/>
      <c r="G110">
        <v>109</v>
      </c>
      <c r="H110" s="7" t="s">
        <v>1818</v>
      </c>
      <c r="I110" t="s">
        <v>29</v>
      </c>
      <c r="J110">
        <f>LEN(H110)</f>
        <v>13</v>
      </c>
      <c r="K110" s="49" t="s">
        <v>5793</v>
      </c>
      <c r="O110" s="3" t="s">
        <v>7010</v>
      </c>
      <c r="P110" s="3" t="s">
        <v>7010</v>
      </c>
      <c r="Q110" s="3" t="s">
        <v>7010</v>
      </c>
      <c r="R110" s="3" t="s">
        <v>7010</v>
      </c>
      <c r="S110" s="3" t="s">
        <v>7010</v>
      </c>
      <c r="T110" s="3" t="s">
        <v>7010</v>
      </c>
      <c r="U110" s="3" t="s">
        <v>7010</v>
      </c>
      <c r="V110" s="3" t="s">
        <v>7010</v>
      </c>
      <c r="W110" s="74" t="str">
        <f t="shared" si="5"/>
        <v>No</v>
      </c>
      <c r="Z110">
        <v>109</v>
      </c>
      <c r="AA110" s="55" t="s">
        <v>737</v>
      </c>
      <c r="AB110" t="s">
        <v>643</v>
      </c>
      <c r="AC110">
        <f t="shared" si="4"/>
        <v>6</v>
      </c>
      <c r="AD110" s="30" t="s">
        <v>2710</v>
      </c>
      <c r="AF110" t="s">
        <v>7525</v>
      </c>
      <c r="AH110" s="3" t="s">
        <v>7015</v>
      </c>
      <c r="AI110" s="3" t="s">
        <v>7010</v>
      </c>
      <c r="AJ110" s="3" t="s">
        <v>7010</v>
      </c>
      <c r="AK110" s="3" t="s">
        <v>7015</v>
      </c>
      <c r="AL110" s="3" t="s">
        <v>7010</v>
      </c>
      <c r="AM110" s="3" t="s">
        <v>7010</v>
      </c>
      <c r="AN110" s="3" t="s">
        <v>7010</v>
      </c>
      <c r="AO110" s="3" t="s">
        <v>7010</v>
      </c>
      <c r="AP110" s="74" t="s">
        <v>7015</v>
      </c>
      <c r="AU110">
        <v>109</v>
      </c>
      <c r="AV110" t="s">
        <v>2711</v>
      </c>
      <c r="AW110" t="s">
        <v>2279</v>
      </c>
      <c r="AX110">
        <f t="shared" si="6"/>
        <v>8</v>
      </c>
      <c r="AY110" s="30" t="s">
        <v>2712</v>
      </c>
      <c r="BC110" s="3" t="s">
        <v>7010</v>
      </c>
      <c r="BD110" s="3" t="s">
        <v>7010</v>
      </c>
      <c r="BE110" s="3" t="s">
        <v>7010</v>
      </c>
      <c r="BF110" s="3" t="s">
        <v>7010</v>
      </c>
      <c r="BG110" s="3" t="s">
        <v>7010</v>
      </c>
      <c r="BH110" s="3" t="s">
        <v>7010</v>
      </c>
      <c r="BI110" s="3" t="s">
        <v>7010</v>
      </c>
      <c r="BJ110" s="3" t="s">
        <v>7010</v>
      </c>
      <c r="BK110" s="74" t="str">
        <f t="shared" si="7"/>
        <v>No</v>
      </c>
    </row>
    <row r="111" spans="6:63">
      <c r="F111" s="55"/>
      <c r="G111">
        <v>110</v>
      </c>
      <c r="H111" s="7" t="s">
        <v>1136</v>
      </c>
      <c r="I111" t="s">
        <v>29</v>
      </c>
      <c r="J111">
        <f>LEN(H111)</f>
        <v>11</v>
      </c>
      <c r="K111" s="49" t="s">
        <v>4050</v>
      </c>
      <c r="O111" s="3" t="s">
        <v>7010</v>
      </c>
      <c r="P111" s="3" t="s">
        <v>7010</v>
      </c>
      <c r="Q111" s="3" t="s">
        <v>7010</v>
      </c>
      <c r="R111" s="3" t="s">
        <v>7010</v>
      </c>
      <c r="S111" s="3" t="s">
        <v>7010</v>
      </c>
      <c r="T111" s="3" t="s">
        <v>7010</v>
      </c>
      <c r="U111" s="3" t="s">
        <v>7010</v>
      </c>
      <c r="V111" s="3" t="s">
        <v>7010</v>
      </c>
      <c r="W111" s="74" t="str">
        <f t="shared" si="5"/>
        <v>No</v>
      </c>
      <c r="Z111">
        <v>110</v>
      </c>
      <c r="AA111" s="55" t="s">
        <v>738</v>
      </c>
      <c r="AB111" t="s">
        <v>643</v>
      </c>
      <c r="AC111">
        <f t="shared" si="4"/>
        <v>6</v>
      </c>
      <c r="AD111" s="30" t="s">
        <v>2714</v>
      </c>
      <c r="AF111" t="s">
        <v>7526</v>
      </c>
      <c r="AH111" s="3" t="s">
        <v>7015</v>
      </c>
      <c r="AI111" s="3" t="s">
        <v>7010</v>
      </c>
      <c r="AJ111" s="3" t="s">
        <v>7010</v>
      </c>
      <c r="AK111" s="3" t="s">
        <v>7015</v>
      </c>
      <c r="AL111" s="3" t="s">
        <v>7010</v>
      </c>
      <c r="AM111" s="3" t="s">
        <v>7010</v>
      </c>
      <c r="AN111" s="3" t="s">
        <v>7010</v>
      </c>
      <c r="AO111" s="3" t="s">
        <v>7010</v>
      </c>
      <c r="AP111" s="74" t="s">
        <v>7015</v>
      </c>
      <c r="AU111">
        <v>110</v>
      </c>
      <c r="AV111" t="s">
        <v>2715</v>
      </c>
      <c r="AW111" t="s">
        <v>2279</v>
      </c>
      <c r="AX111">
        <f t="shared" si="6"/>
        <v>9</v>
      </c>
      <c r="AY111" s="30" t="s">
        <v>2716</v>
      </c>
      <c r="BC111" s="3" t="s">
        <v>7010</v>
      </c>
      <c r="BD111" s="3" t="s">
        <v>7010</v>
      </c>
      <c r="BE111" s="3" t="s">
        <v>7015</v>
      </c>
      <c r="BF111" s="3" t="s">
        <v>7010</v>
      </c>
      <c r="BG111" s="3" t="s">
        <v>7010</v>
      </c>
      <c r="BH111" s="3" t="s">
        <v>7010</v>
      </c>
      <c r="BI111" s="3" t="s">
        <v>7010</v>
      </c>
      <c r="BJ111" s="3" t="s">
        <v>7010</v>
      </c>
      <c r="BK111" s="74" t="str">
        <f t="shared" si="7"/>
        <v>Yes</v>
      </c>
    </row>
    <row r="112" spans="6:63">
      <c r="F112" s="55"/>
      <c r="G112">
        <v>111</v>
      </c>
      <c r="H112" s="7" t="s">
        <v>936</v>
      </c>
      <c r="I112" t="s">
        <v>29</v>
      </c>
      <c r="J112">
        <f>LEN(H112)</f>
        <v>10</v>
      </c>
      <c r="K112" s="49" t="s">
        <v>3536</v>
      </c>
      <c r="O112" s="3" t="s">
        <v>7010</v>
      </c>
      <c r="P112" s="3" t="s">
        <v>7010</v>
      </c>
      <c r="Q112" s="3" t="s">
        <v>7010</v>
      </c>
      <c r="R112" s="3" t="s">
        <v>7010</v>
      </c>
      <c r="S112" s="3" t="s">
        <v>7010</v>
      </c>
      <c r="T112" s="3" t="s">
        <v>7010</v>
      </c>
      <c r="U112" s="3" t="s">
        <v>7010</v>
      </c>
      <c r="V112" s="3" t="s">
        <v>7010</v>
      </c>
      <c r="W112" s="74" t="str">
        <f t="shared" si="5"/>
        <v>No</v>
      </c>
      <c r="Z112">
        <v>111</v>
      </c>
      <c r="AA112" s="55" t="s">
        <v>739</v>
      </c>
      <c r="AB112" t="s">
        <v>643</v>
      </c>
      <c r="AC112">
        <f t="shared" si="4"/>
        <v>8</v>
      </c>
      <c r="AD112" s="30" t="s">
        <v>2718</v>
      </c>
      <c r="AF112" t="s">
        <v>7527</v>
      </c>
      <c r="AH112" s="3" t="s">
        <v>7015</v>
      </c>
      <c r="AI112" s="3" t="s">
        <v>7010</v>
      </c>
      <c r="AJ112" s="3" t="s">
        <v>7010</v>
      </c>
      <c r="AK112" s="3" t="s">
        <v>7015</v>
      </c>
      <c r="AL112" s="3" t="s">
        <v>7010</v>
      </c>
      <c r="AM112" s="3" t="s">
        <v>7010</v>
      </c>
      <c r="AN112" s="3" t="s">
        <v>7010</v>
      </c>
      <c r="AO112" s="3" t="s">
        <v>7010</v>
      </c>
      <c r="AP112" s="74" t="s">
        <v>7015</v>
      </c>
      <c r="AU112">
        <v>111</v>
      </c>
      <c r="AV112" t="s">
        <v>2719</v>
      </c>
      <c r="AW112" t="s">
        <v>2279</v>
      </c>
      <c r="AX112">
        <f t="shared" si="6"/>
        <v>15</v>
      </c>
      <c r="AY112" s="30" t="s">
        <v>2720</v>
      </c>
      <c r="BC112" s="3" t="s">
        <v>7010</v>
      </c>
      <c r="BD112" s="3" t="s">
        <v>7010</v>
      </c>
      <c r="BE112" s="3" t="s">
        <v>7010</v>
      </c>
      <c r="BF112" s="3" t="s">
        <v>7010</v>
      </c>
      <c r="BG112" s="3" t="s">
        <v>7010</v>
      </c>
      <c r="BH112" s="3" t="s">
        <v>7010</v>
      </c>
      <c r="BI112" s="3" t="s">
        <v>7010</v>
      </c>
      <c r="BJ112" s="3" t="s">
        <v>7010</v>
      </c>
      <c r="BK112" s="74" t="str">
        <f t="shared" si="7"/>
        <v>No</v>
      </c>
    </row>
    <row r="113" spans="6:63">
      <c r="F113" s="55"/>
      <c r="G113">
        <v>112</v>
      </c>
      <c r="H113" s="7" t="s">
        <v>944</v>
      </c>
      <c r="I113" t="s">
        <v>29</v>
      </c>
      <c r="J113">
        <f>LEN(H113)</f>
        <v>11</v>
      </c>
      <c r="K113" s="49" t="s">
        <v>3556</v>
      </c>
      <c r="O113" s="3" t="s">
        <v>7010</v>
      </c>
      <c r="P113" s="3" t="s">
        <v>7010</v>
      </c>
      <c r="Q113" s="3" t="s">
        <v>7010</v>
      </c>
      <c r="R113" s="3" t="s">
        <v>7010</v>
      </c>
      <c r="S113" s="3" t="s">
        <v>7010</v>
      </c>
      <c r="T113" s="3" t="s">
        <v>7010</v>
      </c>
      <c r="U113" s="3" t="s">
        <v>7010</v>
      </c>
      <c r="V113" s="3" t="s">
        <v>7010</v>
      </c>
      <c r="W113" s="74" t="str">
        <f t="shared" si="5"/>
        <v>No</v>
      </c>
      <c r="Z113">
        <v>112</v>
      </c>
      <c r="AA113" s="55" t="s">
        <v>740</v>
      </c>
      <c r="AB113" t="s">
        <v>643</v>
      </c>
      <c r="AC113">
        <f t="shared" si="4"/>
        <v>7</v>
      </c>
      <c r="AD113" s="30" t="s">
        <v>2722</v>
      </c>
      <c r="AF113" t="s">
        <v>7528</v>
      </c>
      <c r="AH113" s="3" t="s">
        <v>7015</v>
      </c>
      <c r="AI113" s="3" t="s">
        <v>7010</v>
      </c>
      <c r="AJ113" s="3" t="s">
        <v>7010</v>
      </c>
      <c r="AK113" s="3" t="s">
        <v>7015</v>
      </c>
      <c r="AL113" s="3" t="s">
        <v>7010</v>
      </c>
      <c r="AM113" s="3" t="s">
        <v>7010</v>
      </c>
      <c r="AN113" s="3" t="s">
        <v>7010</v>
      </c>
      <c r="AO113" s="3" t="s">
        <v>7010</v>
      </c>
      <c r="AP113" s="74" t="s">
        <v>7015</v>
      </c>
      <c r="AU113">
        <v>112</v>
      </c>
      <c r="AV113" t="s">
        <v>2723</v>
      </c>
      <c r="AW113" t="s">
        <v>2279</v>
      </c>
      <c r="AX113">
        <f t="shared" si="6"/>
        <v>9</v>
      </c>
      <c r="AY113" s="30" t="s">
        <v>2724</v>
      </c>
      <c r="BC113" s="3" t="s">
        <v>7015</v>
      </c>
      <c r="BD113" s="3" t="s">
        <v>7010</v>
      </c>
      <c r="BE113" s="3" t="s">
        <v>7015</v>
      </c>
      <c r="BF113" s="3" t="s">
        <v>7010</v>
      </c>
      <c r="BG113" s="3" t="s">
        <v>7010</v>
      </c>
      <c r="BH113" s="3" t="s">
        <v>7010</v>
      </c>
      <c r="BI113" s="3" t="s">
        <v>7010</v>
      </c>
      <c r="BJ113" s="3" t="s">
        <v>7010</v>
      </c>
      <c r="BK113" s="74" t="str">
        <f t="shared" si="7"/>
        <v>Yes</v>
      </c>
    </row>
    <row r="114" spans="6:63">
      <c r="F114" s="55"/>
      <c r="G114">
        <v>113</v>
      </c>
      <c r="H114" s="7" t="s">
        <v>1154</v>
      </c>
      <c r="I114" t="s">
        <v>29</v>
      </c>
      <c r="J114">
        <f>LEN(H114)</f>
        <v>11</v>
      </c>
      <c r="K114" s="49" t="s">
        <v>4094</v>
      </c>
      <c r="O114" s="3" t="s">
        <v>7010</v>
      </c>
      <c r="P114" s="3" t="s">
        <v>7010</v>
      </c>
      <c r="Q114" s="3" t="s">
        <v>7010</v>
      </c>
      <c r="R114" s="3" t="s">
        <v>7010</v>
      </c>
      <c r="S114" s="3" t="s">
        <v>7010</v>
      </c>
      <c r="T114" s="3" t="s">
        <v>7010</v>
      </c>
      <c r="U114" s="3" t="s">
        <v>7010</v>
      </c>
      <c r="V114" s="3" t="s">
        <v>7010</v>
      </c>
      <c r="W114" s="74" t="str">
        <f t="shared" si="5"/>
        <v>No</v>
      </c>
      <c r="Z114">
        <v>113</v>
      </c>
      <c r="AA114" s="55" t="s">
        <v>741</v>
      </c>
      <c r="AB114" t="s">
        <v>643</v>
      </c>
      <c r="AC114">
        <f t="shared" si="4"/>
        <v>7</v>
      </c>
      <c r="AD114" s="30" t="s">
        <v>2726</v>
      </c>
      <c r="AF114" t="s">
        <v>7529</v>
      </c>
      <c r="AH114" s="3" t="s">
        <v>7015</v>
      </c>
      <c r="AI114" s="3" t="s">
        <v>7010</v>
      </c>
      <c r="AJ114" s="3" t="s">
        <v>7010</v>
      </c>
      <c r="AK114" s="3" t="s">
        <v>7015</v>
      </c>
      <c r="AL114" s="3" t="s">
        <v>7010</v>
      </c>
      <c r="AM114" s="3" t="s">
        <v>7010</v>
      </c>
      <c r="AN114" s="3" t="s">
        <v>7010</v>
      </c>
      <c r="AO114" s="3" t="s">
        <v>7010</v>
      </c>
      <c r="AP114" s="74" t="s">
        <v>7015</v>
      </c>
      <c r="AU114">
        <v>113</v>
      </c>
      <c r="AV114" t="s">
        <v>2727</v>
      </c>
      <c r="AW114" t="s">
        <v>2279</v>
      </c>
      <c r="AX114">
        <f t="shared" si="6"/>
        <v>11</v>
      </c>
      <c r="AY114" s="30" t="s">
        <v>2728</v>
      </c>
      <c r="BC114" s="3" t="s">
        <v>7015</v>
      </c>
      <c r="BD114" s="3" t="s">
        <v>7010</v>
      </c>
      <c r="BE114" s="3" t="s">
        <v>7015</v>
      </c>
      <c r="BF114" s="3" t="s">
        <v>7010</v>
      </c>
      <c r="BG114" s="3" t="s">
        <v>7010</v>
      </c>
      <c r="BH114" s="3" t="s">
        <v>7010</v>
      </c>
      <c r="BI114" s="3" t="s">
        <v>7010</v>
      </c>
      <c r="BJ114" s="3" t="s">
        <v>7010</v>
      </c>
      <c r="BK114" s="74" t="str">
        <f t="shared" si="7"/>
        <v>Yes</v>
      </c>
    </row>
    <row r="115" spans="6:63">
      <c r="F115" s="55"/>
      <c r="G115">
        <v>114</v>
      </c>
      <c r="H115" s="7" t="s">
        <v>1086</v>
      </c>
      <c r="I115" t="s">
        <v>29</v>
      </c>
      <c r="J115">
        <f>LEN(H115)</f>
        <v>9</v>
      </c>
      <c r="K115" s="49" t="s">
        <v>3927</v>
      </c>
      <c r="O115" s="3" t="s">
        <v>7010</v>
      </c>
      <c r="P115" s="3" t="s">
        <v>7010</v>
      </c>
      <c r="Q115" s="3" t="s">
        <v>7010</v>
      </c>
      <c r="R115" s="3" t="s">
        <v>7010</v>
      </c>
      <c r="S115" s="3" t="s">
        <v>7010</v>
      </c>
      <c r="T115" s="3" t="s">
        <v>7010</v>
      </c>
      <c r="U115" s="3" t="s">
        <v>7010</v>
      </c>
      <c r="V115" s="3" t="s">
        <v>7010</v>
      </c>
      <c r="W115" s="74" t="str">
        <f t="shared" si="5"/>
        <v>No</v>
      </c>
      <c r="Z115">
        <v>114</v>
      </c>
      <c r="AA115" s="55" t="s">
        <v>742</v>
      </c>
      <c r="AB115" t="s">
        <v>643</v>
      </c>
      <c r="AC115">
        <f t="shared" si="4"/>
        <v>6</v>
      </c>
      <c r="AD115" s="30" t="s">
        <v>2730</v>
      </c>
      <c r="AF115" t="s">
        <v>7530</v>
      </c>
      <c r="AH115" s="3" t="s">
        <v>7015</v>
      </c>
      <c r="AI115" s="3" t="s">
        <v>7010</v>
      </c>
      <c r="AJ115" s="3" t="s">
        <v>7010</v>
      </c>
      <c r="AK115" s="3" t="s">
        <v>7015</v>
      </c>
      <c r="AL115" s="3" t="s">
        <v>7010</v>
      </c>
      <c r="AM115" s="3" t="s">
        <v>7010</v>
      </c>
      <c r="AN115" s="3" t="s">
        <v>7010</v>
      </c>
      <c r="AO115" s="3" t="s">
        <v>7010</v>
      </c>
      <c r="AP115" s="74" t="s">
        <v>7015</v>
      </c>
      <c r="AU115">
        <v>114</v>
      </c>
      <c r="AV115" t="s">
        <v>2731</v>
      </c>
      <c r="AW115" t="s">
        <v>2279</v>
      </c>
      <c r="AX115">
        <f t="shared" si="6"/>
        <v>8</v>
      </c>
      <c r="AY115" s="30" t="s">
        <v>2732</v>
      </c>
      <c r="BC115" s="3" t="s">
        <v>7010</v>
      </c>
      <c r="BD115" s="3" t="s">
        <v>7010</v>
      </c>
      <c r="BE115" s="3" t="s">
        <v>7010</v>
      </c>
      <c r="BF115" s="3" t="s">
        <v>7010</v>
      </c>
      <c r="BG115" s="3" t="s">
        <v>7010</v>
      </c>
      <c r="BH115" s="3" t="s">
        <v>7010</v>
      </c>
      <c r="BI115" s="3" t="s">
        <v>7010</v>
      </c>
      <c r="BJ115" s="3" t="s">
        <v>7010</v>
      </c>
      <c r="BK115" s="74" t="str">
        <f t="shared" si="7"/>
        <v>No</v>
      </c>
    </row>
    <row r="116" spans="6:63">
      <c r="F116" s="55"/>
      <c r="G116">
        <v>115</v>
      </c>
      <c r="H116" s="7" t="s">
        <v>1770</v>
      </c>
      <c r="I116" t="s">
        <v>29</v>
      </c>
      <c r="J116">
        <f>LEN(H116)</f>
        <v>15</v>
      </c>
      <c r="K116" s="49" t="s">
        <v>5654</v>
      </c>
      <c r="O116" s="3" t="s">
        <v>7010</v>
      </c>
      <c r="P116" s="3" t="s">
        <v>7010</v>
      </c>
      <c r="Q116" s="3" t="s">
        <v>7010</v>
      </c>
      <c r="R116" s="3" t="s">
        <v>7010</v>
      </c>
      <c r="S116" s="3" t="s">
        <v>7010</v>
      </c>
      <c r="T116" s="3" t="s">
        <v>7010</v>
      </c>
      <c r="U116" s="3" t="s">
        <v>7010</v>
      </c>
      <c r="V116" s="3" t="s">
        <v>7010</v>
      </c>
      <c r="W116" s="74" t="str">
        <f t="shared" si="5"/>
        <v>No</v>
      </c>
      <c r="Z116">
        <v>115</v>
      </c>
      <c r="AA116" s="55" t="s">
        <v>743</v>
      </c>
      <c r="AB116" t="s">
        <v>643</v>
      </c>
      <c r="AC116">
        <f t="shared" si="4"/>
        <v>6</v>
      </c>
      <c r="AD116" s="30" t="s">
        <v>2734</v>
      </c>
      <c r="AF116" t="s">
        <v>7531</v>
      </c>
      <c r="AH116" s="3" t="s">
        <v>7015</v>
      </c>
      <c r="AI116" s="3" t="s">
        <v>7010</v>
      </c>
      <c r="AJ116" s="3" t="s">
        <v>7010</v>
      </c>
      <c r="AK116" s="3" t="s">
        <v>7015</v>
      </c>
      <c r="AL116" s="3" t="s">
        <v>7010</v>
      </c>
      <c r="AM116" s="3" t="s">
        <v>7010</v>
      </c>
      <c r="AN116" s="3" t="s">
        <v>7010</v>
      </c>
      <c r="AO116" s="3" t="s">
        <v>7010</v>
      </c>
      <c r="AP116" s="74" t="s">
        <v>7015</v>
      </c>
      <c r="AU116">
        <v>115</v>
      </c>
      <c r="AV116" t="s">
        <v>2735</v>
      </c>
      <c r="AW116" t="s">
        <v>2279</v>
      </c>
      <c r="AX116">
        <f t="shared" si="6"/>
        <v>10</v>
      </c>
      <c r="AY116" s="31" t="s">
        <v>2736</v>
      </c>
      <c r="BC116" s="3" t="s">
        <v>7010</v>
      </c>
      <c r="BD116" s="3" t="s">
        <v>7010</v>
      </c>
      <c r="BE116" s="3" t="s">
        <v>7015</v>
      </c>
      <c r="BF116" s="3" t="s">
        <v>7010</v>
      </c>
      <c r="BG116" s="3" t="s">
        <v>7010</v>
      </c>
      <c r="BH116" s="3" t="s">
        <v>7010</v>
      </c>
      <c r="BI116" s="3" t="s">
        <v>7010</v>
      </c>
      <c r="BJ116" s="3" t="s">
        <v>7010</v>
      </c>
      <c r="BK116" s="74" t="str">
        <f t="shared" si="7"/>
        <v>Yes</v>
      </c>
    </row>
    <row r="117" spans="6:63">
      <c r="F117" s="55"/>
      <c r="G117">
        <v>116</v>
      </c>
      <c r="H117" s="7" t="s">
        <v>1166</v>
      </c>
      <c r="I117" t="s">
        <v>29</v>
      </c>
      <c r="J117">
        <f>LEN(H117)</f>
        <v>11</v>
      </c>
      <c r="K117" s="49" t="s">
        <v>4124</v>
      </c>
      <c r="O117" s="3" t="s">
        <v>7010</v>
      </c>
      <c r="P117" s="3" t="s">
        <v>7010</v>
      </c>
      <c r="Q117" s="3" t="s">
        <v>7010</v>
      </c>
      <c r="R117" s="3" t="s">
        <v>7010</v>
      </c>
      <c r="S117" s="3" t="s">
        <v>7010</v>
      </c>
      <c r="T117" s="3" t="s">
        <v>7010</v>
      </c>
      <c r="U117" s="3" t="s">
        <v>7010</v>
      </c>
      <c r="V117" s="3" t="s">
        <v>7010</v>
      </c>
      <c r="W117" s="74" t="str">
        <f t="shared" si="5"/>
        <v>No</v>
      </c>
      <c r="Z117">
        <v>116</v>
      </c>
      <c r="AA117" s="55" t="s">
        <v>744</v>
      </c>
      <c r="AB117" t="s">
        <v>643</v>
      </c>
      <c r="AC117">
        <f t="shared" si="4"/>
        <v>9</v>
      </c>
      <c r="AD117" s="30" t="s">
        <v>2738</v>
      </c>
      <c r="AF117" t="s">
        <v>7532</v>
      </c>
      <c r="AH117" s="3" t="s">
        <v>7015</v>
      </c>
      <c r="AI117" s="3" t="s">
        <v>7010</v>
      </c>
      <c r="AJ117" s="3" t="s">
        <v>7010</v>
      </c>
      <c r="AK117" s="3" t="s">
        <v>7015</v>
      </c>
      <c r="AL117" s="3" t="s">
        <v>7010</v>
      </c>
      <c r="AM117" s="3" t="s">
        <v>7010</v>
      </c>
      <c r="AN117" s="3" t="s">
        <v>7010</v>
      </c>
      <c r="AO117" s="3" t="s">
        <v>7010</v>
      </c>
      <c r="AP117" s="74" t="s">
        <v>7015</v>
      </c>
      <c r="AU117">
        <v>116</v>
      </c>
      <c r="AV117" t="s">
        <v>2739</v>
      </c>
      <c r="AW117" t="s">
        <v>2279</v>
      </c>
      <c r="AX117">
        <f t="shared" si="6"/>
        <v>9</v>
      </c>
      <c r="AY117" s="30" t="s">
        <v>2740</v>
      </c>
      <c r="BC117" s="3" t="s">
        <v>7010</v>
      </c>
      <c r="BD117" s="3" t="s">
        <v>7010</v>
      </c>
      <c r="BE117" s="3" t="s">
        <v>7010</v>
      </c>
      <c r="BF117" s="3" t="s">
        <v>7010</v>
      </c>
      <c r="BG117" s="3" t="s">
        <v>7010</v>
      </c>
      <c r="BH117" s="3" t="s">
        <v>7010</v>
      </c>
      <c r="BI117" s="3" t="s">
        <v>7010</v>
      </c>
      <c r="BJ117" s="3" t="s">
        <v>7010</v>
      </c>
      <c r="BK117" s="74" t="str">
        <f t="shared" si="7"/>
        <v>No</v>
      </c>
    </row>
    <row r="118" spans="6:63">
      <c r="F118" s="55"/>
      <c r="G118">
        <v>117</v>
      </c>
      <c r="H118" s="7" t="s">
        <v>996</v>
      </c>
      <c r="I118" t="s">
        <v>29</v>
      </c>
      <c r="J118">
        <f>LEN(H118)</f>
        <v>12</v>
      </c>
      <c r="K118" s="49" t="s">
        <v>3684</v>
      </c>
      <c r="O118" s="3" t="s">
        <v>7010</v>
      </c>
      <c r="P118" s="3" t="s">
        <v>7010</v>
      </c>
      <c r="Q118" s="3" t="s">
        <v>7010</v>
      </c>
      <c r="R118" s="3" t="s">
        <v>7010</v>
      </c>
      <c r="S118" s="3" t="s">
        <v>7010</v>
      </c>
      <c r="T118" s="3" t="s">
        <v>7010</v>
      </c>
      <c r="U118" s="3" t="s">
        <v>7010</v>
      </c>
      <c r="V118" s="3" t="s">
        <v>7010</v>
      </c>
      <c r="W118" s="74" t="str">
        <f t="shared" si="5"/>
        <v>No</v>
      </c>
      <c r="Z118">
        <v>117</v>
      </c>
      <c r="AA118" s="55" t="s">
        <v>745</v>
      </c>
      <c r="AB118" t="s">
        <v>643</v>
      </c>
      <c r="AC118">
        <f t="shared" si="4"/>
        <v>7</v>
      </c>
      <c r="AD118" s="30" t="s">
        <v>2742</v>
      </c>
      <c r="AF118" t="s">
        <v>7533</v>
      </c>
      <c r="AH118" s="3" t="s">
        <v>7015</v>
      </c>
      <c r="AI118" s="3" t="s">
        <v>7010</v>
      </c>
      <c r="AJ118" s="3" t="s">
        <v>7010</v>
      </c>
      <c r="AK118" s="3" t="s">
        <v>7015</v>
      </c>
      <c r="AL118" s="3" t="s">
        <v>7010</v>
      </c>
      <c r="AM118" s="3" t="s">
        <v>7010</v>
      </c>
      <c r="AN118" s="3" t="s">
        <v>7010</v>
      </c>
      <c r="AO118" s="3" t="s">
        <v>7010</v>
      </c>
      <c r="AP118" s="74" t="s">
        <v>7015</v>
      </c>
      <c r="AU118">
        <v>117</v>
      </c>
      <c r="AV118" t="s">
        <v>2743</v>
      </c>
      <c r="AW118" t="s">
        <v>2279</v>
      </c>
      <c r="AX118">
        <f t="shared" si="6"/>
        <v>10</v>
      </c>
      <c r="AY118" s="30" t="s">
        <v>2744</v>
      </c>
      <c r="BC118" s="3" t="s">
        <v>7010</v>
      </c>
      <c r="BD118" s="3" t="s">
        <v>7010</v>
      </c>
      <c r="BE118" s="3" t="s">
        <v>7015</v>
      </c>
      <c r="BF118" s="3" t="s">
        <v>7010</v>
      </c>
      <c r="BG118" s="3" t="s">
        <v>7010</v>
      </c>
      <c r="BH118" s="3" t="s">
        <v>7010</v>
      </c>
      <c r="BI118" s="3" t="s">
        <v>7010</v>
      </c>
      <c r="BJ118" s="3" t="s">
        <v>7010</v>
      </c>
      <c r="BK118" s="74" t="str">
        <f t="shared" si="7"/>
        <v>Yes</v>
      </c>
    </row>
    <row r="119" spans="6:63">
      <c r="F119" s="55"/>
      <c r="G119">
        <v>118</v>
      </c>
      <c r="H119" s="7" t="s">
        <v>1786</v>
      </c>
      <c r="I119" t="s">
        <v>29</v>
      </c>
      <c r="J119">
        <f>LEN(H119)</f>
        <v>14</v>
      </c>
      <c r="K119" s="49" t="s">
        <v>5702</v>
      </c>
      <c r="O119" s="3" t="s">
        <v>7010</v>
      </c>
      <c r="P119" s="3" t="s">
        <v>7010</v>
      </c>
      <c r="Q119" s="3" t="s">
        <v>7010</v>
      </c>
      <c r="R119" s="3" t="s">
        <v>7010</v>
      </c>
      <c r="S119" s="3" t="s">
        <v>7010</v>
      </c>
      <c r="T119" s="3" t="s">
        <v>7010</v>
      </c>
      <c r="U119" s="3" t="s">
        <v>7010</v>
      </c>
      <c r="V119" s="3" t="s">
        <v>7010</v>
      </c>
      <c r="W119" s="74" t="str">
        <f t="shared" si="5"/>
        <v>No</v>
      </c>
      <c r="Z119">
        <v>118</v>
      </c>
      <c r="AA119" s="55" t="s">
        <v>746</v>
      </c>
      <c r="AB119" t="s">
        <v>643</v>
      </c>
      <c r="AC119">
        <f t="shared" si="4"/>
        <v>9</v>
      </c>
      <c r="AD119" s="30" t="s">
        <v>2746</v>
      </c>
      <c r="AF119" t="s">
        <v>7534</v>
      </c>
      <c r="AH119" s="3" t="s">
        <v>7015</v>
      </c>
      <c r="AI119" s="3" t="s">
        <v>7010</v>
      </c>
      <c r="AJ119" s="3" t="s">
        <v>7010</v>
      </c>
      <c r="AK119" s="3" t="s">
        <v>7015</v>
      </c>
      <c r="AL119" s="3" t="s">
        <v>7010</v>
      </c>
      <c r="AM119" s="3" t="s">
        <v>7010</v>
      </c>
      <c r="AN119" s="3" t="s">
        <v>7010</v>
      </c>
      <c r="AO119" s="3" t="s">
        <v>7010</v>
      </c>
      <c r="AP119" s="74" t="s">
        <v>7015</v>
      </c>
      <c r="AU119">
        <v>118</v>
      </c>
      <c r="AV119" t="s">
        <v>2747</v>
      </c>
      <c r="AW119" t="s">
        <v>2279</v>
      </c>
      <c r="AX119">
        <f t="shared" si="6"/>
        <v>8</v>
      </c>
      <c r="AY119" s="30" t="s">
        <v>2748</v>
      </c>
      <c r="BC119" s="3" t="s">
        <v>7010</v>
      </c>
      <c r="BD119" s="3" t="s">
        <v>7010</v>
      </c>
      <c r="BE119" s="3" t="s">
        <v>7010</v>
      </c>
      <c r="BF119" s="3" t="s">
        <v>7010</v>
      </c>
      <c r="BG119" s="3" t="s">
        <v>7010</v>
      </c>
      <c r="BH119" s="3" t="s">
        <v>7010</v>
      </c>
      <c r="BI119" s="3" t="s">
        <v>7010</v>
      </c>
      <c r="BJ119" s="3" t="s">
        <v>7010</v>
      </c>
      <c r="BK119" s="74" t="str">
        <f t="shared" si="7"/>
        <v>No</v>
      </c>
    </row>
    <row r="120" spans="6:63">
      <c r="F120" s="55"/>
      <c r="G120">
        <v>119</v>
      </c>
      <c r="H120" s="7" t="s">
        <v>1128</v>
      </c>
      <c r="I120" t="s">
        <v>29</v>
      </c>
      <c r="J120">
        <f>LEN(H120)</f>
        <v>14</v>
      </c>
      <c r="K120" s="49" t="s">
        <v>4032</v>
      </c>
      <c r="O120" s="3" t="s">
        <v>7010</v>
      </c>
      <c r="P120" s="3" t="s">
        <v>7010</v>
      </c>
      <c r="Q120" s="3" t="s">
        <v>7010</v>
      </c>
      <c r="R120" s="3" t="s">
        <v>7010</v>
      </c>
      <c r="S120" s="3" t="s">
        <v>7010</v>
      </c>
      <c r="T120" s="3" t="s">
        <v>7010</v>
      </c>
      <c r="U120" s="3" t="s">
        <v>7010</v>
      </c>
      <c r="V120" s="3" t="s">
        <v>7010</v>
      </c>
      <c r="W120" s="74" t="str">
        <f t="shared" si="5"/>
        <v>No</v>
      </c>
      <c r="Z120">
        <v>119</v>
      </c>
      <c r="AA120" s="55">
        <v>121212</v>
      </c>
      <c r="AB120" t="s">
        <v>643</v>
      </c>
      <c r="AC120">
        <f t="shared" si="4"/>
        <v>6</v>
      </c>
      <c r="AD120" s="31" t="s">
        <v>2750</v>
      </c>
      <c r="AF120" t="s">
        <v>7535</v>
      </c>
      <c r="AH120" s="3" t="s">
        <v>7015</v>
      </c>
      <c r="AI120" s="3" t="s">
        <v>7010</v>
      </c>
      <c r="AJ120" s="3" t="s">
        <v>7010</v>
      </c>
      <c r="AK120" s="3" t="s">
        <v>7015</v>
      </c>
      <c r="AL120" s="3" t="s">
        <v>7010</v>
      </c>
      <c r="AM120" s="3" t="s">
        <v>7010</v>
      </c>
      <c r="AN120" s="3" t="s">
        <v>7010</v>
      </c>
      <c r="AO120" s="3" t="s">
        <v>7010</v>
      </c>
      <c r="AP120" s="74" t="s">
        <v>7015</v>
      </c>
      <c r="AU120">
        <v>119</v>
      </c>
      <c r="AV120" t="s">
        <v>2751</v>
      </c>
      <c r="AW120" t="s">
        <v>2279</v>
      </c>
      <c r="AX120">
        <f t="shared" si="6"/>
        <v>10</v>
      </c>
      <c r="AY120" s="30" t="s">
        <v>2752</v>
      </c>
      <c r="BC120" s="3" t="s">
        <v>7010</v>
      </c>
      <c r="BD120" s="3" t="s">
        <v>7010</v>
      </c>
      <c r="BE120" s="3" t="s">
        <v>7010</v>
      </c>
      <c r="BF120" s="3" t="s">
        <v>7010</v>
      </c>
      <c r="BG120" s="3" t="s">
        <v>7010</v>
      </c>
      <c r="BH120" s="3" t="s">
        <v>7010</v>
      </c>
      <c r="BI120" s="3" t="s">
        <v>7010</v>
      </c>
      <c r="BJ120" s="3" t="s">
        <v>7010</v>
      </c>
      <c r="BK120" s="74" t="str">
        <f t="shared" si="7"/>
        <v>No</v>
      </c>
    </row>
    <row r="121" spans="6:63">
      <c r="F121" s="55"/>
      <c r="G121">
        <v>120</v>
      </c>
      <c r="H121" s="7" t="s">
        <v>1836</v>
      </c>
      <c r="I121" t="s">
        <v>29</v>
      </c>
      <c r="J121">
        <f>LEN(H121)</f>
        <v>12</v>
      </c>
      <c r="K121" s="49" t="s">
        <v>5884</v>
      </c>
      <c r="O121" s="3" t="s">
        <v>7010</v>
      </c>
      <c r="P121" s="3" t="s">
        <v>7010</v>
      </c>
      <c r="Q121" s="3" t="s">
        <v>7010</v>
      </c>
      <c r="R121" s="3" t="s">
        <v>7010</v>
      </c>
      <c r="S121" s="3" t="s">
        <v>7010</v>
      </c>
      <c r="T121" s="3" t="s">
        <v>7010</v>
      </c>
      <c r="U121" s="3" t="s">
        <v>7010</v>
      </c>
      <c r="V121" s="3" t="s">
        <v>7010</v>
      </c>
      <c r="W121" s="74" t="str">
        <f t="shared" si="5"/>
        <v>No</v>
      </c>
      <c r="Z121">
        <v>120</v>
      </c>
      <c r="AA121" s="55" t="s">
        <v>747</v>
      </c>
      <c r="AB121" t="s">
        <v>643</v>
      </c>
      <c r="AC121">
        <f t="shared" si="4"/>
        <v>6</v>
      </c>
      <c r="AD121" s="30" t="s">
        <v>2754</v>
      </c>
      <c r="AF121" t="s">
        <v>7536</v>
      </c>
      <c r="AH121" s="3" t="s">
        <v>7015</v>
      </c>
      <c r="AI121" s="3" t="s">
        <v>7010</v>
      </c>
      <c r="AJ121" s="3" t="s">
        <v>7010</v>
      </c>
      <c r="AK121" s="3" t="s">
        <v>7015</v>
      </c>
      <c r="AL121" s="3" t="s">
        <v>7010</v>
      </c>
      <c r="AM121" s="3" t="s">
        <v>7010</v>
      </c>
      <c r="AN121" s="3" t="s">
        <v>7010</v>
      </c>
      <c r="AO121" s="3" t="s">
        <v>7010</v>
      </c>
      <c r="AP121" s="74" t="s">
        <v>7015</v>
      </c>
      <c r="AU121">
        <v>120</v>
      </c>
      <c r="AV121" t="s">
        <v>2755</v>
      </c>
      <c r="AW121" t="s">
        <v>2279</v>
      </c>
      <c r="AX121">
        <f t="shared" si="6"/>
        <v>13</v>
      </c>
      <c r="AY121" s="30" t="s">
        <v>2756</v>
      </c>
      <c r="BC121" s="3" t="s">
        <v>7010</v>
      </c>
      <c r="BD121" s="3" t="s">
        <v>7010</v>
      </c>
      <c r="BE121" s="3" t="s">
        <v>7010</v>
      </c>
      <c r="BF121" s="3" t="s">
        <v>7010</v>
      </c>
      <c r="BG121" s="3" t="s">
        <v>7010</v>
      </c>
      <c r="BH121" s="3" t="s">
        <v>7010</v>
      </c>
      <c r="BI121" s="3" t="s">
        <v>7010</v>
      </c>
      <c r="BJ121" s="3" t="s">
        <v>7010</v>
      </c>
      <c r="BK121" s="74" t="str">
        <f t="shared" si="7"/>
        <v>No</v>
      </c>
    </row>
    <row r="122" spans="6:63">
      <c r="F122" s="55"/>
      <c r="G122">
        <v>121</v>
      </c>
      <c r="H122" s="7" t="s">
        <v>1750</v>
      </c>
      <c r="I122" t="s">
        <v>29</v>
      </c>
      <c r="J122">
        <f>LEN(H122)</f>
        <v>12</v>
      </c>
      <c r="K122" s="49" t="s">
        <v>5604</v>
      </c>
      <c r="O122" s="3" t="s">
        <v>7010</v>
      </c>
      <c r="P122" s="3" t="s">
        <v>7010</v>
      </c>
      <c r="Q122" s="3" t="s">
        <v>7010</v>
      </c>
      <c r="R122" s="3" t="s">
        <v>7010</v>
      </c>
      <c r="S122" s="3" t="s">
        <v>7010</v>
      </c>
      <c r="T122" s="3" t="s">
        <v>7010</v>
      </c>
      <c r="U122" s="3" t="s">
        <v>7010</v>
      </c>
      <c r="V122" s="3" t="s">
        <v>7010</v>
      </c>
      <c r="W122" s="74" t="str">
        <f t="shared" si="5"/>
        <v>No</v>
      </c>
      <c r="Z122">
        <v>121</v>
      </c>
      <c r="AA122" s="55" t="s">
        <v>748</v>
      </c>
      <c r="AB122" t="s">
        <v>643</v>
      </c>
      <c r="AC122">
        <f t="shared" si="4"/>
        <v>7</v>
      </c>
      <c r="AD122" s="30" t="s">
        <v>2758</v>
      </c>
      <c r="AF122" t="s">
        <v>7537</v>
      </c>
      <c r="AH122" s="3" t="s">
        <v>7015</v>
      </c>
      <c r="AI122" s="3" t="s">
        <v>7010</v>
      </c>
      <c r="AJ122" s="3" t="s">
        <v>7010</v>
      </c>
      <c r="AK122" s="3" t="s">
        <v>7015</v>
      </c>
      <c r="AL122" s="3" t="s">
        <v>7010</v>
      </c>
      <c r="AM122" s="3" t="s">
        <v>7010</v>
      </c>
      <c r="AN122" s="3" t="s">
        <v>7010</v>
      </c>
      <c r="AO122" s="3" t="s">
        <v>7010</v>
      </c>
      <c r="AP122" s="74" t="s">
        <v>7015</v>
      </c>
      <c r="AU122">
        <v>121</v>
      </c>
      <c r="AV122" t="s">
        <v>2759</v>
      </c>
      <c r="AW122" t="s">
        <v>2279</v>
      </c>
      <c r="AX122">
        <f t="shared" si="6"/>
        <v>10</v>
      </c>
      <c r="AY122" s="30" t="s">
        <v>2760</v>
      </c>
      <c r="BC122" s="3" t="s">
        <v>7010</v>
      </c>
      <c r="BD122" s="3" t="s">
        <v>7010</v>
      </c>
      <c r="BE122" s="3" t="s">
        <v>7010</v>
      </c>
      <c r="BF122" s="3" t="s">
        <v>7010</v>
      </c>
      <c r="BG122" s="3" t="s">
        <v>7010</v>
      </c>
      <c r="BH122" s="3" t="s">
        <v>7010</v>
      </c>
      <c r="BI122" s="3" t="s">
        <v>7010</v>
      </c>
      <c r="BJ122" s="3" t="s">
        <v>7010</v>
      </c>
      <c r="BK122" s="74" t="str">
        <f t="shared" si="7"/>
        <v>No</v>
      </c>
    </row>
    <row r="123" spans="6:63">
      <c r="F123" s="55"/>
      <c r="G123">
        <v>122</v>
      </c>
      <c r="H123" s="7" t="s">
        <v>1720</v>
      </c>
      <c r="I123" t="s">
        <v>29</v>
      </c>
      <c r="J123">
        <f>LEN(H123)</f>
        <v>17</v>
      </c>
      <c r="K123" s="49" t="s">
        <v>5529</v>
      </c>
      <c r="O123" s="3" t="s">
        <v>7010</v>
      </c>
      <c r="P123" s="3" t="s">
        <v>7010</v>
      </c>
      <c r="Q123" s="3" t="s">
        <v>7010</v>
      </c>
      <c r="R123" s="3" t="s">
        <v>7010</v>
      </c>
      <c r="S123" s="3" t="s">
        <v>7010</v>
      </c>
      <c r="T123" s="3" t="s">
        <v>7010</v>
      </c>
      <c r="U123" s="3" t="s">
        <v>7010</v>
      </c>
      <c r="V123" s="3" t="s">
        <v>7010</v>
      </c>
      <c r="W123" s="74" t="str">
        <f t="shared" si="5"/>
        <v>No</v>
      </c>
      <c r="Z123">
        <v>122</v>
      </c>
      <c r="AA123" s="55" t="s">
        <v>749</v>
      </c>
      <c r="AB123" t="s">
        <v>643</v>
      </c>
      <c r="AC123">
        <f t="shared" si="4"/>
        <v>6</v>
      </c>
      <c r="AD123" s="30" t="s">
        <v>2762</v>
      </c>
      <c r="AF123" t="s">
        <v>7538</v>
      </c>
      <c r="AH123" s="3" t="s">
        <v>7015</v>
      </c>
      <c r="AI123" s="3" t="s">
        <v>7010</v>
      </c>
      <c r="AJ123" s="3" t="s">
        <v>7010</v>
      </c>
      <c r="AK123" s="3" t="s">
        <v>7015</v>
      </c>
      <c r="AL123" s="3" t="s">
        <v>7010</v>
      </c>
      <c r="AM123" s="3" t="s">
        <v>7010</v>
      </c>
      <c r="AN123" s="3" t="s">
        <v>7010</v>
      </c>
      <c r="AO123" s="3" t="s">
        <v>7010</v>
      </c>
      <c r="AP123" s="74" t="s">
        <v>7015</v>
      </c>
      <c r="AU123">
        <v>122</v>
      </c>
      <c r="AV123" t="s">
        <v>2763</v>
      </c>
      <c r="AW123" t="s">
        <v>2279</v>
      </c>
      <c r="AX123">
        <f t="shared" si="6"/>
        <v>10</v>
      </c>
      <c r="AY123" s="30" t="s">
        <v>2764</v>
      </c>
      <c r="BC123" s="3" t="s">
        <v>7010</v>
      </c>
      <c r="BD123" s="3" t="s">
        <v>7010</v>
      </c>
      <c r="BE123" s="3" t="s">
        <v>7010</v>
      </c>
      <c r="BF123" s="3" t="s">
        <v>7010</v>
      </c>
      <c r="BG123" s="3" t="s">
        <v>7010</v>
      </c>
      <c r="BH123" s="3" t="s">
        <v>7010</v>
      </c>
      <c r="BI123" s="3" t="s">
        <v>7010</v>
      </c>
      <c r="BJ123" s="3" t="s">
        <v>7010</v>
      </c>
      <c r="BK123" s="74" t="str">
        <f t="shared" si="7"/>
        <v>No</v>
      </c>
    </row>
    <row r="124" spans="6:63">
      <c r="F124" s="55"/>
      <c r="G124">
        <v>123</v>
      </c>
      <c r="H124" s="7" t="s">
        <v>960</v>
      </c>
      <c r="I124" t="s">
        <v>29</v>
      </c>
      <c r="J124">
        <f>LEN(H124)</f>
        <v>11</v>
      </c>
      <c r="K124" s="49" t="s">
        <v>3595</v>
      </c>
      <c r="O124" s="3" t="s">
        <v>7010</v>
      </c>
      <c r="P124" s="3" t="s">
        <v>7010</v>
      </c>
      <c r="Q124" s="3" t="s">
        <v>7010</v>
      </c>
      <c r="R124" s="3" t="s">
        <v>7010</v>
      </c>
      <c r="S124" s="3" t="s">
        <v>7010</v>
      </c>
      <c r="T124" s="3" t="s">
        <v>7010</v>
      </c>
      <c r="U124" s="3" t="s">
        <v>7010</v>
      </c>
      <c r="V124" s="3" t="s">
        <v>7010</v>
      </c>
      <c r="W124" s="74" t="str">
        <f t="shared" si="5"/>
        <v>No</v>
      </c>
      <c r="Z124">
        <v>123</v>
      </c>
      <c r="AA124" s="55" t="s">
        <v>750</v>
      </c>
      <c r="AB124" t="s">
        <v>643</v>
      </c>
      <c r="AC124">
        <f t="shared" si="4"/>
        <v>6</v>
      </c>
      <c r="AD124" s="30" t="s">
        <v>2766</v>
      </c>
      <c r="AF124" t="s">
        <v>7539</v>
      </c>
      <c r="AH124" s="3" t="s">
        <v>7015</v>
      </c>
      <c r="AI124" s="3" t="s">
        <v>7010</v>
      </c>
      <c r="AJ124" s="3" t="s">
        <v>7010</v>
      </c>
      <c r="AK124" s="3" t="s">
        <v>7015</v>
      </c>
      <c r="AL124" s="3" t="s">
        <v>7010</v>
      </c>
      <c r="AM124" s="3" t="s">
        <v>7010</v>
      </c>
      <c r="AN124" s="3" t="s">
        <v>7010</v>
      </c>
      <c r="AO124" s="3" t="s">
        <v>7010</v>
      </c>
      <c r="AP124" s="74" t="s">
        <v>7015</v>
      </c>
      <c r="AU124">
        <v>123</v>
      </c>
      <c r="AV124" t="s">
        <v>2767</v>
      </c>
      <c r="AW124" t="s">
        <v>2279</v>
      </c>
      <c r="AX124">
        <f t="shared" si="6"/>
        <v>10</v>
      </c>
      <c r="AY124" s="30" t="s">
        <v>2768</v>
      </c>
      <c r="BC124" s="3" t="s">
        <v>7010</v>
      </c>
      <c r="BD124" s="3" t="s">
        <v>7010</v>
      </c>
      <c r="BE124" s="3" t="s">
        <v>7010</v>
      </c>
      <c r="BF124" s="3" t="s">
        <v>7010</v>
      </c>
      <c r="BG124" s="3" t="s">
        <v>7010</v>
      </c>
      <c r="BH124" s="3" t="s">
        <v>7010</v>
      </c>
      <c r="BI124" s="3" t="s">
        <v>7010</v>
      </c>
      <c r="BJ124" s="3" t="s">
        <v>7010</v>
      </c>
      <c r="BK124" s="74" t="str">
        <f t="shared" si="7"/>
        <v>No</v>
      </c>
    </row>
    <row r="125" spans="6:63">
      <c r="F125" s="55"/>
      <c r="G125">
        <v>124</v>
      </c>
      <c r="H125" s="7" t="s">
        <v>1190</v>
      </c>
      <c r="I125" t="s">
        <v>29</v>
      </c>
      <c r="J125">
        <f>LEN(H125)</f>
        <v>12</v>
      </c>
      <c r="K125" s="49" t="s">
        <v>4190</v>
      </c>
      <c r="O125" s="3" t="s">
        <v>7010</v>
      </c>
      <c r="P125" s="3" t="s">
        <v>7010</v>
      </c>
      <c r="Q125" s="3" t="s">
        <v>7010</v>
      </c>
      <c r="R125" s="3" t="s">
        <v>7010</v>
      </c>
      <c r="S125" s="3" t="s">
        <v>7010</v>
      </c>
      <c r="T125" s="3" t="s">
        <v>7010</v>
      </c>
      <c r="U125" s="3" t="s">
        <v>7010</v>
      </c>
      <c r="V125" s="3" t="s">
        <v>7010</v>
      </c>
      <c r="W125" s="74" t="str">
        <f t="shared" si="5"/>
        <v>No</v>
      </c>
      <c r="Z125">
        <v>124</v>
      </c>
      <c r="AA125" s="55" t="s">
        <v>751</v>
      </c>
      <c r="AB125" t="s">
        <v>643</v>
      </c>
      <c r="AC125">
        <f t="shared" si="4"/>
        <v>7</v>
      </c>
      <c r="AD125" s="30" t="s">
        <v>2770</v>
      </c>
      <c r="AF125" t="s">
        <v>7540</v>
      </c>
      <c r="AH125" s="3" t="s">
        <v>7015</v>
      </c>
      <c r="AI125" s="3" t="s">
        <v>7010</v>
      </c>
      <c r="AJ125" s="3" t="s">
        <v>7010</v>
      </c>
      <c r="AK125" s="3" t="s">
        <v>7015</v>
      </c>
      <c r="AL125" s="3" t="s">
        <v>7010</v>
      </c>
      <c r="AM125" s="3" t="s">
        <v>7010</v>
      </c>
      <c r="AN125" s="3" t="s">
        <v>7010</v>
      </c>
      <c r="AO125" s="3" t="s">
        <v>7010</v>
      </c>
      <c r="AP125" s="74" t="s">
        <v>7015</v>
      </c>
      <c r="AU125">
        <v>124</v>
      </c>
      <c r="AV125" t="s">
        <v>2771</v>
      </c>
      <c r="AW125" t="s">
        <v>2279</v>
      </c>
      <c r="AX125">
        <f t="shared" si="6"/>
        <v>15</v>
      </c>
      <c r="AY125" s="30" t="s">
        <v>2772</v>
      </c>
      <c r="BC125" s="3" t="s">
        <v>7010</v>
      </c>
      <c r="BD125" s="3" t="s">
        <v>7010</v>
      </c>
      <c r="BE125" s="3" t="s">
        <v>7010</v>
      </c>
      <c r="BF125" s="3" t="s">
        <v>7010</v>
      </c>
      <c r="BG125" s="3" t="s">
        <v>7010</v>
      </c>
      <c r="BH125" s="3" t="s">
        <v>7010</v>
      </c>
      <c r="BI125" s="3" t="s">
        <v>7010</v>
      </c>
      <c r="BJ125" s="3" t="s">
        <v>7010</v>
      </c>
      <c r="BK125" s="74" t="str">
        <f t="shared" si="7"/>
        <v>No</v>
      </c>
    </row>
    <row r="126" spans="6:63">
      <c r="F126" s="55"/>
      <c r="G126">
        <v>125</v>
      </c>
      <c r="H126" s="7" t="s">
        <v>950</v>
      </c>
      <c r="I126" t="s">
        <v>29</v>
      </c>
      <c r="J126">
        <f>LEN(H126)</f>
        <v>13</v>
      </c>
      <c r="K126" s="49" t="s">
        <v>3571</v>
      </c>
      <c r="O126" s="3" t="s">
        <v>7010</v>
      </c>
      <c r="P126" s="3" t="s">
        <v>7010</v>
      </c>
      <c r="Q126" s="3" t="s">
        <v>7010</v>
      </c>
      <c r="R126" s="3" t="s">
        <v>7010</v>
      </c>
      <c r="S126" s="3" t="s">
        <v>7010</v>
      </c>
      <c r="T126" s="3" t="s">
        <v>7010</v>
      </c>
      <c r="U126" s="3" t="s">
        <v>7010</v>
      </c>
      <c r="V126" s="3" t="s">
        <v>7010</v>
      </c>
      <c r="W126" s="74" t="str">
        <f t="shared" si="5"/>
        <v>No</v>
      </c>
      <c r="Z126">
        <v>125</v>
      </c>
      <c r="AA126" s="55">
        <v>112233</v>
      </c>
      <c r="AB126" t="s">
        <v>643</v>
      </c>
      <c r="AC126">
        <f t="shared" si="4"/>
        <v>6</v>
      </c>
      <c r="AD126" s="30" t="s">
        <v>2774</v>
      </c>
      <c r="AF126" t="s">
        <v>7541</v>
      </c>
      <c r="AH126" s="3" t="s">
        <v>7015</v>
      </c>
      <c r="AI126" s="3" t="s">
        <v>7010</v>
      </c>
      <c r="AJ126" s="3" t="s">
        <v>7010</v>
      </c>
      <c r="AK126" s="3" t="s">
        <v>7015</v>
      </c>
      <c r="AL126" s="3" t="s">
        <v>7010</v>
      </c>
      <c r="AM126" s="3" t="s">
        <v>7010</v>
      </c>
      <c r="AN126" s="3" t="s">
        <v>7010</v>
      </c>
      <c r="AO126" s="3" t="s">
        <v>7010</v>
      </c>
      <c r="AP126" s="74" t="s">
        <v>7015</v>
      </c>
      <c r="AU126">
        <v>125</v>
      </c>
      <c r="AV126" t="s">
        <v>2775</v>
      </c>
      <c r="AW126" t="s">
        <v>2279</v>
      </c>
      <c r="AX126">
        <f t="shared" si="6"/>
        <v>8</v>
      </c>
      <c r="AY126" s="30" t="s">
        <v>2776</v>
      </c>
      <c r="BC126" s="3" t="s">
        <v>7010</v>
      </c>
      <c r="BD126" s="3" t="s">
        <v>7010</v>
      </c>
      <c r="BE126" s="3" t="s">
        <v>7015</v>
      </c>
      <c r="BF126" s="3" t="s">
        <v>7010</v>
      </c>
      <c r="BG126" s="3" t="s">
        <v>7010</v>
      </c>
      <c r="BH126" s="3" t="s">
        <v>7010</v>
      </c>
      <c r="BI126" s="3" t="s">
        <v>7010</v>
      </c>
      <c r="BJ126" s="3" t="s">
        <v>7010</v>
      </c>
      <c r="BK126" s="74" t="str">
        <f t="shared" si="7"/>
        <v>Yes</v>
      </c>
    </row>
    <row r="127" spans="6:63">
      <c r="F127" s="55"/>
      <c r="G127">
        <v>126</v>
      </c>
      <c r="H127" s="7" t="s">
        <v>1006</v>
      </c>
      <c r="I127" t="s">
        <v>29</v>
      </c>
      <c r="J127">
        <f>LEN(H127)</f>
        <v>11</v>
      </c>
      <c r="K127" s="49" t="s">
        <v>3709</v>
      </c>
      <c r="O127" s="3" t="s">
        <v>7010</v>
      </c>
      <c r="P127" s="3" t="s">
        <v>7010</v>
      </c>
      <c r="Q127" s="3" t="s">
        <v>7010</v>
      </c>
      <c r="R127" s="3" t="s">
        <v>7010</v>
      </c>
      <c r="S127" s="3" t="s">
        <v>7010</v>
      </c>
      <c r="T127" s="3" t="s">
        <v>7010</v>
      </c>
      <c r="U127" s="3" t="s">
        <v>7010</v>
      </c>
      <c r="V127" s="3" t="s">
        <v>7010</v>
      </c>
      <c r="W127" s="74" t="str">
        <f t="shared" si="5"/>
        <v>No</v>
      </c>
      <c r="Z127">
        <v>126</v>
      </c>
      <c r="AA127" s="55" t="s">
        <v>752</v>
      </c>
      <c r="AB127" t="s">
        <v>643</v>
      </c>
      <c r="AC127">
        <f t="shared" si="4"/>
        <v>9</v>
      </c>
      <c r="AD127" s="30" t="s">
        <v>2778</v>
      </c>
      <c r="AF127" t="s">
        <v>7542</v>
      </c>
      <c r="AH127" s="3" t="s">
        <v>7015</v>
      </c>
      <c r="AI127" s="3" t="s">
        <v>7010</v>
      </c>
      <c r="AJ127" s="3" t="s">
        <v>7010</v>
      </c>
      <c r="AK127" s="3" t="s">
        <v>7015</v>
      </c>
      <c r="AL127" s="3" t="s">
        <v>7010</v>
      </c>
      <c r="AM127" s="3" t="s">
        <v>7010</v>
      </c>
      <c r="AN127" s="3" t="s">
        <v>7010</v>
      </c>
      <c r="AO127" s="3" t="s">
        <v>7010</v>
      </c>
      <c r="AP127" s="74" t="s">
        <v>7015</v>
      </c>
      <c r="AU127">
        <v>126</v>
      </c>
      <c r="AV127" t="s">
        <v>2779</v>
      </c>
      <c r="AW127" t="s">
        <v>2279</v>
      </c>
      <c r="AX127">
        <f t="shared" si="6"/>
        <v>10</v>
      </c>
      <c r="AY127" s="30" t="s">
        <v>2780</v>
      </c>
      <c r="BC127" s="3" t="s">
        <v>7010</v>
      </c>
      <c r="BD127" s="3" t="s">
        <v>7010</v>
      </c>
      <c r="BE127" s="3" t="s">
        <v>7010</v>
      </c>
      <c r="BF127" s="3" t="s">
        <v>7010</v>
      </c>
      <c r="BG127" s="3" t="s">
        <v>7010</v>
      </c>
      <c r="BH127" s="3" t="s">
        <v>7010</v>
      </c>
      <c r="BI127" s="3" t="s">
        <v>7010</v>
      </c>
      <c r="BJ127" s="3" t="s">
        <v>7010</v>
      </c>
      <c r="BK127" s="74" t="str">
        <f t="shared" si="7"/>
        <v>No</v>
      </c>
    </row>
    <row r="128" spans="6:63">
      <c r="F128" s="55"/>
      <c r="G128">
        <v>127</v>
      </c>
      <c r="H128" s="7" t="s">
        <v>976</v>
      </c>
      <c r="I128" t="s">
        <v>29</v>
      </c>
      <c r="J128">
        <f>LEN(H128)</f>
        <v>13</v>
      </c>
      <c r="K128" s="49" t="s">
        <v>3635</v>
      </c>
      <c r="O128" s="3" t="s">
        <v>7010</v>
      </c>
      <c r="P128" s="3" t="s">
        <v>7010</v>
      </c>
      <c r="Q128" s="3" t="s">
        <v>7010</v>
      </c>
      <c r="R128" s="3" t="s">
        <v>7010</v>
      </c>
      <c r="S128" s="3" t="s">
        <v>7010</v>
      </c>
      <c r="T128" s="3" t="s">
        <v>7015</v>
      </c>
      <c r="U128" s="3" t="s">
        <v>7010</v>
      </c>
      <c r="V128" s="3" t="s">
        <v>7010</v>
      </c>
      <c r="W128" s="74" t="str">
        <f t="shared" si="5"/>
        <v>Yes</v>
      </c>
      <c r="Z128">
        <v>127</v>
      </c>
      <c r="AA128" s="55">
        <v>555555</v>
      </c>
      <c r="AB128" t="s">
        <v>643</v>
      </c>
      <c r="AC128">
        <f t="shared" si="4"/>
        <v>6</v>
      </c>
      <c r="AD128" s="30" t="s">
        <v>2782</v>
      </c>
      <c r="AF128" s="54" t="s">
        <v>7543</v>
      </c>
      <c r="AH128" s="3" t="s">
        <v>7015</v>
      </c>
      <c r="AI128" s="3" t="s">
        <v>7010</v>
      </c>
      <c r="AJ128" s="3" t="s">
        <v>7010</v>
      </c>
      <c r="AK128" s="3" t="s">
        <v>7015</v>
      </c>
      <c r="AL128" s="3" t="s">
        <v>7010</v>
      </c>
      <c r="AM128" s="3" t="s">
        <v>7010</v>
      </c>
      <c r="AN128" s="3" t="s">
        <v>7010</v>
      </c>
      <c r="AO128" s="3" t="s">
        <v>7010</v>
      </c>
      <c r="AP128" s="74" t="s">
        <v>7015</v>
      </c>
      <c r="AU128">
        <v>127</v>
      </c>
      <c r="AV128" t="s">
        <v>2783</v>
      </c>
      <c r="AW128" t="s">
        <v>2279</v>
      </c>
      <c r="AX128">
        <f t="shared" si="6"/>
        <v>8</v>
      </c>
      <c r="AY128" s="30" t="s">
        <v>2784</v>
      </c>
      <c r="BC128" s="3" t="s">
        <v>7010</v>
      </c>
      <c r="BD128" s="3" t="s">
        <v>7010</v>
      </c>
      <c r="BE128" s="3" t="s">
        <v>7010</v>
      </c>
      <c r="BF128" s="3" t="s">
        <v>7010</v>
      </c>
      <c r="BG128" s="3" t="s">
        <v>7010</v>
      </c>
      <c r="BH128" s="3" t="s">
        <v>7010</v>
      </c>
      <c r="BI128" s="3" t="s">
        <v>7010</v>
      </c>
      <c r="BJ128" s="3" t="s">
        <v>7010</v>
      </c>
      <c r="BK128" s="74" t="str">
        <f t="shared" si="7"/>
        <v>No</v>
      </c>
    </row>
    <row r="129" spans="6:63">
      <c r="F129" s="55"/>
      <c r="G129">
        <v>128</v>
      </c>
      <c r="H129" s="7" t="s">
        <v>1182</v>
      </c>
      <c r="I129" t="s">
        <v>29</v>
      </c>
      <c r="J129">
        <f>LEN(H129)</f>
        <v>12</v>
      </c>
      <c r="K129" s="49" t="s">
        <v>4166</v>
      </c>
      <c r="O129" s="3" t="s">
        <v>7010</v>
      </c>
      <c r="P129" s="3" t="s">
        <v>7010</v>
      </c>
      <c r="Q129" s="3" t="s">
        <v>7010</v>
      </c>
      <c r="R129" s="3" t="s">
        <v>7010</v>
      </c>
      <c r="S129" s="3" t="s">
        <v>7010</v>
      </c>
      <c r="T129" s="3" t="s">
        <v>7015</v>
      </c>
      <c r="U129" s="3" t="s">
        <v>7010</v>
      </c>
      <c r="V129" s="3" t="s">
        <v>7010</v>
      </c>
      <c r="W129" s="74" t="str">
        <f t="shared" si="5"/>
        <v>Yes</v>
      </c>
      <c r="Z129">
        <v>128</v>
      </c>
      <c r="AA129" s="55" t="s">
        <v>753</v>
      </c>
      <c r="AB129" t="s">
        <v>643</v>
      </c>
      <c r="AC129">
        <f t="shared" si="4"/>
        <v>7</v>
      </c>
      <c r="AD129" s="30" t="s">
        <v>2786</v>
      </c>
      <c r="AF129" t="s">
        <v>7544</v>
      </c>
      <c r="AH129" s="3" t="s">
        <v>7015</v>
      </c>
      <c r="AI129" s="3" t="s">
        <v>7010</v>
      </c>
      <c r="AJ129" s="3" t="s">
        <v>7010</v>
      </c>
      <c r="AK129" s="3" t="s">
        <v>7015</v>
      </c>
      <c r="AL129" s="3" t="s">
        <v>7010</v>
      </c>
      <c r="AM129" s="3" t="s">
        <v>7010</v>
      </c>
      <c r="AN129" s="3" t="s">
        <v>7010</v>
      </c>
      <c r="AO129" s="3" t="s">
        <v>7010</v>
      </c>
      <c r="AP129" s="74" t="s">
        <v>7015</v>
      </c>
      <c r="AU129">
        <v>128</v>
      </c>
      <c r="AV129" t="s">
        <v>2787</v>
      </c>
      <c r="AW129" t="s">
        <v>2279</v>
      </c>
      <c r="AX129">
        <f t="shared" si="6"/>
        <v>11</v>
      </c>
      <c r="AY129" s="30" t="s">
        <v>2788</v>
      </c>
      <c r="BC129" s="3" t="s">
        <v>7010</v>
      </c>
      <c r="BD129" s="3" t="s">
        <v>7010</v>
      </c>
      <c r="BE129" s="3" t="s">
        <v>7010</v>
      </c>
      <c r="BF129" s="3" t="s">
        <v>7010</v>
      </c>
      <c r="BG129" s="3" t="s">
        <v>7010</v>
      </c>
      <c r="BH129" s="3" t="s">
        <v>7010</v>
      </c>
      <c r="BI129" s="3" t="s">
        <v>7010</v>
      </c>
      <c r="BJ129" s="3" t="s">
        <v>7010</v>
      </c>
      <c r="BK129" s="74" t="str">
        <f t="shared" si="7"/>
        <v>No</v>
      </c>
    </row>
    <row r="130" spans="6:63">
      <c r="F130" s="55"/>
      <c r="G130">
        <v>129</v>
      </c>
      <c r="H130" s="7" t="s">
        <v>930</v>
      </c>
      <c r="I130" t="s">
        <v>29</v>
      </c>
      <c r="J130">
        <f>LEN(H130)</f>
        <v>11</v>
      </c>
      <c r="K130" s="51" t="s">
        <v>3521</v>
      </c>
      <c r="O130" s="3" t="s">
        <v>7010</v>
      </c>
      <c r="P130" s="3" t="s">
        <v>7010</v>
      </c>
      <c r="Q130" s="3" t="s">
        <v>7010</v>
      </c>
      <c r="R130" s="3" t="s">
        <v>7010</v>
      </c>
      <c r="S130" s="3" t="s">
        <v>7010</v>
      </c>
      <c r="T130" s="3" t="s">
        <v>7010</v>
      </c>
      <c r="U130" s="3" t="s">
        <v>7010</v>
      </c>
      <c r="V130" s="3" t="s">
        <v>7010</v>
      </c>
      <c r="W130" s="74" t="str">
        <f t="shared" si="5"/>
        <v>No</v>
      </c>
      <c r="Z130">
        <v>129</v>
      </c>
      <c r="AA130" s="55" t="s">
        <v>754</v>
      </c>
      <c r="AB130" t="s">
        <v>643</v>
      </c>
      <c r="AC130">
        <f t="shared" ref="AC130:AC193" si="8">LEN(AA130)</f>
        <v>8</v>
      </c>
      <c r="AD130" s="30" t="s">
        <v>2790</v>
      </c>
      <c r="AF130" t="s">
        <v>7545</v>
      </c>
      <c r="AH130" s="3" t="s">
        <v>7015</v>
      </c>
      <c r="AI130" s="3" t="s">
        <v>7010</v>
      </c>
      <c r="AJ130" s="3" t="s">
        <v>7010</v>
      </c>
      <c r="AK130" s="3" t="s">
        <v>7015</v>
      </c>
      <c r="AL130" s="3" t="s">
        <v>7010</v>
      </c>
      <c r="AM130" s="3" t="s">
        <v>7010</v>
      </c>
      <c r="AN130" s="3" t="s">
        <v>7010</v>
      </c>
      <c r="AO130" s="3" t="s">
        <v>7010</v>
      </c>
      <c r="AP130" s="74" t="s">
        <v>7015</v>
      </c>
      <c r="AU130">
        <v>129</v>
      </c>
      <c r="AV130" t="s">
        <v>2791</v>
      </c>
      <c r="AW130" t="s">
        <v>2279</v>
      </c>
      <c r="AX130">
        <f t="shared" si="6"/>
        <v>10</v>
      </c>
      <c r="AY130" s="30" t="s">
        <v>2792</v>
      </c>
      <c r="BC130" s="3" t="s">
        <v>7010</v>
      </c>
      <c r="BD130" s="3" t="s">
        <v>7010</v>
      </c>
      <c r="BE130" s="3" t="s">
        <v>7010</v>
      </c>
      <c r="BF130" s="3" t="s">
        <v>7010</v>
      </c>
      <c r="BG130" s="3" t="s">
        <v>7010</v>
      </c>
      <c r="BH130" s="3" t="s">
        <v>7010</v>
      </c>
      <c r="BI130" s="3" t="s">
        <v>7010</v>
      </c>
      <c r="BJ130" s="3" t="s">
        <v>7010</v>
      </c>
      <c r="BK130" s="74" t="str">
        <f t="shared" si="7"/>
        <v>No</v>
      </c>
    </row>
    <row r="131" spans="6:63">
      <c r="F131" s="55"/>
      <c r="G131">
        <v>130</v>
      </c>
      <c r="H131" s="7" t="s">
        <v>1730</v>
      </c>
      <c r="I131" t="s">
        <v>29</v>
      </c>
      <c r="J131">
        <f>LEN(H131)</f>
        <v>16</v>
      </c>
      <c r="K131" s="49" t="s">
        <v>5554</v>
      </c>
      <c r="O131" s="3" t="s">
        <v>7010</v>
      </c>
      <c r="P131" s="3" t="s">
        <v>7010</v>
      </c>
      <c r="Q131" s="3" t="s">
        <v>7010</v>
      </c>
      <c r="R131" s="3" t="s">
        <v>7010</v>
      </c>
      <c r="S131" s="3" t="s">
        <v>7010</v>
      </c>
      <c r="T131" s="3" t="s">
        <v>7010</v>
      </c>
      <c r="U131" s="3" t="s">
        <v>7010</v>
      </c>
      <c r="V131" s="3" t="s">
        <v>7010</v>
      </c>
      <c r="W131" s="74" t="str">
        <f t="shared" ref="W131:W194" si="9">IF(COUNTIF(O131:V131, "Yes") &gt; 0, "Yes", "No")</f>
        <v>No</v>
      </c>
      <c r="Z131">
        <v>130</v>
      </c>
      <c r="AA131" s="55" t="s">
        <v>755</v>
      </c>
      <c r="AB131" t="s">
        <v>643</v>
      </c>
      <c r="AC131">
        <f t="shared" si="8"/>
        <v>6</v>
      </c>
      <c r="AD131" s="30" t="s">
        <v>2794</v>
      </c>
      <c r="AF131" t="s">
        <v>7546</v>
      </c>
      <c r="AH131" s="3" t="s">
        <v>7015</v>
      </c>
      <c r="AI131" s="3" t="s">
        <v>7010</v>
      </c>
      <c r="AJ131" s="3" t="s">
        <v>7010</v>
      </c>
      <c r="AK131" s="3" t="s">
        <v>7015</v>
      </c>
      <c r="AL131" s="3" t="s">
        <v>7010</v>
      </c>
      <c r="AM131" s="3" t="s">
        <v>7010</v>
      </c>
      <c r="AN131" s="3" t="s">
        <v>7010</v>
      </c>
      <c r="AO131" s="3" t="s">
        <v>7010</v>
      </c>
      <c r="AP131" s="74" t="s">
        <v>7015</v>
      </c>
      <c r="AU131">
        <v>130</v>
      </c>
      <c r="AV131" t="s">
        <v>2795</v>
      </c>
      <c r="AW131" t="s">
        <v>2279</v>
      </c>
      <c r="AX131">
        <f t="shared" ref="AX131:AX194" si="10">LEN(AV131)</f>
        <v>8</v>
      </c>
      <c r="AY131" s="30" t="s">
        <v>2796</v>
      </c>
      <c r="BC131" s="3" t="s">
        <v>7010</v>
      </c>
      <c r="BD131" s="3" t="s">
        <v>7010</v>
      </c>
      <c r="BE131" s="3" t="s">
        <v>7010</v>
      </c>
      <c r="BF131" s="3" t="s">
        <v>7010</v>
      </c>
      <c r="BG131" s="3" t="s">
        <v>7010</v>
      </c>
      <c r="BH131" s="3" t="s">
        <v>7010</v>
      </c>
      <c r="BI131" s="3" t="s">
        <v>7010</v>
      </c>
      <c r="BJ131" s="3" t="s">
        <v>7010</v>
      </c>
      <c r="BK131" s="74" t="str">
        <f t="shared" ref="BK131:BK194" si="11">IF(COUNTIF(BC131:BJ131, "Yes") &gt; 0, "Yes", "No")</f>
        <v>No</v>
      </c>
    </row>
    <row r="132" spans="6:63">
      <c r="F132" s="55"/>
      <c r="G132">
        <v>131</v>
      </c>
      <c r="H132" s="7" t="s">
        <v>1848</v>
      </c>
      <c r="I132" t="s">
        <v>29</v>
      </c>
      <c r="J132">
        <f>LEN(H132)</f>
        <v>15</v>
      </c>
      <c r="K132" s="49" t="s">
        <v>5918</v>
      </c>
      <c r="O132" s="3" t="s">
        <v>7010</v>
      </c>
      <c r="P132" s="3" t="s">
        <v>7010</v>
      </c>
      <c r="Q132" s="3" t="s">
        <v>7010</v>
      </c>
      <c r="R132" s="3" t="s">
        <v>7010</v>
      </c>
      <c r="S132" s="3" t="s">
        <v>7010</v>
      </c>
      <c r="T132" s="3" t="s">
        <v>7010</v>
      </c>
      <c r="U132" s="3" t="s">
        <v>7010</v>
      </c>
      <c r="V132" s="3" t="s">
        <v>7010</v>
      </c>
      <c r="W132" s="74" t="str">
        <f t="shared" si="9"/>
        <v>No</v>
      </c>
      <c r="Z132">
        <v>131</v>
      </c>
      <c r="AA132" s="55" t="s">
        <v>756</v>
      </c>
      <c r="AB132" t="s">
        <v>643</v>
      </c>
      <c r="AC132">
        <f t="shared" si="8"/>
        <v>7</v>
      </c>
      <c r="AD132" s="30" t="s">
        <v>2798</v>
      </c>
      <c r="AF132" t="s">
        <v>7547</v>
      </c>
      <c r="AH132" s="3" t="s">
        <v>7015</v>
      </c>
      <c r="AI132" s="3" t="s">
        <v>7010</v>
      </c>
      <c r="AJ132" s="3" t="s">
        <v>7010</v>
      </c>
      <c r="AK132" s="3" t="s">
        <v>7015</v>
      </c>
      <c r="AL132" s="3" t="s">
        <v>7010</v>
      </c>
      <c r="AM132" s="3" t="s">
        <v>7010</v>
      </c>
      <c r="AN132" s="3" t="s">
        <v>7010</v>
      </c>
      <c r="AO132" s="3" t="s">
        <v>7010</v>
      </c>
      <c r="AP132" s="74" t="s">
        <v>7015</v>
      </c>
      <c r="AU132">
        <v>131</v>
      </c>
      <c r="AV132" t="s">
        <v>2799</v>
      </c>
      <c r="AW132" t="s">
        <v>2279</v>
      </c>
      <c r="AX132">
        <f t="shared" si="10"/>
        <v>8</v>
      </c>
      <c r="AY132" s="30" t="s">
        <v>2800</v>
      </c>
      <c r="BC132" s="3" t="s">
        <v>7015</v>
      </c>
      <c r="BD132" s="3" t="s">
        <v>7010</v>
      </c>
      <c r="BE132" s="3" t="s">
        <v>7015</v>
      </c>
      <c r="BF132" s="3" t="s">
        <v>7010</v>
      </c>
      <c r="BG132" s="3" t="s">
        <v>7010</v>
      </c>
      <c r="BH132" s="3" t="s">
        <v>7010</v>
      </c>
      <c r="BI132" s="3" t="s">
        <v>7010</v>
      </c>
      <c r="BJ132" s="3" t="s">
        <v>7010</v>
      </c>
      <c r="BK132" s="74" t="str">
        <f t="shared" si="11"/>
        <v>Yes</v>
      </c>
    </row>
    <row r="133" spans="6:63">
      <c r="F133" s="55"/>
      <c r="G133">
        <v>132</v>
      </c>
      <c r="H133" s="7" t="s">
        <v>1780</v>
      </c>
      <c r="I133" t="s">
        <v>29</v>
      </c>
      <c r="J133">
        <f>LEN(H133)</f>
        <v>16</v>
      </c>
      <c r="K133" s="49" t="s">
        <v>5683</v>
      </c>
      <c r="O133" s="3" t="s">
        <v>7010</v>
      </c>
      <c r="P133" s="3" t="s">
        <v>7010</v>
      </c>
      <c r="Q133" s="3" t="s">
        <v>7010</v>
      </c>
      <c r="R133" s="3" t="s">
        <v>7010</v>
      </c>
      <c r="S133" s="3" t="s">
        <v>7010</v>
      </c>
      <c r="T133" s="3" t="s">
        <v>7010</v>
      </c>
      <c r="U133" s="3" t="s">
        <v>7010</v>
      </c>
      <c r="V133" s="3" t="s">
        <v>7010</v>
      </c>
      <c r="W133" s="74" t="str">
        <f t="shared" si="9"/>
        <v>No</v>
      </c>
      <c r="Z133">
        <v>132</v>
      </c>
      <c r="AA133" s="55" t="s">
        <v>757</v>
      </c>
      <c r="AB133" t="s">
        <v>643</v>
      </c>
      <c r="AC133">
        <f t="shared" si="8"/>
        <v>6</v>
      </c>
      <c r="AD133" s="30" t="s">
        <v>2802</v>
      </c>
      <c r="AF133" t="s">
        <v>7548</v>
      </c>
      <c r="AH133" s="3" t="s">
        <v>7015</v>
      </c>
      <c r="AI133" s="3" t="s">
        <v>7010</v>
      </c>
      <c r="AJ133" s="3" t="s">
        <v>7010</v>
      </c>
      <c r="AK133" s="3" t="s">
        <v>7015</v>
      </c>
      <c r="AL133" s="3" t="s">
        <v>7010</v>
      </c>
      <c r="AM133" s="3" t="s">
        <v>7010</v>
      </c>
      <c r="AN133" s="3" t="s">
        <v>7010</v>
      </c>
      <c r="AO133" s="3" t="s">
        <v>7010</v>
      </c>
      <c r="AP133" s="74" t="s">
        <v>7015</v>
      </c>
      <c r="AU133">
        <v>132</v>
      </c>
      <c r="AV133" t="s">
        <v>2803</v>
      </c>
      <c r="AW133" t="s">
        <v>2279</v>
      </c>
      <c r="AX133">
        <f t="shared" si="10"/>
        <v>10</v>
      </c>
      <c r="AY133" s="30" t="s">
        <v>2804</v>
      </c>
      <c r="BC133" s="3" t="s">
        <v>7015</v>
      </c>
      <c r="BD133" s="3" t="s">
        <v>7010</v>
      </c>
      <c r="BE133" s="3" t="s">
        <v>7015</v>
      </c>
      <c r="BF133" s="3" t="s">
        <v>7010</v>
      </c>
      <c r="BG133" s="3" t="s">
        <v>7010</v>
      </c>
      <c r="BH133" s="3" t="s">
        <v>7010</v>
      </c>
      <c r="BI133" s="3" t="s">
        <v>7010</v>
      </c>
      <c r="BJ133" s="3" t="s">
        <v>7010</v>
      </c>
      <c r="BK133" s="74" t="str">
        <f t="shared" si="11"/>
        <v>Yes</v>
      </c>
    </row>
    <row r="134" spans="6:63">
      <c r="F134" s="55"/>
      <c r="G134">
        <v>133</v>
      </c>
      <c r="H134" s="7" t="s">
        <v>1102</v>
      </c>
      <c r="I134" t="s">
        <v>29</v>
      </c>
      <c r="J134">
        <f>LEN(H134)</f>
        <v>15</v>
      </c>
      <c r="K134" s="49" t="s">
        <v>3967</v>
      </c>
      <c r="O134" s="3" t="s">
        <v>7010</v>
      </c>
      <c r="P134" s="3" t="s">
        <v>7010</v>
      </c>
      <c r="Q134" s="3" t="s">
        <v>7010</v>
      </c>
      <c r="R134" s="3" t="s">
        <v>7010</v>
      </c>
      <c r="S134" s="3" t="s">
        <v>7010</v>
      </c>
      <c r="T134" s="3" t="s">
        <v>7010</v>
      </c>
      <c r="U134" s="3" t="s">
        <v>7010</v>
      </c>
      <c r="V134" s="3" t="s">
        <v>7010</v>
      </c>
      <c r="W134" s="74" t="str">
        <f t="shared" si="9"/>
        <v>No</v>
      </c>
      <c r="Z134">
        <v>133</v>
      </c>
      <c r="AA134" s="55" t="s">
        <v>758</v>
      </c>
      <c r="AB134" t="s">
        <v>643</v>
      </c>
      <c r="AC134">
        <f t="shared" si="8"/>
        <v>6</v>
      </c>
      <c r="AD134" s="30" t="s">
        <v>2806</v>
      </c>
      <c r="AF134" t="s">
        <v>7549</v>
      </c>
      <c r="AH134" s="3" t="s">
        <v>7015</v>
      </c>
      <c r="AI134" s="3" t="s">
        <v>7010</v>
      </c>
      <c r="AJ134" s="3" t="s">
        <v>7010</v>
      </c>
      <c r="AK134" s="3" t="s">
        <v>7015</v>
      </c>
      <c r="AL134" s="3" t="s">
        <v>7010</v>
      </c>
      <c r="AM134" s="3" t="s">
        <v>7010</v>
      </c>
      <c r="AN134" s="3" t="s">
        <v>7010</v>
      </c>
      <c r="AO134" s="3" t="s">
        <v>7010</v>
      </c>
      <c r="AP134" s="74" t="s">
        <v>7015</v>
      </c>
      <c r="AU134">
        <v>133</v>
      </c>
      <c r="AV134" t="s">
        <v>2807</v>
      </c>
      <c r="AW134" t="s">
        <v>2279</v>
      </c>
      <c r="AX134">
        <f t="shared" si="10"/>
        <v>9</v>
      </c>
      <c r="AY134" s="30" t="s">
        <v>2808</v>
      </c>
      <c r="BC134" s="3" t="s">
        <v>7010</v>
      </c>
      <c r="BD134" s="3" t="s">
        <v>7010</v>
      </c>
      <c r="BE134" s="3" t="s">
        <v>7015</v>
      </c>
      <c r="BF134" s="3" t="s">
        <v>7010</v>
      </c>
      <c r="BG134" s="3" t="s">
        <v>7010</v>
      </c>
      <c r="BH134" s="3" t="s">
        <v>7010</v>
      </c>
      <c r="BI134" s="3" t="s">
        <v>7010</v>
      </c>
      <c r="BJ134" s="3" t="s">
        <v>7010</v>
      </c>
      <c r="BK134" s="74" t="str">
        <f t="shared" si="11"/>
        <v>Yes</v>
      </c>
    </row>
    <row r="135" spans="6:63">
      <c r="F135" s="55"/>
      <c r="G135">
        <v>134</v>
      </c>
      <c r="H135" s="7" t="s">
        <v>532</v>
      </c>
      <c r="I135" t="s">
        <v>29</v>
      </c>
      <c r="J135">
        <f>LEN(H135)</f>
        <v>12</v>
      </c>
      <c r="K135" s="49" t="s">
        <v>3045</v>
      </c>
      <c r="O135" s="3" t="s">
        <v>7010</v>
      </c>
      <c r="P135" s="3" t="s">
        <v>7010</v>
      </c>
      <c r="Q135" s="3" t="s">
        <v>7010</v>
      </c>
      <c r="R135" s="3" t="s">
        <v>7010</v>
      </c>
      <c r="S135" s="3" t="s">
        <v>7010</v>
      </c>
      <c r="T135" s="3" t="s">
        <v>7010</v>
      </c>
      <c r="U135" s="3" t="s">
        <v>7010</v>
      </c>
      <c r="V135" s="3" t="s">
        <v>7010</v>
      </c>
      <c r="W135" s="74" t="str">
        <f t="shared" si="9"/>
        <v>No</v>
      </c>
      <c r="Z135">
        <v>134</v>
      </c>
      <c r="AA135" s="55">
        <v>789456</v>
      </c>
      <c r="AB135" t="s">
        <v>643</v>
      </c>
      <c r="AC135">
        <f t="shared" si="8"/>
        <v>6</v>
      </c>
      <c r="AD135" s="30" t="s">
        <v>2810</v>
      </c>
      <c r="AF135" t="s">
        <v>7550</v>
      </c>
      <c r="AH135" s="3" t="s">
        <v>7015</v>
      </c>
      <c r="AI135" s="3" t="s">
        <v>7010</v>
      </c>
      <c r="AJ135" s="3" t="s">
        <v>7010</v>
      </c>
      <c r="AK135" s="3" t="s">
        <v>7015</v>
      </c>
      <c r="AL135" s="3" t="s">
        <v>7010</v>
      </c>
      <c r="AM135" s="3" t="s">
        <v>7010</v>
      </c>
      <c r="AN135" s="3" t="s">
        <v>7010</v>
      </c>
      <c r="AO135" s="3" t="s">
        <v>7010</v>
      </c>
      <c r="AP135" s="74" t="s">
        <v>7015</v>
      </c>
      <c r="AU135">
        <v>134</v>
      </c>
      <c r="AV135" t="s">
        <v>2811</v>
      </c>
      <c r="AW135" t="s">
        <v>2279</v>
      </c>
      <c r="AX135">
        <f t="shared" si="10"/>
        <v>8</v>
      </c>
      <c r="AY135" s="30" t="s">
        <v>2812</v>
      </c>
      <c r="BC135" s="3" t="s">
        <v>7010</v>
      </c>
      <c r="BD135" s="3" t="s">
        <v>7010</v>
      </c>
      <c r="BE135" s="3" t="s">
        <v>7010</v>
      </c>
      <c r="BF135" s="3" t="s">
        <v>7010</v>
      </c>
      <c r="BG135" s="3" t="s">
        <v>7010</v>
      </c>
      <c r="BH135" s="3" t="s">
        <v>7010</v>
      </c>
      <c r="BI135" s="3" t="s">
        <v>7010</v>
      </c>
      <c r="BJ135" s="3" t="s">
        <v>7010</v>
      </c>
      <c r="BK135" s="74" t="str">
        <f t="shared" si="11"/>
        <v>No</v>
      </c>
    </row>
    <row r="136" spans="6:63">
      <c r="F136" s="55"/>
      <c r="G136">
        <v>135</v>
      </c>
      <c r="H136" s="7" t="s">
        <v>388</v>
      </c>
      <c r="I136" t="s">
        <v>29</v>
      </c>
      <c r="J136">
        <f>LEN(H136)</f>
        <v>10</v>
      </c>
      <c r="K136" s="49" t="s">
        <v>2469</v>
      </c>
      <c r="O136" s="3" t="s">
        <v>7010</v>
      </c>
      <c r="P136" s="3" t="s">
        <v>7010</v>
      </c>
      <c r="Q136" s="3" t="s">
        <v>7010</v>
      </c>
      <c r="R136" s="3" t="s">
        <v>7010</v>
      </c>
      <c r="S136" s="3" t="s">
        <v>7010</v>
      </c>
      <c r="T136" s="3" t="s">
        <v>7010</v>
      </c>
      <c r="U136" s="3" t="s">
        <v>7010</v>
      </c>
      <c r="V136" s="3" t="s">
        <v>7010</v>
      </c>
      <c r="W136" s="74" t="str">
        <f t="shared" si="9"/>
        <v>No</v>
      </c>
      <c r="Z136">
        <v>135</v>
      </c>
      <c r="AA136" s="55">
        <v>999999</v>
      </c>
      <c r="AB136" t="s">
        <v>643</v>
      </c>
      <c r="AC136">
        <f t="shared" si="8"/>
        <v>6</v>
      </c>
      <c r="AD136" s="30" t="s">
        <v>2814</v>
      </c>
      <c r="AF136" t="s">
        <v>7551</v>
      </c>
      <c r="AH136" s="3" t="s">
        <v>7015</v>
      </c>
      <c r="AI136" s="3" t="s">
        <v>7010</v>
      </c>
      <c r="AJ136" s="3" t="s">
        <v>7010</v>
      </c>
      <c r="AK136" s="3" t="s">
        <v>7015</v>
      </c>
      <c r="AL136" s="3" t="s">
        <v>7010</v>
      </c>
      <c r="AM136" s="3" t="s">
        <v>7010</v>
      </c>
      <c r="AN136" s="3" t="s">
        <v>7010</v>
      </c>
      <c r="AO136" s="3" t="s">
        <v>7010</v>
      </c>
      <c r="AP136" s="74" t="s">
        <v>7015</v>
      </c>
      <c r="AU136">
        <v>135</v>
      </c>
      <c r="AV136" t="s">
        <v>2815</v>
      </c>
      <c r="AW136" t="s">
        <v>2279</v>
      </c>
      <c r="AX136">
        <f t="shared" si="10"/>
        <v>10</v>
      </c>
      <c r="AY136" s="30" t="s">
        <v>2816</v>
      </c>
      <c r="BC136" s="3" t="s">
        <v>7010</v>
      </c>
      <c r="BD136" s="3" t="s">
        <v>7010</v>
      </c>
      <c r="BE136" s="3" t="s">
        <v>7010</v>
      </c>
      <c r="BF136" s="3" t="s">
        <v>7010</v>
      </c>
      <c r="BG136" s="3" t="s">
        <v>7010</v>
      </c>
      <c r="BH136" s="3" t="s">
        <v>7010</v>
      </c>
      <c r="BI136" s="3" t="s">
        <v>7010</v>
      </c>
      <c r="BJ136" s="3" t="s">
        <v>7010</v>
      </c>
      <c r="BK136" s="74" t="str">
        <f t="shared" si="11"/>
        <v>No</v>
      </c>
    </row>
    <row r="137" spans="6:63">
      <c r="F137" s="55"/>
      <c r="G137">
        <v>136</v>
      </c>
      <c r="H137" s="7" t="s">
        <v>451</v>
      </c>
      <c r="I137" t="s">
        <v>29</v>
      </c>
      <c r="J137">
        <f>LEN(H137)</f>
        <v>13</v>
      </c>
      <c r="K137" s="49" t="s">
        <v>2721</v>
      </c>
      <c r="O137" s="3" t="s">
        <v>7010</v>
      </c>
      <c r="P137" s="3" t="s">
        <v>7010</v>
      </c>
      <c r="Q137" s="3" t="s">
        <v>7010</v>
      </c>
      <c r="R137" s="3" t="s">
        <v>7010</v>
      </c>
      <c r="S137" s="3" t="s">
        <v>7010</v>
      </c>
      <c r="T137" s="3" t="s">
        <v>7010</v>
      </c>
      <c r="U137" s="3" t="s">
        <v>7010</v>
      </c>
      <c r="V137" s="3" t="s">
        <v>7010</v>
      </c>
      <c r="W137" s="74" t="str">
        <f t="shared" si="9"/>
        <v>No</v>
      </c>
      <c r="Z137">
        <v>136</v>
      </c>
      <c r="AA137" s="55" t="s">
        <v>759</v>
      </c>
      <c r="AB137" t="s">
        <v>643</v>
      </c>
      <c r="AC137">
        <f t="shared" si="8"/>
        <v>6</v>
      </c>
      <c r="AD137" s="30" t="s">
        <v>2818</v>
      </c>
      <c r="AF137" t="s">
        <v>7552</v>
      </c>
      <c r="AH137" s="3" t="s">
        <v>7015</v>
      </c>
      <c r="AI137" s="3" t="s">
        <v>7010</v>
      </c>
      <c r="AJ137" s="3" t="s">
        <v>7010</v>
      </c>
      <c r="AK137" s="3" t="s">
        <v>7015</v>
      </c>
      <c r="AL137" s="3" t="s">
        <v>7010</v>
      </c>
      <c r="AM137" s="3" t="s">
        <v>7010</v>
      </c>
      <c r="AN137" s="3" t="s">
        <v>7010</v>
      </c>
      <c r="AO137" s="3" t="s">
        <v>7010</v>
      </c>
      <c r="AP137" s="74" t="s">
        <v>7015</v>
      </c>
      <c r="AU137">
        <v>136</v>
      </c>
      <c r="AV137" t="s">
        <v>2819</v>
      </c>
      <c r="AW137" t="s">
        <v>2279</v>
      </c>
      <c r="AX137">
        <f t="shared" si="10"/>
        <v>11</v>
      </c>
      <c r="AY137" s="30" t="s">
        <v>2820</v>
      </c>
      <c r="BC137" s="3" t="s">
        <v>7010</v>
      </c>
      <c r="BD137" s="3" t="s">
        <v>7010</v>
      </c>
      <c r="BE137" s="3" t="s">
        <v>7010</v>
      </c>
      <c r="BF137" s="3" t="s">
        <v>7010</v>
      </c>
      <c r="BG137" s="3" t="s">
        <v>7010</v>
      </c>
      <c r="BH137" s="3" t="s">
        <v>7010</v>
      </c>
      <c r="BI137" s="3" t="s">
        <v>7010</v>
      </c>
      <c r="BJ137" s="3" t="s">
        <v>7010</v>
      </c>
      <c r="BK137" s="74" t="str">
        <f t="shared" si="11"/>
        <v>No</v>
      </c>
    </row>
    <row r="138" spans="6:63">
      <c r="F138" s="55"/>
      <c r="G138">
        <v>137</v>
      </c>
      <c r="H138" s="7" t="s">
        <v>1995</v>
      </c>
      <c r="I138" t="s">
        <v>29</v>
      </c>
      <c r="J138">
        <f>LEN(H138)</f>
        <v>10</v>
      </c>
      <c r="K138" s="49" t="s">
        <v>6312</v>
      </c>
      <c r="O138" s="3" t="s">
        <v>7010</v>
      </c>
      <c r="P138" s="3" t="s">
        <v>7010</v>
      </c>
      <c r="Q138" s="3" t="s">
        <v>7010</v>
      </c>
      <c r="R138" s="3" t="s">
        <v>7010</v>
      </c>
      <c r="S138" s="3" t="s">
        <v>7010</v>
      </c>
      <c r="T138" s="3" t="s">
        <v>7015</v>
      </c>
      <c r="U138" s="3" t="s">
        <v>7010</v>
      </c>
      <c r="V138" s="3" t="s">
        <v>7010</v>
      </c>
      <c r="W138" s="74" t="str">
        <f t="shared" si="9"/>
        <v>Yes</v>
      </c>
      <c r="Z138">
        <v>137</v>
      </c>
      <c r="AA138" s="55">
        <v>11111</v>
      </c>
      <c r="AB138" t="s">
        <v>643</v>
      </c>
      <c r="AC138">
        <f t="shared" si="8"/>
        <v>5</v>
      </c>
      <c r="AD138" s="30" t="s">
        <v>2822</v>
      </c>
      <c r="AF138" t="s">
        <v>7553</v>
      </c>
      <c r="AH138" s="3" t="s">
        <v>7015</v>
      </c>
      <c r="AI138" s="3" t="s">
        <v>7010</v>
      </c>
      <c r="AJ138" s="3" t="s">
        <v>7010</v>
      </c>
      <c r="AK138" s="3" t="s">
        <v>7015</v>
      </c>
      <c r="AL138" s="3" t="s">
        <v>7010</v>
      </c>
      <c r="AM138" s="3" t="s">
        <v>7010</v>
      </c>
      <c r="AN138" s="3" t="s">
        <v>7010</v>
      </c>
      <c r="AO138" s="3" t="s">
        <v>7010</v>
      </c>
      <c r="AP138" s="74" t="s">
        <v>7015</v>
      </c>
      <c r="AU138">
        <v>137</v>
      </c>
      <c r="AV138" t="s">
        <v>2823</v>
      </c>
      <c r="AW138" t="s">
        <v>2279</v>
      </c>
      <c r="AX138">
        <f t="shared" si="10"/>
        <v>8</v>
      </c>
      <c r="AY138" s="30" t="s">
        <v>2824</v>
      </c>
      <c r="BC138" s="3" t="s">
        <v>7010</v>
      </c>
      <c r="BD138" s="3" t="s">
        <v>7010</v>
      </c>
      <c r="BE138" s="3" t="s">
        <v>7010</v>
      </c>
      <c r="BF138" s="3" t="s">
        <v>7010</v>
      </c>
      <c r="BG138" s="3" t="s">
        <v>7010</v>
      </c>
      <c r="BH138" s="3" t="s">
        <v>7010</v>
      </c>
      <c r="BI138" s="3" t="s">
        <v>7010</v>
      </c>
      <c r="BJ138" s="3" t="s">
        <v>7010</v>
      </c>
      <c r="BK138" s="74" t="str">
        <f t="shared" si="11"/>
        <v>No</v>
      </c>
    </row>
    <row r="139" spans="6:63">
      <c r="F139" s="55"/>
      <c r="G139">
        <v>138</v>
      </c>
      <c r="H139" s="7" t="s">
        <v>613</v>
      </c>
      <c r="I139" t="s">
        <v>29</v>
      </c>
      <c r="J139">
        <f>LEN(H139)</f>
        <v>13</v>
      </c>
      <c r="K139" s="49" t="s">
        <v>3369</v>
      </c>
      <c r="O139" s="3" t="s">
        <v>7010</v>
      </c>
      <c r="P139" s="3" t="s">
        <v>7010</v>
      </c>
      <c r="Q139" s="3" t="s">
        <v>7010</v>
      </c>
      <c r="R139" s="3" t="s">
        <v>7015</v>
      </c>
      <c r="S139" s="3" t="s">
        <v>7010</v>
      </c>
      <c r="T139" s="3" t="s">
        <v>7015</v>
      </c>
      <c r="U139" s="3" t="s">
        <v>7010</v>
      </c>
      <c r="V139" s="3" t="s">
        <v>7010</v>
      </c>
      <c r="W139" s="74" t="str">
        <f t="shared" si="9"/>
        <v>Yes</v>
      </c>
      <c r="Z139">
        <v>138</v>
      </c>
      <c r="AA139" s="55" t="s">
        <v>760</v>
      </c>
      <c r="AB139" t="s">
        <v>643</v>
      </c>
      <c r="AC139">
        <f t="shared" si="8"/>
        <v>6</v>
      </c>
      <c r="AD139" s="30" t="s">
        <v>2826</v>
      </c>
      <c r="AF139" t="s">
        <v>7554</v>
      </c>
      <c r="AH139" s="3" t="s">
        <v>7015</v>
      </c>
      <c r="AI139" s="3" t="s">
        <v>7010</v>
      </c>
      <c r="AJ139" s="3" t="s">
        <v>7010</v>
      </c>
      <c r="AK139" s="3" t="s">
        <v>7015</v>
      </c>
      <c r="AL139" s="3" t="s">
        <v>7010</v>
      </c>
      <c r="AM139" s="3" t="s">
        <v>7010</v>
      </c>
      <c r="AN139" s="3" t="s">
        <v>7010</v>
      </c>
      <c r="AO139" s="3" t="s">
        <v>7010</v>
      </c>
      <c r="AP139" s="74" t="s">
        <v>7015</v>
      </c>
      <c r="AU139">
        <v>138</v>
      </c>
      <c r="AV139" t="s">
        <v>2827</v>
      </c>
      <c r="AW139" t="s">
        <v>2279</v>
      </c>
      <c r="AX139">
        <f t="shared" si="10"/>
        <v>9</v>
      </c>
      <c r="AY139" s="30" t="s">
        <v>2828</v>
      </c>
      <c r="BC139" s="3" t="s">
        <v>7015</v>
      </c>
      <c r="BD139" s="3" t="s">
        <v>7010</v>
      </c>
      <c r="BE139" s="3" t="s">
        <v>7015</v>
      </c>
      <c r="BF139" s="3" t="s">
        <v>7010</v>
      </c>
      <c r="BG139" s="3" t="s">
        <v>7010</v>
      </c>
      <c r="BH139" s="3" t="s">
        <v>7010</v>
      </c>
      <c r="BI139" s="3" t="s">
        <v>7010</v>
      </c>
      <c r="BJ139" s="3" t="s">
        <v>7010</v>
      </c>
      <c r="BK139" s="74" t="str">
        <f t="shared" si="11"/>
        <v>Yes</v>
      </c>
    </row>
    <row r="140" spans="6:63">
      <c r="F140" s="55"/>
      <c r="G140">
        <v>139</v>
      </c>
      <c r="H140" s="7" t="s">
        <v>381</v>
      </c>
      <c r="I140" t="s">
        <v>29</v>
      </c>
      <c r="J140">
        <f>LEN(H140)</f>
        <v>13</v>
      </c>
      <c r="K140" s="49" t="s">
        <v>2441</v>
      </c>
      <c r="O140" s="3" t="s">
        <v>7010</v>
      </c>
      <c r="P140" s="3" t="s">
        <v>7010</v>
      </c>
      <c r="Q140" s="3" t="s">
        <v>7010</v>
      </c>
      <c r="R140" s="3" t="s">
        <v>7010</v>
      </c>
      <c r="S140" s="3" t="s">
        <v>7010</v>
      </c>
      <c r="T140" s="3" t="s">
        <v>7010</v>
      </c>
      <c r="U140" s="3" t="s">
        <v>7010</v>
      </c>
      <c r="V140" s="3" t="s">
        <v>7010</v>
      </c>
      <c r="W140" s="74" t="str">
        <f t="shared" si="9"/>
        <v>No</v>
      </c>
      <c r="Z140">
        <v>139</v>
      </c>
      <c r="AA140" s="61" t="s">
        <v>761</v>
      </c>
      <c r="AB140" t="s">
        <v>643</v>
      </c>
      <c r="AC140">
        <f t="shared" si="8"/>
        <v>6</v>
      </c>
      <c r="AD140" s="30" t="s">
        <v>2830</v>
      </c>
      <c r="AF140" t="s">
        <v>7555</v>
      </c>
      <c r="AH140" s="3" t="s">
        <v>7015</v>
      </c>
      <c r="AI140" s="3" t="s">
        <v>7010</v>
      </c>
      <c r="AJ140" s="3" t="s">
        <v>7010</v>
      </c>
      <c r="AK140" s="3" t="s">
        <v>7015</v>
      </c>
      <c r="AL140" s="3" t="s">
        <v>7010</v>
      </c>
      <c r="AM140" s="3" t="s">
        <v>7010</v>
      </c>
      <c r="AN140" s="3" t="s">
        <v>7010</v>
      </c>
      <c r="AO140" s="3" t="s">
        <v>7010</v>
      </c>
      <c r="AP140" s="74" t="s">
        <v>7015</v>
      </c>
      <c r="AU140">
        <v>139</v>
      </c>
      <c r="AV140" t="s">
        <v>2831</v>
      </c>
      <c r="AW140" t="s">
        <v>2279</v>
      </c>
      <c r="AX140">
        <f t="shared" si="10"/>
        <v>15</v>
      </c>
      <c r="AY140" s="30" t="s">
        <v>2832</v>
      </c>
      <c r="BC140" s="3" t="s">
        <v>7010</v>
      </c>
      <c r="BD140" s="3" t="s">
        <v>7010</v>
      </c>
      <c r="BE140" s="3" t="s">
        <v>7010</v>
      </c>
      <c r="BF140" s="3" t="s">
        <v>7010</v>
      </c>
      <c r="BG140" s="3" t="s">
        <v>7010</v>
      </c>
      <c r="BH140" s="3" t="s">
        <v>7010</v>
      </c>
      <c r="BI140" s="3" t="s">
        <v>7010</v>
      </c>
      <c r="BJ140" s="3" t="s">
        <v>7010</v>
      </c>
      <c r="BK140" s="74" t="str">
        <f t="shared" si="11"/>
        <v>No</v>
      </c>
    </row>
    <row r="141" spans="6:63">
      <c r="F141" s="55"/>
      <c r="G141">
        <v>140</v>
      </c>
      <c r="H141" s="7" t="s">
        <v>1904</v>
      </c>
      <c r="I141" t="s">
        <v>29</v>
      </c>
      <c r="J141">
        <f>LEN(H141)</f>
        <v>12</v>
      </c>
      <c r="K141" s="49" t="s">
        <v>6068</v>
      </c>
      <c r="O141" s="3" t="s">
        <v>7010</v>
      </c>
      <c r="P141" s="3" t="s">
        <v>7010</v>
      </c>
      <c r="Q141" s="3" t="s">
        <v>7010</v>
      </c>
      <c r="R141" s="3" t="s">
        <v>7010</v>
      </c>
      <c r="S141" s="3" t="s">
        <v>7010</v>
      </c>
      <c r="T141" s="3" t="s">
        <v>7015</v>
      </c>
      <c r="U141" s="3" t="s">
        <v>7010</v>
      </c>
      <c r="V141" s="3" t="s">
        <v>7010</v>
      </c>
      <c r="W141" s="74" t="str">
        <f t="shared" si="9"/>
        <v>Yes</v>
      </c>
      <c r="Z141">
        <v>140</v>
      </c>
      <c r="AA141" s="55" t="s">
        <v>762</v>
      </c>
      <c r="AB141" t="s">
        <v>643</v>
      </c>
      <c r="AC141">
        <f t="shared" si="8"/>
        <v>7</v>
      </c>
      <c r="AD141" s="30" t="s">
        <v>2834</v>
      </c>
      <c r="AF141" t="s">
        <v>7556</v>
      </c>
      <c r="AH141" s="3" t="s">
        <v>7015</v>
      </c>
      <c r="AI141" s="3" t="s">
        <v>7010</v>
      </c>
      <c r="AJ141" s="3" t="s">
        <v>7010</v>
      </c>
      <c r="AK141" s="3" t="s">
        <v>7015</v>
      </c>
      <c r="AL141" s="3" t="s">
        <v>7010</v>
      </c>
      <c r="AM141" s="3" t="s">
        <v>7010</v>
      </c>
      <c r="AN141" s="3" t="s">
        <v>7010</v>
      </c>
      <c r="AO141" s="3" t="s">
        <v>7010</v>
      </c>
      <c r="AP141" s="74" t="s">
        <v>7015</v>
      </c>
      <c r="AU141">
        <v>140</v>
      </c>
      <c r="AV141" t="s">
        <v>2835</v>
      </c>
      <c r="AW141" t="s">
        <v>2279</v>
      </c>
      <c r="AX141">
        <f t="shared" si="10"/>
        <v>8</v>
      </c>
      <c r="AY141" s="30" t="s">
        <v>2836</v>
      </c>
      <c r="BC141" s="3" t="s">
        <v>7010</v>
      </c>
      <c r="BD141" s="3" t="s">
        <v>7010</v>
      </c>
      <c r="BE141" s="3" t="s">
        <v>7010</v>
      </c>
      <c r="BF141" s="3" t="s">
        <v>7010</v>
      </c>
      <c r="BG141" s="3" t="s">
        <v>7010</v>
      </c>
      <c r="BH141" s="3" t="s">
        <v>7010</v>
      </c>
      <c r="BI141" s="3" t="s">
        <v>7010</v>
      </c>
      <c r="BJ141" s="3" t="s">
        <v>7010</v>
      </c>
      <c r="BK141" s="74" t="str">
        <f t="shared" si="11"/>
        <v>No</v>
      </c>
    </row>
    <row r="142" spans="6:63">
      <c r="F142" s="55"/>
      <c r="G142">
        <v>141</v>
      </c>
      <c r="H142" s="7" t="s">
        <v>2059</v>
      </c>
      <c r="I142" t="s">
        <v>29</v>
      </c>
      <c r="J142">
        <f>LEN(H142)</f>
        <v>14</v>
      </c>
      <c r="K142" s="49" t="s">
        <v>6475</v>
      </c>
      <c r="O142" s="3" t="s">
        <v>7010</v>
      </c>
      <c r="P142" s="3" t="s">
        <v>7010</v>
      </c>
      <c r="Q142" s="3" t="s">
        <v>7010</v>
      </c>
      <c r="R142" s="3" t="s">
        <v>7010</v>
      </c>
      <c r="S142" s="3" t="s">
        <v>7010</v>
      </c>
      <c r="T142" s="3" t="s">
        <v>7015</v>
      </c>
      <c r="U142" s="3" t="s">
        <v>7010</v>
      </c>
      <c r="V142" s="3" t="s">
        <v>7010</v>
      </c>
      <c r="W142" s="74" t="str">
        <f t="shared" si="9"/>
        <v>Yes</v>
      </c>
      <c r="Z142">
        <v>141</v>
      </c>
      <c r="AA142" s="55" t="s">
        <v>763</v>
      </c>
      <c r="AB142" t="s">
        <v>643</v>
      </c>
      <c r="AC142">
        <f t="shared" si="8"/>
        <v>6</v>
      </c>
      <c r="AD142" s="30" t="s">
        <v>2838</v>
      </c>
      <c r="AF142" t="s">
        <v>7557</v>
      </c>
      <c r="AH142" s="3" t="s">
        <v>7015</v>
      </c>
      <c r="AI142" s="3" t="s">
        <v>7010</v>
      </c>
      <c r="AJ142" s="3" t="s">
        <v>7010</v>
      </c>
      <c r="AK142" s="3" t="s">
        <v>7015</v>
      </c>
      <c r="AL142" s="3" t="s">
        <v>7010</v>
      </c>
      <c r="AM142" s="3" t="s">
        <v>7010</v>
      </c>
      <c r="AN142" s="3" t="s">
        <v>7010</v>
      </c>
      <c r="AO142" s="3" t="s">
        <v>7010</v>
      </c>
      <c r="AP142" s="74" t="s">
        <v>7015</v>
      </c>
      <c r="AU142">
        <v>141</v>
      </c>
      <c r="AV142" t="s">
        <v>2839</v>
      </c>
      <c r="AW142" t="s">
        <v>2279</v>
      </c>
      <c r="AX142">
        <f t="shared" si="10"/>
        <v>8</v>
      </c>
      <c r="AY142" s="30" t="s">
        <v>2840</v>
      </c>
      <c r="BC142" s="3" t="s">
        <v>7010</v>
      </c>
      <c r="BD142" s="3" t="s">
        <v>7010</v>
      </c>
      <c r="BE142" s="3" t="s">
        <v>7010</v>
      </c>
      <c r="BF142" s="3" t="s">
        <v>7010</v>
      </c>
      <c r="BG142" s="3" t="s">
        <v>7010</v>
      </c>
      <c r="BH142" s="3" t="s">
        <v>7010</v>
      </c>
      <c r="BI142" s="3" t="s">
        <v>7010</v>
      </c>
      <c r="BJ142" s="3" t="s">
        <v>7010</v>
      </c>
      <c r="BK142" s="74" t="str">
        <f t="shared" si="11"/>
        <v>No</v>
      </c>
    </row>
    <row r="143" spans="6:63">
      <c r="F143" s="55"/>
      <c r="G143">
        <v>142</v>
      </c>
      <c r="H143" s="7" t="s">
        <v>399</v>
      </c>
      <c r="I143" t="s">
        <v>29</v>
      </c>
      <c r="J143">
        <f>LEN(H143)</f>
        <v>9</v>
      </c>
      <c r="K143" s="49" t="s">
        <v>2513</v>
      </c>
      <c r="O143" s="3" t="s">
        <v>7010</v>
      </c>
      <c r="P143" s="3" t="s">
        <v>7010</v>
      </c>
      <c r="Q143" s="3" t="s">
        <v>7010</v>
      </c>
      <c r="R143" s="3" t="s">
        <v>7010</v>
      </c>
      <c r="S143" s="3" t="s">
        <v>7010</v>
      </c>
      <c r="T143" s="3" t="s">
        <v>7010</v>
      </c>
      <c r="U143" s="3" t="s">
        <v>7010</v>
      </c>
      <c r="V143" s="3" t="s">
        <v>7010</v>
      </c>
      <c r="W143" s="74" t="str">
        <f t="shared" si="9"/>
        <v>No</v>
      </c>
      <c r="Z143">
        <v>142</v>
      </c>
      <c r="AA143" s="55" t="s">
        <v>764</v>
      </c>
      <c r="AB143" t="s">
        <v>643</v>
      </c>
      <c r="AC143">
        <f t="shared" si="8"/>
        <v>6</v>
      </c>
      <c r="AD143" s="30" t="s">
        <v>2842</v>
      </c>
      <c r="AF143" t="s">
        <v>7558</v>
      </c>
      <c r="AH143" s="3" t="s">
        <v>7015</v>
      </c>
      <c r="AI143" s="3" t="s">
        <v>7010</v>
      </c>
      <c r="AJ143" s="3" t="s">
        <v>7010</v>
      </c>
      <c r="AK143" s="3" t="s">
        <v>7015</v>
      </c>
      <c r="AL143" s="3" t="s">
        <v>7010</v>
      </c>
      <c r="AM143" s="3" t="s">
        <v>7010</v>
      </c>
      <c r="AN143" s="3" t="s">
        <v>7010</v>
      </c>
      <c r="AO143" s="3" t="s">
        <v>7010</v>
      </c>
      <c r="AP143" s="74" t="s">
        <v>7015</v>
      </c>
      <c r="AU143">
        <v>142</v>
      </c>
      <c r="AV143" t="s">
        <v>2843</v>
      </c>
      <c r="AW143" t="s">
        <v>2279</v>
      </c>
      <c r="AX143">
        <f t="shared" si="10"/>
        <v>8</v>
      </c>
      <c r="AY143" s="30" t="s">
        <v>2844</v>
      </c>
      <c r="BC143" s="3" t="s">
        <v>7010</v>
      </c>
      <c r="BD143" s="3" t="s">
        <v>7010</v>
      </c>
      <c r="BE143" s="3" t="s">
        <v>7010</v>
      </c>
      <c r="BF143" s="3" t="s">
        <v>7010</v>
      </c>
      <c r="BG143" s="3" t="s">
        <v>7010</v>
      </c>
      <c r="BH143" s="3" t="s">
        <v>7010</v>
      </c>
      <c r="BI143" s="3" t="s">
        <v>7010</v>
      </c>
      <c r="BJ143" s="3" t="s">
        <v>7010</v>
      </c>
      <c r="BK143" s="74" t="str">
        <f t="shared" si="11"/>
        <v>No</v>
      </c>
    </row>
    <row r="144" spans="6:63">
      <c r="F144" s="55"/>
      <c r="G144">
        <v>143</v>
      </c>
      <c r="H144" s="7" t="s">
        <v>2199</v>
      </c>
      <c r="I144" t="s">
        <v>29</v>
      </c>
      <c r="J144">
        <f>LEN(H144)</f>
        <v>11</v>
      </c>
      <c r="K144" s="49" t="s">
        <v>6821</v>
      </c>
      <c r="O144" s="3" t="s">
        <v>7010</v>
      </c>
      <c r="P144" s="3" t="s">
        <v>7010</v>
      </c>
      <c r="Q144" s="3" t="s">
        <v>7010</v>
      </c>
      <c r="R144" s="3" t="s">
        <v>7010</v>
      </c>
      <c r="S144" s="3" t="s">
        <v>7010</v>
      </c>
      <c r="T144" s="3" t="s">
        <v>7010</v>
      </c>
      <c r="U144" s="3" t="s">
        <v>7010</v>
      </c>
      <c r="V144" s="3" t="s">
        <v>7010</v>
      </c>
      <c r="W144" s="74" t="str">
        <f t="shared" si="9"/>
        <v>No</v>
      </c>
      <c r="Z144">
        <v>143</v>
      </c>
      <c r="AA144" s="55" t="s">
        <v>765</v>
      </c>
      <c r="AB144" t="s">
        <v>643</v>
      </c>
      <c r="AC144">
        <f t="shared" si="8"/>
        <v>6</v>
      </c>
      <c r="AD144" s="30" t="s">
        <v>2846</v>
      </c>
      <c r="AF144" t="s">
        <v>7559</v>
      </c>
      <c r="AH144" s="3" t="s">
        <v>7015</v>
      </c>
      <c r="AI144" s="3" t="s">
        <v>7010</v>
      </c>
      <c r="AJ144" s="3" t="s">
        <v>7010</v>
      </c>
      <c r="AK144" s="3" t="s">
        <v>7015</v>
      </c>
      <c r="AL144" s="3" t="s">
        <v>7010</v>
      </c>
      <c r="AM144" s="3" t="s">
        <v>7010</v>
      </c>
      <c r="AN144" s="3" t="s">
        <v>7010</v>
      </c>
      <c r="AO144" s="3" t="s">
        <v>7010</v>
      </c>
      <c r="AP144" s="74" t="s">
        <v>7015</v>
      </c>
      <c r="AU144">
        <v>143</v>
      </c>
      <c r="AV144" t="s">
        <v>2847</v>
      </c>
      <c r="AW144" t="s">
        <v>2279</v>
      </c>
      <c r="AX144">
        <f t="shared" si="10"/>
        <v>8</v>
      </c>
      <c r="AY144" s="30" t="s">
        <v>2848</v>
      </c>
      <c r="BC144" s="3" t="s">
        <v>7010</v>
      </c>
      <c r="BD144" s="3" t="s">
        <v>7010</v>
      </c>
      <c r="BE144" s="3" t="s">
        <v>7010</v>
      </c>
      <c r="BF144" s="3" t="s">
        <v>7010</v>
      </c>
      <c r="BG144" s="3" t="s">
        <v>7010</v>
      </c>
      <c r="BH144" s="3" t="s">
        <v>7010</v>
      </c>
      <c r="BI144" s="3" t="s">
        <v>7010</v>
      </c>
      <c r="BJ144" s="3" t="s">
        <v>7010</v>
      </c>
      <c r="BK144" s="74" t="str">
        <f t="shared" si="11"/>
        <v>No</v>
      </c>
    </row>
    <row r="145" spans="6:63">
      <c r="F145" s="55"/>
      <c r="G145">
        <v>144</v>
      </c>
      <c r="H145" s="7" t="s">
        <v>1490</v>
      </c>
      <c r="I145" t="s">
        <v>29</v>
      </c>
      <c r="J145">
        <f>LEN(H145)</f>
        <v>10</v>
      </c>
      <c r="K145" s="49" t="s">
        <v>4949</v>
      </c>
      <c r="O145" s="3" t="s">
        <v>7010</v>
      </c>
      <c r="P145" s="3" t="s">
        <v>7010</v>
      </c>
      <c r="Q145" s="3" t="s">
        <v>7010</v>
      </c>
      <c r="R145" s="3" t="s">
        <v>7010</v>
      </c>
      <c r="S145" s="3" t="s">
        <v>7010</v>
      </c>
      <c r="T145" s="3" t="s">
        <v>7010</v>
      </c>
      <c r="U145" s="3" t="s">
        <v>7010</v>
      </c>
      <c r="V145" s="3" t="s">
        <v>7010</v>
      </c>
      <c r="W145" s="74" t="str">
        <f t="shared" si="9"/>
        <v>No</v>
      </c>
      <c r="Z145">
        <v>144</v>
      </c>
      <c r="AA145" s="55" t="s">
        <v>766</v>
      </c>
      <c r="AB145" t="s">
        <v>643</v>
      </c>
      <c r="AC145">
        <f t="shared" si="8"/>
        <v>6</v>
      </c>
      <c r="AD145" s="30" t="s">
        <v>2850</v>
      </c>
      <c r="AF145" t="s">
        <v>7560</v>
      </c>
      <c r="AH145" s="3" t="s">
        <v>7015</v>
      </c>
      <c r="AI145" s="3" t="s">
        <v>7010</v>
      </c>
      <c r="AJ145" s="3" t="s">
        <v>7010</v>
      </c>
      <c r="AK145" s="3" t="s">
        <v>7015</v>
      </c>
      <c r="AL145" s="3" t="s">
        <v>7010</v>
      </c>
      <c r="AM145" s="3" t="s">
        <v>7010</v>
      </c>
      <c r="AN145" s="3" t="s">
        <v>7010</v>
      </c>
      <c r="AO145" s="3" t="s">
        <v>7010</v>
      </c>
      <c r="AP145" s="74" t="s">
        <v>7015</v>
      </c>
      <c r="AU145">
        <v>144</v>
      </c>
      <c r="AV145" t="s">
        <v>2851</v>
      </c>
      <c r="AW145" t="s">
        <v>2279</v>
      </c>
      <c r="AX145">
        <f t="shared" si="10"/>
        <v>10</v>
      </c>
      <c r="AY145" s="30" t="s">
        <v>2852</v>
      </c>
      <c r="BC145" s="3" t="s">
        <v>7010</v>
      </c>
      <c r="BD145" s="3" t="s">
        <v>7010</v>
      </c>
      <c r="BE145" s="3" t="s">
        <v>7010</v>
      </c>
      <c r="BF145" s="3" t="s">
        <v>7010</v>
      </c>
      <c r="BG145" s="3" t="s">
        <v>7010</v>
      </c>
      <c r="BH145" s="3" t="s">
        <v>7010</v>
      </c>
      <c r="BI145" s="3" t="s">
        <v>7010</v>
      </c>
      <c r="BJ145" s="3" t="s">
        <v>7010</v>
      </c>
      <c r="BK145" s="74" t="str">
        <f t="shared" si="11"/>
        <v>No</v>
      </c>
    </row>
    <row r="146" spans="6:63">
      <c r="F146" s="55"/>
      <c r="G146">
        <v>145</v>
      </c>
      <c r="H146" s="7" t="s">
        <v>1438</v>
      </c>
      <c r="I146" t="s">
        <v>29</v>
      </c>
      <c r="J146">
        <f>LEN(H146)</f>
        <v>9</v>
      </c>
      <c r="K146" s="49" t="s">
        <v>4820</v>
      </c>
      <c r="O146" s="3" t="s">
        <v>7010</v>
      </c>
      <c r="P146" s="3" t="s">
        <v>7010</v>
      </c>
      <c r="Q146" s="3" t="s">
        <v>7010</v>
      </c>
      <c r="R146" s="3" t="s">
        <v>7010</v>
      </c>
      <c r="S146" s="3" t="s">
        <v>7010</v>
      </c>
      <c r="T146" s="3" t="s">
        <v>7010</v>
      </c>
      <c r="U146" s="3" t="s">
        <v>7010</v>
      </c>
      <c r="V146" s="3" t="s">
        <v>7010</v>
      </c>
      <c r="W146" s="74" t="str">
        <f t="shared" si="9"/>
        <v>No</v>
      </c>
      <c r="Z146">
        <v>145</v>
      </c>
      <c r="AA146" s="55" t="s">
        <v>767</v>
      </c>
      <c r="AB146" t="s">
        <v>643</v>
      </c>
      <c r="AC146">
        <f t="shared" si="8"/>
        <v>9</v>
      </c>
      <c r="AD146" s="30" t="s">
        <v>2854</v>
      </c>
      <c r="AF146" t="s">
        <v>7561</v>
      </c>
      <c r="AH146" s="3" t="s">
        <v>7015</v>
      </c>
      <c r="AI146" s="3" t="s">
        <v>7010</v>
      </c>
      <c r="AJ146" s="3" t="s">
        <v>7010</v>
      </c>
      <c r="AK146" s="3" t="s">
        <v>7015</v>
      </c>
      <c r="AL146" s="3" t="s">
        <v>7010</v>
      </c>
      <c r="AM146" s="3" t="s">
        <v>7010</v>
      </c>
      <c r="AN146" s="3" t="s">
        <v>7010</v>
      </c>
      <c r="AO146" s="3" t="s">
        <v>7010</v>
      </c>
      <c r="AP146" s="74" t="s">
        <v>7015</v>
      </c>
      <c r="AU146">
        <v>145</v>
      </c>
      <c r="AV146" t="s">
        <v>2855</v>
      </c>
      <c r="AW146" t="s">
        <v>2279</v>
      </c>
      <c r="AX146">
        <f t="shared" si="10"/>
        <v>10</v>
      </c>
      <c r="AY146" s="30" t="s">
        <v>2856</v>
      </c>
      <c r="BC146" s="3" t="s">
        <v>7015</v>
      </c>
      <c r="BD146" s="3" t="s">
        <v>7010</v>
      </c>
      <c r="BE146" s="3" t="s">
        <v>7015</v>
      </c>
      <c r="BF146" s="3" t="s">
        <v>7010</v>
      </c>
      <c r="BG146" s="3" t="s">
        <v>7010</v>
      </c>
      <c r="BH146" s="3" t="s">
        <v>7010</v>
      </c>
      <c r="BI146" s="3" t="s">
        <v>7010</v>
      </c>
      <c r="BJ146" s="3" t="s">
        <v>7010</v>
      </c>
      <c r="BK146" s="74" t="str">
        <f t="shared" si="11"/>
        <v>Yes</v>
      </c>
    </row>
    <row r="147" spans="6:63">
      <c r="F147" s="55"/>
      <c r="G147">
        <v>146</v>
      </c>
      <c r="H147" s="7" t="s">
        <v>1660</v>
      </c>
      <c r="I147" t="s">
        <v>29</v>
      </c>
      <c r="J147">
        <f>LEN(H147)</f>
        <v>12</v>
      </c>
      <c r="K147" s="49" t="s">
        <v>5381</v>
      </c>
      <c r="O147" s="3" t="s">
        <v>7010</v>
      </c>
      <c r="P147" s="3" t="s">
        <v>7010</v>
      </c>
      <c r="Q147" s="3" t="s">
        <v>7010</v>
      </c>
      <c r="R147" s="3" t="s">
        <v>7010</v>
      </c>
      <c r="S147" s="3" t="s">
        <v>7010</v>
      </c>
      <c r="T147" s="3" t="s">
        <v>7010</v>
      </c>
      <c r="U147" s="3" t="s">
        <v>7015</v>
      </c>
      <c r="V147" s="3" t="s">
        <v>7010</v>
      </c>
      <c r="W147" s="74" t="str">
        <f t="shared" si="9"/>
        <v>Yes</v>
      </c>
      <c r="Z147">
        <v>146</v>
      </c>
      <c r="AA147" s="55" t="s">
        <v>768</v>
      </c>
      <c r="AB147" t="s">
        <v>643</v>
      </c>
      <c r="AC147">
        <f t="shared" si="8"/>
        <v>6</v>
      </c>
      <c r="AD147" s="30" t="s">
        <v>2858</v>
      </c>
      <c r="AF147" t="s">
        <v>7562</v>
      </c>
      <c r="AH147" s="3" t="s">
        <v>7015</v>
      </c>
      <c r="AI147" s="3" t="s">
        <v>7010</v>
      </c>
      <c r="AJ147" s="3" t="s">
        <v>7010</v>
      </c>
      <c r="AK147" s="3" t="s">
        <v>7015</v>
      </c>
      <c r="AL147" s="3" t="s">
        <v>7010</v>
      </c>
      <c r="AM147" s="3" t="s">
        <v>7010</v>
      </c>
      <c r="AN147" s="3" t="s">
        <v>7010</v>
      </c>
      <c r="AO147" s="3" t="s">
        <v>7010</v>
      </c>
      <c r="AP147" s="74" t="s">
        <v>7015</v>
      </c>
      <c r="AU147">
        <v>146</v>
      </c>
      <c r="AV147" t="s">
        <v>2859</v>
      </c>
      <c r="AW147" t="s">
        <v>2279</v>
      </c>
      <c r="AX147">
        <f t="shared" si="10"/>
        <v>10</v>
      </c>
      <c r="AY147" s="30" t="s">
        <v>2860</v>
      </c>
      <c r="BC147" s="3" t="s">
        <v>7010</v>
      </c>
      <c r="BD147" s="3" t="s">
        <v>7010</v>
      </c>
      <c r="BE147" s="3" t="s">
        <v>7015</v>
      </c>
      <c r="BF147" s="3" t="s">
        <v>7010</v>
      </c>
      <c r="BG147" s="3" t="s">
        <v>7010</v>
      </c>
      <c r="BH147" s="3" t="s">
        <v>7010</v>
      </c>
      <c r="BI147" s="3" t="s">
        <v>7010</v>
      </c>
      <c r="BJ147" s="3" t="s">
        <v>7010</v>
      </c>
      <c r="BK147" s="74" t="str">
        <f t="shared" si="11"/>
        <v>Yes</v>
      </c>
    </row>
    <row r="148" spans="6:63">
      <c r="F148" s="55"/>
      <c r="G148">
        <v>147</v>
      </c>
      <c r="H148" s="7" t="s">
        <v>1566</v>
      </c>
      <c r="I148" t="s">
        <v>29</v>
      </c>
      <c r="J148">
        <f>LEN(H148)</f>
        <v>15</v>
      </c>
      <c r="K148" s="49" t="s">
        <v>5143</v>
      </c>
      <c r="O148" s="3" t="s">
        <v>7010</v>
      </c>
      <c r="P148" s="3" t="s">
        <v>7010</v>
      </c>
      <c r="Q148" s="3" t="s">
        <v>7010</v>
      </c>
      <c r="R148" s="3" t="s">
        <v>7010</v>
      </c>
      <c r="S148" s="3" t="s">
        <v>7010</v>
      </c>
      <c r="T148" s="3" t="s">
        <v>7010</v>
      </c>
      <c r="U148" s="3" t="s">
        <v>7015</v>
      </c>
      <c r="V148" s="3" t="s">
        <v>7010</v>
      </c>
      <c r="W148" s="74" t="str">
        <f t="shared" si="9"/>
        <v>Yes</v>
      </c>
      <c r="Z148">
        <v>147</v>
      </c>
      <c r="AA148" s="55" t="s">
        <v>769</v>
      </c>
      <c r="AB148" t="s">
        <v>643</v>
      </c>
      <c r="AC148">
        <f t="shared" si="8"/>
        <v>6</v>
      </c>
      <c r="AD148" s="30" t="s">
        <v>2862</v>
      </c>
      <c r="AF148" t="s">
        <v>7563</v>
      </c>
      <c r="AH148" s="3" t="s">
        <v>7015</v>
      </c>
      <c r="AI148" s="3" t="s">
        <v>7010</v>
      </c>
      <c r="AJ148" s="3" t="s">
        <v>7010</v>
      </c>
      <c r="AK148" s="3" t="s">
        <v>7015</v>
      </c>
      <c r="AL148" s="3" t="s">
        <v>7010</v>
      </c>
      <c r="AM148" s="3" t="s">
        <v>7010</v>
      </c>
      <c r="AN148" s="3" t="s">
        <v>7010</v>
      </c>
      <c r="AO148" s="3" t="s">
        <v>7010</v>
      </c>
      <c r="AP148" s="74" t="s">
        <v>7015</v>
      </c>
      <c r="AU148">
        <v>147</v>
      </c>
      <c r="AV148" t="s">
        <v>2863</v>
      </c>
      <c r="AW148" t="s">
        <v>2279</v>
      </c>
      <c r="AX148">
        <f t="shared" si="10"/>
        <v>8</v>
      </c>
      <c r="AY148" s="30" t="s">
        <v>2864</v>
      </c>
      <c r="BC148" s="3" t="s">
        <v>7010</v>
      </c>
      <c r="BD148" s="3" t="s">
        <v>7010</v>
      </c>
      <c r="BE148" s="3" t="s">
        <v>7015</v>
      </c>
      <c r="BF148" s="3" t="s">
        <v>7010</v>
      </c>
      <c r="BG148" s="3" t="s">
        <v>7010</v>
      </c>
      <c r="BH148" s="3" t="s">
        <v>7010</v>
      </c>
      <c r="BI148" s="3" t="s">
        <v>7010</v>
      </c>
      <c r="BJ148" s="3" t="s">
        <v>7010</v>
      </c>
      <c r="BK148" s="74" t="str">
        <f t="shared" si="11"/>
        <v>Yes</v>
      </c>
    </row>
    <row r="149" spans="6:63">
      <c r="F149" s="55"/>
      <c r="G149">
        <v>148</v>
      </c>
      <c r="H149" s="7" t="s">
        <v>547</v>
      </c>
      <c r="I149" t="s">
        <v>29</v>
      </c>
      <c r="J149">
        <f>LEN(H149)</f>
        <v>8</v>
      </c>
      <c r="K149" s="49" t="s">
        <v>3105</v>
      </c>
      <c r="O149" s="3" t="s">
        <v>7010</v>
      </c>
      <c r="P149" s="3" t="s">
        <v>7010</v>
      </c>
      <c r="Q149" s="3" t="s">
        <v>7010</v>
      </c>
      <c r="R149" s="3" t="s">
        <v>7010</v>
      </c>
      <c r="S149" s="3" t="s">
        <v>7010</v>
      </c>
      <c r="T149" s="3" t="s">
        <v>7010</v>
      </c>
      <c r="U149" s="3" t="s">
        <v>7010</v>
      </c>
      <c r="V149" s="3" t="s">
        <v>7010</v>
      </c>
      <c r="W149" s="74" t="str">
        <f t="shared" si="9"/>
        <v>No</v>
      </c>
      <c r="Z149">
        <v>148</v>
      </c>
      <c r="AA149" s="55" t="s">
        <v>770</v>
      </c>
      <c r="AB149" t="s">
        <v>643</v>
      </c>
      <c r="AC149">
        <f t="shared" si="8"/>
        <v>8</v>
      </c>
      <c r="AD149" s="30" t="s">
        <v>2866</v>
      </c>
      <c r="AF149" t="s">
        <v>7564</v>
      </c>
      <c r="AH149" s="3" t="s">
        <v>7015</v>
      </c>
      <c r="AI149" s="3" t="s">
        <v>7010</v>
      </c>
      <c r="AJ149" s="3" t="s">
        <v>7010</v>
      </c>
      <c r="AK149" s="3" t="s">
        <v>7015</v>
      </c>
      <c r="AL149" s="3" t="s">
        <v>7010</v>
      </c>
      <c r="AM149" s="3" t="s">
        <v>7010</v>
      </c>
      <c r="AN149" s="3" t="s">
        <v>7010</v>
      </c>
      <c r="AO149" s="3" t="s">
        <v>7010</v>
      </c>
      <c r="AP149" s="74" t="s">
        <v>7015</v>
      </c>
      <c r="AU149">
        <v>148</v>
      </c>
      <c r="AV149" t="s">
        <v>2867</v>
      </c>
      <c r="AW149" t="s">
        <v>2279</v>
      </c>
      <c r="AX149">
        <f t="shared" si="10"/>
        <v>13</v>
      </c>
      <c r="AY149" s="30" t="s">
        <v>2868</v>
      </c>
      <c r="BC149" s="3" t="s">
        <v>7010</v>
      </c>
      <c r="BD149" s="3" t="s">
        <v>7010</v>
      </c>
      <c r="BE149" s="3" t="s">
        <v>7010</v>
      </c>
      <c r="BF149" s="3" t="s">
        <v>7010</v>
      </c>
      <c r="BG149" s="3" t="s">
        <v>7010</v>
      </c>
      <c r="BH149" s="3" t="s">
        <v>7010</v>
      </c>
      <c r="BI149" s="3" t="s">
        <v>7010</v>
      </c>
      <c r="BJ149" s="3" t="s">
        <v>7010</v>
      </c>
      <c r="BK149" s="74" t="str">
        <f t="shared" si="11"/>
        <v>No</v>
      </c>
    </row>
    <row r="150" spans="6:63">
      <c r="F150" s="55"/>
      <c r="G150">
        <v>149</v>
      </c>
      <c r="H150" s="7" t="s">
        <v>1230</v>
      </c>
      <c r="I150" t="s">
        <v>29</v>
      </c>
      <c r="J150">
        <f>LEN(H150)</f>
        <v>10</v>
      </c>
      <c r="K150" s="49" t="s">
        <v>4290</v>
      </c>
      <c r="O150" s="3" t="s">
        <v>7010</v>
      </c>
      <c r="P150" s="3" t="s">
        <v>7010</v>
      </c>
      <c r="Q150" s="3" t="s">
        <v>7010</v>
      </c>
      <c r="R150" s="3" t="s">
        <v>7010</v>
      </c>
      <c r="S150" s="3" t="s">
        <v>7010</v>
      </c>
      <c r="T150" s="3" t="s">
        <v>7010</v>
      </c>
      <c r="U150" s="3" t="s">
        <v>7010</v>
      </c>
      <c r="V150" s="3" t="s">
        <v>7010</v>
      </c>
      <c r="W150" s="74" t="str">
        <f t="shared" si="9"/>
        <v>No</v>
      </c>
      <c r="Z150">
        <v>149</v>
      </c>
      <c r="AA150" s="55" t="s">
        <v>771</v>
      </c>
      <c r="AB150" t="s">
        <v>643</v>
      </c>
      <c r="AC150">
        <f t="shared" si="8"/>
        <v>9</v>
      </c>
      <c r="AD150" s="30" t="s">
        <v>2870</v>
      </c>
      <c r="AF150" t="s">
        <v>7565</v>
      </c>
      <c r="AH150" s="3" t="s">
        <v>7015</v>
      </c>
      <c r="AI150" s="3" t="s">
        <v>7010</v>
      </c>
      <c r="AJ150" s="3" t="s">
        <v>7010</v>
      </c>
      <c r="AK150" s="3" t="s">
        <v>7015</v>
      </c>
      <c r="AL150" s="3" t="s">
        <v>7010</v>
      </c>
      <c r="AM150" s="3" t="s">
        <v>7010</v>
      </c>
      <c r="AN150" s="3" t="s">
        <v>7010</v>
      </c>
      <c r="AO150" s="3" t="s">
        <v>7010</v>
      </c>
      <c r="AP150" s="74" t="s">
        <v>7015</v>
      </c>
      <c r="AU150">
        <v>149</v>
      </c>
      <c r="AV150" t="s">
        <v>2871</v>
      </c>
      <c r="AW150" t="s">
        <v>2279</v>
      </c>
      <c r="AX150">
        <f t="shared" si="10"/>
        <v>8</v>
      </c>
      <c r="AY150" s="30" t="s">
        <v>2872</v>
      </c>
      <c r="BC150" s="3" t="s">
        <v>7010</v>
      </c>
      <c r="BD150" s="3" t="s">
        <v>7010</v>
      </c>
      <c r="BE150" s="3" t="s">
        <v>7010</v>
      </c>
      <c r="BF150" s="3" t="s">
        <v>7010</v>
      </c>
      <c r="BG150" s="3" t="s">
        <v>7010</v>
      </c>
      <c r="BH150" s="3" t="s">
        <v>7010</v>
      </c>
      <c r="BI150" s="3" t="s">
        <v>7010</v>
      </c>
      <c r="BJ150" s="3" t="s">
        <v>7010</v>
      </c>
      <c r="BK150" s="74" t="str">
        <f t="shared" si="11"/>
        <v>No</v>
      </c>
    </row>
    <row r="151" spans="6:63">
      <c r="F151" s="55"/>
      <c r="G151">
        <v>150</v>
      </c>
      <c r="H151" s="7" t="s">
        <v>1476</v>
      </c>
      <c r="I151" t="s">
        <v>29</v>
      </c>
      <c r="J151">
        <f>LEN(H151)</f>
        <v>9</v>
      </c>
      <c r="K151" s="49" t="s">
        <v>4915</v>
      </c>
      <c r="O151" s="3" t="s">
        <v>7010</v>
      </c>
      <c r="P151" s="3" t="s">
        <v>7010</v>
      </c>
      <c r="Q151" s="3" t="s">
        <v>7010</v>
      </c>
      <c r="R151" s="3" t="s">
        <v>7010</v>
      </c>
      <c r="S151" s="3" t="s">
        <v>7010</v>
      </c>
      <c r="T151" s="3" t="s">
        <v>7015</v>
      </c>
      <c r="U151" s="3" t="s">
        <v>7010</v>
      </c>
      <c r="V151" s="3" t="s">
        <v>7010</v>
      </c>
      <c r="W151" s="74" t="str">
        <f t="shared" si="9"/>
        <v>Yes</v>
      </c>
      <c r="Z151">
        <v>150</v>
      </c>
      <c r="AA151" s="55" t="s">
        <v>772</v>
      </c>
      <c r="AB151" t="s">
        <v>643</v>
      </c>
      <c r="AC151">
        <f t="shared" si="8"/>
        <v>8</v>
      </c>
      <c r="AD151" s="30" t="s">
        <v>2874</v>
      </c>
      <c r="AF151" t="s">
        <v>7566</v>
      </c>
      <c r="AH151" s="3" t="s">
        <v>7015</v>
      </c>
      <c r="AI151" s="3" t="s">
        <v>7010</v>
      </c>
      <c r="AJ151" s="3" t="s">
        <v>7010</v>
      </c>
      <c r="AK151" s="3" t="s">
        <v>7015</v>
      </c>
      <c r="AL151" s="3" t="s">
        <v>7010</v>
      </c>
      <c r="AM151" s="3" t="s">
        <v>7010</v>
      </c>
      <c r="AN151" s="3" t="s">
        <v>7010</v>
      </c>
      <c r="AO151" s="3" t="s">
        <v>7010</v>
      </c>
      <c r="AP151" s="74" t="s">
        <v>7015</v>
      </c>
      <c r="AU151">
        <v>150</v>
      </c>
      <c r="AV151" t="s">
        <v>2875</v>
      </c>
      <c r="AW151" t="s">
        <v>2279</v>
      </c>
      <c r="AX151">
        <f t="shared" si="10"/>
        <v>8</v>
      </c>
      <c r="AY151" s="30" t="s">
        <v>2876</v>
      </c>
      <c r="BC151" s="3" t="s">
        <v>7010</v>
      </c>
      <c r="BD151" s="3" t="s">
        <v>7010</v>
      </c>
      <c r="BE151" s="3" t="s">
        <v>7010</v>
      </c>
      <c r="BF151" s="3" t="s">
        <v>7010</v>
      </c>
      <c r="BG151" s="3" t="s">
        <v>7010</v>
      </c>
      <c r="BH151" s="3" t="s">
        <v>7010</v>
      </c>
      <c r="BI151" s="3" t="s">
        <v>7010</v>
      </c>
      <c r="BJ151" s="3" t="s">
        <v>7010</v>
      </c>
      <c r="BK151" s="74" t="str">
        <f t="shared" si="11"/>
        <v>No</v>
      </c>
    </row>
    <row r="152" spans="6:63">
      <c r="F152" s="55"/>
      <c r="G152">
        <v>151</v>
      </c>
      <c r="H152" s="7" t="s">
        <v>1390</v>
      </c>
      <c r="I152" t="s">
        <v>29</v>
      </c>
      <c r="J152">
        <f>LEN(H152)</f>
        <v>8</v>
      </c>
      <c r="K152" s="49" t="s">
        <v>4696</v>
      </c>
      <c r="O152" s="3" t="s">
        <v>7010</v>
      </c>
      <c r="P152" s="3" t="s">
        <v>7010</v>
      </c>
      <c r="Q152" s="3" t="s">
        <v>7010</v>
      </c>
      <c r="R152" s="3" t="s">
        <v>7010</v>
      </c>
      <c r="S152" s="3" t="s">
        <v>7010</v>
      </c>
      <c r="T152" s="3" t="s">
        <v>7015</v>
      </c>
      <c r="U152" s="3" t="s">
        <v>7015</v>
      </c>
      <c r="V152" s="3" t="s">
        <v>7015</v>
      </c>
      <c r="W152" s="74" t="str">
        <f t="shared" si="9"/>
        <v>Yes</v>
      </c>
      <c r="Z152">
        <v>151</v>
      </c>
      <c r="AA152" s="55" t="s">
        <v>773</v>
      </c>
      <c r="AB152" t="s">
        <v>643</v>
      </c>
      <c r="AC152">
        <f t="shared" si="8"/>
        <v>6</v>
      </c>
      <c r="AD152" s="30" t="s">
        <v>2878</v>
      </c>
      <c r="AF152" t="s">
        <v>7567</v>
      </c>
      <c r="AH152" s="3" t="s">
        <v>7015</v>
      </c>
      <c r="AI152" s="3" t="s">
        <v>7010</v>
      </c>
      <c r="AJ152" s="3" t="s">
        <v>7010</v>
      </c>
      <c r="AK152" s="3" t="s">
        <v>7015</v>
      </c>
      <c r="AL152" s="3" t="s">
        <v>7010</v>
      </c>
      <c r="AM152" s="3" t="s">
        <v>7010</v>
      </c>
      <c r="AN152" s="3" t="s">
        <v>7010</v>
      </c>
      <c r="AO152" s="3" t="s">
        <v>7010</v>
      </c>
      <c r="AP152" s="74" t="s">
        <v>7015</v>
      </c>
      <c r="AU152">
        <v>151</v>
      </c>
      <c r="AV152" t="s">
        <v>2879</v>
      </c>
      <c r="AW152" t="s">
        <v>2279</v>
      </c>
      <c r="AX152">
        <f t="shared" si="10"/>
        <v>8</v>
      </c>
      <c r="AY152" s="30" t="s">
        <v>2880</v>
      </c>
      <c r="BC152" s="3" t="s">
        <v>7010</v>
      </c>
      <c r="BD152" s="3" t="s">
        <v>7010</v>
      </c>
      <c r="BE152" s="3" t="s">
        <v>7010</v>
      </c>
      <c r="BF152" s="3" t="s">
        <v>7010</v>
      </c>
      <c r="BG152" s="3" t="s">
        <v>7010</v>
      </c>
      <c r="BH152" s="3" t="s">
        <v>7010</v>
      </c>
      <c r="BI152" s="3" t="s">
        <v>7010</v>
      </c>
      <c r="BJ152" s="3" t="s">
        <v>7010</v>
      </c>
      <c r="BK152" s="74" t="str">
        <f t="shared" si="11"/>
        <v>No</v>
      </c>
    </row>
    <row r="153" spans="6:63">
      <c r="F153" s="55"/>
      <c r="G153">
        <v>152</v>
      </c>
      <c r="H153" s="7" t="s">
        <v>1448</v>
      </c>
      <c r="I153" t="s">
        <v>29</v>
      </c>
      <c r="J153">
        <f>LEN(H153)</f>
        <v>10</v>
      </c>
      <c r="K153" s="49" t="s">
        <v>4845</v>
      </c>
      <c r="O153" s="3" t="s">
        <v>7010</v>
      </c>
      <c r="P153" s="3" t="s">
        <v>7010</v>
      </c>
      <c r="Q153" s="3" t="s">
        <v>7010</v>
      </c>
      <c r="R153" s="3" t="s">
        <v>7010</v>
      </c>
      <c r="S153" s="3" t="s">
        <v>7010</v>
      </c>
      <c r="T153" s="3" t="s">
        <v>7010</v>
      </c>
      <c r="U153" s="3" t="s">
        <v>7010</v>
      </c>
      <c r="V153" s="3" t="s">
        <v>7010</v>
      </c>
      <c r="W153" s="74" t="str">
        <f t="shared" si="9"/>
        <v>No</v>
      </c>
      <c r="Z153">
        <v>152</v>
      </c>
      <c r="AA153" s="55" t="s">
        <v>774</v>
      </c>
      <c r="AB153" t="s">
        <v>643</v>
      </c>
      <c r="AC153">
        <f t="shared" si="8"/>
        <v>8</v>
      </c>
      <c r="AD153" s="30" t="s">
        <v>2882</v>
      </c>
      <c r="AF153" t="s">
        <v>7568</v>
      </c>
      <c r="AH153" s="3" t="s">
        <v>7015</v>
      </c>
      <c r="AI153" s="3" t="s">
        <v>7010</v>
      </c>
      <c r="AJ153" s="3" t="s">
        <v>7010</v>
      </c>
      <c r="AK153" s="3" t="s">
        <v>7015</v>
      </c>
      <c r="AL153" s="3" t="s">
        <v>7010</v>
      </c>
      <c r="AM153" s="3" t="s">
        <v>7010</v>
      </c>
      <c r="AN153" s="3" t="s">
        <v>7010</v>
      </c>
      <c r="AO153" s="3" t="s">
        <v>7010</v>
      </c>
      <c r="AP153" s="74" t="s">
        <v>7015</v>
      </c>
      <c r="AU153">
        <v>152</v>
      </c>
      <c r="AV153" t="s">
        <v>2883</v>
      </c>
      <c r="AW153" t="s">
        <v>2279</v>
      </c>
      <c r="AX153">
        <f t="shared" si="10"/>
        <v>8</v>
      </c>
      <c r="AY153" s="30" t="s">
        <v>2884</v>
      </c>
      <c r="BC153" s="3" t="s">
        <v>7010</v>
      </c>
      <c r="BD153" s="3" t="s">
        <v>7010</v>
      </c>
      <c r="BE153" s="3" t="s">
        <v>7015</v>
      </c>
      <c r="BF153" s="3" t="s">
        <v>7010</v>
      </c>
      <c r="BG153" s="3" t="s">
        <v>7010</v>
      </c>
      <c r="BH153" s="3" t="s">
        <v>7010</v>
      </c>
      <c r="BI153" s="3" t="s">
        <v>7010</v>
      </c>
      <c r="BJ153" s="3" t="s">
        <v>7010</v>
      </c>
      <c r="BK153" s="74" t="str">
        <f t="shared" si="11"/>
        <v>Yes</v>
      </c>
    </row>
    <row r="154" spans="6:63">
      <c r="F154" s="55"/>
      <c r="G154">
        <v>153</v>
      </c>
      <c r="H154" s="7" t="s">
        <v>1670</v>
      </c>
      <c r="I154" t="s">
        <v>29</v>
      </c>
      <c r="J154">
        <f>LEN(H154)</f>
        <v>16</v>
      </c>
      <c r="K154" s="49" t="s">
        <v>5405</v>
      </c>
      <c r="O154" s="3" t="s">
        <v>7010</v>
      </c>
      <c r="P154" s="3" t="s">
        <v>7010</v>
      </c>
      <c r="Q154" s="3" t="s">
        <v>7010</v>
      </c>
      <c r="R154" s="3" t="s">
        <v>7010</v>
      </c>
      <c r="S154" s="3" t="s">
        <v>7010</v>
      </c>
      <c r="T154" s="3" t="s">
        <v>7015</v>
      </c>
      <c r="U154" s="3" t="s">
        <v>7015</v>
      </c>
      <c r="V154" s="3" t="s">
        <v>7015</v>
      </c>
      <c r="W154" s="74" t="str">
        <f t="shared" si="9"/>
        <v>Yes</v>
      </c>
      <c r="Z154">
        <v>153</v>
      </c>
      <c r="AA154" s="55">
        <v>7777777</v>
      </c>
      <c r="AB154" t="s">
        <v>643</v>
      </c>
      <c r="AC154">
        <f t="shared" si="8"/>
        <v>7</v>
      </c>
      <c r="AD154" s="30" t="s">
        <v>2886</v>
      </c>
      <c r="AF154" t="s">
        <v>7569</v>
      </c>
      <c r="AH154" s="3" t="s">
        <v>7015</v>
      </c>
      <c r="AI154" s="3" t="s">
        <v>7010</v>
      </c>
      <c r="AJ154" s="3" t="s">
        <v>7010</v>
      </c>
      <c r="AK154" s="3" t="s">
        <v>7015</v>
      </c>
      <c r="AL154" s="3" t="s">
        <v>7010</v>
      </c>
      <c r="AM154" s="3" t="s">
        <v>7010</v>
      </c>
      <c r="AN154" s="3" t="s">
        <v>7010</v>
      </c>
      <c r="AO154" s="3" t="s">
        <v>7010</v>
      </c>
      <c r="AP154" s="74" t="s">
        <v>7015</v>
      </c>
      <c r="AU154">
        <v>153</v>
      </c>
      <c r="AV154" t="s">
        <v>2887</v>
      </c>
      <c r="AW154" t="s">
        <v>2279</v>
      </c>
      <c r="AX154">
        <f t="shared" si="10"/>
        <v>8</v>
      </c>
      <c r="AY154" s="30" t="s">
        <v>2888</v>
      </c>
      <c r="BC154" s="3" t="s">
        <v>7010</v>
      </c>
      <c r="BD154" s="3" t="s">
        <v>7010</v>
      </c>
      <c r="BE154" s="3" t="s">
        <v>7010</v>
      </c>
      <c r="BF154" s="3" t="s">
        <v>7010</v>
      </c>
      <c r="BG154" s="3" t="s">
        <v>7010</v>
      </c>
      <c r="BH154" s="3" t="s">
        <v>7010</v>
      </c>
      <c r="BI154" s="3" t="s">
        <v>7010</v>
      </c>
      <c r="BJ154" s="3" t="s">
        <v>7010</v>
      </c>
      <c r="BK154" s="74" t="str">
        <f t="shared" si="11"/>
        <v>No</v>
      </c>
    </row>
    <row r="155" spans="6:63">
      <c r="F155" s="55"/>
      <c r="G155">
        <v>154</v>
      </c>
      <c r="H155" s="7" t="s">
        <v>1598</v>
      </c>
      <c r="I155" t="s">
        <v>29</v>
      </c>
      <c r="J155">
        <f>LEN(H155)</f>
        <v>12</v>
      </c>
      <c r="K155" s="49" t="s">
        <v>5223</v>
      </c>
      <c r="O155" s="3" t="s">
        <v>7010</v>
      </c>
      <c r="P155" s="3" t="s">
        <v>7010</v>
      </c>
      <c r="Q155" s="3" t="s">
        <v>7010</v>
      </c>
      <c r="R155" s="3" t="s">
        <v>7010</v>
      </c>
      <c r="S155" s="3" t="s">
        <v>7010</v>
      </c>
      <c r="T155" s="3" t="s">
        <v>7010</v>
      </c>
      <c r="U155" s="3" t="s">
        <v>7010</v>
      </c>
      <c r="V155" s="3" t="s">
        <v>7010</v>
      </c>
      <c r="W155" s="74" t="str">
        <f t="shared" si="9"/>
        <v>No</v>
      </c>
      <c r="Z155">
        <v>154</v>
      </c>
      <c r="AA155" s="55" t="s">
        <v>775</v>
      </c>
      <c r="AB155" t="s">
        <v>643</v>
      </c>
      <c r="AC155">
        <f t="shared" si="8"/>
        <v>6</v>
      </c>
      <c r="AD155" s="30" t="s">
        <v>2890</v>
      </c>
      <c r="AF155" t="s">
        <v>7570</v>
      </c>
      <c r="AH155" s="3" t="s">
        <v>7015</v>
      </c>
      <c r="AI155" s="3" t="s">
        <v>7010</v>
      </c>
      <c r="AJ155" s="3" t="s">
        <v>7010</v>
      </c>
      <c r="AK155" s="3" t="s">
        <v>7015</v>
      </c>
      <c r="AL155" s="3" t="s">
        <v>7010</v>
      </c>
      <c r="AM155" s="3" t="s">
        <v>7010</v>
      </c>
      <c r="AN155" s="3" t="s">
        <v>7010</v>
      </c>
      <c r="AO155" s="3" t="s">
        <v>7010</v>
      </c>
      <c r="AP155" s="74" t="s">
        <v>7015</v>
      </c>
      <c r="AU155">
        <v>154</v>
      </c>
      <c r="AV155" t="s">
        <v>2891</v>
      </c>
      <c r="AW155" t="s">
        <v>2279</v>
      </c>
      <c r="AX155">
        <f t="shared" si="10"/>
        <v>8</v>
      </c>
      <c r="AY155" s="30" t="s">
        <v>2892</v>
      </c>
      <c r="BC155" s="3" t="s">
        <v>7010</v>
      </c>
      <c r="BD155" s="3" t="s">
        <v>7010</v>
      </c>
      <c r="BE155" s="3" t="s">
        <v>7010</v>
      </c>
      <c r="BF155" s="3" t="s">
        <v>7010</v>
      </c>
      <c r="BG155" s="3" t="s">
        <v>7010</v>
      </c>
      <c r="BH155" s="3" t="s">
        <v>7010</v>
      </c>
      <c r="BI155" s="3" t="s">
        <v>7010</v>
      </c>
      <c r="BJ155" s="3" t="s">
        <v>7010</v>
      </c>
      <c r="BK155" s="74" t="str">
        <f t="shared" si="11"/>
        <v>No</v>
      </c>
    </row>
    <row r="156" spans="6:63">
      <c r="F156" s="55"/>
      <c r="G156">
        <v>155</v>
      </c>
      <c r="H156" s="7" t="s">
        <v>527</v>
      </c>
      <c r="I156" t="s">
        <v>29</v>
      </c>
      <c r="J156">
        <f>LEN(H156)</f>
        <v>13</v>
      </c>
      <c r="K156" s="49" t="s">
        <v>3025</v>
      </c>
      <c r="O156" s="3" t="s">
        <v>7015</v>
      </c>
      <c r="P156" s="3" t="s">
        <v>7010</v>
      </c>
      <c r="Q156" s="3" t="s">
        <v>7010</v>
      </c>
      <c r="R156" s="3" t="s">
        <v>7010</v>
      </c>
      <c r="S156" s="3" t="s">
        <v>7010</v>
      </c>
      <c r="T156" s="3" t="s">
        <v>7010</v>
      </c>
      <c r="U156" s="3" t="s">
        <v>7010</v>
      </c>
      <c r="V156" s="3" t="s">
        <v>7010</v>
      </c>
      <c r="W156" s="74" t="str">
        <f t="shared" si="9"/>
        <v>Yes</v>
      </c>
      <c r="Z156">
        <v>155</v>
      </c>
      <c r="AA156" s="55">
        <v>159753</v>
      </c>
      <c r="AB156" t="s">
        <v>643</v>
      </c>
      <c r="AC156">
        <f t="shared" si="8"/>
        <v>6</v>
      </c>
      <c r="AD156" s="30" t="s">
        <v>2894</v>
      </c>
      <c r="AF156" t="s">
        <v>7571</v>
      </c>
      <c r="AH156" s="3" t="s">
        <v>7015</v>
      </c>
      <c r="AI156" s="3" t="s">
        <v>7010</v>
      </c>
      <c r="AJ156" s="3" t="s">
        <v>7010</v>
      </c>
      <c r="AK156" s="3" t="s">
        <v>7015</v>
      </c>
      <c r="AL156" s="3" t="s">
        <v>7010</v>
      </c>
      <c r="AM156" s="3" t="s">
        <v>7010</v>
      </c>
      <c r="AN156" s="3" t="s">
        <v>7010</v>
      </c>
      <c r="AO156" s="3" t="s">
        <v>7010</v>
      </c>
      <c r="AP156" s="74" t="s">
        <v>7015</v>
      </c>
      <c r="AU156">
        <v>155</v>
      </c>
      <c r="AV156" t="s">
        <v>2895</v>
      </c>
      <c r="AW156" t="s">
        <v>2279</v>
      </c>
      <c r="AX156">
        <f t="shared" si="10"/>
        <v>14</v>
      </c>
      <c r="AY156" s="30" t="s">
        <v>2896</v>
      </c>
      <c r="BC156" s="3" t="s">
        <v>7010</v>
      </c>
      <c r="BD156" s="3" t="s">
        <v>7010</v>
      </c>
      <c r="BE156" s="3" t="s">
        <v>7010</v>
      </c>
      <c r="BF156" s="3" t="s">
        <v>7010</v>
      </c>
      <c r="BG156" s="3" t="s">
        <v>7010</v>
      </c>
      <c r="BH156" s="3" t="s">
        <v>7010</v>
      </c>
      <c r="BI156" s="3" t="s">
        <v>7010</v>
      </c>
      <c r="BJ156" s="3" t="s">
        <v>7010</v>
      </c>
      <c r="BK156" s="74" t="str">
        <f t="shared" si="11"/>
        <v>No</v>
      </c>
    </row>
    <row r="157" spans="6:63">
      <c r="F157" s="55"/>
      <c r="G157">
        <v>156</v>
      </c>
      <c r="H157" s="7" t="s">
        <v>52</v>
      </c>
      <c r="I157" t="s">
        <v>29</v>
      </c>
      <c r="J157">
        <f>LEN(H157)</f>
        <v>20</v>
      </c>
      <c r="K157" s="49" t="s">
        <v>2281</v>
      </c>
      <c r="O157" s="3" t="s">
        <v>7010</v>
      </c>
      <c r="P157" s="3" t="s">
        <v>7010</v>
      </c>
      <c r="Q157" s="3" t="s">
        <v>7010</v>
      </c>
      <c r="R157" s="3" t="s">
        <v>7010</v>
      </c>
      <c r="S157" s="3" t="s">
        <v>7010</v>
      </c>
      <c r="T157" s="3" t="s">
        <v>7010</v>
      </c>
      <c r="U157" s="3" t="s">
        <v>7010</v>
      </c>
      <c r="V157" s="3" t="s">
        <v>7010</v>
      </c>
      <c r="W157" s="74" t="str">
        <f t="shared" si="9"/>
        <v>No</v>
      </c>
      <c r="Z157">
        <v>156</v>
      </c>
      <c r="AA157" s="55" t="s">
        <v>776</v>
      </c>
      <c r="AB157" t="s">
        <v>643</v>
      </c>
      <c r="AC157">
        <f t="shared" si="8"/>
        <v>7</v>
      </c>
      <c r="AD157" s="30" t="s">
        <v>2898</v>
      </c>
      <c r="AF157" t="s">
        <v>7572</v>
      </c>
      <c r="AH157" s="3" t="s">
        <v>7015</v>
      </c>
      <c r="AI157" s="3" t="s">
        <v>7010</v>
      </c>
      <c r="AJ157" s="3" t="s">
        <v>7010</v>
      </c>
      <c r="AK157" s="3" t="s">
        <v>7015</v>
      </c>
      <c r="AL157" s="3" t="s">
        <v>7010</v>
      </c>
      <c r="AM157" s="3" t="s">
        <v>7010</v>
      </c>
      <c r="AN157" s="3" t="s">
        <v>7010</v>
      </c>
      <c r="AO157" s="3" t="s">
        <v>7010</v>
      </c>
      <c r="AP157" s="74" t="s">
        <v>7015</v>
      </c>
      <c r="AU157">
        <v>156</v>
      </c>
      <c r="AV157" t="s">
        <v>2899</v>
      </c>
      <c r="AW157" t="s">
        <v>2279</v>
      </c>
      <c r="AX157">
        <f t="shared" si="10"/>
        <v>12</v>
      </c>
      <c r="AY157" s="30" t="s">
        <v>2900</v>
      </c>
      <c r="BC157" s="3" t="s">
        <v>7010</v>
      </c>
      <c r="BD157" s="3" t="s">
        <v>7010</v>
      </c>
      <c r="BE157" s="3" t="s">
        <v>7010</v>
      </c>
      <c r="BF157" s="3" t="s">
        <v>7010</v>
      </c>
      <c r="BG157" s="3" t="s">
        <v>7010</v>
      </c>
      <c r="BH157" s="3" t="s">
        <v>7010</v>
      </c>
      <c r="BI157" s="3" t="s">
        <v>7010</v>
      </c>
      <c r="BJ157" s="3" t="s">
        <v>7010</v>
      </c>
      <c r="BK157" s="74" t="str">
        <f t="shared" si="11"/>
        <v>No</v>
      </c>
    </row>
    <row r="158" spans="6:63">
      <c r="F158" s="55"/>
      <c r="G158">
        <v>157</v>
      </c>
      <c r="H158" s="7" t="s">
        <v>605</v>
      </c>
      <c r="I158" t="s">
        <v>29</v>
      </c>
      <c r="J158">
        <f>LEN(H158)</f>
        <v>10</v>
      </c>
      <c r="K158" s="49" t="s">
        <v>3337</v>
      </c>
      <c r="O158" s="3" t="s">
        <v>7010</v>
      </c>
      <c r="P158" s="3" t="s">
        <v>7010</v>
      </c>
      <c r="Q158" s="3" t="s">
        <v>7010</v>
      </c>
      <c r="R158" s="3" t="s">
        <v>7015</v>
      </c>
      <c r="S158" s="3" t="s">
        <v>7010</v>
      </c>
      <c r="T158" s="3" t="s">
        <v>7015</v>
      </c>
      <c r="U158" s="3" t="s">
        <v>7010</v>
      </c>
      <c r="V158" s="3" t="s">
        <v>7010</v>
      </c>
      <c r="W158" s="74" t="str">
        <f t="shared" si="9"/>
        <v>Yes</v>
      </c>
      <c r="Z158">
        <v>157</v>
      </c>
      <c r="AA158" s="55" t="s">
        <v>777</v>
      </c>
      <c r="AB158" t="s">
        <v>643</v>
      </c>
      <c r="AC158">
        <f t="shared" si="8"/>
        <v>7</v>
      </c>
      <c r="AD158" s="30" t="s">
        <v>2902</v>
      </c>
      <c r="AF158" t="s">
        <v>7573</v>
      </c>
      <c r="AH158" s="3" t="s">
        <v>7015</v>
      </c>
      <c r="AI158" s="3" t="s">
        <v>7010</v>
      </c>
      <c r="AJ158" s="3" t="s">
        <v>7010</v>
      </c>
      <c r="AK158" s="3" t="s">
        <v>7015</v>
      </c>
      <c r="AL158" s="3" t="s">
        <v>7010</v>
      </c>
      <c r="AM158" s="3" t="s">
        <v>7010</v>
      </c>
      <c r="AN158" s="3" t="s">
        <v>7010</v>
      </c>
      <c r="AO158" s="3" t="s">
        <v>7010</v>
      </c>
      <c r="AP158" s="74" t="s">
        <v>7015</v>
      </c>
      <c r="AU158">
        <v>157</v>
      </c>
      <c r="AV158" t="s">
        <v>2903</v>
      </c>
      <c r="AW158" t="s">
        <v>2279</v>
      </c>
      <c r="AX158">
        <f t="shared" si="10"/>
        <v>8</v>
      </c>
      <c r="AY158" s="30" t="s">
        <v>2904</v>
      </c>
      <c r="BC158" s="3" t="s">
        <v>7015</v>
      </c>
      <c r="BD158" s="3" t="s">
        <v>7010</v>
      </c>
      <c r="BE158" s="3" t="s">
        <v>7010</v>
      </c>
      <c r="BF158" s="3" t="s">
        <v>7010</v>
      </c>
      <c r="BG158" s="3" t="s">
        <v>7010</v>
      </c>
      <c r="BH158" s="3" t="s">
        <v>7010</v>
      </c>
      <c r="BI158" s="3" t="s">
        <v>7010</v>
      </c>
      <c r="BJ158" s="3" t="s">
        <v>7010</v>
      </c>
      <c r="BK158" s="74" t="str">
        <f t="shared" si="11"/>
        <v>Yes</v>
      </c>
    </row>
    <row r="159" spans="6:63">
      <c r="F159" s="55"/>
      <c r="G159">
        <v>158</v>
      </c>
      <c r="H159" s="7" t="s">
        <v>1878</v>
      </c>
      <c r="I159" t="s">
        <v>29</v>
      </c>
      <c r="J159">
        <f>LEN(H159)</f>
        <v>11</v>
      </c>
      <c r="K159" s="49" t="s">
        <v>5999</v>
      </c>
      <c r="O159" s="3" t="s">
        <v>7010</v>
      </c>
      <c r="P159" s="3" t="s">
        <v>7010</v>
      </c>
      <c r="Q159" s="3" t="s">
        <v>7010</v>
      </c>
      <c r="R159" s="3" t="s">
        <v>7010</v>
      </c>
      <c r="S159" s="3" t="s">
        <v>7010</v>
      </c>
      <c r="T159" s="3" t="s">
        <v>7015</v>
      </c>
      <c r="U159" s="3" t="s">
        <v>7010</v>
      </c>
      <c r="V159" s="3" t="s">
        <v>7010</v>
      </c>
      <c r="W159" s="74" t="str">
        <f t="shared" si="9"/>
        <v>Yes</v>
      </c>
      <c r="Z159">
        <v>158</v>
      </c>
      <c r="AA159" s="55" t="s">
        <v>778</v>
      </c>
      <c r="AB159" t="s">
        <v>643</v>
      </c>
      <c r="AC159">
        <f t="shared" si="8"/>
        <v>7</v>
      </c>
      <c r="AD159" s="30" t="s">
        <v>2906</v>
      </c>
      <c r="AF159" t="s">
        <v>7574</v>
      </c>
      <c r="AH159" s="3" t="s">
        <v>7015</v>
      </c>
      <c r="AI159" s="3" t="s">
        <v>7010</v>
      </c>
      <c r="AJ159" s="3" t="s">
        <v>7010</v>
      </c>
      <c r="AK159" s="3" t="s">
        <v>7015</v>
      </c>
      <c r="AL159" s="3" t="s">
        <v>7010</v>
      </c>
      <c r="AM159" s="3" t="s">
        <v>7010</v>
      </c>
      <c r="AN159" s="3" t="s">
        <v>7010</v>
      </c>
      <c r="AO159" s="3" t="s">
        <v>7010</v>
      </c>
      <c r="AP159" s="74" t="s">
        <v>7015</v>
      </c>
      <c r="AU159">
        <v>158</v>
      </c>
      <c r="AV159" t="s">
        <v>2907</v>
      </c>
      <c r="AW159" t="s">
        <v>2279</v>
      </c>
      <c r="AX159">
        <f t="shared" si="10"/>
        <v>8</v>
      </c>
      <c r="AY159" s="30" t="s">
        <v>2908</v>
      </c>
      <c r="BC159" s="3" t="s">
        <v>7010</v>
      </c>
      <c r="BD159" s="3" t="s">
        <v>7010</v>
      </c>
      <c r="BE159" s="3" t="s">
        <v>7010</v>
      </c>
      <c r="BF159" s="3" t="s">
        <v>7010</v>
      </c>
      <c r="BG159" s="3" t="s">
        <v>7010</v>
      </c>
      <c r="BH159" s="3" t="s">
        <v>7010</v>
      </c>
      <c r="BI159" s="3" t="s">
        <v>7010</v>
      </c>
      <c r="BJ159" s="3" t="s">
        <v>7010</v>
      </c>
      <c r="BK159" s="74" t="str">
        <f t="shared" si="11"/>
        <v>No</v>
      </c>
    </row>
    <row r="160" spans="6:63">
      <c r="F160" s="55"/>
      <c r="G160">
        <v>159</v>
      </c>
      <c r="H160" s="7" t="s">
        <v>2013</v>
      </c>
      <c r="I160" t="s">
        <v>29</v>
      </c>
      <c r="J160">
        <f>LEN(H160)</f>
        <v>12</v>
      </c>
      <c r="K160" s="49" t="s">
        <v>6361</v>
      </c>
      <c r="O160" s="3" t="s">
        <v>7010</v>
      </c>
      <c r="P160" s="3" t="s">
        <v>7010</v>
      </c>
      <c r="Q160" s="3" t="s">
        <v>7010</v>
      </c>
      <c r="R160" s="3" t="s">
        <v>7010</v>
      </c>
      <c r="S160" s="3" t="s">
        <v>7010</v>
      </c>
      <c r="T160" s="3" t="s">
        <v>7015</v>
      </c>
      <c r="U160" s="3" t="s">
        <v>7010</v>
      </c>
      <c r="V160" s="3" t="s">
        <v>7010</v>
      </c>
      <c r="W160" s="74" t="str">
        <f t="shared" si="9"/>
        <v>Yes</v>
      </c>
      <c r="Z160">
        <v>159</v>
      </c>
      <c r="AA160" s="55" t="s">
        <v>779</v>
      </c>
      <c r="AB160" t="s">
        <v>643</v>
      </c>
      <c r="AC160">
        <f t="shared" si="8"/>
        <v>7</v>
      </c>
      <c r="AD160" s="30" t="s">
        <v>2910</v>
      </c>
      <c r="AF160" t="s">
        <v>7575</v>
      </c>
      <c r="AH160" s="3" t="s">
        <v>7015</v>
      </c>
      <c r="AI160" s="3" t="s">
        <v>7010</v>
      </c>
      <c r="AJ160" s="3" t="s">
        <v>7010</v>
      </c>
      <c r="AK160" s="3" t="s">
        <v>7015</v>
      </c>
      <c r="AL160" s="3" t="s">
        <v>7010</v>
      </c>
      <c r="AM160" s="3" t="s">
        <v>7010</v>
      </c>
      <c r="AN160" s="3" t="s">
        <v>7010</v>
      </c>
      <c r="AO160" s="3" t="s">
        <v>7010</v>
      </c>
      <c r="AP160" s="74" t="s">
        <v>7015</v>
      </c>
      <c r="AU160">
        <v>159</v>
      </c>
      <c r="AV160" t="s">
        <v>2911</v>
      </c>
      <c r="AW160" t="s">
        <v>2279</v>
      </c>
      <c r="AX160">
        <f t="shared" si="10"/>
        <v>8</v>
      </c>
      <c r="AY160" s="30" t="s">
        <v>2912</v>
      </c>
      <c r="BC160" s="3" t="s">
        <v>7015</v>
      </c>
      <c r="BD160" s="3" t="s">
        <v>7010</v>
      </c>
      <c r="BE160" s="3" t="s">
        <v>7015</v>
      </c>
      <c r="BF160" s="3" t="s">
        <v>7010</v>
      </c>
      <c r="BG160" s="3" t="s">
        <v>7010</v>
      </c>
      <c r="BH160" s="3" t="s">
        <v>7010</v>
      </c>
      <c r="BI160" s="3" t="s">
        <v>7010</v>
      </c>
      <c r="BJ160" s="3" t="s">
        <v>7010</v>
      </c>
      <c r="BK160" s="74" t="str">
        <f t="shared" si="11"/>
        <v>Yes</v>
      </c>
    </row>
    <row r="161" spans="6:63">
      <c r="F161" s="55"/>
      <c r="G161">
        <v>160</v>
      </c>
      <c r="H161" s="7" t="s">
        <v>406</v>
      </c>
      <c r="I161" t="s">
        <v>29</v>
      </c>
      <c r="J161">
        <f>LEN(H161)</f>
        <v>10</v>
      </c>
      <c r="K161" s="49" t="s">
        <v>2541</v>
      </c>
      <c r="O161" s="3" t="s">
        <v>7010</v>
      </c>
      <c r="P161" s="3" t="s">
        <v>7010</v>
      </c>
      <c r="Q161" s="3" t="s">
        <v>7010</v>
      </c>
      <c r="R161" s="3" t="s">
        <v>7010</v>
      </c>
      <c r="S161" s="3" t="s">
        <v>7010</v>
      </c>
      <c r="T161" s="3" t="s">
        <v>7015</v>
      </c>
      <c r="U161" s="3" t="s">
        <v>7010</v>
      </c>
      <c r="V161" s="3" t="s">
        <v>7010</v>
      </c>
      <c r="W161" s="74" t="str">
        <f t="shared" si="9"/>
        <v>Yes</v>
      </c>
      <c r="Z161">
        <v>160</v>
      </c>
      <c r="AA161" s="55" t="s">
        <v>780</v>
      </c>
      <c r="AB161" t="s">
        <v>643</v>
      </c>
      <c r="AC161">
        <f t="shared" si="8"/>
        <v>5</v>
      </c>
      <c r="AD161" s="30" t="s">
        <v>2914</v>
      </c>
      <c r="AF161" t="s">
        <v>7576</v>
      </c>
      <c r="AH161" s="3" t="s">
        <v>7015</v>
      </c>
      <c r="AI161" s="3" t="s">
        <v>7010</v>
      </c>
      <c r="AJ161" s="3" t="s">
        <v>7010</v>
      </c>
      <c r="AK161" s="3" t="s">
        <v>7015</v>
      </c>
      <c r="AL161" s="3" t="s">
        <v>7010</v>
      </c>
      <c r="AM161" s="3" t="s">
        <v>7010</v>
      </c>
      <c r="AN161" s="3" t="s">
        <v>7010</v>
      </c>
      <c r="AO161" s="3" t="s">
        <v>7010</v>
      </c>
      <c r="AP161" s="74" t="s">
        <v>7015</v>
      </c>
      <c r="AU161">
        <v>160</v>
      </c>
      <c r="AV161" t="s">
        <v>2915</v>
      </c>
      <c r="AW161" t="s">
        <v>2279</v>
      </c>
      <c r="AX161">
        <f t="shared" si="10"/>
        <v>9</v>
      </c>
      <c r="AY161" s="30" t="s">
        <v>2916</v>
      </c>
      <c r="BC161" s="3" t="s">
        <v>7010</v>
      </c>
      <c r="BD161" s="3" t="s">
        <v>7010</v>
      </c>
      <c r="BE161" s="3" t="s">
        <v>7010</v>
      </c>
      <c r="BF161" s="3" t="s">
        <v>7010</v>
      </c>
      <c r="BG161" s="3" t="s">
        <v>7010</v>
      </c>
      <c r="BH161" s="3" t="s">
        <v>7010</v>
      </c>
      <c r="BI161" s="3" t="s">
        <v>7010</v>
      </c>
      <c r="BJ161" s="3" t="s">
        <v>7010</v>
      </c>
      <c r="BK161" s="74" t="str">
        <f t="shared" si="11"/>
        <v>No</v>
      </c>
    </row>
    <row r="162" spans="6:63">
      <c r="F162" s="55"/>
      <c r="G162">
        <v>161</v>
      </c>
      <c r="H162" s="7" t="s">
        <v>1036</v>
      </c>
      <c r="I162" t="s">
        <v>29</v>
      </c>
      <c r="J162">
        <f>LEN(H162)</f>
        <v>12</v>
      </c>
      <c r="K162" s="49" t="s">
        <v>3792</v>
      </c>
      <c r="O162" s="3" t="s">
        <v>7010</v>
      </c>
      <c r="P162" s="3" t="s">
        <v>7010</v>
      </c>
      <c r="Q162" s="3" t="s">
        <v>7010</v>
      </c>
      <c r="R162" s="3" t="s">
        <v>7010</v>
      </c>
      <c r="S162" s="3" t="s">
        <v>7010</v>
      </c>
      <c r="T162" s="3" t="s">
        <v>7010</v>
      </c>
      <c r="U162" s="3" t="s">
        <v>7010</v>
      </c>
      <c r="V162" s="3" t="s">
        <v>7010</v>
      </c>
      <c r="W162" s="74" t="str">
        <f t="shared" si="9"/>
        <v>No</v>
      </c>
      <c r="Z162">
        <v>161</v>
      </c>
      <c r="AA162" s="55" t="s">
        <v>781</v>
      </c>
      <c r="AB162" t="s">
        <v>643</v>
      </c>
      <c r="AC162">
        <f t="shared" si="8"/>
        <v>6</v>
      </c>
      <c r="AD162" s="30" t="s">
        <v>2918</v>
      </c>
      <c r="AF162" t="s">
        <v>7577</v>
      </c>
      <c r="AH162" s="3" t="s">
        <v>7015</v>
      </c>
      <c r="AI162" s="3" t="s">
        <v>7010</v>
      </c>
      <c r="AJ162" s="3" t="s">
        <v>7010</v>
      </c>
      <c r="AK162" s="3" t="s">
        <v>7015</v>
      </c>
      <c r="AL162" s="3" t="s">
        <v>7010</v>
      </c>
      <c r="AM162" s="3" t="s">
        <v>7010</v>
      </c>
      <c r="AN162" s="3" t="s">
        <v>7010</v>
      </c>
      <c r="AO162" s="3" t="s">
        <v>7010</v>
      </c>
      <c r="AP162" s="74" t="s">
        <v>7015</v>
      </c>
      <c r="AU162">
        <v>161</v>
      </c>
      <c r="AV162" t="s">
        <v>2919</v>
      </c>
      <c r="AW162" t="s">
        <v>2279</v>
      </c>
      <c r="AX162">
        <f t="shared" si="10"/>
        <v>10</v>
      </c>
      <c r="AY162" s="30" t="s">
        <v>2920</v>
      </c>
      <c r="BC162" s="3" t="s">
        <v>7010</v>
      </c>
      <c r="BD162" s="3" t="s">
        <v>7010</v>
      </c>
      <c r="BE162" s="3" t="s">
        <v>7010</v>
      </c>
      <c r="BF162" s="3" t="s">
        <v>7010</v>
      </c>
      <c r="BG162" s="3" t="s">
        <v>7010</v>
      </c>
      <c r="BH162" s="3" t="s">
        <v>7010</v>
      </c>
      <c r="BI162" s="3" t="s">
        <v>7010</v>
      </c>
      <c r="BJ162" s="3" t="s">
        <v>7010</v>
      </c>
      <c r="BK162" s="74" t="str">
        <f t="shared" si="11"/>
        <v>No</v>
      </c>
    </row>
    <row r="163" spans="6:63">
      <c r="F163" s="55"/>
      <c r="G163">
        <v>162</v>
      </c>
      <c r="H163" s="7" t="s">
        <v>1520</v>
      </c>
      <c r="I163" t="s">
        <v>29</v>
      </c>
      <c r="J163">
        <f>LEN(H163)</f>
        <v>10</v>
      </c>
      <c r="K163" s="49" t="s">
        <v>5026</v>
      </c>
      <c r="O163" s="3" t="s">
        <v>7010</v>
      </c>
      <c r="P163" s="3" t="s">
        <v>7010</v>
      </c>
      <c r="Q163" s="3" t="s">
        <v>7010</v>
      </c>
      <c r="R163" s="3" t="s">
        <v>7010</v>
      </c>
      <c r="S163" s="3" t="s">
        <v>7010</v>
      </c>
      <c r="T163" s="3" t="s">
        <v>7010</v>
      </c>
      <c r="U163" s="3" t="s">
        <v>7015</v>
      </c>
      <c r="V163" s="3" t="s">
        <v>7010</v>
      </c>
      <c r="W163" s="74" t="str">
        <f t="shared" si="9"/>
        <v>Yes</v>
      </c>
      <c r="Z163">
        <v>162</v>
      </c>
      <c r="AA163" s="55" t="s">
        <v>782</v>
      </c>
      <c r="AB163" t="s">
        <v>643</v>
      </c>
      <c r="AC163">
        <f t="shared" si="8"/>
        <v>9</v>
      </c>
      <c r="AD163" s="30" t="s">
        <v>2922</v>
      </c>
      <c r="AF163" t="s">
        <v>7578</v>
      </c>
      <c r="AH163" s="3" t="s">
        <v>7015</v>
      </c>
      <c r="AI163" s="3" t="s">
        <v>7010</v>
      </c>
      <c r="AJ163" s="3" t="s">
        <v>7010</v>
      </c>
      <c r="AK163" s="3" t="s">
        <v>7015</v>
      </c>
      <c r="AL163" s="3" t="s">
        <v>7010</v>
      </c>
      <c r="AM163" s="3" t="s">
        <v>7010</v>
      </c>
      <c r="AN163" s="3" t="s">
        <v>7010</v>
      </c>
      <c r="AO163" s="3" t="s">
        <v>7010</v>
      </c>
      <c r="AP163" s="74" t="s">
        <v>7015</v>
      </c>
      <c r="AU163">
        <v>162</v>
      </c>
      <c r="AV163" t="s">
        <v>2923</v>
      </c>
      <c r="AW163" t="s">
        <v>2279</v>
      </c>
      <c r="AX163">
        <f t="shared" si="10"/>
        <v>10</v>
      </c>
      <c r="AY163" s="30" t="s">
        <v>2924</v>
      </c>
      <c r="BC163" s="3" t="s">
        <v>7010</v>
      </c>
      <c r="BD163" s="3" t="s">
        <v>7010</v>
      </c>
      <c r="BE163" s="3" t="s">
        <v>7010</v>
      </c>
      <c r="BF163" s="3" t="s">
        <v>7010</v>
      </c>
      <c r="BG163" s="3" t="s">
        <v>7010</v>
      </c>
      <c r="BH163" s="3" t="s">
        <v>7010</v>
      </c>
      <c r="BI163" s="3" t="s">
        <v>7010</v>
      </c>
      <c r="BJ163" s="3" t="s">
        <v>7010</v>
      </c>
      <c r="BK163" s="74" t="str">
        <f t="shared" si="11"/>
        <v>No</v>
      </c>
    </row>
    <row r="164" spans="6:63">
      <c r="F164" s="55"/>
      <c r="G164">
        <v>163</v>
      </c>
      <c r="H164" s="7" t="s">
        <v>1430</v>
      </c>
      <c r="I164" t="s">
        <v>29</v>
      </c>
      <c r="J164">
        <f>LEN(H164)</f>
        <v>10</v>
      </c>
      <c r="K164" s="49" t="s">
        <v>4799</v>
      </c>
      <c r="O164" s="3" t="s">
        <v>7010</v>
      </c>
      <c r="P164" s="3" t="s">
        <v>7010</v>
      </c>
      <c r="Q164" s="3" t="s">
        <v>7010</v>
      </c>
      <c r="R164" s="3" t="s">
        <v>7010</v>
      </c>
      <c r="S164" s="3" t="s">
        <v>7010</v>
      </c>
      <c r="T164" s="3" t="s">
        <v>7010</v>
      </c>
      <c r="U164" s="3" t="s">
        <v>7010</v>
      </c>
      <c r="V164" s="3" t="s">
        <v>7010</v>
      </c>
      <c r="W164" s="74" t="str">
        <f t="shared" si="9"/>
        <v>No</v>
      </c>
      <c r="Z164">
        <v>163</v>
      </c>
      <c r="AA164" s="55" t="s">
        <v>783</v>
      </c>
      <c r="AB164" t="s">
        <v>643</v>
      </c>
      <c r="AC164">
        <f t="shared" si="8"/>
        <v>6</v>
      </c>
      <c r="AD164" s="30" t="s">
        <v>2926</v>
      </c>
      <c r="AF164" t="s">
        <v>7579</v>
      </c>
      <c r="AH164" s="3" t="s">
        <v>7015</v>
      </c>
      <c r="AI164" s="3" t="s">
        <v>7010</v>
      </c>
      <c r="AJ164" s="3" t="s">
        <v>7010</v>
      </c>
      <c r="AK164" s="3" t="s">
        <v>7015</v>
      </c>
      <c r="AL164" s="3" t="s">
        <v>7010</v>
      </c>
      <c r="AM164" s="3" t="s">
        <v>7010</v>
      </c>
      <c r="AN164" s="3" t="s">
        <v>7010</v>
      </c>
      <c r="AO164" s="3" t="s">
        <v>7010</v>
      </c>
      <c r="AP164" s="74" t="s">
        <v>7015</v>
      </c>
      <c r="AU164">
        <v>163</v>
      </c>
      <c r="AV164" t="s">
        <v>2927</v>
      </c>
      <c r="AW164" t="s">
        <v>2279</v>
      </c>
      <c r="AX164">
        <f t="shared" si="10"/>
        <v>9</v>
      </c>
      <c r="AY164" s="30" t="s">
        <v>2928</v>
      </c>
      <c r="BC164" s="3" t="s">
        <v>7010</v>
      </c>
      <c r="BD164" s="3" t="s">
        <v>7010</v>
      </c>
      <c r="BE164" s="3" t="s">
        <v>7010</v>
      </c>
      <c r="BF164" s="3" t="s">
        <v>7010</v>
      </c>
      <c r="BG164" s="3" t="s">
        <v>7010</v>
      </c>
      <c r="BH164" s="3" t="s">
        <v>7010</v>
      </c>
      <c r="BI164" s="3" t="s">
        <v>7010</v>
      </c>
      <c r="BJ164" s="3" t="s">
        <v>7010</v>
      </c>
      <c r="BK164" s="74" t="str">
        <f t="shared" si="11"/>
        <v>No</v>
      </c>
    </row>
    <row r="165" spans="6:63">
      <c r="F165" s="55"/>
      <c r="G165">
        <v>164</v>
      </c>
      <c r="H165" s="7" t="s">
        <v>1322</v>
      </c>
      <c r="I165" t="s">
        <v>29</v>
      </c>
      <c r="J165">
        <f>LEN(H165)</f>
        <v>9</v>
      </c>
      <c r="K165" s="49" t="s">
        <v>4521</v>
      </c>
      <c r="O165" s="3" t="s">
        <v>7010</v>
      </c>
      <c r="P165" s="3" t="s">
        <v>7010</v>
      </c>
      <c r="Q165" s="3" t="s">
        <v>7010</v>
      </c>
      <c r="R165" s="3" t="s">
        <v>7010</v>
      </c>
      <c r="S165" s="3" t="s">
        <v>7010</v>
      </c>
      <c r="T165" s="3" t="s">
        <v>7010</v>
      </c>
      <c r="U165" s="3" t="s">
        <v>7010</v>
      </c>
      <c r="V165" s="3" t="s">
        <v>7010</v>
      </c>
      <c r="W165" s="74" t="str">
        <f t="shared" si="9"/>
        <v>No</v>
      </c>
      <c r="Z165">
        <v>164</v>
      </c>
      <c r="AA165" s="55" t="s">
        <v>784</v>
      </c>
      <c r="AB165" t="s">
        <v>643</v>
      </c>
      <c r="AC165">
        <f t="shared" si="8"/>
        <v>8</v>
      </c>
      <c r="AD165" s="30" t="s">
        <v>2930</v>
      </c>
      <c r="AF165" t="s">
        <v>7580</v>
      </c>
      <c r="AH165" s="3" t="s">
        <v>7015</v>
      </c>
      <c r="AI165" s="3" t="s">
        <v>7010</v>
      </c>
      <c r="AJ165" s="3" t="s">
        <v>7010</v>
      </c>
      <c r="AK165" s="3" t="s">
        <v>7015</v>
      </c>
      <c r="AL165" s="3" t="s">
        <v>7010</v>
      </c>
      <c r="AM165" s="3" t="s">
        <v>7010</v>
      </c>
      <c r="AN165" s="3" t="s">
        <v>7010</v>
      </c>
      <c r="AO165" s="3" t="s">
        <v>7010</v>
      </c>
      <c r="AP165" s="74" t="s">
        <v>7015</v>
      </c>
      <c r="AU165">
        <v>164</v>
      </c>
      <c r="AV165" t="s">
        <v>2931</v>
      </c>
      <c r="AW165" t="s">
        <v>2279</v>
      </c>
      <c r="AX165">
        <f t="shared" si="10"/>
        <v>9</v>
      </c>
      <c r="AY165" s="30" t="s">
        <v>2932</v>
      </c>
      <c r="BC165" s="3" t="s">
        <v>7010</v>
      </c>
      <c r="BD165" s="3" t="s">
        <v>7010</v>
      </c>
      <c r="BE165" s="3" t="s">
        <v>7010</v>
      </c>
      <c r="BF165" s="3" t="s">
        <v>7010</v>
      </c>
      <c r="BG165" s="3" t="s">
        <v>7010</v>
      </c>
      <c r="BH165" s="3" t="s">
        <v>7010</v>
      </c>
      <c r="BI165" s="3" t="s">
        <v>7010</v>
      </c>
      <c r="BJ165" s="3" t="s">
        <v>7010</v>
      </c>
      <c r="BK165" s="74" t="str">
        <f t="shared" si="11"/>
        <v>No</v>
      </c>
    </row>
    <row r="166" spans="6:63">
      <c r="F166" s="55"/>
      <c r="G166">
        <v>165</v>
      </c>
      <c r="H166" s="7" t="s">
        <v>1624</v>
      </c>
      <c r="I166" t="s">
        <v>29</v>
      </c>
      <c r="J166">
        <f>LEN(H166)</f>
        <v>16</v>
      </c>
      <c r="K166" s="49" t="s">
        <v>5290</v>
      </c>
      <c r="O166" s="3" t="s">
        <v>7010</v>
      </c>
      <c r="P166" s="3" t="s">
        <v>7010</v>
      </c>
      <c r="Q166" s="3" t="s">
        <v>7010</v>
      </c>
      <c r="R166" s="3" t="s">
        <v>7010</v>
      </c>
      <c r="S166" s="3" t="s">
        <v>7010</v>
      </c>
      <c r="T166" s="3" t="s">
        <v>7010</v>
      </c>
      <c r="U166" s="3" t="s">
        <v>7015</v>
      </c>
      <c r="V166" s="3" t="s">
        <v>7010</v>
      </c>
      <c r="W166" s="74" t="str">
        <f t="shared" si="9"/>
        <v>Yes</v>
      </c>
      <c r="Z166">
        <v>165</v>
      </c>
      <c r="AA166" s="55" t="s">
        <v>785</v>
      </c>
      <c r="AB166" t="s">
        <v>643</v>
      </c>
      <c r="AC166">
        <f t="shared" si="8"/>
        <v>7</v>
      </c>
      <c r="AD166" s="30" t="s">
        <v>2934</v>
      </c>
      <c r="AF166" t="s">
        <v>7581</v>
      </c>
      <c r="AH166" s="3" t="s">
        <v>7015</v>
      </c>
      <c r="AI166" s="3" t="s">
        <v>7010</v>
      </c>
      <c r="AJ166" s="3" t="s">
        <v>7010</v>
      </c>
      <c r="AK166" s="3" t="s">
        <v>7015</v>
      </c>
      <c r="AL166" s="3" t="s">
        <v>7010</v>
      </c>
      <c r="AM166" s="3" t="s">
        <v>7010</v>
      </c>
      <c r="AN166" s="3" t="s">
        <v>7010</v>
      </c>
      <c r="AO166" s="3" t="s">
        <v>7010</v>
      </c>
      <c r="AP166" s="74" t="s">
        <v>7015</v>
      </c>
      <c r="AU166">
        <v>165</v>
      </c>
      <c r="AV166" t="s">
        <v>2935</v>
      </c>
      <c r="AW166" t="s">
        <v>2279</v>
      </c>
      <c r="AX166">
        <f t="shared" si="10"/>
        <v>11</v>
      </c>
      <c r="AY166" s="30" t="s">
        <v>2936</v>
      </c>
      <c r="BC166" s="3" t="s">
        <v>7010</v>
      </c>
      <c r="BD166" s="3" t="s">
        <v>7010</v>
      </c>
      <c r="BE166" s="3" t="s">
        <v>7010</v>
      </c>
      <c r="BF166" s="3" t="s">
        <v>7010</v>
      </c>
      <c r="BG166" s="3" t="s">
        <v>7010</v>
      </c>
      <c r="BH166" s="3" t="s">
        <v>7010</v>
      </c>
      <c r="BI166" s="3" t="s">
        <v>7010</v>
      </c>
      <c r="BJ166" s="3" t="s">
        <v>7010</v>
      </c>
      <c r="BK166" s="74" t="str">
        <f t="shared" si="11"/>
        <v>No</v>
      </c>
    </row>
    <row r="167" spans="6:63">
      <c r="F167" s="55"/>
      <c r="G167">
        <v>166</v>
      </c>
      <c r="H167" s="7" t="s">
        <v>416</v>
      </c>
      <c r="I167" t="s">
        <v>29</v>
      </c>
      <c r="J167">
        <f>LEN(H167)</f>
        <v>9</v>
      </c>
      <c r="K167" s="49" t="s">
        <v>2581</v>
      </c>
      <c r="O167" s="3" t="s">
        <v>7010</v>
      </c>
      <c r="P167" s="3" t="s">
        <v>7010</v>
      </c>
      <c r="Q167" s="3" t="s">
        <v>7010</v>
      </c>
      <c r="R167" s="3" t="s">
        <v>7010</v>
      </c>
      <c r="S167" s="3" t="s">
        <v>7010</v>
      </c>
      <c r="T167" s="3" t="s">
        <v>7010</v>
      </c>
      <c r="U167" s="3" t="s">
        <v>7010</v>
      </c>
      <c r="V167" s="3" t="s">
        <v>7010</v>
      </c>
      <c r="W167" s="74" t="str">
        <f t="shared" si="9"/>
        <v>No</v>
      </c>
      <c r="Z167">
        <v>166</v>
      </c>
      <c r="AA167" s="55">
        <v>222222</v>
      </c>
      <c r="AB167" t="s">
        <v>643</v>
      </c>
      <c r="AC167">
        <f t="shared" si="8"/>
        <v>6</v>
      </c>
      <c r="AD167" s="30" t="s">
        <v>2938</v>
      </c>
      <c r="AF167" t="s">
        <v>7582</v>
      </c>
      <c r="AH167" s="3" t="s">
        <v>7015</v>
      </c>
      <c r="AI167" s="3" t="s">
        <v>7010</v>
      </c>
      <c r="AJ167" s="3" t="s">
        <v>7010</v>
      </c>
      <c r="AK167" s="3" t="s">
        <v>7015</v>
      </c>
      <c r="AL167" s="3" t="s">
        <v>7010</v>
      </c>
      <c r="AM167" s="3" t="s">
        <v>7010</v>
      </c>
      <c r="AN167" s="3" t="s">
        <v>7010</v>
      </c>
      <c r="AO167" s="3" t="s">
        <v>7010</v>
      </c>
      <c r="AP167" s="74" t="s">
        <v>7015</v>
      </c>
      <c r="AU167">
        <v>166</v>
      </c>
      <c r="AV167" t="s">
        <v>2939</v>
      </c>
      <c r="AW167" t="s">
        <v>2279</v>
      </c>
      <c r="AX167">
        <f t="shared" si="10"/>
        <v>8</v>
      </c>
      <c r="AY167" s="30" t="s">
        <v>2940</v>
      </c>
      <c r="BC167" s="3" t="s">
        <v>7010</v>
      </c>
      <c r="BD167" s="3" t="s">
        <v>7010</v>
      </c>
      <c r="BE167" s="3" t="s">
        <v>7015</v>
      </c>
      <c r="BF167" s="3" t="s">
        <v>7010</v>
      </c>
      <c r="BG167" s="3" t="s">
        <v>7010</v>
      </c>
      <c r="BH167" s="3" t="s">
        <v>7010</v>
      </c>
      <c r="BI167" s="3" t="s">
        <v>7010</v>
      </c>
      <c r="BJ167" s="3" t="s">
        <v>7010</v>
      </c>
      <c r="BK167" s="74" t="str">
        <f t="shared" si="11"/>
        <v>Yes</v>
      </c>
    </row>
    <row r="168" spans="6:63">
      <c r="F168" s="55"/>
      <c r="G168">
        <v>167</v>
      </c>
      <c r="H168" s="7" t="s">
        <v>1572</v>
      </c>
      <c r="I168" t="s">
        <v>29</v>
      </c>
      <c r="J168">
        <f>LEN(H168)</f>
        <v>11</v>
      </c>
      <c r="K168" s="49" t="s">
        <v>5158</v>
      </c>
      <c r="O168" s="3" t="s">
        <v>7010</v>
      </c>
      <c r="P168" s="3" t="s">
        <v>7010</v>
      </c>
      <c r="Q168" s="3" t="s">
        <v>7010</v>
      </c>
      <c r="R168" s="3" t="s">
        <v>7010</v>
      </c>
      <c r="S168" s="3" t="s">
        <v>7010</v>
      </c>
      <c r="T168" s="3" t="s">
        <v>7010</v>
      </c>
      <c r="U168" s="3" t="s">
        <v>7015</v>
      </c>
      <c r="V168" s="3" t="s">
        <v>7010</v>
      </c>
      <c r="W168" s="74" t="str">
        <f t="shared" si="9"/>
        <v>Yes</v>
      </c>
      <c r="Z168">
        <v>167</v>
      </c>
      <c r="AA168" s="55" t="s">
        <v>786</v>
      </c>
      <c r="AB168" t="s">
        <v>643</v>
      </c>
      <c r="AC168">
        <f t="shared" si="8"/>
        <v>6</v>
      </c>
      <c r="AD168" s="30" t="s">
        <v>2942</v>
      </c>
      <c r="AF168" t="s">
        <v>7583</v>
      </c>
      <c r="AH168" s="3" t="s">
        <v>7015</v>
      </c>
      <c r="AI168" s="3" t="s">
        <v>7010</v>
      </c>
      <c r="AJ168" s="3" t="s">
        <v>7010</v>
      </c>
      <c r="AK168" s="3" t="s">
        <v>7015</v>
      </c>
      <c r="AL168" s="3" t="s">
        <v>7010</v>
      </c>
      <c r="AM168" s="3" t="s">
        <v>7010</v>
      </c>
      <c r="AN168" s="3" t="s">
        <v>7010</v>
      </c>
      <c r="AO168" s="3" t="s">
        <v>7010</v>
      </c>
      <c r="AP168" s="74" t="s">
        <v>7015</v>
      </c>
      <c r="AU168">
        <v>167</v>
      </c>
      <c r="AV168" t="s">
        <v>2943</v>
      </c>
      <c r="AW168" t="s">
        <v>2279</v>
      </c>
      <c r="AX168">
        <f t="shared" si="10"/>
        <v>13</v>
      </c>
      <c r="AY168" s="30" t="s">
        <v>2944</v>
      </c>
      <c r="BC168" s="3" t="s">
        <v>7010</v>
      </c>
      <c r="BD168" s="3" t="s">
        <v>7010</v>
      </c>
      <c r="BE168" s="3" t="s">
        <v>7010</v>
      </c>
      <c r="BF168" s="3" t="s">
        <v>7010</v>
      </c>
      <c r="BG168" s="3" t="s">
        <v>7010</v>
      </c>
      <c r="BH168" s="3" t="s">
        <v>7010</v>
      </c>
      <c r="BI168" s="3" t="s">
        <v>7010</v>
      </c>
      <c r="BJ168" s="3" t="s">
        <v>7010</v>
      </c>
      <c r="BK168" s="74" t="str">
        <f t="shared" si="11"/>
        <v>No</v>
      </c>
    </row>
    <row r="169" spans="6:63">
      <c r="F169" s="55"/>
      <c r="G169">
        <v>168</v>
      </c>
      <c r="H169" s="7" t="s">
        <v>1236</v>
      </c>
      <c r="I169" t="s">
        <v>29</v>
      </c>
      <c r="J169">
        <f>LEN(H169)</f>
        <v>9</v>
      </c>
      <c r="K169" s="49" t="s">
        <v>4305</v>
      </c>
      <c r="O169" s="3" t="s">
        <v>7010</v>
      </c>
      <c r="P169" s="3" t="s">
        <v>7010</v>
      </c>
      <c r="Q169" s="3" t="s">
        <v>7010</v>
      </c>
      <c r="R169" s="3" t="s">
        <v>7010</v>
      </c>
      <c r="S169" s="3" t="s">
        <v>7010</v>
      </c>
      <c r="T169" s="3" t="s">
        <v>7010</v>
      </c>
      <c r="U169" s="3" t="s">
        <v>7010</v>
      </c>
      <c r="V169" s="3" t="s">
        <v>7010</v>
      </c>
      <c r="W169" s="74" t="str">
        <f t="shared" si="9"/>
        <v>No</v>
      </c>
      <c r="Z169">
        <v>168</v>
      </c>
      <c r="AA169" s="55">
        <v>987654</v>
      </c>
      <c r="AB169" t="s">
        <v>643</v>
      </c>
      <c r="AC169">
        <f t="shared" si="8"/>
        <v>6</v>
      </c>
      <c r="AD169" s="30" t="s">
        <v>2946</v>
      </c>
      <c r="AF169" t="s">
        <v>7584</v>
      </c>
      <c r="AH169" s="3" t="s">
        <v>7015</v>
      </c>
      <c r="AI169" s="3" t="s">
        <v>7010</v>
      </c>
      <c r="AJ169" s="3" t="s">
        <v>7010</v>
      </c>
      <c r="AK169" s="3" t="s">
        <v>7015</v>
      </c>
      <c r="AL169" s="3" t="s">
        <v>7010</v>
      </c>
      <c r="AM169" s="3" t="s">
        <v>7010</v>
      </c>
      <c r="AN169" s="3" t="s">
        <v>7010</v>
      </c>
      <c r="AO169" s="3" t="s">
        <v>7010</v>
      </c>
      <c r="AP169" s="74" t="s">
        <v>7015</v>
      </c>
      <c r="AU169">
        <v>168</v>
      </c>
      <c r="AV169" t="s">
        <v>2947</v>
      </c>
      <c r="AW169" t="s">
        <v>2279</v>
      </c>
      <c r="AX169">
        <f t="shared" si="10"/>
        <v>8</v>
      </c>
      <c r="AY169" s="30" t="s">
        <v>2948</v>
      </c>
      <c r="BC169" s="3" t="s">
        <v>7010</v>
      </c>
      <c r="BD169" s="3" t="s">
        <v>7010</v>
      </c>
      <c r="BE169" s="3" t="s">
        <v>7010</v>
      </c>
      <c r="BF169" s="3" t="s">
        <v>7010</v>
      </c>
      <c r="BG169" s="3" t="s">
        <v>7010</v>
      </c>
      <c r="BH169" s="3" t="s">
        <v>7010</v>
      </c>
      <c r="BI169" s="3" t="s">
        <v>7010</v>
      </c>
      <c r="BJ169" s="3" t="s">
        <v>7010</v>
      </c>
      <c r="BK169" s="74" t="str">
        <f t="shared" si="11"/>
        <v>No</v>
      </c>
    </row>
    <row r="170" spans="6:63">
      <c r="F170" s="55"/>
      <c r="G170">
        <v>169</v>
      </c>
      <c r="H170" s="7" t="s">
        <v>1276</v>
      </c>
      <c r="I170" t="s">
        <v>29</v>
      </c>
      <c r="J170">
        <f>LEN(H170)</f>
        <v>9</v>
      </c>
      <c r="K170" s="51" t="s">
        <v>4405</v>
      </c>
      <c r="O170" s="3" t="s">
        <v>7010</v>
      </c>
      <c r="P170" s="3" t="s">
        <v>7010</v>
      </c>
      <c r="Q170" s="3" t="s">
        <v>7010</v>
      </c>
      <c r="R170" s="3" t="s">
        <v>7010</v>
      </c>
      <c r="S170" s="3" t="s">
        <v>7010</v>
      </c>
      <c r="T170" s="3" t="s">
        <v>7010</v>
      </c>
      <c r="U170" s="3" t="s">
        <v>7010</v>
      </c>
      <c r="V170" s="3" t="s">
        <v>7010</v>
      </c>
      <c r="W170" s="74" t="str">
        <f t="shared" si="9"/>
        <v>No</v>
      </c>
      <c r="Z170">
        <v>169</v>
      </c>
      <c r="AA170" s="55" t="s">
        <v>787</v>
      </c>
      <c r="AB170" t="s">
        <v>643</v>
      </c>
      <c r="AC170">
        <f t="shared" si="8"/>
        <v>8</v>
      </c>
      <c r="AD170" s="30" t="s">
        <v>2950</v>
      </c>
      <c r="AF170" t="s">
        <v>7585</v>
      </c>
      <c r="AH170" s="3" t="s">
        <v>7015</v>
      </c>
      <c r="AI170" s="3" t="s">
        <v>7010</v>
      </c>
      <c r="AJ170" s="3" t="s">
        <v>7010</v>
      </c>
      <c r="AK170" s="3" t="s">
        <v>7015</v>
      </c>
      <c r="AL170" s="3" t="s">
        <v>7010</v>
      </c>
      <c r="AM170" s="3" t="s">
        <v>7010</v>
      </c>
      <c r="AN170" s="3" t="s">
        <v>7010</v>
      </c>
      <c r="AO170" s="3" t="s">
        <v>7010</v>
      </c>
      <c r="AP170" s="74" t="s">
        <v>7015</v>
      </c>
      <c r="AU170">
        <v>169</v>
      </c>
      <c r="AV170" t="s">
        <v>2951</v>
      </c>
      <c r="AW170" t="s">
        <v>2279</v>
      </c>
      <c r="AX170">
        <f t="shared" si="10"/>
        <v>9</v>
      </c>
      <c r="AY170" s="30" t="s">
        <v>2952</v>
      </c>
      <c r="BC170" s="3" t="s">
        <v>7010</v>
      </c>
      <c r="BD170" s="3" t="s">
        <v>7010</v>
      </c>
      <c r="BE170" s="3" t="s">
        <v>7010</v>
      </c>
      <c r="BF170" s="3" t="s">
        <v>7010</v>
      </c>
      <c r="BG170" s="3" t="s">
        <v>7010</v>
      </c>
      <c r="BH170" s="3" t="s">
        <v>7010</v>
      </c>
      <c r="BI170" s="3" t="s">
        <v>7010</v>
      </c>
      <c r="BJ170" s="3" t="s">
        <v>7010</v>
      </c>
      <c r="BK170" s="74" t="str">
        <f t="shared" si="11"/>
        <v>No</v>
      </c>
    </row>
    <row r="171" spans="6:63">
      <c r="F171" s="55"/>
      <c r="G171">
        <v>170</v>
      </c>
      <c r="H171" s="7" t="s">
        <v>1592</v>
      </c>
      <c r="I171" t="s">
        <v>29</v>
      </c>
      <c r="J171">
        <f>LEN(H171)</f>
        <v>13</v>
      </c>
      <c r="K171" s="49" t="s">
        <v>5208</v>
      </c>
      <c r="O171" s="3" t="s">
        <v>7010</v>
      </c>
      <c r="P171" s="3" t="s">
        <v>7010</v>
      </c>
      <c r="Q171" s="3" t="s">
        <v>7010</v>
      </c>
      <c r="R171" s="3" t="s">
        <v>7010</v>
      </c>
      <c r="S171" s="3" t="s">
        <v>7010</v>
      </c>
      <c r="T171" s="3" t="s">
        <v>7010</v>
      </c>
      <c r="U171" s="3" t="s">
        <v>7010</v>
      </c>
      <c r="V171" s="3" t="s">
        <v>7010</v>
      </c>
      <c r="W171" s="74" t="str">
        <f t="shared" si="9"/>
        <v>No</v>
      </c>
      <c r="Z171">
        <v>170</v>
      </c>
      <c r="AA171" s="55" t="s">
        <v>788</v>
      </c>
      <c r="AB171" t="s">
        <v>643</v>
      </c>
      <c r="AC171">
        <f t="shared" si="8"/>
        <v>5</v>
      </c>
      <c r="AD171" s="30" t="s">
        <v>2954</v>
      </c>
      <c r="AF171" t="s">
        <v>7586</v>
      </c>
      <c r="AH171" s="3" t="s">
        <v>7015</v>
      </c>
      <c r="AI171" s="3" t="s">
        <v>7010</v>
      </c>
      <c r="AJ171" s="3" t="s">
        <v>7010</v>
      </c>
      <c r="AK171" s="3" t="s">
        <v>7015</v>
      </c>
      <c r="AL171" s="3" t="s">
        <v>7010</v>
      </c>
      <c r="AM171" s="3" t="s">
        <v>7010</v>
      </c>
      <c r="AN171" s="3" t="s">
        <v>7010</v>
      </c>
      <c r="AO171" s="3" t="s">
        <v>7010</v>
      </c>
      <c r="AP171" s="74" t="s">
        <v>7015</v>
      </c>
      <c r="AU171">
        <v>170</v>
      </c>
      <c r="AV171" t="s">
        <v>2955</v>
      </c>
      <c r="AW171" t="s">
        <v>2279</v>
      </c>
      <c r="AX171">
        <f t="shared" si="10"/>
        <v>9</v>
      </c>
      <c r="AY171" s="30" t="s">
        <v>2956</v>
      </c>
      <c r="BC171" s="3" t="s">
        <v>7010</v>
      </c>
      <c r="BD171" s="3" t="s">
        <v>7010</v>
      </c>
      <c r="BE171" s="3" t="s">
        <v>7015</v>
      </c>
      <c r="BF171" s="3" t="s">
        <v>7010</v>
      </c>
      <c r="BG171" s="3" t="s">
        <v>7010</v>
      </c>
      <c r="BH171" s="3" t="s">
        <v>7010</v>
      </c>
      <c r="BI171" s="3" t="s">
        <v>7010</v>
      </c>
      <c r="BJ171" s="3" t="s">
        <v>7010</v>
      </c>
      <c r="BK171" s="74" t="str">
        <f t="shared" si="11"/>
        <v>Yes</v>
      </c>
    </row>
    <row r="172" spans="6:63">
      <c r="F172" s="55"/>
      <c r="G172">
        <v>171</v>
      </c>
      <c r="H172" s="7" t="s">
        <v>1378</v>
      </c>
      <c r="I172" t="s">
        <v>29</v>
      </c>
      <c r="J172">
        <f>LEN(H172)</f>
        <v>10</v>
      </c>
      <c r="K172" s="49" t="s">
        <v>4662</v>
      </c>
      <c r="O172" s="3" t="s">
        <v>7010</v>
      </c>
      <c r="P172" s="3" t="s">
        <v>7010</v>
      </c>
      <c r="Q172" s="3" t="s">
        <v>7010</v>
      </c>
      <c r="R172" s="3" t="s">
        <v>7010</v>
      </c>
      <c r="S172" s="3" t="s">
        <v>7010</v>
      </c>
      <c r="T172" s="3" t="s">
        <v>7010</v>
      </c>
      <c r="U172" s="3" t="s">
        <v>7010</v>
      </c>
      <c r="V172" s="3" t="s">
        <v>7010</v>
      </c>
      <c r="W172" s="74" t="str">
        <f t="shared" si="9"/>
        <v>No</v>
      </c>
      <c r="Z172">
        <v>171</v>
      </c>
      <c r="AA172" s="55">
        <v>0</v>
      </c>
      <c r="AB172" t="s">
        <v>643</v>
      </c>
      <c r="AC172">
        <f t="shared" si="8"/>
        <v>1</v>
      </c>
      <c r="AD172" s="30" t="s">
        <v>2958</v>
      </c>
      <c r="AF172" t="s">
        <v>7587</v>
      </c>
      <c r="AH172" s="3" t="s">
        <v>7015</v>
      </c>
      <c r="AI172" s="3" t="s">
        <v>7010</v>
      </c>
      <c r="AJ172" s="3" t="s">
        <v>7010</v>
      </c>
      <c r="AK172" s="3" t="s">
        <v>7015</v>
      </c>
      <c r="AL172" s="3" t="s">
        <v>7010</v>
      </c>
      <c r="AM172" s="3" t="s">
        <v>7010</v>
      </c>
      <c r="AN172" s="3" t="s">
        <v>7010</v>
      </c>
      <c r="AO172" s="3" t="s">
        <v>7010</v>
      </c>
      <c r="AP172" s="74" t="s">
        <v>7015</v>
      </c>
      <c r="AU172">
        <v>171</v>
      </c>
      <c r="AV172" t="s">
        <v>2959</v>
      </c>
      <c r="AW172" t="s">
        <v>2279</v>
      </c>
      <c r="AX172">
        <f t="shared" si="10"/>
        <v>9</v>
      </c>
      <c r="AY172" s="30" t="s">
        <v>2960</v>
      </c>
      <c r="BC172" s="3" t="s">
        <v>7010</v>
      </c>
      <c r="BD172" s="3" t="s">
        <v>7010</v>
      </c>
      <c r="BE172" s="3" t="s">
        <v>7010</v>
      </c>
      <c r="BF172" s="3" t="s">
        <v>7010</v>
      </c>
      <c r="BG172" s="3" t="s">
        <v>7010</v>
      </c>
      <c r="BH172" s="3" t="s">
        <v>7010</v>
      </c>
      <c r="BI172" s="3" t="s">
        <v>7010</v>
      </c>
      <c r="BJ172" s="3" t="s">
        <v>7010</v>
      </c>
      <c r="BK172" s="74" t="str">
        <f t="shared" si="11"/>
        <v>No</v>
      </c>
    </row>
    <row r="173" spans="6:63">
      <c r="F173" s="55"/>
      <c r="G173">
        <v>172</v>
      </c>
      <c r="H173" s="7" t="s">
        <v>1688</v>
      </c>
      <c r="I173" t="s">
        <v>29</v>
      </c>
      <c r="J173">
        <f>LEN(H173)</f>
        <v>13</v>
      </c>
      <c r="K173" s="49" t="s">
        <v>5450</v>
      </c>
      <c r="O173" s="3" t="s">
        <v>7010</v>
      </c>
      <c r="P173" s="3" t="s">
        <v>7010</v>
      </c>
      <c r="Q173" s="3" t="s">
        <v>7010</v>
      </c>
      <c r="R173" s="3" t="s">
        <v>7010</v>
      </c>
      <c r="S173" s="3" t="s">
        <v>7010</v>
      </c>
      <c r="T173" s="3" t="s">
        <v>7010</v>
      </c>
      <c r="U173" s="3" t="s">
        <v>7010</v>
      </c>
      <c r="V173" s="3" t="s">
        <v>7010</v>
      </c>
      <c r="W173" s="74" t="str">
        <f t="shared" si="9"/>
        <v>No</v>
      </c>
      <c r="Z173">
        <v>172</v>
      </c>
      <c r="AA173" s="55" t="s">
        <v>790</v>
      </c>
      <c r="AB173" t="s">
        <v>643</v>
      </c>
      <c r="AC173">
        <f t="shared" si="8"/>
        <v>8</v>
      </c>
      <c r="AD173" s="30" t="s">
        <v>2962</v>
      </c>
      <c r="AF173" t="s">
        <v>7588</v>
      </c>
      <c r="AH173" s="3" t="s">
        <v>7015</v>
      </c>
      <c r="AI173" s="3" t="s">
        <v>7010</v>
      </c>
      <c r="AJ173" s="3" t="s">
        <v>7010</v>
      </c>
      <c r="AK173" s="3" t="s">
        <v>7015</v>
      </c>
      <c r="AL173" s="3" t="s">
        <v>7010</v>
      </c>
      <c r="AM173" s="3" t="s">
        <v>7010</v>
      </c>
      <c r="AN173" s="3" t="s">
        <v>7010</v>
      </c>
      <c r="AO173" s="3" t="s">
        <v>7010</v>
      </c>
      <c r="AP173" s="74" t="s">
        <v>7015</v>
      </c>
      <c r="AU173">
        <v>172</v>
      </c>
      <c r="AV173" t="s">
        <v>2963</v>
      </c>
      <c r="AW173" t="s">
        <v>2279</v>
      </c>
      <c r="AX173">
        <f t="shared" si="10"/>
        <v>8</v>
      </c>
      <c r="AY173" s="30" t="s">
        <v>2964</v>
      </c>
      <c r="BC173" s="3" t="s">
        <v>7010</v>
      </c>
      <c r="BD173" s="3" t="s">
        <v>7010</v>
      </c>
      <c r="BE173" s="3" t="s">
        <v>7015</v>
      </c>
      <c r="BF173" s="3" t="s">
        <v>7010</v>
      </c>
      <c r="BG173" s="3" t="s">
        <v>7010</v>
      </c>
      <c r="BH173" s="3" t="s">
        <v>7010</v>
      </c>
      <c r="BI173" s="3" t="s">
        <v>7010</v>
      </c>
      <c r="BJ173" s="3" t="s">
        <v>7010</v>
      </c>
      <c r="BK173" s="74" t="str">
        <f t="shared" si="11"/>
        <v>Yes</v>
      </c>
    </row>
    <row r="174" spans="6:63">
      <c r="F174" s="55"/>
      <c r="G174">
        <v>173</v>
      </c>
      <c r="H174" s="7" t="s">
        <v>382</v>
      </c>
      <c r="I174" t="s">
        <v>29</v>
      </c>
      <c r="J174">
        <f>LEN(H174)</f>
        <v>11</v>
      </c>
      <c r="K174" s="49" t="s">
        <v>2445</v>
      </c>
      <c r="O174" s="3" t="s">
        <v>7010</v>
      </c>
      <c r="P174" s="3" t="s">
        <v>7010</v>
      </c>
      <c r="Q174" s="3" t="s">
        <v>7010</v>
      </c>
      <c r="R174" s="3" t="s">
        <v>7010</v>
      </c>
      <c r="S174" s="3" t="s">
        <v>7010</v>
      </c>
      <c r="T174" s="3" t="s">
        <v>7010</v>
      </c>
      <c r="U174" s="3" t="s">
        <v>7010</v>
      </c>
      <c r="V174" s="3" t="s">
        <v>7010</v>
      </c>
      <c r="W174" s="74" t="str">
        <f t="shared" si="9"/>
        <v>No</v>
      </c>
      <c r="Z174">
        <v>173</v>
      </c>
      <c r="AA174" s="55" t="s">
        <v>791</v>
      </c>
      <c r="AB174" t="s">
        <v>643</v>
      </c>
      <c r="AC174">
        <f t="shared" si="8"/>
        <v>7</v>
      </c>
      <c r="AD174" s="30" t="s">
        <v>2966</v>
      </c>
      <c r="AF174" t="s">
        <v>7589</v>
      </c>
      <c r="AH174" s="3" t="s">
        <v>7015</v>
      </c>
      <c r="AI174" s="3" t="s">
        <v>7010</v>
      </c>
      <c r="AJ174" s="3" t="s">
        <v>7010</v>
      </c>
      <c r="AK174" s="3" t="s">
        <v>7015</v>
      </c>
      <c r="AL174" s="3" t="s">
        <v>7010</v>
      </c>
      <c r="AM174" s="3" t="s">
        <v>7010</v>
      </c>
      <c r="AN174" s="3" t="s">
        <v>7010</v>
      </c>
      <c r="AO174" s="3" t="s">
        <v>7010</v>
      </c>
      <c r="AP174" s="74" t="s">
        <v>7015</v>
      </c>
      <c r="AU174">
        <v>173</v>
      </c>
      <c r="AV174" t="s">
        <v>2967</v>
      </c>
      <c r="AW174" t="s">
        <v>2279</v>
      </c>
      <c r="AX174">
        <f t="shared" si="10"/>
        <v>9</v>
      </c>
      <c r="AY174" s="30" t="s">
        <v>2968</v>
      </c>
      <c r="BC174" s="3" t="s">
        <v>7010</v>
      </c>
      <c r="BD174" s="3" t="s">
        <v>7010</v>
      </c>
      <c r="BE174" s="3" t="s">
        <v>7010</v>
      </c>
      <c r="BF174" s="3" t="s">
        <v>7010</v>
      </c>
      <c r="BG174" s="3" t="s">
        <v>7010</v>
      </c>
      <c r="BH174" s="3" t="s">
        <v>7010</v>
      </c>
      <c r="BI174" s="3" t="s">
        <v>7010</v>
      </c>
      <c r="BJ174" s="3" t="s">
        <v>7010</v>
      </c>
      <c r="BK174" s="74" t="str">
        <f t="shared" si="11"/>
        <v>No</v>
      </c>
    </row>
    <row r="175" spans="6:63">
      <c r="F175" s="55"/>
      <c r="G175">
        <v>174</v>
      </c>
      <c r="H175" s="7" t="s">
        <v>5330</v>
      </c>
      <c r="I175" t="s">
        <v>29</v>
      </c>
      <c r="J175">
        <f>LEN(H175)</f>
        <v>17</v>
      </c>
      <c r="K175" s="49" t="s">
        <v>5331</v>
      </c>
      <c r="O175" s="3" t="s">
        <v>7010</v>
      </c>
      <c r="P175" s="3" t="s">
        <v>7010</v>
      </c>
      <c r="Q175" s="3" t="s">
        <v>7010</v>
      </c>
      <c r="R175" s="3" t="s">
        <v>7010</v>
      </c>
      <c r="S175" s="3" t="s">
        <v>7010</v>
      </c>
      <c r="T175" s="3" t="s">
        <v>7010</v>
      </c>
      <c r="U175" s="3" t="s">
        <v>7010</v>
      </c>
      <c r="V175" s="3" t="s">
        <v>7010</v>
      </c>
      <c r="W175" s="74" t="str">
        <f t="shared" si="9"/>
        <v>No</v>
      </c>
      <c r="Z175">
        <v>174</v>
      </c>
      <c r="AA175" s="55" t="s">
        <v>792</v>
      </c>
      <c r="AB175" t="s">
        <v>643</v>
      </c>
      <c r="AC175">
        <f t="shared" si="8"/>
        <v>6</v>
      </c>
      <c r="AD175" s="30" t="s">
        <v>2970</v>
      </c>
      <c r="AF175" t="s">
        <v>7590</v>
      </c>
      <c r="AH175" s="3" t="s">
        <v>7015</v>
      </c>
      <c r="AI175" s="3" t="s">
        <v>7010</v>
      </c>
      <c r="AJ175" s="3" t="s">
        <v>7010</v>
      </c>
      <c r="AK175" s="3" t="s">
        <v>7015</v>
      </c>
      <c r="AL175" s="3" t="s">
        <v>7010</v>
      </c>
      <c r="AM175" s="3" t="s">
        <v>7010</v>
      </c>
      <c r="AN175" s="3" t="s">
        <v>7010</v>
      </c>
      <c r="AO175" s="3" t="s">
        <v>7010</v>
      </c>
      <c r="AP175" s="74" t="s">
        <v>7015</v>
      </c>
      <c r="AU175">
        <v>174</v>
      </c>
      <c r="AV175" t="s">
        <v>2971</v>
      </c>
      <c r="AW175" t="s">
        <v>2279</v>
      </c>
      <c r="AX175">
        <f t="shared" si="10"/>
        <v>9</v>
      </c>
      <c r="AY175" s="30" t="s">
        <v>2972</v>
      </c>
      <c r="BC175" s="3" t="s">
        <v>7010</v>
      </c>
      <c r="BD175" s="3" t="s">
        <v>7010</v>
      </c>
      <c r="BE175" s="3" t="s">
        <v>7015</v>
      </c>
      <c r="BF175" s="3" t="s">
        <v>7010</v>
      </c>
      <c r="BG175" s="3" t="s">
        <v>7010</v>
      </c>
      <c r="BH175" s="3" t="s">
        <v>7010</v>
      </c>
      <c r="BI175" s="3" t="s">
        <v>7010</v>
      </c>
      <c r="BJ175" s="3" t="s">
        <v>7010</v>
      </c>
      <c r="BK175" s="74" t="str">
        <f t="shared" si="11"/>
        <v>Yes</v>
      </c>
    </row>
    <row r="176" spans="6:63">
      <c r="F176" s="55"/>
      <c r="G176">
        <v>175</v>
      </c>
      <c r="H176" s="7" t="s">
        <v>1468</v>
      </c>
      <c r="I176" t="s">
        <v>29</v>
      </c>
      <c r="J176">
        <f>LEN(H176)</f>
        <v>7</v>
      </c>
      <c r="K176" s="49" t="s">
        <v>4895</v>
      </c>
      <c r="O176" s="3" t="s">
        <v>7010</v>
      </c>
      <c r="P176" s="3" t="s">
        <v>7010</v>
      </c>
      <c r="Q176" s="3" t="s">
        <v>7010</v>
      </c>
      <c r="R176" s="3" t="s">
        <v>7010</v>
      </c>
      <c r="S176" s="3" t="s">
        <v>7010</v>
      </c>
      <c r="T176" s="3" t="s">
        <v>7010</v>
      </c>
      <c r="U176" s="3" t="s">
        <v>7010</v>
      </c>
      <c r="V176" s="3" t="s">
        <v>7010</v>
      </c>
      <c r="W176" s="74" t="str">
        <f t="shared" si="9"/>
        <v>No</v>
      </c>
      <c r="Z176">
        <v>175</v>
      </c>
      <c r="AA176" s="55" t="s">
        <v>793</v>
      </c>
      <c r="AB176" t="s">
        <v>643</v>
      </c>
      <c r="AC176">
        <f t="shared" si="8"/>
        <v>7</v>
      </c>
      <c r="AD176" s="30" t="s">
        <v>2974</v>
      </c>
      <c r="AF176" t="s">
        <v>7591</v>
      </c>
      <c r="AH176" s="3" t="s">
        <v>7015</v>
      </c>
      <c r="AI176" s="3" t="s">
        <v>7010</v>
      </c>
      <c r="AJ176" s="3" t="s">
        <v>7010</v>
      </c>
      <c r="AK176" s="3" t="s">
        <v>7015</v>
      </c>
      <c r="AL176" s="3" t="s">
        <v>7010</v>
      </c>
      <c r="AM176" s="3" t="s">
        <v>7010</v>
      </c>
      <c r="AN176" s="3" t="s">
        <v>7010</v>
      </c>
      <c r="AO176" s="3" t="s">
        <v>7010</v>
      </c>
      <c r="AP176" s="74" t="s">
        <v>7015</v>
      </c>
      <c r="AU176">
        <v>175</v>
      </c>
      <c r="AV176" t="s">
        <v>2975</v>
      </c>
      <c r="AW176" t="s">
        <v>2279</v>
      </c>
      <c r="AX176">
        <f t="shared" si="10"/>
        <v>8</v>
      </c>
      <c r="AY176" s="30" t="s">
        <v>2976</v>
      </c>
      <c r="BC176" s="3" t="s">
        <v>7010</v>
      </c>
      <c r="BD176" s="3" t="s">
        <v>7010</v>
      </c>
      <c r="BE176" s="3" t="s">
        <v>7010</v>
      </c>
      <c r="BF176" s="3" t="s">
        <v>7010</v>
      </c>
      <c r="BG176" s="3" t="s">
        <v>7010</v>
      </c>
      <c r="BH176" s="3" t="s">
        <v>7010</v>
      </c>
      <c r="BI176" s="3" t="s">
        <v>7010</v>
      </c>
      <c r="BJ176" s="3" t="s">
        <v>7010</v>
      </c>
      <c r="BK176" s="74" t="str">
        <f t="shared" si="11"/>
        <v>No</v>
      </c>
    </row>
    <row r="177" spans="6:63">
      <c r="F177" s="55"/>
      <c r="G177">
        <v>176</v>
      </c>
      <c r="H177" s="7" t="s">
        <v>1306</v>
      </c>
      <c r="I177" t="s">
        <v>29</v>
      </c>
      <c r="J177">
        <f>LEN(H177)</f>
        <v>7</v>
      </c>
      <c r="K177" s="49" t="s">
        <v>4482</v>
      </c>
      <c r="O177" s="3" t="s">
        <v>7010</v>
      </c>
      <c r="P177" s="3" t="s">
        <v>7010</v>
      </c>
      <c r="Q177" s="3" t="s">
        <v>7010</v>
      </c>
      <c r="R177" s="3" t="s">
        <v>7010</v>
      </c>
      <c r="S177" s="3" t="s">
        <v>7010</v>
      </c>
      <c r="T177" s="3" t="s">
        <v>7010</v>
      </c>
      <c r="U177" s="3" t="s">
        <v>7010</v>
      </c>
      <c r="V177" s="3" t="s">
        <v>7010</v>
      </c>
      <c r="W177" s="74" t="str">
        <f t="shared" si="9"/>
        <v>No</v>
      </c>
      <c r="Z177">
        <v>176</v>
      </c>
      <c r="AA177" s="55" t="s">
        <v>794</v>
      </c>
      <c r="AB177" t="s">
        <v>643</v>
      </c>
      <c r="AC177">
        <f t="shared" si="8"/>
        <v>7</v>
      </c>
      <c r="AD177" s="30" t="s">
        <v>2978</v>
      </c>
      <c r="AF177" t="s">
        <v>7592</v>
      </c>
      <c r="AH177" s="3" t="s">
        <v>7015</v>
      </c>
      <c r="AI177" s="3" t="s">
        <v>7010</v>
      </c>
      <c r="AJ177" s="3" t="s">
        <v>7010</v>
      </c>
      <c r="AK177" s="3" t="s">
        <v>7015</v>
      </c>
      <c r="AL177" s="3" t="s">
        <v>7010</v>
      </c>
      <c r="AM177" s="3" t="s">
        <v>7010</v>
      </c>
      <c r="AN177" s="3" t="s">
        <v>7010</v>
      </c>
      <c r="AO177" s="3" t="s">
        <v>7010</v>
      </c>
      <c r="AP177" s="74" t="s">
        <v>7015</v>
      </c>
      <c r="AU177">
        <v>176</v>
      </c>
      <c r="AV177" t="s">
        <v>2979</v>
      </c>
      <c r="AW177" t="s">
        <v>2279</v>
      </c>
      <c r="AX177">
        <f t="shared" si="10"/>
        <v>8</v>
      </c>
      <c r="AY177" s="30" t="s">
        <v>2980</v>
      </c>
      <c r="BC177" s="3" t="s">
        <v>7010</v>
      </c>
      <c r="BD177" s="3" t="s">
        <v>7010</v>
      </c>
      <c r="BE177" s="3" t="s">
        <v>7010</v>
      </c>
      <c r="BF177" s="3" t="s">
        <v>7010</v>
      </c>
      <c r="BG177" s="3" t="s">
        <v>7010</v>
      </c>
      <c r="BH177" s="3" t="s">
        <v>7010</v>
      </c>
      <c r="BI177" s="3" t="s">
        <v>7010</v>
      </c>
      <c r="BJ177" s="3" t="s">
        <v>7010</v>
      </c>
      <c r="BK177" s="74" t="str">
        <f t="shared" si="11"/>
        <v>No</v>
      </c>
    </row>
    <row r="178" spans="6:63">
      <c r="F178" s="55"/>
      <c r="G178">
        <v>177</v>
      </c>
      <c r="H178" s="7" t="s">
        <v>1550</v>
      </c>
      <c r="I178" t="s">
        <v>29</v>
      </c>
      <c r="J178">
        <f>LEN(H178)</f>
        <v>10</v>
      </c>
      <c r="K178" s="49" t="s">
        <v>5103</v>
      </c>
      <c r="O178" s="3" t="s">
        <v>7010</v>
      </c>
      <c r="P178" s="3" t="s">
        <v>7010</v>
      </c>
      <c r="Q178" s="3" t="s">
        <v>7010</v>
      </c>
      <c r="R178" s="3" t="s">
        <v>7010</v>
      </c>
      <c r="S178" s="3" t="s">
        <v>7010</v>
      </c>
      <c r="T178" s="3" t="s">
        <v>7010</v>
      </c>
      <c r="U178" s="3" t="s">
        <v>7010</v>
      </c>
      <c r="V178" s="3" t="s">
        <v>7010</v>
      </c>
      <c r="W178" s="74" t="str">
        <f t="shared" si="9"/>
        <v>No</v>
      </c>
      <c r="Z178">
        <v>177</v>
      </c>
      <c r="AA178" s="55" t="s">
        <v>795</v>
      </c>
      <c r="AB178" t="s">
        <v>643</v>
      </c>
      <c r="AC178">
        <f t="shared" si="8"/>
        <v>6</v>
      </c>
      <c r="AD178" s="30" t="s">
        <v>2982</v>
      </c>
      <c r="AF178" t="s">
        <v>7593</v>
      </c>
      <c r="AH178" s="3" t="s">
        <v>7015</v>
      </c>
      <c r="AI178" s="3" t="s">
        <v>7010</v>
      </c>
      <c r="AJ178" s="3" t="s">
        <v>7010</v>
      </c>
      <c r="AK178" s="3" t="s">
        <v>7015</v>
      </c>
      <c r="AL178" s="3" t="s">
        <v>7010</v>
      </c>
      <c r="AM178" s="3" t="s">
        <v>7010</v>
      </c>
      <c r="AN178" s="3" t="s">
        <v>7010</v>
      </c>
      <c r="AO178" s="3" t="s">
        <v>7010</v>
      </c>
      <c r="AP178" s="74" t="s">
        <v>7015</v>
      </c>
      <c r="AU178">
        <v>177</v>
      </c>
      <c r="AV178" t="s">
        <v>2983</v>
      </c>
      <c r="AW178" t="s">
        <v>2279</v>
      </c>
      <c r="AX178">
        <f t="shared" si="10"/>
        <v>12</v>
      </c>
      <c r="AY178" s="30" t="s">
        <v>2984</v>
      </c>
      <c r="BC178" s="3" t="s">
        <v>7010</v>
      </c>
      <c r="BD178" s="3" t="s">
        <v>7010</v>
      </c>
      <c r="BE178" s="3" t="s">
        <v>7010</v>
      </c>
      <c r="BF178" s="3" t="s">
        <v>7010</v>
      </c>
      <c r="BG178" s="3" t="s">
        <v>7010</v>
      </c>
      <c r="BH178" s="3" t="s">
        <v>7010</v>
      </c>
      <c r="BI178" s="3" t="s">
        <v>7010</v>
      </c>
      <c r="BJ178" s="3" t="s">
        <v>7010</v>
      </c>
      <c r="BK178" s="74" t="str">
        <f t="shared" si="11"/>
        <v>No</v>
      </c>
    </row>
    <row r="179" spans="6:63">
      <c r="F179" s="55"/>
      <c r="G179">
        <v>178</v>
      </c>
      <c r="H179" s="7" t="s">
        <v>1356</v>
      </c>
      <c r="I179" t="s">
        <v>29</v>
      </c>
      <c r="J179">
        <f>LEN(H179)</f>
        <v>7</v>
      </c>
      <c r="K179" s="49" t="s">
        <v>4605</v>
      </c>
      <c r="O179" s="3" t="s">
        <v>7010</v>
      </c>
      <c r="P179" s="3" t="s">
        <v>7010</v>
      </c>
      <c r="Q179" s="3" t="s">
        <v>7010</v>
      </c>
      <c r="R179" s="3" t="s">
        <v>7010</v>
      </c>
      <c r="S179" s="3" t="s">
        <v>7010</v>
      </c>
      <c r="T179" s="3" t="s">
        <v>7010</v>
      </c>
      <c r="U179" s="3" t="s">
        <v>7010</v>
      </c>
      <c r="V179" s="3" t="s">
        <v>7010</v>
      </c>
      <c r="W179" s="74" t="str">
        <f t="shared" si="9"/>
        <v>No</v>
      </c>
      <c r="Z179">
        <v>178</v>
      </c>
      <c r="AA179" s="55" t="s">
        <v>796</v>
      </c>
      <c r="AB179" t="s">
        <v>643</v>
      </c>
      <c r="AC179">
        <f t="shared" si="8"/>
        <v>8</v>
      </c>
      <c r="AD179" s="30" t="s">
        <v>2986</v>
      </c>
      <c r="AF179" t="s">
        <v>7594</v>
      </c>
      <c r="AH179" s="3" t="s">
        <v>7015</v>
      </c>
      <c r="AI179" s="3" t="s">
        <v>7010</v>
      </c>
      <c r="AJ179" s="3" t="s">
        <v>7010</v>
      </c>
      <c r="AK179" s="3" t="s">
        <v>7015</v>
      </c>
      <c r="AL179" s="3" t="s">
        <v>7010</v>
      </c>
      <c r="AM179" s="3" t="s">
        <v>7010</v>
      </c>
      <c r="AN179" s="3" t="s">
        <v>7010</v>
      </c>
      <c r="AO179" s="3" t="s">
        <v>7010</v>
      </c>
      <c r="AP179" s="74" t="s">
        <v>7015</v>
      </c>
      <c r="AU179">
        <v>178</v>
      </c>
      <c r="AV179" t="s">
        <v>2987</v>
      </c>
      <c r="AW179" t="s">
        <v>2279</v>
      </c>
      <c r="AX179">
        <f t="shared" si="10"/>
        <v>9</v>
      </c>
      <c r="AY179" s="30" t="s">
        <v>2988</v>
      </c>
      <c r="BC179" s="3" t="s">
        <v>7010</v>
      </c>
      <c r="BD179" s="3" t="s">
        <v>7010</v>
      </c>
      <c r="BE179" s="3" t="s">
        <v>7010</v>
      </c>
      <c r="BF179" s="3" t="s">
        <v>7010</v>
      </c>
      <c r="BG179" s="3" t="s">
        <v>7010</v>
      </c>
      <c r="BH179" s="3" t="s">
        <v>7010</v>
      </c>
      <c r="BI179" s="3" t="s">
        <v>7010</v>
      </c>
      <c r="BJ179" s="3" t="s">
        <v>7010</v>
      </c>
      <c r="BK179" s="74" t="str">
        <f t="shared" si="11"/>
        <v>No</v>
      </c>
    </row>
    <row r="180" spans="6:63">
      <c r="F180" s="55"/>
      <c r="G180">
        <v>179</v>
      </c>
      <c r="H180" s="7" t="s">
        <v>466</v>
      </c>
      <c r="I180" t="s">
        <v>29</v>
      </c>
      <c r="J180">
        <f>LEN(H180)</f>
        <v>8</v>
      </c>
      <c r="K180" s="49" t="s">
        <v>2781</v>
      </c>
      <c r="O180" s="3" t="s">
        <v>7015</v>
      </c>
      <c r="P180" s="3" t="s">
        <v>7010</v>
      </c>
      <c r="Q180" s="3" t="s">
        <v>7010</v>
      </c>
      <c r="R180" s="3" t="s">
        <v>7015</v>
      </c>
      <c r="S180" s="3" t="s">
        <v>7010</v>
      </c>
      <c r="T180" s="3" t="s">
        <v>7015</v>
      </c>
      <c r="U180" s="3" t="s">
        <v>7010</v>
      </c>
      <c r="V180" s="3" t="s">
        <v>7015</v>
      </c>
      <c r="W180" s="74" t="str">
        <f t="shared" si="9"/>
        <v>Yes</v>
      </c>
      <c r="Z180">
        <v>179</v>
      </c>
      <c r="AA180" s="55" t="s">
        <v>797</v>
      </c>
      <c r="AB180" t="s">
        <v>643</v>
      </c>
      <c r="AC180">
        <f t="shared" si="8"/>
        <v>7</v>
      </c>
      <c r="AD180" s="30" t="s">
        <v>2990</v>
      </c>
      <c r="AF180" t="s">
        <v>7595</v>
      </c>
      <c r="AH180" s="3" t="s">
        <v>7015</v>
      </c>
      <c r="AI180" s="3" t="s">
        <v>7010</v>
      </c>
      <c r="AJ180" s="3" t="s">
        <v>7010</v>
      </c>
      <c r="AK180" s="3" t="s">
        <v>7015</v>
      </c>
      <c r="AL180" s="3" t="s">
        <v>7010</v>
      </c>
      <c r="AM180" s="3" t="s">
        <v>7010</v>
      </c>
      <c r="AN180" s="3" t="s">
        <v>7010</v>
      </c>
      <c r="AO180" s="3" t="s">
        <v>7010</v>
      </c>
      <c r="AP180" s="74" t="s">
        <v>7015</v>
      </c>
      <c r="AU180">
        <v>179</v>
      </c>
      <c r="AV180" t="s">
        <v>2991</v>
      </c>
      <c r="AW180" t="s">
        <v>2279</v>
      </c>
      <c r="AX180">
        <f t="shared" si="10"/>
        <v>8</v>
      </c>
      <c r="AY180" s="30" t="s">
        <v>2992</v>
      </c>
      <c r="BC180" s="3" t="s">
        <v>7010</v>
      </c>
      <c r="BD180" s="3" t="s">
        <v>7010</v>
      </c>
      <c r="BE180" s="3" t="s">
        <v>7010</v>
      </c>
      <c r="BF180" s="3" t="s">
        <v>7010</v>
      </c>
      <c r="BG180" s="3" t="s">
        <v>7010</v>
      </c>
      <c r="BH180" s="3" t="s">
        <v>7010</v>
      </c>
      <c r="BI180" s="3" t="s">
        <v>7010</v>
      </c>
      <c r="BJ180" s="3" t="s">
        <v>7010</v>
      </c>
      <c r="BK180" s="74" t="str">
        <f t="shared" si="11"/>
        <v>No</v>
      </c>
    </row>
    <row r="181" spans="6:63">
      <c r="F181" s="55"/>
      <c r="G181">
        <v>180</v>
      </c>
      <c r="H181" s="7" t="s">
        <v>1997</v>
      </c>
      <c r="I181" t="s">
        <v>29</v>
      </c>
      <c r="J181">
        <f>LEN(H181)</f>
        <v>14</v>
      </c>
      <c r="K181" s="49" t="s">
        <v>6317</v>
      </c>
      <c r="O181" s="3" t="s">
        <v>7010</v>
      </c>
      <c r="P181" s="3" t="s">
        <v>7010</v>
      </c>
      <c r="Q181" s="3" t="s">
        <v>7010</v>
      </c>
      <c r="R181" s="3" t="s">
        <v>7015</v>
      </c>
      <c r="S181" s="3" t="s">
        <v>7010</v>
      </c>
      <c r="T181" s="3" t="s">
        <v>7010</v>
      </c>
      <c r="U181" s="3" t="s">
        <v>7010</v>
      </c>
      <c r="V181" s="3" t="s">
        <v>7010</v>
      </c>
      <c r="W181" s="74" t="str">
        <f t="shared" si="9"/>
        <v>Yes</v>
      </c>
      <c r="Z181">
        <v>180</v>
      </c>
      <c r="AA181" s="55" t="s">
        <v>798</v>
      </c>
      <c r="AB181" t="s">
        <v>643</v>
      </c>
      <c r="AC181">
        <f t="shared" si="8"/>
        <v>6</v>
      </c>
      <c r="AD181" s="30" t="s">
        <v>2994</v>
      </c>
      <c r="AF181" t="s">
        <v>7596</v>
      </c>
      <c r="AH181" s="3" t="s">
        <v>7015</v>
      </c>
      <c r="AI181" s="3" t="s">
        <v>7010</v>
      </c>
      <c r="AJ181" s="3" t="s">
        <v>7010</v>
      </c>
      <c r="AK181" s="3" t="s">
        <v>7015</v>
      </c>
      <c r="AL181" s="3" t="s">
        <v>7010</v>
      </c>
      <c r="AM181" s="3" t="s">
        <v>7010</v>
      </c>
      <c r="AN181" s="3" t="s">
        <v>7010</v>
      </c>
      <c r="AO181" s="3" t="s">
        <v>7010</v>
      </c>
      <c r="AP181" s="74" t="s">
        <v>7015</v>
      </c>
      <c r="AU181">
        <v>180</v>
      </c>
      <c r="AV181" t="s">
        <v>2995</v>
      </c>
      <c r="AW181" t="s">
        <v>2279</v>
      </c>
      <c r="AX181">
        <f t="shared" si="10"/>
        <v>8</v>
      </c>
      <c r="AY181" s="30" t="s">
        <v>2996</v>
      </c>
      <c r="BC181" s="3" t="s">
        <v>7010</v>
      </c>
      <c r="BD181" s="3" t="s">
        <v>7010</v>
      </c>
      <c r="BE181" s="3" t="s">
        <v>7010</v>
      </c>
      <c r="BF181" s="3" t="s">
        <v>7010</v>
      </c>
      <c r="BG181" s="3" t="s">
        <v>7010</v>
      </c>
      <c r="BH181" s="3" t="s">
        <v>7010</v>
      </c>
      <c r="BI181" s="3" t="s">
        <v>7010</v>
      </c>
      <c r="BJ181" s="3" t="s">
        <v>7010</v>
      </c>
      <c r="BK181" s="74" t="str">
        <f t="shared" si="11"/>
        <v>No</v>
      </c>
    </row>
    <row r="182" spans="6:63">
      <c r="F182" s="55"/>
      <c r="G182">
        <v>181</v>
      </c>
      <c r="H182" t="s">
        <v>6966</v>
      </c>
      <c r="I182" t="s">
        <v>29</v>
      </c>
      <c r="J182">
        <f>LEN(H182)</f>
        <v>9</v>
      </c>
      <c r="K182" s="49" t="s">
        <v>6967</v>
      </c>
      <c r="O182" s="3" t="s">
        <v>7010</v>
      </c>
      <c r="P182" s="3" t="s">
        <v>7010</v>
      </c>
      <c r="Q182" s="3" t="s">
        <v>7010</v>
      </c>
      <c r="R182" s="3" t="s">
        <v>7015</v>
      </c>
      <c r="S182" s="3" t="s">
        <v>7010</v>
      </c>
      <c r="T182" s="3" t="s">
        <v>7015</v>
      </c>
      <c r="U182" s="3" t="s">
        <v>7010</v>
      </c>
      <c r="V182" s="3" t="s">
        <v>7015</v>
      </c>
      <c r="W182" s="74" t="str">
        <f t="shared" si="9"/>
        <v>Yes</v>
      </c>
      <c r="Z182">
        <v>181</v>
      </c>
      <c r="AA182" s="55" t="s">
        <v>799</v>
      </c>
      <c r="AB182" t="s">
        <v>643</v>
      </c>
      <c r="AC182">
        <f t="shared" si="8"/>
        <v>6</v>
      </c>
      <c r="AD182" s="30" t="s">
        <v>2998</v>
      </c>
      <c r="AF182" t="s">
        <v>7597</v>
      </c>
      <c r="AH182" s="3" t="s">
        <v>7015</v>
      </c>
      <c r="AI182" s="3" t="s">
        <v>7010</v>
      </c>
      <c r="AJ182" s="3" t="s">
        <v>7010</v>
      </c>
      <c r="AK182" s="3" t="s">
        <v>7015</v>
      </c>
      <c r="AL182" s="3" t="s">
        <v>7010</v>
      </c>
      <c r="AM182" s="3" t="s">
        <v>7010</v>
      </c>
      <c r="AN182" s="3" t="s">
        <v>7010</v>
      </c>
      <c r="AO182" s="3" t="s">
        <v>7010</v>
      </c>
      <c r="AP182" s="74" t="s">
        <v>7015</v>
      </c>
      <c r="AU182">
        <v>181</v>
      </c>
      <c r="AV182" t="s">
        <v>2999</v>
      </c>
      <c r="AW182" t="s">
        <v>2279</v>
      </c>
      <c r="AX182">
        <f t="shared" si="10"/>
        <v>11</v>
      </c>
      <c r="AY182" s="30" t="s">
        <v>3000</v>
      </c>
      <c r="BC182" s="3" t="s">
        <v>7010</v>
      </c>
      <c r="BD182" s="3" t="s">
        <v>7010</v>
      </c>
      <c r="BE182" s="3" t="s">
        <v>7010</v>
      </c>
      <c r="BF182" s="3" t="s">
        <v>7010</v>
      </c>
      <c r="BG182" s="3" t="s">
        <v>7010</v>
      </c>
      <c r="BH182" s="3" t="s">
        <v>7010</v>
      </c>
      <c r="BI182" s="3" t="s">
        <v>7010</v>
      </c>
      <c r="BJ182" s="3" t="s">
        <v>7010</v>
      </c>
      <c r="BK182" s="74" t="str">
        <f t="shared" si="11"/>
        <v>No</v>
      </c>
    </row>
    <row r="183" spans="6:63">
      <c r="F183" s="55"/>
      <c r="G183">
        <v>182</v>
      </c>
      <c r="H183" s="7" t="s">
        <v>517</v>
      </c>
      <c r="I183" t="s">
        <v>29</v>
      </c>
      <c r="J183">
        <f>LEN(H183)</f>
        <v>11</v>
      </c>
      <c r="K183" s="49" t="s">
        <v>2985</v>
      </c>
      <c r="O183" s="3" t="s">
        <v>7010</v>
      </c>
      <c r="P183" s="3" t="s">
        <v>7010</v>
      </c>
      <c r="Q183" s="3" t="s">
        <v>7010</v>
      </c>
      <c r="R183" s="3" t="s">
        <v>7010</v>
      </c>
      <c r="S183" s="3" t="s">
        <v>7010</v>
      </c>
      <c r="T183" s="3" t="s">
        <v>7015</v>
      </c>
      <c r="U183" s="3" t="s">
        <v>7010</v>
      </c>
      <c r="V183" s="3" t="s">
        <v>7010</v>
      </c>
      <c r="W183" s="74" t="str">
        <f t="shared" si="9"/>
        <v>Yes</v>
      </c>
      <c r="Z183">
        <v>182</v>
      </c>
      <c r="AA183" s="55" t="s">
        <v>800</v>
      </c>
      <c r="AB183" t="s">
        <v>643</v>
      </c>
      <c r="AC183">
        <f t="shared" si="8"/>
        <v>7</v>
      </c>
      <c r="AD183" s="30" t="s">
        <v>3002</v>
      </c>
      <c r="AF183" t="s">
        <v>7598</v>
      </c>
      <c r="AH183" s="3" t="s">
        <v>7015</v>
      </c>
      <c r="AI183" s="3" t="s">
        <v>7010</v>
      </c>
      <c r="AJ183" s="3" t="s">
        <v>7010</v>
      </c>
      <c r="AK183" s="3" t="s">
        <v>7015</v>
      </c>
      <c r="AL183" s="3" t="s">
        <v>7010</v>
      </c>
      <c r="AM183" s="3" t="s">
        <v>7010</v>
      </c>
      <c r="AN183" s="3" t="s">
        <v>7010</v>
      </c>
      <c r="AO183" s="3" t="s">
        <v>7010</v>
      </c>
      <c r="AP183" s="74" t="s">
        <v>7015</v>
      </c>
      <c r="AU183">
        <v>182</v>
      </c>
      <c r="AV183" t="s">
        <v>3003</v>
      </c>
      <c r="AW183" t="s">
        <v>2279</v>
      </c>
      <c r="AX183">
        <f t="shared" si="10"/>
        <v>8</v>
      </c>
      <c r="AY183" s="30" t="s">
        <v>3004</v>
      </c>
      <c r="BC183" s="3" t="s">
        <v>7010</v>
      </c>
      <c r="BD183" s="3" t="s">
        <v>7010</v>
      </c>
      <c r="BE183" s="3" t="s">
        <v>7010</v>
      </c>
      <c r="BF183" s="3" t="s">
        <v>7010</v>
      </c>
      <c r="BG183" s="3" t="s">
        <v>7010</v>
      </c>
      <c r="BH183" s="3" t="s">
        <v>7010</v>
      </c>
      <c r="BI183" s="3" t="s">
        <v>7010</v>
      </c>
      <c r="BJ183" s="3" t="s">
        <v>7010</v>
      </c>
      <c r="BK183" s="74" t="str">
        <f t="shared" si="11"/>
        <v>No</v>
      </c>
    </row>
    <row r="184" spans="6:63">
      <c r="F184" s="55"/>
      <c r="G184">
        <v>183</v>
      </c>
      <c r="H184" t="s">
        <v>6934</v>
      </c>
      <c r="I184" t="s">
        <v>29</v>
      </c>
      <c r="J184">
        <f>LEN(H184)</f>
        <v>9</v>
      </c>
      <c r="K184" s="49" t="s">
        <v>6935</v>
      </c>
      <c r="O184" s="3" t="s">
        <v>7015</v>
      </c>
      <c r="P184" s="3" t="s">
        <v>7010</v>
      </c>
      <c r="Q184" s="3" t="s">
        <v>7010</v>
      </c>
      <c r="R184" s="3" t="s">
        <v>7015</v>
      </c>
      <c r="S184" s="3" t="s">
        <v>7010</v>
      </c>
      <c r="T184" s="3" t="s">
        <v>7015</v>
      </c>
      <c r="U184" s="3" t="s">
        <v>7010</v>
      </c>
      <c r="V184" s="3" t="s">
        <v>7010</v>
      </c>
      <c r="W184" s="74" t="str">
        <f t="shared" si="9"/>
        <v>Yes</v>
      </c>
      <c r="Z184">
        <v>183</v>
      </c>
      <c r="AA184" s="55" t="s">
        <v>801</v>
      </c>
      <c r="AB184" t="s">
        <v>643</v>
      </c>
      <c r="AC184">
        <f t="shared" si="8"/>
        <v>7</v>
      </c>
      <c r="AD184" s="30" t="s">
        <v>3006</v>
      </c>
      <c r="AF184" t="s">
        <v>7599</v>
      </c>
      <c r="AH184" s="3" t="s">
        <v>7015</v>
      </c>
      <c r="AI184" s="3" t="s">
        <v>7010</v>
      </c>
      <c r="AJ184" s="3" t="s">
        <v>7010</v>
      </c>
      <c r="AK184" s="3" t="s">
        <v>7015</v>
      </c>
      <c r="AL184" s="3" t="s">
        <v>7010</v>
      </c>
      <c r="AM184" s="3" t="s">
        <v>7010</v>
      </c>
      <c r="AN184" s="3" t="s">
        <v>7010</v>
      </c>
      <c r="AO184" s="3" t="s">
        <v>7010</v>
      </c>
      <c r="AP184" s="74" t="s">
        <v>7015</v>
      </c>
      <c r="AU184">
        <v>183</v>
      </c>
      <c r="AV184" t="s">
        <v>3007</v>
      </c>
      <c r="AW184" t="s">
        <v>2279</v>
      </c>
      <c r="AX184">
        <f t="shared" si="10"/>
        <v>8</v>
      </c>
      <c r="AY184" s="30" t="s">
        <v>3008</v>
      </c>
      <c r="BC184" s="3" t="s">
        <v>7010</v>
      </c>
      <c r="BD184" s="3" t="s">
        <v>7010</v>
      </c>
      <c r="BE184" s="3" t="s">
        <v>7010</v>
      </c>
      <c r="BF184" s="3" t="s">
        <v>7010</v>
      </c>
      <c r="BG184" s="3" t="s">
        <v>7010</v>
      </c>
      <c r="BH184" s="3" t="s">
        <v>7010</v>
      </c>
      <c r="BI184" s="3" t="s">
        <v>7010</v>
      </c>
      <c r="BJ184" s="3" t="s">
        <v>7010</v>
      </c>
      <c r="BK184" s="74" t="str">
        <f t="shared" si="11"/>
        <v>No</v>
      </c>
    </row>
    <row r="185" spans="6:63">
      <c r="F185" s="55"/>
      <c r="G185">
        <v>184</v>
      </c>
      <c r="H185" s="7" t="s">
        <v>614</v>
      </c>
      <c r="I185" t="s">
        <v>29</v>
      </c>
      <c r="J185">
        <f>LEN(H185)</f>
        <v>16</v>
      </c>
      <c r="K185" s="49" t="s">
        <v>3373</v>
      </c>
      <c r="O185" s="3" t="s">
        <v>7010</v>
      </c>
      <c r="P185" s="3" t="s">
        <v>7010</v>
      </c>
      <c r="Q185" s="3" t="s">
        <v>7010</v>
      </c>
      <c r="R185" s="3" t="s">
        <v>7010</v>
      </c>
      <c r="S185" s="3" t="s">
        <v>7010</v>
      </c>
      <c r="T185" s="3" t="s">
        <v>7010</v>
      </c>
      <c r="U185" s="3" t="s">
        <v>7010</v>
      </c>
      <c r="V185" s="3" t="s">
        <v>7010</v>
      </c>
      <c r="W185" s="74" t="str">
        <f t="shared" si="9"/>
        <v>No</v>
      </c>
      <c r="Z185">
        <v>184</v>
      </c>
      <c r="AA185" s="55" t="s">
        <v>802</v>
      </c>
      <c r="AB185" t="s">
        <v>643</v>
      </c>
      <c r="AC185">
        <f t="shared" si="8"/>
        <v>6</v>
      </c>
      <c r="AD185" s="30" t="s">
        <v>3010</v>
      </c>
      <c r="AF185" t="s">
        <v>7600</v>
      </c>
      <c r="AH185" s="3" t="s">
        <v>7015</v>
      </c>
      <c r="AI185" s="3" t="s">
        <v>7010</v>
      </c>
      <c r="AJ185" s="3" t="s">
        <v>7010</v>
      </c>
      <c r="AK185" s="3" t="s">
        <v>7015</v>
      </c>
      <c r="AL185" s="3" t="s">
        <v>7010</v>
      </c>
      <c r="AM185" s="3" t="s">
        <v>7010</v>
      </c>
      <c r="AN185" s="3" t="s">
        <v>7010</v>
      </c>
      <c r="AO185" s="3" t="s">
        <v>7010</v>
      </c>
      <c r="AP185" s="74" t="s">
        <v>7015</v>
      </c>
      <c r="AU185">
        <v>184</v>
      </c>
      <c r="AV185" t="s">
        <v>3011</v>
      </c>
      <c r="AW185" t="s">
        <v>2279</v>
      </c>
      <c r="AX185">
        <f t="shared" si="10"/>
        <v>10</v>
      </c>
      <c r="AY185" s="30" t="s">
        <v>3012</v>
      </c>
      <c r="BC185" s="3" t="s">
        <v>7015</v>
      </c>
      <c r="BD185" s="3" t="s">
        <v>7010</v>
      </c>
      <c r="BE185" s="3" t="s">
        <v>7015</v>
      </c>
      <c r="BF185" s="3" t="s">
        <v>7010</v>
      </c>
      <c r="BG185" s="3" t="s">
        <v>7010</v>
      </c>
      <c r="BH185" s="3" t="s">
        <v>7010</v>
      </c>
      <c r="BI185" s="3" t="s">
        <v>7010</v>
      </c>
      <c r="BJ185" s="3" t="s">
        <v>7010</v>
      </c>
      <c r="BK185" s="74" t="str">
        <f t="shared" si="11"/>
        <v>Yes</v>
      </c>
    </row>
    <row r="186" spans="6:63">
      <c r="F186" s="55"/>
      <c r="G186">
        <v>185</v>
      </c>
      <c r="H186" s="7" t="s">
        <v>1876</v>
      </c>
      <c r="I186" t="s">
        <v>29</v>
      </c>
      <c r="J186">
        <f>LEN(H186)</f>
        <v>12</v>
      </c>
      <c r="K186" s="49" t="s">
        <v>5994</v>
      </c>
      <c r="O186" s="3" t="s">
        <v>7010</v>
      </c>
      <c r="P186" s="3" t="s">
        <v>7010</v>
      </c>
      <c r="Q186" s="3" t="s">
        <v>7010</v>
      </c>
      <c r="R186" s="3" t="s">
        <v>7010</v>
      </c>
      <c r="S186" s="3" t="s">
        <v>7010</v>
      </c>
      <c r="T186" s="3" t="s">
        <v>7010</v>
      </c>
      <c r="U186" s="3" t="s">
        <v>7010</v>
      </c>
      <c r="V186" s="3" t="s">
        <v>7010</v>
      </c>
      <c r="W186" s="74" t="str">
        <f t="shared" si="9"/>
        <v>No</v>
      </c>
      <c r="Z186">
        <v>185</v>
      </c>
      <c r="AA186" s="55" t="s">
        <v>803</v>
      </c>
      <c r="AB186" t="s">
        <v>643</v>
      </c>
      <c r="AC186">
        <f t="shared" si="8"/>
        <v>7</v>
      </c>
      <c r="AD186" s="30" t="s">
        <v>3014</v>
      </c>
      <c r="AF186" t="s">
        <v>7601</v>
      </c>
      <c r="AH186" s="3" t="s">
        <v>7015</v>
      </c>
      <c r="AI186" s="3" t="s">
        <v>7010</v>
      </c>
      <c r="AJ186" s="3" t="s">
        <v>7010</v>
      </c>
      <c r="AK186" s="3" t="s">
        <v>7015</v>
      </c>
      <c r="AL186" s="3" t="s">
        <v>7010</v>
      </c>
      <c r="AM186" s="3" t="s">
        <v>7010</v>
      </c>
      <c r="AN186" s="3" t="s">
        <v>7010</v>
      </c>
      <c r="AO186" s="3" t="s">
        <v>7010</v>
      </c>
      <c r="AP186" s="74" t="s">
        <v>7015</v>
      </c>
      <c r="AU186">
        <v>185</v>
      </c>
      <c r="AV186" t="s">
        <v>3015</v>
      </c>
      <c r="AW186" t="s">
        <v>2279</v>
      </c>
      <c r="AX186">
        <f t="shared" si="10"/>
        <v>8</v>
      </c>
      <c r="AY186" s="30" t="s">
        <v>3016</v>
      </c>
      <c r="BC186" s="3" t="s">
        <v>7010</v>
      </c>
      <c r="BD186" s="3" t="s">
        <v>7010</v>
      </c>
      <c r="BE186" s="3" t="s">
        <v>7010</v>
      </c>
      <c r="BF186" s="3" t="s">
        <v>7010</v>
      </c>
      <c r="BG186" s="3" t="s">
        <v>7010</v>
      </c>
      <c r="BH186" s="3" t="s">
        <v>7010</v>
      </c>
      <c r="BI186" s="3" t="s">
        <v>7010</v>
      </c>
      <c r="BJ186" s="3" t="s">
        <v>7010</v>
      </c>
      <c r="BK186" s="74" t="str">
        <f t="shared" si="11"/>
        <v>No</v>
      </c>
    </row>
    <row r="187" spans="6:63">
      <c r="F187" s="55"/>
      <c r="G187">
        <v>186</v>
      </c>
      <c r="H187" s="7" t="s">
        <v>2051</v>
      </c>
      <c r="I187" t="s">
        <v>29</v>
      </c>
      <c r="J187">
        <f>LEN(H187)</f>
        <v>10</v>
      </c>
      <c r="K187" s="49" t="s">
        <v>6457</v>
      </c>
      <c r="O187" s="3" t="s">
        <v>7010</v>
      </c>
      <c r="P187" s="3" t="s">
        <v>7010</v>
      </c>
      <c r="Q187" s="3" t="s">
        <v>7010</v>
      </c>
      <c r="R187" s="3" t="s">
        <v>7010</v>
      </c>
      <c r="S187" s="3" t="s">
        <v>7010</v>
      </c>
      <c r="T187" s="3" t="s">
        <v>7015</v>
      </c>
      <c r="U187" s="3" t="s">
        <v>7010</v>
      </c>
      <c r="V187" s="3" t="s">
        <v>7010</v>
      </c>
      <c r="W187" s="74" t="str">
        <f t="shared" si="9"/>
        <v>Yes</v>
      </c>
      <c r="Z187">
        <v>186</v>
      </c>
      <c r="AA187" s="55" t="s">
        <v>804</v>
      </c>
      <c r="AB187" t="s">
        <v>643</v>
      </c>
      <c r="AC187">
        <f t="shared" si="8"/>
        <v>8</v>
      </c>
      <c r="AD187" s="30" t="s">
        <v>3018</v>
      </c>
      <c r="AF187" t="s">
        <v>7602</v>
      </c>
      <c r="AH187" s="3" t="s">
        <v>7015</v>
      </c>
      <c r="AI187" s="3" t="s">
        <v>7010</v>
      </c>
      <c r="AJ187" s="3" t="s">
        <v>7010</v>
      </c>
      <c r="AK187" s="3" t="s">
        <v>7015</v>
      </c>
      <c r="AL187" s="3" t="s">
        <v>7010</v>
      </c>
      <c r="AM187" s="3" t="s">
        <v>7010</v>
      </c>
      <c r="AN187" s="3" t="s">
        <v>7010</v>
      </c>
      <c r="AO187" s="3" t="s">
        <v>7010</v>
      </c>
      <c r="AP187" s="74" t="s">
        <v>7015</v>
      </c>
      <c r="AU187">
        <v>186</v>
      </c>
      <c r="AV187" t="s">
        <v>3019</v>
      </c>
      <c r="AW187" t="s">
        <v>2279</v>
      </c>
      <c r="AX187">
        <f t="shared" si="10"/>
        <v>8</v>
      </c>
      <c r="AY187" s="30" t="s">
        <v>3020</v>
      </c>
      <c r="BC187" s="3" t="s">
        <v>7010</v>
      </c>
      <c r="BD187" s="3" t="s">
        <v>7010</v>
      </c>
      <c r="BE187" s="3" t="s">
        <v>7010</v>
      </c>
      <c r="BF187" s="3" t="s">
        <v>7010</v>
      </c>
      <c r="BG187" s="3" t="s">
        <v>7010</v>
      </c>
      <c r="BH187" s="3" t="s">
        <v>7010</v>
      </c>
      <c r="BI187" s="3" t="s">
        <v>7010</v>
      </c>
      <c r="BJ187" s="3" t="s">
        <v>7010</v>
      </c>
      <c r="BK187" s="74" t="str">
        <f t="shared" si="11"/>
        <v>No</v>
      </c>
    </row>
    <row r="188" spans="6:63">
      <c r="F188" s="55"/>
      <c r="G188">
        <v>187</v>
      </c>
      <c r="H188" s="7" t="s">
        <v>1052</v>
      </c>
      <c r="I188" t="s">
        <v>29</v>
      </c>
      <c r="J188">
        <f>LEN(H188)</f>
        <v>10</v>
      </c>
      <c r="K188" s="49" t="s">
        <v>3838</v>
      </c>
      <c r="O188" s="3" t="s">
        <v>7010</v>
      </c>
      <c r="P188" s="3" t="s">
        <v>7010</v>
      </c>
      <c r="Q188" s="3" t="s">
        <v>7010</v>
      </c>
      <c r="R188" s="3" t="s">
        <v>7010</v>
      </c>
      <c r="S188" s="3" t="s">
        <v>7010</v>
      </c>
      <c r="T188" s="3" t="s">
        <v>7015</v>
      </c>
      <c r="U188" s="3" t="s">
        <v>7010</v>
      </c>
      <c r="V188" s="3" t="s">
        <v>7010</v>
      </c>
      <c r="W188" s="74" t="str">
        <f t="shared" si="9"/>
        <v>Yes</v>
      </c>
      <c r="Z188">
        <v>187</v>
      </c>
      <c r="AA188" s="55" t="s">
        <v>805</v>
      </c>
      <c r="AB188" t="s">
        <v>643</v>
      </c>
      <c r="AC188">
        <f t="shared" si="8"/>
        <v>6</v>
      </c>
      <c r="AD188" s="30" t="s">
        <v>3022</v>
      </c>
      <c r="AF188" t="s">
        <v>7603</v>
      </c>
      <c r="AH188" s="3" t="s">
        <v>7015</v>
      </c>
      <c r="AI188" s="3" t="s">
        <v>7010</v>
      </c>
      <c r="AJ188" s="3" t="s">
        <v>7010</v>
      </c>
      <c r="AK188" s="3" t="s">
        <v>7015</v>
      </c>
      <c r="AL188" s="3" t="s">
        <v>7010</v>
      </c>
      <c r="AM188" s="3" t="s">
        <v>7010</v>
      </c>
      <c r="AN188" s="3" t="s">
        <v>7010</v>
      </c>
      <c r="AO188" s="3" t="s">
        <v>7010</v>
      </c>
      <c r="AP188" s="74" t="s">
        <v>7015</v>
      </c>
      <c r="AU188">
        <v>187</v>
      </c>
      <c r="AV188" t="s">
        <v>3023</v>
      </c>
      <c r="AW188" t="s">
        <v>2279</v>
      </c>
      <c r="AX188">
        <f t="shared" si="10"/>
        <v>8</v>
      </c>
      <c r="AY188" s="30" t="s">
        <v>3024</v>
      </c>
      <c r="BC188" s="3" t="s">
        <v>7010</v>
      </c>
      <c r="BD188" s="3" t="s">
        <v>7010</v>
      </c>
      <c r="BE188" s="3" t="s">
        <v>7010</v>
      </c>
      <c r="BF188" s="3" t="s">
        <v>7010</v>
      </c>
      <c r="BG188" s="3" t="s">
        <v>7010</v>
      </c>
      <c r="BH188" s="3" t="s">
        <v>7010</v>
      </c>
      <c r="BI188" s="3" t="s">
        <v>7010</v>
      </c>
      <c r="BJ188" s="3" t="s">
        <v>7010</v>
      </c>
      <c r="BK188" s="74" t="str">
        <f t="shared" si="11"/>
        <v>No</v>
      </c>
    </row>
    <row r="189" spans="6:63">
      <c r="F189" s="55"/>
      <c r="G189">
        <v>188</v>
      </c>
      <c r="H189" s="7" t="s">
        <v>1896</v>
      </c>
      <c r="I189" t="s">
        <v>29</v>
      </c>
      <c r="J189">
        <f>LEN(H189)</f>
        <v>9</v>
      </c>
      <c r="K189" s="49" t="s">
        <v>6044</v>
      </c>
      <c r="O189" s="3" t="s">
        <v>7010</v>
      </c>
      <c r="P189" s="3" t="s">
        <v>7010</v>
      </c>
      <c r="Q189" s="3" t="s">
        <v>7010</v>
      </c>
      <c r="R189" s="3" t="s">
        <v>7010</v>
      </c>
      <c r="S189" s="3" t="s">
        <v>7010</v>
      </c>
      <c r="T189" s="3" t="s">
        <v>7010</v>
      </c>
      <c r="U189" s="3" t="s">
        <v>7010</v>
      </c>
      <c r="V189" s="3" t="s">
        <v>7010</v>
      </c>
      <c r="W189" s="74" t="str">
        <f t="shared" si="9"/>
        <v>No</v>
      </c>
      <c r="Z189">
        <v>188</v>
      </c>
      <c r="AA189" s="55">
        <v>55555</v>
      </c>
      <c r="AB189" t="s">
        <v>643</v>
      </c>
      <c r="AC189">
        <f t="shared" si="8"/>
        <v>5</v>
      </c>
      <c r="AD189" s="30" t="s">
        <v>3026</v>
      </c>
      <c r="AF189" t="s">
        <v>7604</v>
      </c>
      <c r="AH189" s="3" t="s">
        <v>7015</v>
      </c>
      <c r="AI189" s="3" t="s">
        <v>7010</v>
      </c>
      <c r="AJ189" s="3" t="s">
        <v>7010</v>
      </c>
      <c r="AK189" s="3" t="s">
        <v>7015</v>
      </c>
      <c r="AL189" s="3" t="s">
        <v>7010</v>
      </c>
      <c r="AM189" s="3" t="s">
        <v>7010</v>
      </c>
      <c r="AN189" s="3" t="s">
        <v>7010</v>
      </c>
      <c r="AO189" s="3" t="s">
        <v>7010</v>
      </c>
      <c r="AP189" s="74" t="s">
        <v>7015</v>
      </c>
      <c r="AU189">
        <v>188</v>
      </c>
      <c r="AV189" t="s">
        <v>3027</v>
      </c>
      <c r="AW189" t="s">
        <v>2279</v>
      </c>
      <c r="AX189">
        <f t="shared" si="10"/>
        <v>9</v>
      </c>
      <c r="AY189" s="30" t="s">
        <v>3028</v>
      </c>
      <c r="BC189" s="3" t="s">
        <v>7010</v>
      </c>
      <c r="BD189" s="3" t="s">
        <v>7010</v>
      </c>
      <c r="BE189" s="3" t="s">
        <v>7010</v>
      </c>
      <c r="BF189" s="3" t="s">
        <v>7010</v>
      </c>
      <c r="BG189" s="3" t="s">
        <v>7010</v>
      </c>
      <c r="BH189" s="3" t="s">
        <v>7010</v>
      </c>
      <c r="BI189" s="3" t="s">
        <v>7010</v>
      </c>
      <c r="BJ189" s="3" t="s">
        <v>7010</v>
      </c>
      <c r="BK189" s="74" t="str">
        <f t="shared" si="11"/>
        <v>No</v>
      </c>
    </row>
    <row r="190" spans="6:63">
      <c r="F190" s="55"/>
      <c r="G190">
        <v>189</v>
      </c>
      <c r="H190" s="7" t="s">
        <v>1214</v>
      </c>
      <c r="I190" t="s">
        <v>29</v>
      </c>
      <c r="J190">
        <f>LEN(H190)</f>
        <v>13</v>
      </c>
      <c r="K190" s="49" t="s">
        <v>4251</v>
      </c>
      <c r="O190" s="3" t="s">
        <v>7010</v>
      </c>
      <c r="P190" s="3" t="s">
        <v>7010</v>
      </c>
      <c r="Q190" s="3" t="s">
        <v>7010</v>
      </c>
      <c r="R190" s="3" t="s">
        <v>7010</v>
      </c>
      <c r="S190" s="3" t="s">
        <v>7010</v>
      </c>
      <c r="T190" s="3" t="s">
        <v>7010</v>
      </c>
      <c r="U190" s="3" t="s">
        <v>7010</v>
      </c>
      <c r="V190" s="3" t="s">
        <v>7010</v>
      </c>
      <c r="W190" s="74" t="str">
        <f t="shared" si="9"/>
        <v>No</v>
      </c>
      <c r="Z190">
        <v>189</v>
      </c>
      <c r="AA190" s="55" t="s">
        <v>806</v>
      </c>
      <c r="AB190" t="s">
        <v>643</v>
      </c>
      <c r="AC190">
        <f t="shared" si="8"/>
        <v>8</v>
      </c>
      <c r="AD190" s="30" t="s">
        <v>3030</v>
      </c>
      <c r="AF190" t="s">
        <v>7605</v>
      </c>
      <c r="AH190" s="3" t="s">
        <v>7015</v>
      </c>
      <c r="AI190" s="3" t="s">
        <v>7010</v>
      </c>
      <c r="AJ190" s="3" t="s">
        <v>7010</v>
      </c>
      <c r="AK190" s="3" t="s">
        <v>7015</v>
      </c>
      <c r="AL190" s="3" t="s">
        <v>7010</v>
      </c>
      <c r="AM190" s="3" t="s">
        <v>7010</v>
      </c>
      <c r="AN190" s="3" t="s">
        <v>7010</v>
      </c>
      <c r="AO190" s="3" t="s">
        <v>7010</v>
      </c>
      <c r="AP190" s="74" t="s">
        <v>7015</v>
      </c>
      <c r="AU190">
        <v>189</v>
      </c>
      <c r="AV190" t="s">
        <v>3031</v>
      </c>
      <c r="AW190" t="s">
        <v>2279</v>
      </c>
      <c r="AX190">
        <f t="shared" si="10"/>
        <v>12</v>
      </c>
      <c r="AY190" s="30" t="s">
        <v>3032</v>
      </c>
      <c r="BC190" s="3" t="s">
        <v>7010</v>
      </c>
      <c r="BD190" s="3" t="s">
        <v>7010</v>
      </c>
      <c r="BE190" s="3" t="s">
        <v>7010</v>
      </c>
      <c r="BF190" s="3" t="s">
        <v>7010</v>
      </c>
      <c r="BG190" s="3" t="s">
        <v>7010</v>
      </c>
      <c r="BH190" s="3" t="s">
        <v>7010</v>
      </c>
      <c r="BI190" s="3" t="s">
        <v>7010</v>
      </c>
      <c r="BJ190" s="3" t="s">
        <v>7010</v>
      </c>
      <c r="BK190" s="74" t="str">
        <f t="shared" si="11"/>
        <v>No</v>
      </c>
    </row>
    <row r="191" spans="6:63">
      <c r="F191" s="55"/>
      <c r="G191">
        <v>190</v>
      </c>
      <c r="H191" s="7" t="s">
        <v>1510</v>
      </c>
      <c r="I191" t="s">
        <v>29</v>
      </c>
      <c r="J191">
        <f>LEN(H191)</f>
        <v>15</v>
      </c>
      <c r="K191" s="51" t="s">
        <v>5001</v>
      </c>
      <c r="O191" s="3" t="s">
        <v>7010</v>
      </c>
      <c r="P191" s="3" t="s">
        <v>7010</v>
      </c>
      <c r="Q191" s="3" t="s">
        <v>7010</v>
      </c>
      <c r="R191" s="3" t="s">
        <v>7010</v>
      </c>
      <c r="S191" s="3" t="s">
        <v>7010</v>
      </c>
      <c r="T191" s="3" t="s">
        <v>7010</v>
      </c>
      <c r="U191" s="3" t="s">
        <v>7010</v>
      </c>
      <c r="V191" s="3" t="s">
        <v>7010</v>
      </c>
      <c r="W191" s="74" t="str">
        <f t="shared" si="9"/>
        <v>No</v>
      </c>
      <c r="Z191">
        <v>190</v>
      </c>
      <c r="AA191" s="55" t="s">
        <v>807</v>
      </c>
      <c r="AB191" t="s">
        <v>643</v>
      </c>
      <c r="AC191">
        <f t="shared" si="8"/>
        <v>6</v>
      </c>
      <c r="AD191" s="30" t="s">
        <v>3034</v>
      </c>
      <c r="AF191" t="s">
        <v>7606</v>
      </c>
      <c r="AH191" s="3" t="s">
        <v>7015</v>
      </c>
      <c r="AI191" s="3" t="s">
        <v>7010</v>
      </c>
      <c r="AJ191" s="3" t="s">
        <v>7010</v>
      </c>
      <c r="AK191" s="3" t="s">
        <v>7015</v>
      </c>
      <c r="AL191" s="3" t="s">
        <v>7010</v>
      </c>
      <c r="AM191" s="3" t="s">
        <v>7010</v>
      </c>
      <c r="AN191" s="3" t="s">
        <v>7010</v>
      </c>
      <c r="AO191" s="3" t="s">
        <v>7010</v>
      </c>
      <c r="AP191" s="74" t="s">
        <v>7015</v>
      </c>
      <c r="AU191">
        <v>190</v>
      </c>
      <c r="AV191" t="s">
        <v>3035</v>
      </c>
      <c r="AW191" t="s">
        <v>2279</v>
      </c>
      <c r="AX191">
        <f t="shared" si="10"/>
        <v>12</v>
      </c>
      <c r="AY191" s="30" t="s">
        <v>3036</v>
      </c>
      <c r="BC191" s="3" t="s">
        <v>7010</v>
      </c>
      <c r="BD191" s="3" t="s">
        <v>7010</v>
      </c>
      <c r="BE191" s="3" t="s">
        <v>7010</v>
      </c>
      <c r="BF191" s="3" t="s">
        <v>7010</v>
      </c>
      <c r="BG191" s="3" t="s">
        <v>7010</v>
      </c>
      <c r="BH191" s="3" t="s">
        <v>7010</v>
      </c>
      <c r="BI191" s="3" t="s">
        <v>7010</v>
      </c>
      <c r="BJ191" s="3" t="s">
        <v>7010</v>
      </c>
      <c r="BK191" s="74" t="str">
        <f t="shared" si="11"/>
        <v>No</v>
      </c>
    </row>
    <row r="192" spans="6:63">
      <c r="F192" s="55"/>
      <c r="G192">
        <v>191</v>
      </c>
      <c r="H192" s="7" t="s">
        <v>1400</v>
      </c>
      <c r="I192" t="s">
        <v>29</v>
      </c>
      <c r="J192">
        <f>LEN(H192)</f>
        <v>12</v>
      </c>
      <c r="K192" s="49" t="s">
        <v>4720</v>
      </c>
      <c r="O192" s="3" t="s">
        <v>7010</v>
      </c>
      <c r="P192" s="3" t="s">
        <v>7010</v>
      </c>
      <c r="Q192" s="3" t="s">
        <v>7010</v>
      </c>
      <c r="R192" s="3" t="s">
        <v>7010</v>
      </c>
      <c r="S192" s="3" t="s">
        <v>7010</v>
      </c>
      <c r="T192" s="3" t="s">
        <v>7010</v>
      </c>
      <c r="U192" s="3" t="s">
        <v>7010</v>
      </c>
      <c r="V192" s="3" t="s">
        <v>7010</v>
      </c>
      <c r="W192" s="74" t="str">
        <f t="shared" si="9"/>
        <v>No</v>
      </c>
      <c r="Z192">
        <v>191</v>
      </c>
      <c r="AA192" s="55" t="s">
        <v>808</v>
      </c>
      <c r="AB192" t="s">
        <v>643</v>
      </c>
      <c r="AC192">
        <f t="shared" si="8"/>
        <v>8</v>
      </c>
      <c r="AD192" s="30" t="s">
        <v>3038</v>
      </c>
      <c r="AF192" t="s">
        <v>7607</v>
      </c>
      <c r="AH192" s="3" t="s">
        <v>7015</v>
      </c>
      <c r="AI192" s="3" t="s">
        <v>7010</v>
      </c>
      <c r="AJ192" s="3" t="s">
        <v>7010</v>
      </c>
      <c r="AK192" s="3" t="s">
        <v>7015</v>
      </c>
      <c r="AL192" s="3" t="s">
        <v>7010</v>
      </c>
      <c r="AM192" s="3" t="s">
        <v>7010</v>
      </c>
      <c r="AN192" s="3" t="s">
        <v>7010</v>
      </c>
      <c r="AO192" s="3" t="s">
        <v>7010</v>
      </c>
      <c r="AP192" s="74" t="s">
        <v>7015</v>
      </c>
      <c r="AU192">
        <v>191</v>
      </c>
      <c r="AV192" t="s">
        <v>3039</v>
      </c>
      <c r="AW192" t="s">
        <v>2279</v>
      </c>
      <c r="AX192">
        <f t="shared" si="10"/>
        <v>9</v>
      </c>
      <c r="AY192" s="30" t="s">
        <v>3040</v>
      </c>
      <c r="BC192" s="3" t="s">
        <v>7010</v>
      </c>
      <c r="BD192" s="3" t="s">
        <v>7010</v>
      </c>
      <c r="BE192" s="3" t="s">
        <v>7015</v>
      </c>
      <c r="BF192" s="3" t="s">
        <v>7010</v>
      </c>
      <c r="BG192" s="3" t="s">
        <v>7010</v>
      </c>
      <c r="BH192" s="3" t="s">
        <v>7010</v>
      </c>
      <c r="BI192" s="3" t="s">
        <v>7010</v>
      </c>
      <c r="BJ192" s="3" t="s">
        <v>7010</v>
      </c>
      <c r="BK192" s="74" t="str">
        <f t="shared" si="11"/>
        <v>Yes</v>
      </c>
    </row>
    <row r="193" spans="6:63">
      <c r="F193" s="55"/>
      <c r="G193">
        <v>192</v>
      </c>
      <c r="H193" s="7" t="s">
        <v>1294</v>
      </c>
      <c r="I193" t="s">
        <v>29</v>
      </c>
      <c r="J193">
        <f>LEN(H193)</f>
        <v>12</v>
      </c>
      <c r="K193" s="49" t="s">
        <v>4451</v>
      </c>
      <c r="O193" s="3" t="s">
        <v>7010</v>
      </c>
      <c r="P193" s="3" t="s">
        <v>7010</v>
      </c>
      <c r="Q193" s="3" t="s">
        <v>7010</v>
      </c>
      <c r="R193" s="3" t="s">
        <v>7010</v>
      </c>
      <c r="S193" s="3" t="s">
        <v>7010</v>
      </c>
      <c r="T193" s="3" t="s">
        <v>7010</v>
      </c>
      <c r="U193" s="3" t="s">
        <v>7010</v>
      </c>
      <c r="V193" s="3" t="s">
        <v>7010</v>
      </c>
      <c r="W193" s="74" t="str">
        <f t="shared" si="9"/>
        <v>No</v>
      </c>
      <c r="Z193">
        <v>192</v>
      </c>
      <c r="AA193" s="55" t="s">
        <v>809</v>
      </c>
      <c r="AB193" t="s">
        <v>643</v>
      </c>
      <c r="AC193">
        <f t="shared" si="8"/>
        <v>8</v>
      </c>
      <c r="AD193" s="30" t="s">
        <v>3042</v>
      </c>
      <c r="AF193" t="s">
        <v>7608</v>
      </c>
      <c r="AH193" s="3" t="s">
        <v>7015</v>
      </c>
      <c r="AI193" s="3" t="s">
        <v>7010</v>
      </c>
      <c r="AJ193" s="3" t="s">
        <v>7010</v>
      </c>
      <c r="AK193" s="3" t="s">
        <v>7015</v>
      </c>
      <c r="AL193" s="3" t="s">
        <v>7010</v>
      </c>
      <c r="AM193" s="3" t="s">
        <v>7010</v>
      </c>
      <c r="AN193" s="3" t="s">
        <v>7010</v>
      </c>
      <c r="AO193" s="3" t="s">
        <v>7010</v>
      </c>
      <c r="AP193" s="74" t="s">
        <v>7015</v>
      </c>
      <c r="AU193">
        <v>192</v>
      </c>
      <c r="AV193" t="s">
        <v>3043</v>
      </c>
      <c r="AW193" t="s">
        <v>2279</v>
      </c>
      <c r="AX193">
        <f t="shared" si="10"/>
        <v>8</v>
      </c>
      <c r="AY193" s="30" t="s">
        <v>3044</v>
      </c>
      <c r="BC193" s="3" t="s">
        <v>7010</v>
      </c>
      <c r="BD193" s="3" t="s">
        <v>7010</v>
      </c>
      <c r="BE193" s="3" t="s">
        <v>7010</v>
      </c>
      <c r="BF193" s="3" t="s">
        <v>7010</v>
      </c>
      <c r="BG193" s="3" t="s">
        <v>7010</v>
      </c>
      <c r="BH193" s="3" t="s">
        <v>7010</v>
      </c>
      <c r="BI193" s="3" t="s">
        <v>7010</v>
      </c>
      <c r="BJ193" s="3" t="s">
        <v>7010</v>
      </c>
      <c r="BK193" s="74" t="str">
        <f t="shared" si="11"/>
        <v>No</v>
      </c>
    </row>
    <row r="194" spans="6:63">
      <c r="F194" s="55"/>
      <c r="G194">
        <v>193</v>
      </c>
      <c r="H194" s="7" t="s">
        <v>2003</v>
      </c>
      <c r="I194" t="s">
        <v>29</v>
      </c>
      <c r="J194">
        <f>LEN(H194)</f>
        <v>12</v>
      </c>
      <c r="K194" s="49" t="s">
        <v>6332</v>
      </c>
      <c r="O194" s="3" t="s">
        <v>7010</v>
      </c>
      <c r="P194" s="3" t="s">
        <v>7010</v>
      </c>
      <c r="Q194" s="3" t="s">
        <v>7010</v>
      </c>
      <c r="R194" s="3" t="s">
        <v>7010</v>
      </c>
      <c r="S194" s="3" t="s">
        <v>7010</v>
      </c>
      <c r="T194" s="3" t="s">
        <v>7015</v>
      </c>
      <c r="U194" s="3" t="s">
        <v>7010</v>
      </c>
      <c r="V194" s="3" t="s">
        <v>7010</v>
      </c>
      <c r="W194" s="74" t="str">
        <f t="shared" si="9"/>
        <v>Yes</v>
      </c>
      <c r="Z194">
        <v>193</v>
      </c>
      <c r="AA194" s="55" t="s">
        <v>810</v>
      </c>
      <c r="AB194" t="s">
        <v>643</v>
      </c>
      <c r="AC194">
        <f t="shared" ref="AC194:AC257" si="12">LEN(AA194)</f>
        <v>6</v>
      </c>
      <c r="AD194" s="30" t="s">
        <v>3046</v>
      </c>
      <c r="AF194" t="s">
        <v>7609</v>
      </c>
      <c r="AH194" s="3" t="s">
        <v>7015</v>
      </c>
      <c r="AI194" s="3" t="s">
        <v>7010</v>
      </c>
      <c r="AJ194" s="3" t="s">
        <v>7010</v>
      </c>
      <c r="AK194" s="3" t="s">
        <v>7015</v>
      </c>
      <c r="AL194" s="3" t="s">
        <v>7010</v>
      </c>
      <c r="AM194" s="3" t="s">
        <v>7010</v>
      </c>
      <c r="AN194" s="3" t="s">
        <v>7010</v>
      </c>
      <c r="AO194" s="3" t="s">
        <v>7010</v>
      </c>
      <c r="AP194" s="74" t="s">
        <v>7015</v>
      </c>
      <c r="AU194">
        <v>193</v>
      </c>
      <c r="AV194" t="s">
        <v>3047</v>
      </c>
      <c r="AW194" t="s">
        <v>2279</v>
      </c>
      <c r="AX194">
        <f t="shared" si="10"/>
        <v>9</v>
      </c>
      <c r="AY194" s="30" t="s">
        <v>3048</v>
      </c>
      <c r="BC194" s="3" t="s">
        <v>7010</v>
      </c>
      <c r="BD194" s="3" t="s">
        <v>7010</v>
      </c>
      <c r="BE194" s="3" t="s">
        <v>7010</v>
      </c>
      <c r="BF194" s="3" t="s">
        <v>7010</v>
      </c>
      <c r="BG194" s="3" t="s">
        <v>7010</v>
      </c>
      <c r="BH194" s="3" t="s">
        <v>7010</v>
      </c>
      <c r="BI194" s="3" t="s">
        <v>7010</v>
      </c>
      <c r="BJ194" s="3" t="s">
        <v>7010</v>
      </c>
      <c r="BK194" s="74" t="str">
        <f t="shared" si="11"/>
        <v>No</v>
      </c>
    </row>
    <row r="195" spans="6:63">
      <c r="F195" s="55"/>
      <c r="G195">
        <v>194</v>
      </c>
      <c r="H195" s="7" t="s">
        <v>389</v>
      </c>
      <c r="I195" t="s">
        <v>29</v>
      </c>
      <c r="J195">
        <f>LEN(H195)</f>
        <v>14</v>
      </c>
      <c r="K195" s="49" t="s">
        <v>2473</v>
      </c>
      <c r="O195" s="3" t="s">
        <v>7010</v>
      </c>
      <c r="P195" s="3" t="s">
        <v>7010</v>
      </c>
      <c r="Q195" s="3" t="s">
        <v>7010</v>
      </c>
      <c r="R195" s="3" t="s">
        <v>7010</v>
      </c>
      <c r="S195" s="3" t="s">
        <v>7010</v>
      </c>
      <c r="T195" s="3" t="s">
        <v>7010</v>
      </c>
      <c r="U195" s="3" t="s">
        <v>7010</v>
      </c>
      <c r="V195" s="3" t="s">
        <v>7010</v>
      </c>
      <c r="W195" s="74" t="str">
        <f t="shared" ref="W195:W258" si="13">IF(COUNTIF(O195:V195, "Yes") &gt; 0, "Yes", "No")</f>
        <v>No</v>
      </c>
      <c r="Z195">
        <v>194</v>
      </c>
      <c r="AA195" s="55" t="s">
        <v>811</v>
      </c>
      <c r="AB195" t="s">
        <v>643</v>
      </c>
      <c r="AC195">
        <f t="shared" si="12"/>
        <v>7</v>
      </c>
      <c r="AD195" s="30" t="s">
        <v>3050</v>
      </c>
      <c r="AF195" t="s">
        <v>7610</v>
      </c>
      <c r="AH195" s="3" t="s">
        <v>7015</v>
      </c>
      <c r="AI195" s="3" t="s">
        <v>7010</v>
      </c>
      <c r="AJ195" s="3" t="s">
        <v>7010</v>
      </c>
      <c r="AK195" s="3" t="s">
        <v>7015</v>
      </c>
      <c r="AL195" s="3" t="s">
        <v>7010</v>
      </c>
      <c r="AM195" s="3" t="s">
        <v>7010</v>
      </c>
      <c r="AN195" s="3" t="s">
        <v>7010</v>
      </c>
      <c r="AO195" s="3" t="s">
        <v>7010</v>
      </c>
      <c r="AP195" s="74" t="s">
        <v>7015</v>
      </c>
      <c r="AU195">
        <v>194</v>
      </c>
      <c r="AV195" t="s">
        <v>3051</v>
      </c>
      <c r="AW195" t="s">
        <v>2279</v>
      </c>
      <c r="AX195">
        <f t="shared" ref="AX195:AX258" si="14">LEN(AV195)</f>
        <v>14</v>
      </c>
      <c r="AY195" s="30" t="s">
        <v>3052</v>
      </c>
      <c r="BC195" s="3" t="s">
        <v>7010</v>
      </c>
      <c r="BD195" s="3" t="s">
        <v>7010</v>
      </c>
      <c r="BE195" s="3" t="s">
        <v>7010</v>
      </c>
      <c r="BF195" s="3" t="s">
        <v>7010</v>
      </c>
      <c r="BG195" s="3" t="s">
        <v>7010</v>
      </c>
      <c r="BH195" s="3" t="s">
        <v>7010</v>
      </c>
      <c r="BI195" s="3" t="s">
        <v>7010</v>
      </c>
      <c r="BJ195" s="3" t="s">
        <v>7010</v>
      </c>
      <c r="BK195" s="74" t="str">
        <f t="shared" ref="BK195:BK258" si="15">IF(COUNTIF(BC195:BJ195, "Yes") &gt; 0, "Yes", "No")</f>
        <v>No</v>
      </c>
    </row>
    <row r="196" spans="6:63">
      <c r="F196" s="55"/>
      <c r="G196">
        <v>195</v>
      </c>
      <c r="H196" t="s">
        <v>6962</v>
      </c>
      <c r="I196" t="s">
        <v>29</v>
      </c>
      <c r="J196">
        <f>LEN(H196)</f>
        <v>10</v>
      </c>
      <c r="K196" s="49" t="s">
        <v>6963</v>
      </c>
      <c r="O196" s="3" t="s">
        <v>7010</v>
      </c>
      <c r="P196" s="3" t="s">
        <v>7010</v>
      </c>
      <c r="Q196" s="3" t="s">
        <v>7010</v>
      </c>
      <c r="R196" s="3" t="s">
        <v>7015</v>
      </c>
      <c r="S196" s="3" t="s">
        <v>7010</v>
      </c>
      <c r="T196" s="3" t="s">
        <v>7015</v>
      </c>
      <c r="U196" s="3" t="s">
        <v>7010</v>
      </c>
      <c r="V196" s="3" t="s">
        <v>7010</v>
      </c>
      <c r="W196" s="74" t="str">
        <f t="shared" si="13"/>
        <v>Yes</v>
      </c>
      <c r="Z196">
        <v>195</v>
      </c>
      <c r="AA196" s="55" t="s">
        <v>812</v>
      </c>
      <c r="AB196" t="s">
        <v>643</v>
      </c>
      <c r="AC196">
        <f t="shared" si="12"/>
        <v>6</v>
      </c>
      <c r="AD196" s="30" t="s">
        <v>3054</v>
      </c>
      <c r="AF196" t="s">
        <v>7611</v>
      </c>
      <c r="AH196" s="3" t="s">
        <v>7015</v>
      </c>
      <c r="AI196" s="3" t="s">
        <v>7010</v>
      </c>
      <c r="AJ196" s="3" t="s">
        <v>7010</v>
      </c>
      <c r="AK196" s="3" t="s">
        <v>7015</v>
      </c>
      <c r="AL196" s="3" t="s">
        <v>7010</v>
      </c>
      <c r="AM196" s="3" t="s">
        <v>7010</v>
      </c>
      <c r="AN196" s="3" t="s">
        <v>7010</v>
      </c>
      <c r="AO196" s="3" t="s">
        <v>7010</v>
      </c>
      <c r="AP196" s="74" t="s">
        <v>7015</v>
      </c>
      <c r="AU196">
        <v>195</v>
      </c>
      <c r="AV196" t="s">
        <v>3055</v>
      </c>
      <c r="AW196" t="s">
        <v>2279</v>
      </c>
      <c r="AX196">
        <f t="shared" si="14"/>
        <v>8</v>
      </c>
      <c r="AY196" s="30" t="s">
        <v>3056</v>
      </c>
      <c r="BC196" s="3" t="s">
        <v>7010</v>
      </c>
      <c r="BD196" s="3" t="s">
        <v>7010</v>
      </c>
      <c r="BE196" s="3" t="s">
        <v>7015</v>
      </c>
      <c r="BF196" s="3" t="s">
        <v>7010</v>
      </c>
      <c r="BG196" s="3" t="s">
        <v>7010</v>
      </c>
      <c r="BH196" s="3" t="s">
        <v>7010</v>
      </c>
      <c r="BI196" s="3" t="s">
        <v>7010</v>
      </c>
      <c r="BJ196" s="3" t="s">
        <v>7010</v>
      </c>
      <c r="BK196" s="74" t="str">
        <f t="shared" si="15"/>
        <v>Yes</v>
      </c>
    </row>
    <row r="197" spans="6:63">
      <c r="F197" s="55"/>
      <c r="G197">
        <v>196</v>
      </c>
      <c r="H197" s="7" t="s">
        <v>1418</v>
      </c>
      <c r="I197" t="s">
        <v>29</v>
      </c>
      <c r="J197">
        <f>LEN(H197)</f>
        <v>10</v>
      </c>
      <c r="K197" s="49" t="s">
        <v>4768</v>
      </c>
      <c r="O197" s="3" t="s">
        <v>7010</v>
      </c>
      <c r="P197" s="3" t="s">
        <v>7010</v>
      </c>
      <c r="Q197" s="3" t="s">
        <v>7010</v>
      </c>
      <c r="R197" s="3" t="s">
        <v>7010</v>
      </c>
      <c r="S197" s="3" t="s">
        <v>7010</v>
      </c>
      <c r="T197" s="3" t="s">
        <v>7015</v>
      </c>
      <c r="U197" s="3" t="s">
        <v>7010</v>
      </c>
      <c r="V197" s="3" t="s">
        <v>7010</v>
      </c>
      <c r="W197" s="74" t="str">
        <f t="shared" si="13"/>
        <v>Yes</v>
      </c>
      <c r="Z197">
        <v>196</v>
      </c>
      <c r="AA197" s="55">
        <v>123321</v>
      </c>
      <c r="AB197" t="s">
        <v>643</v>
      </c>
      <c r="AC197">
        <f t="shared" si="12"/>
        <v>6</v>
      </c>
      <c r="AD197" s="30" t="s">
        <v>3058</v>
      </c>
      <c r="AF197" t="s">
        <v>7612</v>
      </c>
      <c r="AH197" s="3" t="s">
        <v>7015</v>
      </c>
      <c r="AI197" s="3" t="s">
        <v>7010</v>
      </c>
      <c r="AJ197" s="3" t="s">
        <v>7010</v>
      </c>
      <c r="AK197" s="3" t="s">
        <v>7015</v>
      </c>
      <c r="AL197" s="3" t="s">
        <v>7010</v>
      </c>
      <c r="AM197" s="3" t="s">
        <v>7010</v>
      </c>
      <c r="AN197" s="3" t="s">
        <v>7010</v>
      </c>
      <c r="AO197" s="3" t="s">
        <v>7010</v>
      </c>
      <c r="AP197" s="74" t="s">
        <v>7015</v>
      </c>
      <c r="AU197">
        <v>196</v>
      </c>
      <c r="AV197" t="s">
        <v>3059</v>
      </c>
      <c r="AW197" t="s">
        <v>2279</v>
      </c>
      <c r="AX197">
        <f t="shared" si="14"/>
        <v>15</v>
      </c>
      <c r="AY197" s="30" t="s">
        <v>3060</v>
      </c>
      <c r="BC197" s="3" t="s">
        <v>7010</v>
      </c>
      <c r="BD197" s="3" t="s">
        <v>7010</v>
      </c>
      <c r="BE197" s="3" t="s">
        <v>7010</v>
      </c>
      <c r="BF197" s="3" t="s">
        <v>7010</v>
      </c>
      <c r="BG197" s="3" t="s">
        <v>7010</v>
      </c>
      <c r="BH197" s="3" t="s">
        <v>7010</v>
      </c>
      <c r="BI197" s="3" t="s">
        <v>7010</v>
      </c>
      <c r="BJ197" s="3" t="s">
        <v>7010</v>
      </c>
      <c r="BK197" s="74" t="str">
        <f t="shared" si="15"/>
        <v>No</v>
      </c>
    </row>
    <row r="198" spans="6:63">
      <c r="F198" s="55"/>
      <c r="G198">
        <v>197</v>
      </c>
      <c r="H198" s="7" t="s">
        <v>1254</v>
      </c>
      <c r="I198" t="s">
        <v>29</v>
      </c>
      <c r="J198">
        <f>LEN(H198)</f>
        <v>12</v>
      </c>
      <c r="K198" s="49" t="s">
        <v>4350</v>
      </c>
      <c r="O198" s="3" t="s">
        <v>7010</v>
      </c>
      <c r="P198" s="3" t="s">
        <v>7010</v>
      </c>
      <c r="Q198" s="3" t="s">
        <v>7010</v>
      </c>
      <c r="R198" s="3" t="s">
        <v>7010</v>
      </c>
      <c r="S198" s="3" t="s">
        <v>7010</v>
      </c>
      <c r="T198" s="3" t="s">
        <v>7010</v>
      </c>
      <c r="U198" s="3" t="s">
        <v>7010</v>
      </c>
      <c r="V198" s="3" t="s">
        <v>7010</v>
      </c>
      <c r="W198" s="74" t="str">
        <f t="shared" si="13"/>
        <v>No</v>
      </c>
      <c r="Z198">
        <v>197</v>
      </c>
      <c r="AA198" s="55" t="s">
        <v>813</v>
      </c>
      <c r="AB198" t="s">
        <v>643</v>
      </c>
      <c r="AC198">
        <f t="shared" si="12"/>
        <v>6</v>
      </c>
      <c r="AD198" s="30" t="s">
        <v>3062</v>
      </c>
      <c r="AF198" t="s">
        <v>7613</v>
      </c>
      <c r="AH198" s="3" t="s">
        <v>7015</v>
      </c>
      <c r="AI198" s="3" t="s">
        <v>7010</v>
      </c>
      <c r="AJ198" s="3" t="s">
        <v>7010</v>
      </c>
      <c r="AK198" s="3" t="s">
        <v>7015</v>
      </c>
      <c r="AL198" s="3" t="s">
        <v>7010</v>
      </c>
      <c r="AM198" s="3" t="s">
        <v>7010</v>
      </c>
      <c r="AN198" s="3" t="s">
        <v>7010</v>
      </c>
      <c r="AO198" s="3" t="s">
        <v>7010</v>
      </c>
      <c r="AP198" s="74" t="s">
        <v>7015</v>
      </c>
      <c r="AU198">
        <v>197</v>
      </c>
      <c r="AV198" t="s">
        <v>3063</v>
      </c>
      <c r="AW198" t="s">
        <v>2279</v>
      </c>
      <c r="AX198">
        <f t="shared" si="14"/>
        <v>12</v>
      </c>
      <c r="AY198" s="30" t="s">
        <v>3064</v>
      </c>
      <c r="BC198" s="3" t="s">
        <v>7010</v>
      </c>
      <c r="BD198" s="3" t="s">
        <v>7010</v>
      </c>
      <c r="BE198" s="3" t="s">
        <v>7010</v>
      </c>
      <c r="BF198" s="3" t="s">
        <v>7010</v>
      </c>
      <c r="BG198" s="3" t="s">
        <v>7010</v>
      </c>
      <c r="BH198" s="3" t="s">
        <v>7010</v>
      </c>
      <c r="BI198" s="3" t="s">
        <v>7010</v>
      </c>
      <c r="BJ198" s="3" t="s">
        <v>7010</v>
      </c>
      <c r="BK198" s="74" t="str">
        <f t="shared" si="15"/>
        <v>No</v>
      </c>
    </row>
    <row r="199" spans="6:63">
      <c r="F199" s="55"/>
      <c r="G199">
        <v>198</v>
      </c>
      <c r="H199" s="7" t="s">
        <v>1516</v>
      </c>
      <c r="I199" t="s">
        <v>29</v>
      </c>
      <c r="J199">
        <f>LEN(H199)</f>
        <v>17</v>
      </c>
      <c r="K199" s="49" t="s">
        <v>5016</v>
      </c>
      <c r="O199" s="3" t="s">
        <v>7010</v>
      </c>
      <c r="P199" s="3" t="s">
        <v>7010</v>
      </c>
      <c r="Q199" s="3" t="s">
        <v>7010</v>
      </c>
      <c r="R199" s="3" t="s">
        <v>7010</v>
      </c>
      <c r="S199" s="3" t="s">
        <v>7010</v>
      </c>
      <c r="T199" s="3" t="s">
        <v>7015</v>
      </c>
      <c r="U199" s="3" t="s">
        <v>7010</v>
      </c>
      <c r="V199" s="3" t="s">
        <v>7010</v>
      </c>
      <c r="W199" s="74" t="str">
        <f t="shared" si="13"/>
        <v>Yes</v>
      </c>
      <c r="Z199">
        <v>198</v>
      </c>
      <c r="AA199" s="55" t="s">
        <v>814</v>
      </c>
      <c r="AB199" t="s">
        <v>643</v>
      </c>
      <c r="AC199">
        <f t="shared" si="12"/>
        <v>9</v>
      </c>
      <c r="AD199" s="30" t="s">
        <v>3066</v>
      </c>
      <c r="AF199" t="s">
        <v>7614</v>
      </c>
      <c r="AH199" s="3" t="s">
        <v>7015</v>
      </c>
      <c r="AI199" s="3" t="s">
        <v>7010</v>
      </c>
      <c r="AJ199" s="3" t="s">
        <v>7010</v>
      </c>
      <c r="AK199" s="3" t="s">
        <v>7015</v>
      </c>
      <c r="AL199" s="3" t="s">
        <v>7010</v>
      </c>
      <c r="AM199" s="3" t="s">
        <v>7010</v>
      </c>
      <c r="AN199" s="3" t="s">
        <v>7010</v>
      </c>
      <c r="AO199" s="3" t="s">
        <v>7010</v>
      </c>
      <c r="AP199" s="74" t="s">
        <v>7015</v>
      </c>
      <c r="AU199">
        <v>198</v>
      </c>
      <c r="AV199" t="s">
        <v>3067</v>
      </c>
      <c r="AW199" t="s">
        <v>2279</v>
      </c>
      <c r="AX199">
        <f t="shared" si="14"/>
        <v>10</v>
      </c>
      <c r="AY199" s="31" t="s">
        <v>3068</v>
      </c>
      <c r="BC199" s="3" t="s">
        <v>7010</v>
      </c>
      <c r="BD199" s="3" t="s">
        <v>7010</v>
      </c>
      <c r="BE199" s="3" t="s">
        <v>7010</v>
      </c>
      <c r="BF199" s="3" t="s">
        <v>7010</v>
      </c>
      <c r="BG199" s="3" t="s">
        <v>7010</v>
      </c>
      <c r="BH199" s="3" t="s">
        <v>7010</v>
      </c>
      <c r="BI199" s="3" t="s">
        <v>7010</v>
      </c>
      <c r="BJ199" s="3" t="s">
        <v>7010</v>
      </c>
      <c r="BK199" s="74" t="str">
        <f t="shared" si="15"/>
        <v>No</v>
      </c>
    </row>
    <row r="200" spans="6:63">
      <c r="F200" s="55"/>
      <c r="G200">
        <v>199</v>
      </c>
      <c r="H200" s="7" t="s">
        <v>1544</v>
      </c>
      <c r="I200" t="s">
        <v>29</v>
      </c>
      <c r="J200">
        <f>LEN(H200)</f>
        <v>12</v>
      </c>
      <c r="K200" s="49" t="s">
        <v>5088</v>
      </c>
      <c r="O200" s="3" t="s">
        <v>7010</v>
      </c>
      <c r="P200" s="3" t="s">
        <v>7010</v>
      </c>
      <c r="Q200" s="3" t="s">
        <v>7010</v>
      </c>
      <c r="R200" s="3" t="s">
        <v>7010</v>
      </c>
      <c r="S200" s="3" t="s">
        <v>7010</v>
      </c>
      <c r="T200" s="3" t="s">
        <v>7010</v>
      </c>
      <c r="U200" s="3" t="s">
        <v>7015</v>
      </c>
      <c r="V200" s="3" t="s">
        <v>7015</v>
      </c>
      <c r="W200" s="74" t="str">
        <f t="shared" si="13"/>
        <v>Yes</v>
      </c>
      <c r="Z200">
        <v>199</v>
      </c>
      <c r="AA200" s="55" t="s">
        <v>815</v>
      </c>
      <c r="AB200" t="s">
        <v>643</v>
      </c>
      <c r="AC200">
        <f t="shared" si="12"/>
        <v>6</v>
      </c>
      <c r="AD200" s="30" t="s">
        <v>3070</v>
      </c>
      <c r="AF200" t="s">
        <v>7615</v>
      </c>
      <c r="AH200" s="3" t="s">
        <v>7015</v>
      </c>
      <c r="AI200" s="3" t="s">
        <v>7010</v>
      </c>
      <c r="AJ200" s="3" t="s">
        <v>7010</v>
      </c>
      <c r="AK200" s="3" t="s">
        <v>7015</v>
      </c>
      <c r="AL200" s="3" t="s">
        <v>7010</v>
      </c>
      <c r="AM200" s="3" t="s">
        <v>7010</v>
      </c>
      <c r="AN200" s="3" t="s">
        <v>7010</v>
      </c>
      <c r="AO200" s="3" t="s">
        <v>7010</v>
      </c>
      <c r="AP200" s="74" t="s">
        <v>7015</v>
      </c>
      <c r="AU200">
        <v>199</v>
      </c>
      <c r="AV200" t="s">
        <v>3071</v>
      </c>
      <c r="AW200" t="s">
        <v>2279</v>
      </c>
      <c r="AX200">
        <f t="shared" si="14"/>
        <v>16</v>
      </c>
      <c r="AY200" s="30" t="s">
        <v>3072</v>
      </c>
      <c r="BC200" s="3" t="s">
        <v>7010</v>
      </c>
      <c r="BD200" s="3" t="s">
        <v>7010</v>
      </c>
      <c r="BE200" s="3" t="s">
        <v>7010</v>
      </c>
      <c r="BF200" s="3" t="s">
        <v>7010</v>
      </c>
      <c r="BG200" s="3" t="s">
        <v>7010</v>
      </c>
      <c r="BH200" s="3" t="s">
        <v>7010</v>
      </c>
      <c r="BI200" s="3" t="s">
        <v>7010</v>
      </c>
      <c r="BJ200" s="3" t="s">
        <v>7010</v>
      </c>
      <c r="BK200" s="74" t="str">
        <f t="shared" si="15"/>
        <v>No</v>
      </c>
    </row>
    <row r="201" spans="6:63">
      <c r="F201" s="55"/>
      <c r="G201">
        <v>200</v>
      </c>
      <c r="H201" s="7" t="s">
        <v>1472</v>
      </c>
      <c r="I201" t="s">
        <v>29</v>
      </c>
      <c r="J201">
        <f>LEN(H201)</f>
        <v>9</v>
      </c>
      <c r="K201" s="49" t="s">
        <v>4905</v>
      </c>
      <c r="O201" s="3" t="s">
        <v>7010</v>
      </c>
      <c r="P201" s="3" t="s">
        <v>7010</v>
      </c>
      <c r="Q201" s="3" t="s">
        <v>7010</v>
      </c>
      <c r="R201" s="3" t="s">
        <v>7010</v>
      </c>
      <c r="S201" s="3" t="s">
        <v>7010</v>
      </c>
      <c r="T201" s="3" t="s">
        <v>7015</v>
      </c>
      <c r="U201" s="3" t="s">
        <v>7010</v>
      </c>
      <c r="V201" s="3" t="s">
        <v>7010</v>
      </c>
      <c r="W201" s="74" t="str">
        <f t="shared" si="13"/>
        <v>Yes</v>
      </c>
      <c r="Z201">
        <v>200</v>
      </c>
      <c r="AA201" s="55" t="s">
        <v>816</v>
      </c>
      <c r="AB201" t="s">
        <v>643</v>
      </c>
      <c r="AC201">
        <f t="shared" si="12"/>
        <v>9</v>
      </c>
      <c r="AD201" s="30" t="s">
        <v>3074</v>
      </c>
      <c r="AF201" t="s">
        <v>7616</v>
      </c>
      <c r="AH201" s="3" t="s">
        <v>7015</v>
      </c>
      <c r="AI201" s="3" t="s">
        <v>7010</v>
      </c>
      <c r="AJ201" s="3" t="s">
        <v>7010</v>
      </c>
      <c r="AK201" s="3" t="s">
        <v>7015</v>
      </c>
      <c r="AL201" s="3" t="s">
        <v>7010</v>
      </c>
      <c r="AM201" s="3" t="s">
        <v>7010</v>
      </c>
      <c r="AN201" s="3" t="s">
        <v>7010</v>
      </c>
      <c r="AO201" s="3" t="s">
        <v>7010</v>
      </c>
      <c r="AP201" s="74" t="s">
        <v>7015</v>
      </c>
      <c r="AU201">
        <v>200</v>
      </c>
      <c r="AV201" t="s">
        <v>3075</v>
      </c>
      <c r="AW201" t="s">
        <v>2279</v>
      </c>
      <c r="AX201">
        <f t="shared" si="14"/>
        <v>9</v>
      </c>
      <c r="AY201" s="30" t="s">
        <v>3076</v>
      </c>
      <c r="BC201" s="3" t="s">
        <v>7010</v>
      </c>
      <c r="BD201" s="3" t="s">
        <v>7010</v>
      </c>
      <c r="BE201" s="3" t="s">
        <v>7010</v>
      </c>
      <c r="BF201" s="3" t="s">
        <v>7010</v>
      </c>
      <c r="BG201" s="3" t="s">
        <v>7010</v>
      </c>
      <c r="BH201" s="3" t="s">
        <v>7010</v>
      </c>
      <c r="BI201" s="3" t="s">
        <v>7010</v>
      </c>
      <c r="BJ201" s="3" t="s">
        <v>7010</v>
      </c>
      <c r="BK201" s="74" t="str">
        <f t="shared" si="15"/>
        <v>No</v>
      </c>
    </row>
    <row r="202" spans="6:63">
      <c r="F202" s="55"/>
      <c r="G202">
        <v>201</v>
      </c>
      <c r="H202" s="7" t="s">
        <v>1324</v>
      </c>
      <c r="I202" t="s">
        <v>29</v>
      </c>
      <c r="J202">
        <f>LEN(H202)</f>
        <v>11</v>
      </c>
      <c r="K202" s="49" t="s">
        <v>4526</v>
      </c>
      <c r="O202" s="3" t="s">
        <v>7010</v>
      </c>
      <c r="P202" s="3" t="s">
        <v>7010</v>
      </c>
      <c r="Q202" s="3" t="s">
        <v>7010</v>
      </c>
      <c r="R202" s="3" t="s">
        <v>7010</v>
      </c>
      <c r="S202" s="3" t="s">
        <v>7010</v>
      </c>
      <c r="T202" s="3" t="s">
        <v>7010</v>
      </c>
      <c r="U202" s="3" t="s">
        <v>7010</v>
      </c>
      <c r="V202" s="3" t="s">
        <v>7010</v>
      </c>
      <c r="W202" s="74" t="str">
        <f t="shared" si="13"/>
        <v>No</v>
      </c>
      <c r="Z202">
        <v>201</v>
      </c>
      <c r="AA202" s="55" t="s">
        <v>817</v>
      </c>
      <c r="AB202" t="s">
        <v>643</v>
      </c>
      <c r="AC202">
        <f t="shared" si="12"/>
        <v>8</v>
      </c>
      <c r="AD202" s="30" t="s">
        <v>3078</v>
      </c>
      <c r="AF202" t="s">
        <v>7617</v>
      </c>
      <c r="AH202" s="3" t="s">
        <v>7015</v>
      </c>
      <c r="AI202" s="3" t="s">
        <v>7010</v>
      </c>
      <c r="AJ202" s="3" t="s">
        <v>7010</v>
      </c>
      <c r="AK202" s="3" t="s">
        <v>7015</v>
      </c>
      <c r="AL202" s="3" t="s">
        <v>7010</v>
      </c>
      <c r="AM202" s="3" t="s">
        <v>7010</v>
      </c>
      <c r="AN202" s="3" t="s">
        <v>7010</v>
      </c>
      <c r="AO202" s="3" t="s">
        <v>7010</v>
      </c>
      <c r="AP202" s="74" t="s">
        <v>7015</v>
      </c>
      <c r="AU202">
        <v>201</v>
      </c>
      <c r="AV202" t="s">
        <v>3079</v>
      </c>
      <c r="AW202" t="s">
        <v>2279</v>
      </c>
      <c r="AX202">
        <f t="shared" si="14"/>
        <v>15</v>
      </c>
      <c r="AY202" s="30" t="s">
        <v>3080</v>
      </c>
      <c r="BC202" s="3" t="s">
        <v>7010</v>
      </c>
      <c r="BD202" s="3" t="s">
        <v>7010</v>
      </c>
      <c r="BE202" s="3" t="s">
        <v>7015</v>
      </c>
      <c r="BF202" s="3" t="s">
        <v>7010</v>
      </c>
      <c r="BG202" s="3" t="s">
        <v>7010</v>
      </c>
      <c r="BH202" s="3" t="s">
        <v>7010</v>
      </c>
      <c r="BI202" s="3" t="s">
        <v>7010</v>
      </c>
      <c r="BJ202" s="3" t="s">
        <v>7010</v>
      </c>
      <c r="BK202" s="74" t="str">
        <f t="shared" si="15"/>
        <v>Yes</v>
      </c>
    </row>
    <row r="203" spans="6:63">
      <c r="F203" s="55"/>
      <c r="G203">
        <v>202</v>
      </c>
      <c r="H203" s="7" t="s">
        <v>1094</v>
      </c>
      <c r="I203" t="s">
        <v>29</v>
      </c>
      <c r="J203">
        <f>LEN(H203)</f>
        <v>8</v>
      </c>
      <c r="K203" s="49" t="s">
        <v>3947</v>
      </c>
      <c r="O203" s="3" t="s">
        <v>7010</v>
      </c>
      <c r="P203" s="3" t="s">
        <v>7010</v>
      </c>
      <c r="Q203" s="3" t="s">
        <v>7010</v>
      </c>
      <c r="R203" s="3" t="s">
        <v>7010</v>
      </c>
      <c r="S203" s="3" t="s">
        <v>7010</v>
      </c>
      <c r="T203" s="3" t="s">
        <v>7015</v>
      </c>
      <c r="U203" s="3" t="s">
        <v>7010</v>
      </c>
      <c r="V203" s="3" t="s">
        <v>7010</v>
      </c>
      <c r="W203" s="74" t="str">
        <f t="shared" si="13"/>
        <v>Yes</v>
      </c>
      <c r="Z203">
        <v>202</v>
      </c>
      <c r="AA203" s="55" t="s">
        <v>818</v>
      </c>
      <c r="AB203" t="s">
        <v>643</v>
      </c>
      <c r="AC203">
        <f t="shared" si="12"/>
        <v>6</v>
      </c>
      <c r="AD203" s="30" t="s">
        <v>3082</v>
      </c>
      <c r="AF203" t="s">
        <v>7618</v>
      </c>
      <c r="AH203" s="3" t="s">
        <v>7015</v>
      </c>
      <c r="AI203" s="3" t="s">
        <v>7010</v>
      </c>
      <c r="AJ203" s="3" t="s">
        <v>7010</v>
      </c>
      <c r="AK203" s="3" t="s">
        <v>7015</v>
      </c>
      <c r="AL203" s="3" t="s">
        <v>7010</v>
      </c>
      <c r="AM203" s="3" t="s">
        <v>7010</v>
      </c>
      <c r="AN203" s="3" t="s">
        <v>7010</v>
      </c>
      <c r="AO203" s="3" t="s">
        <v>7010</v>
      </c>
      <c r="AP203" s="74" t="s">
        <v>7015</v>
      </c>
      <c r="AU203">
        <v>202</v>
      </c>
      <c r="AV203" t="s">
        <v>3083</v>
      </c>
      <c r="AW203" t="s">
        <v>2279</v>
      </c>
      <c r="AX203">
        <f t="shared" si="14"/>
        <v>9</v>
      </c>
      <c r="AY203" s="30" t="s">
        <v>3084</v>
      </c>
      <c r="BC203" s="3" t="s">
        <v>7010</v>
      </c>
      <c r="BD203" s="3" t="s">
        <v>7010</v>
      </c>
      <c r="BE203" s="3" t="s">
        <v>7010</v>
      </c>
      <c r="BF203" s="3" t="s">
        <v>7010</v>
      </c>
      <c r="BG203" s="3" t="s">
        <v>7010</v>
      </c>
      <c r="BH203" s="3" t="s">
        <v>7010</v>
      </c>
      <c r="BI203" s="3" t="s">
        <v>7010</v>
      </c>
      <c r="BJ203" s="3" t="s">
        <v>7010</v>
      </c>
      <c r="BK203" s="74" t="str">
        <f t="shared" si="15"/>
        <v>No</v>
      </c>
    </row>
    <row r="204" spans="6:63">
      <c r="F204" s="55"/>
      <c r="G204">
        <v>203</v>
      </c>
      <c r="H204" s="7" t="s">
        <v>1210</v>
      </c>
      <c r="I204" t="s">
        <v>29</v>
      </c>
      <c r="J204">
        <f>LEN(H204)</f>
        <v>10</v>
      </c>
      <c r="K204" s="49" t="s">
        <v>4241</v>
      </c>
      <c r="O204" s="3" t="s">
        <v>7010</v>
      </c>
      <c r="P204" s="3" t="s">
        <v>7010</v>
      </c>
      <c r="Q204" s="3" t="s">
        <v>7010</v>
      </c>
      <c r="R204" s="3" t="s">
        <v>7010</v>
      </c>
      <c r="S204" s="3" t="s">
        <v>7010</v>
      </c>
      <c r="T204" s="3" t="s">
        <v>7010</v>
      </c>
      <c r="U204" s="3" t="s">
        <v>7010</v>
      </c>
      <c r="V204" s="3" t="s">
        <v>7010</v>
      </c>
      <c r="W204" s="74" t="str">
        <f t="shared" si="13"/>
        <v>No</v>
      </c>
      <c r="Z204">
        <v>203</v>
      </c>
      <c r="AA204" s="55" t="s">
        <v>819</v>
      </c>
      <c r="AB204" t="s">
        <v>643</v>
      </c>
      <c r="AC204">
        <f t="shared" si="12"/>
        <v>8</v>
      </c>
      <c r="AD204" s="30" t="s">
        <v>3086</v>
      </c>
      <c r="AF204" t="s">
        <v>7619</v>
      </c>
      <c r="AH204" s="3" t="s">
        <v>7015</v>
      </c>
      <c r="AI204" s="3" t="s">
        <v>7010</v>
      </c>
      <c r="AJ204" s="3" t="s">
        <v>7010</v>
      </c>
      <c r="AK204" s="3" t="s">
        <v>7015</v>
      </c>
      <c r="AL204" s="3" t="s">
        <v>7010</v>
      </c>
      <c r="AM204" s="3" t="s">
        <v>7010</v>
      </c>
      <c r="AN204" s="3" t="s">
        <v>7010</v>
      </c>
      <c r="AO204" s="3" t="s">
        <v>7010</v>
      </c>
      <c r="AP204" s="74" t="s">
        <v>7015</v>
      </c>
      <c r="AU204">
        <v>203</v>
      </c>
      <c r="AV204" t="s">
        <v>3087</v>
      </c>
      <c r="AW204" t="s">
        <v>2279</v>
      </c>
      <c r="AX204">
        <f t="shared" si="14"/>
        <v>15</v>
      </c>
      <c r="AY204" s="30" t="s">
        <v>3088</v>
      </c>
      <c r="BC204" s="3" t="s">
        <v>7010</v>
      </c>
      <c r="BD204" s="3" t="s">
        <v>7010</v>
      </c>
      <c r="BE204" s="3" t="s">
        <v>7010</v>
      </c>
      <c r="BF204" s="3" t="s">
        <v>7010</v>
      </c>
      <c r="BG204" s="3" t="s">
        <v>7010</v>
      </c>
      <c r="BH204" s="3" t="s">
        <v>7010</v>
      </c>
      <c r="BI204" s="3" t="s">
        <v>7010</v>
      </c>
      <c r="BJ204" s="3" t="s">
        <v>7010</v>
      </c>
      <c r="BK204" s="74" t="str">
        <f t="shared" si="15"/>
        <v>No</v>
      </c>
    </row>
    <row r="205" spans="6:63">
      <c r="F205" s="55"/>
      <c r="G205">
        <v>204</v>
      </c>
      <c r="H205" s="7" t="s">
        <v>1652</v>
      </c>
      <c r="I205" t="s">
        <v>29</v>
      </c>
      <c r="J205">
        <f>LEN(H205)</f>
        <v>15</v>
      </c>
      <c r="K205" s="49" t="s">
        <v>5361</v>
      </c>
      <c r="O205" s="3" t="s">
        <v>7010</v>
      </c>
      <c r="P205" s="3" t="s">
        <v>7010</v>
      </c>
      <c r="Q205" s="3" t="s">
        <v>7010</v>
      </c>
      <c r="R205" s="3" t="s">
        <v>7010</v>
      </c>
      <c r="S205" s="3" t="s">
        <v>7010</v>
      </c>
      <c r="T205" s="3" t="s">
        <v>7010</v>
      </c>
      <c r="U205" s="3" t="s">
        <v>7010</v>
      </c>
      <c r="V205" s="3" t="s">
        <v>7010</v>
      </c>
      <c r="W205" s="74" t="str">
        <f t="shared" si="13"/>
        <v>No</v>
      </c>
      <c r="Z205">
        <v>204</v>
      </c>
      <c r="AA205" s="55" t="s">
        <v>820</v>
      </c>
      <c r="AB205" t="s">
        <v>643</v>
      </c>
      <c r="AC205">
        <f t="shared" si="12"/>
        <v>5</v>
      </c>
      <c r="AD205" s="30" t="s">
        <v>3090</v>
      </c>
      <c r="AF205" t="s">
        <v>7620</v>
      </c>
      <c r="AH205" s="3" t="s">
        <v>7015</v>
      </c>
      <c r="AI205" s="3" t="s">
        <v>7010</v>
      </c>
      <c r="AJ205" s="3" t="s">
        <v>7010</v>
      </c>
      <c r="AK205" s="3" t="s">
        <v>7015</v>
      </c>
      <c r="AL205" s="3" t="s">
        <v>7010</v>
      </c>
      <c r="AM205" s="3" t="s">
        <v>7010</v>
      </c>
      <c r="AN205" s="3" t="s">
        <v>7010</v>
      </c>
      <c r="AO205" s="3" t="s">
        <v>7010</v>
      </c>
      <c r="AP205" s="74" t="s">
        <v>7015</v>
      </c>
      <c r="AU205">
        <v>204</v>
      </c>
      <c r="AV205" t="s">
        <v>3091</v>
      </c>
      <c r="AW205" t="s">
        <v>2279</v>
      </c>
      <c r="AX205">
        <f t="shared" si="14"/>
        <v>9</v>
      </c>
      <c r="AY205" s="30" t="s">
        <v>3092</v>
      </c>
      <c r="BC205" s="3" t="s">
        <v>7015</v>
      </c>
      <c r="BD205" s="3" t="s">
        <v>7010</v>
      </c>
      <c r="BE205" s="3" t="s">
        <v>7015</v>
      </c>
      <c r="BF205" s="3" t="s">
        <v>7010</v>
      </c>
      <c r="BG205" s="3" t="s">
        <v>7010</v>
      </c>
      <c r="BH205" s="3" t="s">
        <v>7010</v>
      </c>
      <c r="BI205" s="3" t="s">
        <v>7010</v>
      </c>
      <c r="BJ205" s="3" t="s">
        <v>7010</v>
      </c>
      <c r="BK205" s="74" t="str">
        <f t="shared" si="15"/>
        <v>Yes</v>
      </c>
    </row>
    <row r="206" spans="6:63">
      <c r="F206" s="55"/>
      <c r="G206">
        <v>205</v>
      </c>
      <c r="H206" s="7" t="s">
        <v>1396</v>
      </c>
      <c r="I206" t="s">
        <v>29</v>
      </c>
      <c r="J206">
        <f>LEN(H206)</f>
        <v>10</v>
      </c>
      <c r="K206" s="49" t="s">
        <v>4711</v>
      </c>
      <c r="O206" s="3" t="s">
        <v>7010</v>
      </c>
      <c r="P206" s="3" t="s">
        <v>7010</v>
      </c>
      <c r="Q206" s="3" t="s">
        <v>7010</v>
      </c>
      <c r="R206" s="3" t="s">
        <v>7010</v>
      </c>
      <c r="S206" s="3" t="s">
        <v>7010</v>
      </c>
      <c r="T206" s="3" t="s">
        <v>7010</v>
      </c>
      <c r="U206" s="3" t="s">
        <v>7010</v>
      </c>
      <c r="V206" s="3" t="s">
        <v>7010</v>
      </c>
      <c r="W206" s="74" t="str">
        <f t="shared" si="13"/>
        <v>No</v>
      </c>
      <c r="Z206">
        <v>205</v>
      </c>
      <c r="AA206" s="55" t="s">
        <v>821</v>
      </c>
      <c r="AB206" t="s">
        <v>643</v>
      </c>
      <c r="AC206">
        <f t="shared" si="12"/>
        <v>8</v>
      </c>
      <c r="AD206" s="31" t="s">
        <v>3094</v>
      </c>
      <c r="AF206" t="s">
        <v>7621</v>
      </c>
      <c r="AH206" s="3" t="s">
        <v>7015</v>
      </c>
      <c r="AI206" s="3" t="s">
        <v>7010</v>
      </c>
      <c r="AJ206" s="3" t="s">
        <v>7010</v>
      </c>
      <c r="AK206" s="3" t="s">
        <v>7015</v>
      </c>
      <c r="AL206" s="3" t="s">
        <v>7010</v>
      </c>
      <c r="AM206" s="3" t="s">
        <v>7010</v>
      </c>
      <c r="AN206" s="3" t="s">
        <v>7010</v>
      </c>
      <c r="AO206" s="3" t="s">
        <v>7010</v>
      </c>
      <c r="AP206" s="74" t="s">
        <v>7015</v>
      </c>
      <c r="AU206">
        <v>205</v>
      </c>
      <c r="AV206" t="s">
        <v>3095</v>
      </c>
      <c r="AW206" t="s">
        <v>2279</v>
      </c>
      <c r="AX206">
        <f t="shared" si="14"/>
        <v>11</v>
      </c>
      <c r="AY206" s="30" t="s">
        <v>3096</v>
      </c>
      <c r="BC206" s="3" t="s">
        <v>7010</v>
      </c>
      <c r="BD206" s="3" t="s">
        <v>7010</v>
      </c>
      <c r="BE206" s="3" t="s">
        <v>7015</v>
      </c>
      <c r="BF206" s="3" t="s">
        <v>7010</v>
      </c>
      <c r="BG206" s="3" t="s">
        <v>7010</v>
      </c>
      <c r="BH206" s="3" t="s">
        <v>7010</v>
      </c>
      <c r="BI206" s="3" t="s">
        <v>7010</v>
      </c>
      <c r="BJ206" s="3" t="s">
        <v>7010</v>
      </c>
      <c r="BK206" s="74" t="str">
        <f t="shared" si="15"/>
        <v>Yes</v>
      </c>
    </row>
    <row r="207" spans="6:63">
      <c r="F207" s="55"/>
      <c r="G207">
        <v>206</v>
      </c>
      <c r="H207" s="7" t="s">
        <v>1292</v>
      </c>
      <c r="I207" t="s">
        <v>29</v>
      </c>
      <c r="J207">
        <f>LEN(H207)</f>
        <v>11</v>
      </c>
      <c r="K207" s="49" t="s">
        <v>4446</v>
      </c>
      <c r="O207" s="3" t="s">
        <v>7010</v>
      </c>
      <c r="P207" s="3" t="s">
        <v>7010</v>
      </c>
      <c r="Q207" s="3" t="s">
        <v>7010</v>
      </c>
      <c r="R207" s="3" t="s">
        <v>7010</v>
      </c>
      <c r="S207" s="3" t="s">
        <v>7010</v>
      </c>
      <c r="T207" s="3" t="s">
        <v>7010</v>
      </c>
      <c r="U207" s="3" t="s">
        <v>7010</v>
      </c>
      <c r="V207" s="3" t="s">
        <v>7010</v>
      </c>
      <c r="W207" s="74" t="str">
        <f t="shared" si="13"/>
        <v>No</v>
      </c>
      <c r="Z207">
        <v>206</v>
      </c>
      <c r="AA207" s="55" t="s">
        <v>822</v>
      </c>
      <c r="AB207" t="s">
        <v>643</v>
      </c>
      <c r="AC207">
        <f t="shared" si="12"/>
        <v>9</v>
      </c>
      <c r="AD207" s="30" t="s">
        <v>3098</v>
      </c>
      <c r="AF207" t="s">
        <v>7622</v>
      </c>
      <c r="AH207" s="3" t="s">
        <v>7015</v>
      </c>
      <c r="AI207" s="3" t="s">
        <v>7010</v>
      </c>
      <c r="AJ207" s="3" t="s">
        <v>7010</v>
      </c>
      <c r="AK207" s="3" t="s">
        <v>7015</v>
      </c>
      <c r="AL207" s="3" t="s">
        <v>7010</v>
      </c>
      <c r="AM207" s="3" t="s">
        <v>7010</v>
      </c>
      <c r="AN207" s="3" t="s">
        <v>7010</v>
      </c>
      <c r="AO207" s="3" t="s">
        <v>7010</v>
      </c>
      <c r="AP207" s="74" t="s">
        <v>7015</v>
      </c>
      <c r="AU207">
        <v>206</v>
      </c>
      <c r="AV207" t="s">
        <v>3099</v>
      </c>
      <c r="AW207" t="s">
        <v>2279</v>
      </c>
      <c r="AX207">
        <f t="shared" si="14"/>
        <v>10</v>
      </c>
      <c r="AY207" s="30" t="s">
        <v>3100</v>
      </c>
      <c r="BC207" s="3" t="s">
        <v>7010</v>
      </c>
      <c r="BD207" s="3" t="s">
        <v>7010</v>
      </c>
      <c r="BE207" s="3" t="s">
        <v>7010</v>
      </c>
      <c r="BF207" s="3" t="s">
        <v>7010</v>
      </c>
      <c r="BG207" s="3" t="s">
        <v>7010</v>
      </c>
      <c r="BH207" s="3" t="s">
        <v>7010</v>
      </c>
      <c r="BI207" s="3" t="s">
        <v>7010</v>
      </c>
      <c r="BJ207" s="3" t="s">
        <v>7010</v>
      </c>
      <c r="BK207" s="74" t="str">
        <f t="shared" si="15"/>
        <v>No</v>
      </c>
    </row>
    <row r="208" spans="6:63">
      <c r="F208" s="55"/>
      <c r="G208">
        <v>207</v>
      </c>
      <c r="H208" s="7" t="s">
        <v>1506</v>
      </c>
      <c r="I208" t="s">
        <v>29</v>
      </c>
      <c r="J208">
        <f>LEN(H208)</f>
        <v>13</v>
      </c>
      <c r="K208" s="49" t="s">
        <v>4991</v>
      </c>
      <c r="O208" s="3" t="s">
        <v>7010</v>
      </c>
      <c r="P208" s="3" t="s">
        <v>7010</v>
      </c>
      <c r="Q208" s="3" t="s">
        <v>7010</v>
      </c>
      <c r="R208" s="3" t="s">
        <v>7010</v>
      </c>
      <c r="S208" s="3" t="s">
        <v>7010</v>
      </c>
      <c r="T208" s="3" t="s">
        <v>7010</v>
      </c>
      <c r="U208" s="3" t="s">
        <v>7010</v>
      </c>
      <c r="V208" s="3" t="s">
        <v>7010</v>
      </c>
      <c r="W208" s="74" t="str">
        <f t="shared" si="13"/>
        <v>No</v>
      </c>
      <c r="Z208">
        <v>207</v>
      </c>
      <c r="AA208" s="55" t="s">
        <v>823</v>
      </c>
      <c r="AB208" t="s">
        <v>643</v>
      </c>
      <c r="AC208">
        <f t="shared" si="12"/>
        <v>6</v>
      </c>
      <c r="AD208" s="30" t="s">
        <v>3102</v>
      </c>
      <c r="AF208" t="s">
        <v>7623</v>
      </c>
      <c r="AH208" s="3" t="s">
        <v>7015</v>
      </c>
      <c r="AI208" s="3" t="s">
        <v>7010</v>
      </c>
      <c r="AJ208" s="3" t="s">
        <v>7010</v>
      </c>
      <c r="AK208" s="3" t="s">
        <v>7015</v>
      </c>
      <c r="AL208" s="3" t="s">
        <v>7010</v>
      </c>
      <c r="AM208" s="3" t="s">
        <v>7010</v>
      </c>
      <c r="AN208" s="3" t="s">
        <v>7010</v>
      </c>
      <c r="AO208" s="3" t="s">
        <v>7010</v>
      </c>
      <c r="AP208" s="74" t="s">
        <v>7015</v>
      </c>
      <c r="AU208">
        <v>207</v>
      </c>
      <c r="AV208" t="s">
        <v>3103</v>
      </c>
      <c r="AW208" t="s">
        <v>2279</v>
      </c>
      <c r="AX208">
        <f t="shared" si="14"/>
        <v>8</v>
      </c>
      <c r="AY208" s="30" t="s">
        <v>3104</v>
      </c>
      <c r="BC208" s="3" t="s">
        <v>7015</v>
      </c>
      <c r="BD208" s="3" t="s">
        <v>7010</v>
      </c>
      <c r="BE208" s="3" t="s">
        <v>7010</v>
      </c>
      <c r="BF208" s="3" t="s">
        <v>7010</v>
      </c>
      <c r="BG208" s="3" t="s">
        <v>7010</v>
      </c>
      <c r="BH208" s="3" t="s">
        <v>7010</v>
      </c>
      <c r="BI208" s="3" t="s">
        <v>7010</v>
      </c>
      <c r="BJ208" s="3" t="s">
        <v>7010</v>
      </c>
      <c r="BK208" s="74" t="str">
        <f t="shared" si="15"/>
        <v>Yes</v>
      </c>
    </row>
    <row r="209" spans="6:63">
      <c r="F209" s="55"/>
      <c r="G209">
        <v>208</v>
      </c>
      <c r="H209" s="7" t="s">
        <v>1636</v>
      </c>
      <c r="I209" t="s">
        <v>29</v>
      </c>
      <c r="J209">
        <f>LEN(H209)</f>
        <v>14</v>
      </c>
      <c r="K209" s="49" t="s">
        <v>5320</v>
      </c>
      <c r="O209" s="3" t="s">
        <v>7010</v>
      </c>
      <c r="P209" s="3" t="s">
        <v>7010</v>
      </c>
      <c r="Q209" s="3" t="s">
        <v>7010</v>
      </c>
      <c r="R209" s="3" t="s">
        <v>7010</v>
      </c>
      <c r="S209" s="3" t="s">
        <v>7010</v>
      </c>
      <c r="T209" s="3" t="s">
        <v>7010</v>
      </c>
      <c r="U209" s="3" t="s">
        <v>7010</v>
      </c>
      <c r="V209" s="3" t="s">
        <v>7010</v>
      </c>
      <c r="W209" s="74" t="str">
        <f t="shared" si="13"/>
        <v>No</v>
      </c>
      <c r="Z209">
        <v>208</v>
      </c>
      <c r="AA209" s="55" t="s">
        <v>824</v>
      </c>
      <c r="AB209" t="s">
        <v>643</v>
      </c>
      <c r="AC209">
        <f t="shared" si="12"/>
        <v>6</v>
      </c>
      <c r="AD209" s="30" t="s">
        <v>3106</v>
      </c>
      <c r="AF209" t="s">
        <v>7624</v>
      </c>
      <c r="AH209" s="3" t="s">
        <v>7015</v>
      </c>
      <c r="AI209" s="3" t="s">
        <v>7010</v>
      </c>
      <c r="AJ209" s="3" t="s">
        <v>7010</v>
      </c>
      <c r="AK209" s="3" t="s">
        <v>7015</v>
      </c>
      <c r="AL209" s="3" t="s">
        <v>7010</v>
      </c>
      <c r="AM209" s="3" t="s">
        <v>7010</v>
      </c>
      <c r="AN209" s="3" t="s">
        <v>7010</v>
      </c>
      <c r="AO209" s="3" t="s">
        <v>7010</v>
      </c>
      <c r="AP209" s="74" t="s">
        <v>7015</v>
      </c>
      <c r="AU209">
        <v>208</v>
      </c>
      <c r="AV209" t="s">
        <v>3107</v>
      </c>
      <c r="AW209" t="s">
        <v>2279</v>
      </c>
      <c r="AX209">
        <f t="shared" si="14"/>
        <v>8</v>
      </c>
      <c r="AY209" s="30" t="s">
        <v>3108</v>
      </c>
      <c r="BC209" s="3" t="s">
        <v>7010</v>
      </c>
      <c r="BD209" s="3" t="s">
        <v>7010</v>
      </c>
      <c r="BE209" s="3" t="s">
        <v>7010</v>
      </c>
      <c r="BF209" s="3" t="s">
        <v>7010</v>
      </c>
      <c r="BG209" s="3" t="s">
        <v>7010</v>
      </c>
      <c r="BH209" s="3" t="s">
        <v>7010</v>
      </c>
      <c r="BI209" s="3" t="s">
        <v>7010</v>
      </c>
      <c r="BJ209" s="3" t="s">
        <v>7010</v>
      </c>
      <c r="BK209" s="74" t="str">
        <f t="shared" si="15"/>
        <v>No</v>
      </c>
    </row>
    <row r="210" spans="6:63">
      <c r="F210" s="55"/>
      <c r="G210">
        <v>209</v>
      </c>
      <c r="H210" s="7" t="s">
        <v>1342</v>
      </c>
      <c r="I210" t="s">
        <v>29</v>
      </c>
      <c r="J210">
        <f>LEN(H210)</f>
        <v>10</v>
      </c>
      <c r="K210" s="49" t="s">
        <v>4570</v>
      </c>
      <c r="O210" s="3" t="s">
        <v>7010</v>
      </c>
      <c r="P210" s="3" t="s">
        <v>7010</v>
      </c>
      <c r="Q210" s="3" t="s">
        <v>7010</v>
      </c>
      <c r="R210" s="3" t="s">
        <v>7010</v>
      </c>
      <c r="S210" s="3" t="s">
        <v>7010</v>
      </c>
      <c r="T210" s="3" t="s">
        <v>7010</v>
      </c>
      <c r="U210" s="3" t="s">
        <v>7010</v>
      </c>
      <c r="V210" s="3" t="s">
        <v>7010</v>
      </c>
      <c r="W210" s="74" t="str">
        <f t="shared" si="13"/>
        <v>No</v>
      </c>
      <c r="Z210">
        <v>209</v>
      </c>
      <c r="AA210" s="55" t="s">
        <v>825</v>
      </c>
      <c r="AB210" t="s">
        <v>643</v>
      </c>
      <c r="AC210">
        <f t="shared" si="12"/>
        <v>6</v>
      </c>
      <c r="AD210" s="30" t="s">
        <v>3110</v>
      </c>
      <c r="AF210" t="s">
        <v>7625</v>
      </c>
      <c r="AH210" s="3" t="s">
        <v>7015</v>
      </c>
      <c r="AI210" s="3" t="s">
        <v>7010</v>
      </c>
      <c r="AJ210" s="3" t="s">
        <v>7010</v>
      </c>
      <c r="AK210" s="3" t="s">
        <v>7015</v>
      </c>
      <c r="AL210" s="3" t="s">
        <v>7010</v>
      </c>
      <c r="AM210" s="3" t="s">
        <v>7010</v>
      </c>
      <c r="AN210" s="3" t="s">
        <v>7010</v>
      </c>
      <c r="AO210" s="3" t="s">
        <v>7010</v>
      </c>
      <c r="AP210" s="74" t="s">
        <v>7015</v>
      </c>
      <c r="AU210">
        <v>209</v>
      </c>
      <c r="AV210" t="s">
        <v>3111</v>
      </c>
      <c r="AW210" t="s">
        <v>2279</v>
      </c>
      <c r="AX210">
        <f t="shared" si="14"/>
        <v>8</v>
      </c>
      <c r="AY210" s="30" t="s">
        <v>3112</v>
      </c>
      <c r="BC210" s="3" t="s">
        <v>7010</v>
      </c>
      <c r="BD210" s="3" t="s">
        <v>7010</v>
      </c>
      <c r="BE210" s="3" t="s">
        <v>7015</v>
      </c>
      <c r="BF210" s="3" t="s">
        <v>7010</v>
      </c>
      <c r="BG210" s="3" t="s">
        <v>7010</v>
      </c>
      <c r="BH210" s="3" t="s">
        <v>7010</v>
      </c>
      <c r="BI210" s="3" t="s">
        <v>7010</v>
      </c>
      <c r="BJ210" s="3" t="s">
        <v>7010</v>
      </c>
      <c r="BK210" s="74" t="str">
        <f t="shared" si="15"/>
        <v>Yes</v>
      </c>
    </row>
    <row r="211" spans="6:63">
      <c r="F211" s="55"/>
      <c r="G211">
        <v>210</v>
      </c>
      <c r="H211" s="7" t="s">
        <v>5273</v>
      </c>
      <c r="I211" t="s">
        <v>29</v>
      </c>
      <c r="J211">
        <f>LEN(H211)</f>
        <v>16</v>
      </c>
      <c r="K211" s="51" t="s">
        <v>5274</v>
      </c>
      <c r="O211" s="3" t="s">
        <v>7010</v>
      </c>
      <c r="P211" s="3" t="s">
        <v>7010</v>
      </c>
      <c r="Q211" s="3" t="s">
        <v>7010</v>
      </c>
      <c r="R211" s="3" t="s">
        <v>7010</v>
      </c>
      <c r="S211" s="3" t="s">
        <v>7010</v>
      </c>
      <c r="T211" s="3" t="s">
        <v>7010</v>
      </c>
      <c r="U211" s="3" t="s">
        <v>7010</v>
      </c>
      <c r="V211" s="3" t="s">
        <v>7010</v>
      </c>
      <c r="W211" s="74" t="str">
        <f t="shared" si="13"/>
        <v>No</v>
      </c>
      <c r="Z211">
        <v>210</v>
      </c>
      <c r="AA211" s="55" t="s">
        <v>826</v>
      </c>
      <c r="AB211" t="s">
        <v>643</v>
      </c>
      <c r="AC211">
        <f t="shared" si="12"/>
        <v>8</v>
      </c>
      <c r="AD211" s="30" t="s">
        <v>3114</v>
      </c>
      <c r="AF211" t="s">
        <v>7626</v>
      </c>
      <c r="AH211" s="3" t="s">
        <v>7015</v>
      </c>
      <c r="AI211" s="3" t="s">
        <v>7010</v>
      </c>
      <c r="AJ211" s="3" t="s">
        <v>7010</v>
      </c>
      <c r="AK211" s="3" t="s">
        <v>7015</v>
      </c>
      <c r="AL211" s="3" t="s">
        <v>7010</v>
      </c>
      <c r="AM211" s="3" t="s">
        <v>7010</v>
      </c>
      <c r="AN211" s="3" t="s">
        <v>7010</v>
      </c>
      <c r="AO211" s="3" t="s">
        <v>7010</v>
      </c>
      <c r="AP211" s="74" t="s">
        <v>7015</v>
      </c>
      <c r="AU211">
        <v>210</v>
      </c>
      <c r="AV211" t="s">
        <v>3115</v>
      </c>
      <c r="AW211" t="s">
        <v>2279</v>
      </c>
      <c r="AX211">
        <f t="shared" si="14"/>
        <v>8</v>
      </c>
      <c r="AY211" s="31" t="s">
        <v>3116</v>
      </c>
      <c r="BC211" s="3" t="s">
        <v>7010</v>
      </c>
      <c r="BD211" s="3" t="s">
        <v>7010</v>
      </c>
      <c r="BE211" s="3" t="s">
        <v>7010</v>
      </c>
      <c r="BF211" s="3" t="s">
        <v>7010</v>
      </c>
      <c r="BG211" s="3" t="s">
        <v>7010</v>
      </c>
      <c r="BH211" s="3" t="s">
        <v>7010</v>
      </c>
      <c r="BI211" s="3" t="s">
        <v>7010</v>
      </c>
      <c r="BJ211" s="3" t="s">
        <v>7010</v>
      </c>
      <c r="BK211" s="74" t="str">
        <f t="shared" si="15"/>
        <v>No</v>
      </c>
    </row>
    <row r="212" spans="6:63">
      <c r="F212" s="55"/>
      <c r="G212">
        <v>211</v>
      </c>
      <c r="H212" s="7" t="s">
        <v>4330</v>
      </c>
      <c r="I212" t="s">
        <v>29</v>
      </c>
      <c r="J212">
        <f>LEN(H212)</f>
        <v>13</v>
      </c>
      <c r="K212" s="49" t="s">
        <v>4331</v>
      </c>
      <c r="O212" s="3" t="s">
        <v>7010</v>
      </c>
      <c r="P212" s="3" t="s">
        <v>7010</v>
      </c>
      <c r="Q212" s="3" t="s">
        <v>7010</v>
      </c>
      <c r="R212" s="3" t="s">
        <v>7010</v>
      </c>
      <c r="S212" s="3" t="s">
        <v>7010</v>
      </c>
      <c r="T212" s="3" t="s">
        <v>7010</v>
      </c>
      <c r="U212" s="3" t="s">
        <v>7010</v>
      </c>
      <c r="V212" s="3" t="s">
        <v>7010</v>
      </c>
      <c r="W212" s="74" t="str">
        <f t="shared" si="13"/>
        <v>No</v>
      </c>
      <c r="Z212">
        <v>211</v>
      </c>
      <c r="AA212" s="55" t="s">
        <v>827</v>
      </c>
      <c r="AB212" t="s">
        <v>643</v>
      </c>
      <c r="AC212">
        <f t="shared" si="12"/>
        <v>6</v>
      </c>
      <c r="AD212" s="30" t="s">
        <v>3118</v>
      </c>
      <c r="AF212" t="s">
        <v>7627</v>
      </c>
      <c r="AH212" s="3" t="s">
        <v>7015</v>
      </c>
      <c r="AI212" s="3" t="s">
        <v>7010</v>
      </c>
      <c r="AJ212" s="3" t="s">
        <v>7010</v>
      </c>
      <c r="AK212" s="3" t="s">
        <v>7015</v>
      </c>
      <c r="AL212" s="3" t="s">
        <v>7010</v>
      </c>
      <c r="AM212" s="3" t="s">
        <v>7010</v>
      </c>
      <c r="AN212" s="3" t="s">
        <v>7010</v>
      </c>
      <c r="AO212" s="3" t="s">
        <v>7010</v>
      </c>
      <c r="AP212" s="74" t="s">
        <v>7015</v>
      </c>
      <c r="AU212">
        <v>211</v>
      </c>
      <c r="AV212" t="s">
        <v>3119</v>
      </c>
      <c r="AW212" t="s">
        <v>2279</v>
      </c>
      <c r="AX212">
        <f t="shared" si="14"/>
        <v>8</v>
      </c>
      <c r="AY212" s="30" t="s">
        <v>3120</v>
      </c>
      <c r="BC212" s="3" t="s">
        <v>7010</v>
      </c>
      <c r="BD212" s="3" t="s">
        <v>7010</v>
      </c>
      <c r="BE212" s="3" t="s">
        <v>7015</v>
      </c>
      <c r="BF212" s="3" t="s">
        <v>7010</v>
      </c>
      <c r="BG212" s="3" t="s">
        <v>7010</v>
      </c>
      <c r="BH212" s="3" t="s">
        <v>7010</v>
      </c>
      <c r="BI212" s="3" t="s">
        <v>7010</v>
      </c>
      <c r="BJ212" s="3" t="s">
        <v>7010</v>
      </c>
      <c r="BK212" s="74" t="str">
        <f t="shared" si="15"/>
        <v>Yes</v>
      </c>
    </row>
    <row r="213" spans="6:63">
      <c r="F213" s="55"/>
      <c r="G213">
        <v>212</v>
      </c>
      <c r="H213" s="7" t="s">
        <v>4584</v>
      </c>
      <c r="I213" t="s">
        <v>29</v>
      </c>
      <c r="J213">
        <f>LEN(H213)</f>
        <v>13</v>
      </c>
      <c r="K213" s="49" t="s">
        <v>4585</v>
      </c>
      <c r="O213" s="3" t="s">
        <v>7010</v>
      </c>
      <c r="P213" s="3" t="s">
        <v>7010</v>
      </c>
      <c r="Q213" s="3" t="s">
        <v>7010</v>
      </c>
      <c r="R213" s="3" t="s">
        <v>7010</v>
      </c>
      <c r="S213" s="3" t="s">
        <v>7010</v>
      </c>
      <c r="T213" s="3" t="s">
        <v>7010</v>
      </c>
      <c r="U213" s="3" t="s">
        <v>7010</v>
      </c>
      <c r="V213" s="3" t="s">
        <v>7010</v>
      </c>
      <c r="W213" s="74" t="str">
        <f t="shared" si="13"/>
        <v>No</v>
      </c>
      <c r="Z213">
        <v>212</v>
      </c>
      <c r="AA213" s="55" t="s">
        <v>828</v>
      </c>
      <c r="AB213" t="s">
        <v>643</v>
      </c>
      <c r="AC213">
        <f t="shared" si="12"/>
        <v>7</v>
      </c>
      <c r="AD213" s="30" t="s">
        <v>3122</v>
      </c>
      <c r="AF213" t="s">
        <v>7628</v>
      </c>
      <c r="AH213" s="3" t="s">
        <v>7015</v>
      </c>
      <c r="AI213" s="3" t="s">
        <v>7010</v>
      </c>
      <c r="AJ213" s="3" t="s">
        <v>7010</v>
      </c>
      <c r="AK213" s="3" t="s">
        <v>7015</v>
      </c>
      <c r="AL213" s="3" t="s">
        <v>7010</v>
      </c>
      <c r="AM213" s="3" t="s">
        <v>7010</v>
      </c>
      <c r="AN213" s="3" t="s">
        <v>7010</v>
      </c>
      <c r="AO213" s="3" t="s">
        <v>7010</v>
      </c>
      <c r="AP213" s="74" t="s">
        <v>7015</v>
      </c>
      <c r="AU213">
        <v>212</v>
      </c>
      <c r="AV213" t="s">
        <v>3123</v>
      </c>
      <c r="AW213" t="s">
        <v>2279</v>
      </c>
      <c r="AX213">
        <f t="shared" si="14"/>
        <v>8</v>
      </c>
      <c r="AY213" s="30" t="s">
        <v>3124</v>
      </c>
      <c r="BC213" s="3" t="s">
        <v>7010</v>
      </c>
      <c r="BD213" s="3" t="s">
        <v>7010</v>
      </c>
      <c r="BE213" s="3" t="s">
        <v>7010</v>
      </c>
      <c r="BF213" s="3" t="s">
        <v>7010</v>
      </c>
      <c r="BG213" s="3" t="s">
        <v>7010</v>
      </c>
      <c r="BH213" s="3" t="s">
        <v>7010</v>
      </c>
      <c r="BI213" s="3" t="s">
        <v>7010</v>
      </c>
      <c r="BJ213" s="3" t="s">
        <v>7010</v>
      </c>
      <c r="BK213" s="74" t="str">
        <f t="shared" si="15"/>
        <v>No</v>
      </c>
    </row>
    <row r="214" spans="6:63">
      <c r="F214" s="55"/>
      <c r="G214">
        <v>213</v>
      </c>
      <c r="H214" s="7" t="s">
        <v>2057</v>
      </c>
      <c r="I214" t="s">
        <v>29</v>
      </c>
      <c r="J214">
        <f>LEN(H214)</f>
        <v>10</v>
      </c>
      <c r="K214" s="49" t="s">
        <v>6470</v>
      </c>
      <c r="O214" s="3" t="s">
        <v>7010</v>
      </c>
      <c r="P214" s="3" t="s">
        <v>7010</v>
      </c>
      <c r="Q214" s="3" t="s">
        <v>7010</v>
      </c>
      <c r="R214" s="3" t="s">
        <v>7010</v>
      </c>
      <c r="S214" s="3" t="s">
        <v>7010</v>
      </c>
      <c r="T214" s="3" t="s">
        <v>7010</v>
      </c>
      <c r="U214" s="3" t="s">
        <v>7010</v>
      </c>
      <c r="V214" s="3" t="s">
        <v>7010</v>
      </c>
      <c r="W214" s="74" t="str">
        <f t="shared" si="13"/>
        <v>No</v>
      </c>
      <c r="Z214">
        <v>213</v>
      </c>
      <c r="AA214" s="55" t="s">
        <v>829</v>
      </c>
      <c r="AB214" t="s">
        <v>643</v>
      </c>
      <c r="AC214">
        <f t="shared" si="12"/>
        <v>8</v>
      </c>
      <c r="AD214" s="30" t="s">
        <v>3126</v>
      </c>
      <c r="AF214" t="s">
        <v>7629</v>
      </c>
      <c r="AH214" s="3" t="s">
        <v>7015</v>
      </c>
      <c r="AI214" s="3" t="s">
        <v>7010</v>
      </c>
      <c r="AJ214" s="3" t="s">
        <v>7010</v>
      </c>
      <c r="AK214" s="3" t="s">
        <v>7015</v>
      </c>
      <c r="AL214" s="3" t="s">
        <v>7010</v>
      </c>
      <c r="AM214" s="3" t="s">
        <v>7010</v>
      </c>
      <c r="AN214" s="3" t="s">
        <v>7010</v>
      </c>
      <c r="AO214" s="3" t="s">
        <v>7010</v>
      </c>
      <c r="AP214" s="74" t="s">
        <v>7015</v>
      </c>
      <c r="AU214">
        <v>213</v>
      </c>
      <c r="AV214" t="s">
        <v>3127</v>
      </c>
      <c r="AW214" t="s">
        <v>2279</v>
      </c>
      <c r="AX214">
        <f t="shared" si="14"/>
        <v>10</v>
      </c>
      <c r="AY214" s="30" t="s">
        <v>3128</v>
      </c>
      <c r="BC214" s="3" t="s">
        <v>7010</v>
      </c>
      <c r="BD214" s="3" t="s">
        <v>7010</v>
      </c>
      <c r="BE214" s="3" t="s">
        <v>7010</v>
      </c>
      <c r="BF214" s="3" t="s">
        <v>7010</v>
      </c>
      <c r="BG214" s="3" t="s">
        <v>7010</v>
      </c>
      <c r="BH214" s="3" t="s">
        <v>7010</v>
      </c>
      <c r="BI214" s="3" t="s">
        <v>7010</v>
      </c>
      <c r="BJ214" s="3" t="s">
        <v>7010</v>
      </c>
      <c r="BK214" s="74" t="str">
        <f t="shared" si="15"/>
        <v>No</v>
      </c>
    </row>
    <row r="215" spans="6:63">
      <c r="F215" s="55"/>
      <c r="G215">
        <v>214</v>
      </c>
      <c r="H215" s="7" t="s">
        <v>1626</v>
      </c>
      <c r="I215" t="s">
        <v>29</v>
      </c>
      <c r="J215">
        <f>LEN(H215)</f>
        <v>13</v>
      </c>
      <c r="K215" s="49" t="s">
        <v>5295</v>
      </c>
      <c r="O215" s="3" t="s">
        <v>7010</v>
      </c>
      <c r="P215" s="3" t="s">
        <v>7010</v>
      </c>
      <c r="Q215" s="3" t="s">
        <v>7010</v>
      </c>
      <c r="R215" s="3" t="s">
        <v>7010</v>
      </c>
      <c r="S215" s="3" t="s">
        <v>7010</v>
      </c>
      <c r="T215" s="3" t="s">
        <v>7010</v>
      </c>
      <c r="U215" s="3" t="s">
        <v>7010</v>
      </c>
      <c r="V215" s="3" t="s">
        <v>7010</v>
      </c>
      <c r="W215" s="74" t="str">
        <f t="shared" si="13"/>
        <v>No</v>
      </c>
      <c r="Z215">
        <v>214</v>
      </c>
      <c r="AA215" s="55" t="s">
        <v>830</v>
      </c>
      <c r="AB215" t="s">
        <v>643</v>
      </c>
      <c r="AC215">
        <f t="shared" si="12"/>
        <v>7</v>
      </c>
      <c r="AD215" s="30" t="s">
        <v>3130</v>
      </c>
      <c r="AF215" t="s">
        <v>7630</v>
      </c>
      <c r="AH215" s="3" t="s">
        <v>7015</v>
      </c>
      <c r="AI215" s="3" t="s">
        <v>7010</v>
      </c>
      <c r="AJ215" s="3" t="s">
        <v>7010</v>
      </c>
      <c r="AK215" s="3" t="s">
        <v>7015</v>
      </c>
      <c r="AL215" s="3" t="s">
        <v>7010</v>
      </c>
      <c r="AM215" s="3" t="s">
        <v>7010</v>
      </c>
      <c r="AN215" s="3" t="s">
        <v>7010</v>
      </c>
      <c r="AO215" s="3" t="s">
        <v>7010</v>
      </c>
      <c r="AP215" s="74" t="s">
        <v>7015</v>
      </c>
      <c r="AU215">
        <v>214</v>
      </c>
      <c r="AV215" t="s">
        <v>3131</v>
      </c>
      <c r="AW215" t="s">
        <v>2279</v>
      </c>
      <c r="AX215">
        <f t="shared" si="14"/>
        <v>8</v>
      </c>
      <c r="AY215" s="30" t="s">
        <v>3132</v>
      </c>
      <c r="BC215" s="3" t="s">
        <v>7010</v>
      </c>
      <c r="BD215" s="3" t="s">
        <v>7010</v>
      </c>
      <c r="BE215" s="3" t="s">
        <v>7010</v>
      </c>
      <c r="BF215" s="3" t="s">
        <v>7010</v>
      </c>
      <c r="BG215" s="3" t="s">
        <v>7010</v>
      </c>
      <c r="BH215" s="3" t="s">
        <v>7010</v>
      </c>
      <c r="BI215" s="3" t="s">
        <v>7010</v>
      </c>
      <c r="BJ215" s="3" t="s">
        <v>7010</v>
      </c>
      <c r="BK215" s="74" t="str">
        <f t="shared" si="15"/>
        <v>No</v>
      </c>
    </row>
    <row r="216" spans="6:63">
      <c r="F216" s="55"/>
      <c r="G216">
        <v>215</v>
      </c>
      <c r="H216" s="7" t="s">
        <v>1456</v>
      </c>
      <c r="I216" t="s">
        <v>29</v>
      </c>
      <c r="J216">
        <f>LEN(H216)</f>
        <v>11</v>
      </c>
      <c r="K216" s="49" t="s">
        <v>4865</v>
      </c>
      <c r="O216" s="3" t="s">
        <v>7010</v>
      </c>
      <c r="P216" s="3" t="s">
        <v>7010</v>
      </c>
      <c r="Q216" s="3" t="s">
        <v>7010</v>
      </c>
      <c r="R216" s="3" t="s">
        <v>7010</v>
      </c>
      <c r="S216" s="3" t="s">
        <v>7010</v>
      </c>
      <c r="T216" s="3" t="s">
        <v>7010</v>
      </c>
      <c r="U216" s="3" t="s">
        <v>7010</v>
      </c>
      <c r="V216" s="3" t="s">
        <v>7010</v>
      </c>
      <c r="W216" s="74" t="str">
        <f t="shared" si="13"/>
        <v>No</v>
      </c>
      <c r="Z216">
        <v>215</v>
      </c>
      <c r="AA216" s="55" t="s">
        <v>831</v>
      </c>
      <c r="AB216" t="s">
        <v>643</v>
      </c>
      <c r="AC216">
        <f t="shared" si="12"/>
        <v>6</v>
      </c>
      <c r="AD216" s="30" t="s">
        <v>3134</v>
      </c>
      <c r="AF216" t="s">
        <v>7631</v>
      </c>
      <c r="AH216" s="3" t="s">
        <v>7015</v>
      </c>
      <c r="AI216" s="3" t="s">
        <v>7010</v>
      </c>
      <c r="AJ216" s="3" t="s">
        <v>7010</v>
      </c>
      <c r="AK216" s="3" t="s">
        <v>7015</v>
      </c>
      <c r="AL216" s="3" t="s">
        <v>7010</v>
      </c>
      <c r="AM216" s="3" t="s">
        <v>7010</v>
      </c>
      <c r="AN216" s="3" t="s">
        <v>7010</v>
      </c>
      <c r="AO216" s="3" t="s">
        <v>7010</v>
      </c>
      <c r="AP216" s="74" t="s">
        <v>7015</v>
      </c>
      <c r="AU216">
        <v>215</v>
      </c>
      <c r="AV216" t="s">
        <v>3135</v>
      </c>
      <c r="AW216" t="s">
        <v>2279</v>
      </c>
      <c r="AX216">
        <f t="shared" si="14"/>
        <v>16</v>
      </c>
      <c r="AY216" s="30" t="s">
        <v>3136</v>
      </c>
      <c r="BC216" s="3" t="s">
        <v>7010</v>
      </c>
      <c r="BD216" s="3" t="s">
        <v>7010</v>
      </c>
      <c r="BE216" s="3" t="s">
        <v>7010</v>
      </c>
      <c r="BF216" s="3" t="s">
        <v>7010</v>
      </c>
      <c r="BG216" s="3" t="s">
        <v>7010</v>
      </c>
      <c r="BH216" s="3" t="s">
        <v>7010</v>
      </c>
      <c r="BI216" s="3" t="s">
        <v>7010</v>
      </c>
      <c r="BJ216" s="3" t="s">
        <v>7010</v>
      </c>
      <c r="BK216" s="74" t="str">
        <f t="shared" si="15"/>
        <v>No</v>
      </c>
    </row>
    <row r="217" spans="6:63">
      <c r="F217" s="55"/>
      <c r="G217">
        <v>216</v>
      </c>
      <c r="H217" s="7" t="s">
        <v>1308</v>
      </c>
      <c r="I217" t="s">
        <v>29</v>
      </c>
      <c r="J217">
        <f>LEN(H217)</f>
        <v>11</v>
      </c>
      <c r="K217" s="49" t="s">
        <v>4487</v>
      </c>
      <c r="O217" s="3" t="s">
        <v>7010</v>
      </c>
      <c r="P217" s="3" t="s">
        <v>7010</v>
      </c>
      <c r="Q217" s="3" t="s">
        <v>7010</v>
      </c>
      <c r="R217" s="3" t="s">
        <v>7010</v>
      </c>
      <c r="S217" s="3" t="s">
        <v>7010</v>
      </c>
      <c r="T217" s="3" t="s">
        <v>7010</v>
      </c>
      <c r="U217" s="3" t="s">
        <v>7010</v>
      </c>
      <c r="V217" s="3" t="s">
        <v>7010</v>
      </c>
      <c r="W217" s="74" t="str">
        <f t="shared" si="13"/>
        <v>No</v>
      </c>
      <c r="Z217">
        <v>216</v>
      </c>
      <c r="AA217" s="55" t="s">
        <v>832</v>
      </c>
      <c r="AB217" t="s">
        <v>643</v>
      </c>
      <c r="AC217">
        <f t="shared" si="12"/>
        <v>6</v>
      </c>
      <c r="AD217" s="30" t="s">
        <v>3138</v>
      </c>
      <c r="AF217" t="s">
        <v>7632</v>
      </c>
      <c r="AH217" s="3" t="s">
        <v>7015</v>
      </c>
      <c r="AI217" s="3" t="s">
        <v>7010</v>
      </c>
      <c r="AJ217" s="3" t="s">
        <v>7010</v>
      </c>
      <c r="AK217" s="3" t="s">
        <v>7015</v>
      </c>
      <c r="AL217" s="3" t="s">
        <v>7010</v>
      </c>
      <c r="AM217" s="3" t="s">
        <v>7010</v>
      </c>
      <c r="AN217" s="3" t="s">
        <v>7010</v>
      </c>
      <c r="AO217" s="3" t="s">
        <v>7010</v>
      </c>
      <c r="AP217" s="74" t="s">
        <v>7015</v>
      </c>
      <c r="AU217">
        <v>216</v>
      </c>
      <c r="AV217" t="s">
        <v>3139</v>
      </c>
      <c r="AW217" t="s">
        <v>2279</v>
      </c>
      <c r="AX217">
        <f t="shared" si="14"/>
        <v>12</v>
      </c>
      <c r="AY217" s="30" t="s">
        <v>3140</v>
      </c>
      <c r="BC217" s="3" t="s">
        <v>7010</v>
      </c>
      <c r="BD217" s="3" t="s">
        <v>7010</v>
      </c>
      <c r="BE217" s="3" t="s">
        <v>7010</v>
      </c>
      <c r="BF217" s="3" t="s">
        <v>7010</v>
      </c>
      <c r="BG217" s="3" t="s">
        <v>7010</v>
      </c>
      <c r="BH217" s="3" t="s">
        <v>7010</v>
      </c>
      <c r="BI217" s="3" t="s">
        <v>7010</v>
      </c>
      <c r="BJ217" s="3" t="s">
        <v>7010</v>
      </c>
      <c r="BK217" s="74" t="str">
        <f t="shared" si="15"/>
        <v>No</v>
      </c>
    </row>
    <row r="218" spans="6:63">
      <c r="F218" s="55"/>
      <c r="G218">
        <v>217</v>
      </c>
      <c r="H218" s="7" t="s">
        <v>1530</v>
      </c>
      <c r="I218" t="s">
        <v>29</v>
      </c>
      <c r="J218">
        <f>LEN(H218)</f>
        <v>14</v>
      </c>
      <c r="K218" s="49" t="s">
        <v>5052</v>
      </c>
      <c r="O218" s="3" t="s">
        <v>7010</v>
      </c>
      <c r="P218" s="3" t="s">
        <v>7010</v>
      </c>
      <c r="Q218" s="3" t="s">
        <v>7010</v>
      </c>
      <c r="R218" s="3" t="s">
        <v>7010</v>
      </c>
      <c r="S218" s="3" t="s">
        <v>7010</v>
      </c>
      <c r="T218" s="3" t="s">
        <v>7010</v>
      </c>
      <c r="U218" s="3" t="s">
        <v>7010</v>
      </c>
      <c r="V218" s="3" t="s">
        <v>7010</v>
      </c>
      <c r="W218" s="74" t="str">
        <f t="shared" si="13"/>
        <v>No</v>
      </c>
      <c r="Z218">
        <v>217</v>
      </c>
      <c r="AA218" s="55" t="s">
        <v>833</v>
      </c>
      <c r="AB218" t="s">
        <v>643</v>
      </c>
      <c r="AC218">
        <f t="shared" si="12"/>
        <v>10</v>
      </c>
      <c r="AD218" s="30" t="s">
        <v>3142</v>
      </c>
      <c r="AF218" t="s">
        <v>7633</v>
      </c>
      <c r="AH218" s="3" t="s">
        <v>7015</v>
      </c>
      <c r="AI218" s="3" t="s">
        <v>7010</v>
      </c>
      <c r="AJ218" s="3" t="s">
        <v>7010</v>
      </c>
      <c r="AK218" s="3" t="s">
        <v>7015</v>
      </c>
      <c r="AL218" s="3" t="s">
        <v>7010</v>
      </c>
      <c r="AM218" s="3" t="s">
        <v>7010</v>
      </c>
      <c r="AN218" s="3" t="s">
        <v>7010</v>
      </c>
      <c r="AO218" s="3" t="s">
        <v>7010</v>
      </c>
      <c r="AP218" s="74" t="s">
        <v>7015</v>
      </c>
      <c r="AU218">
        <v>217</v>
      </c>
      <c r="AV218" t="s">
        <v>3143</v>
      </c>
      <c r="AW218" t="s">
        <v>2279</v>
      </c>
      <c r="AX218">
        <f t="shared" si="14"/>
        <v>8</v>
      </c>
      <c r="AY218" s="30" t="s">
        <v>3144</v>
      </c>
      <c r="BC218" s="3" t="s">
        <v>7010</v>
      </c>
      <c r="BD218" s="3" t="s">
        <v>7010</v>
      </c>
      <c r="BE218" s="3" t="s">
        <v>7010</v>
      </c>
      <c r="BF218" s="3" t="s">
        <v>7010</v>
      </c>
      <c r="BG218" s="3" t="s">
        <v>7010</v>
      </c>
      <c r="BH218" s="3" t="s">
        <v>7010</v>
      </c>
      <c r="BI218" s="3" t="s">
        <v>7010</v>
      </c>
      <c r="BJ218" s="3" t="s">
        <v>7010</v>
      </c>
      <c r="BK218" s="74" t="str">
        <f t="shared" si="15"/>
        <v>No</v>
      </c>
    </row>
    <row r="219" spans="6:63">
      <c r="F219" s="55"/>
      <c r="G219">
        <v>218</v>
      </c>
      <c r="H219" s="7" t="s">
        <v>463</v>
      </c>
      <c r="I219" t="s">
        <v>29</v>
      </c>
      <c r="J219">
        <f>LEN(H219)</f>
        <v>10</v>
      </c>
      <c r="K219" s="49" t="s">
        <v>2769</v>
      </c>
      <c r="O219" s="3" t="s">
        <v>7010</v>
      </c>
      <c r="P219" s="3" t="s">
        <v>7010</v>
      </c>
      <c r="Q219" s="3" t="s">
        <v>7010</v>
      </c>
      <c r="R219" s="3" t="s">
        <v>7015</v>
      </c>
      <c r="S219" s="3" t="s">
        <v>7010</v>
      </c>
      <c r="T219" s="3" t="s">
        <v>7015</v>
      </c>
      <c r="U219" s="3" t="s">
        <v>7010</v>
      </c>
      <c r="V219" s="3" t="s">
        <v>7010</v>
      </c>
      <c r="W219" s="74" t="str">
        <f t="shared" si="13"/>
        <v>Yes</v>
      </c>
      <c r="Z219">
        <v>218</v>
      </c>
      <c r="AA219" s="55" t="s">
        <v>834</v>
      </c>
      <c r="AB219" t="s">
        <v>643</v>
      </c>
      <c r="AC219">
        <f t="shared" si="12"/>
        <v>7</v>
      </c>
      <c r="AD219" s="30" t="s">
        <v>3146</v>
      </c>
      <c r="AF219" t="s">
        <v>7634</v>
      </c>
      <c r="AH219" s="3" t="s">
        <v>7015</v>
      </c>
      <c r="AI219" s="3" t="s">
        <v>7010</v>
      </c>
      <c r="AJ219" s="3" t="s">
        <v>7010</v>
      </c>
      <c r="AK219" s="3" t="s">
        <v>7015</v>
      </c>
      <c r="AL219" s="3" t="s">
        <v>7010</v>
      </c>
      <c r="AM219" s="3" t="s">
        <v>7010</v>
      </c>
      <c r="AN219" s="3" t="s">
        <v>7010</v>
      </c>
      <c r="AO219" s="3" t="s">
        <v>7010</v>
      </c>
      <c r="AP219" s="74" t="s">
        <v>7015</v>
      </c>
      <c r="AU219">
        <v>218</v>
      </c>
      <c r="AV219" t="s">
        <v>3147</v>
      </c>
      <c r="AW219" t="s">
        <v>2279</v>
      </c>
      <c r="AX219">
        <f t="shared" si="14"/>
        <v>8</v>
      </c>
      <c r="AY219" s="30" t="s">
        <v>3148</v>
      </c>
      <c r="BC219" s="3" t="s">
        <v>7010</v>
      </c>
      <c r="BD219" s="3" t="s">
        <v>7010</v>
      </c>
      <c r="BE219" s="3" t="s">
        <v>7010</v>
      </c>
      <c r="BF219" s="3" t="s">
        <v>7010</v>
      </c>
      <c r="BG219" s="3" t="s">
        <v>7010</v>
      </c>
      <c r="BH219" s="3" t="s">
        <v>7010</v>
      </c>
      <c r="BI219" s="3" t="s">
        <v>7010</v>
      </c>
      <c r="BJ219" s="3" t="s">
        <v>7010</v>
      </c>
      <c r="BK219" s="74" t="str">
        <f t="shared" si="15"/>
        <v>No</v>
      </c>
    </row>
    <row r="220" spans="6:63">
      <c r="F220" s="55"/>
      <c r="G220">
        <v>219</v>
      </c>
      <c r="H220" s="7" t="s">
        <v>548</v>
      </c>
      <c r="I220" t="s">
        <v>29</v>
      </c>
      <c r="J220">
        <f>LEN(H220)</f>
        <v>9</v>
      </c>
      <c r="K220" s="49" t="s">
        <v>3109</v>
      </c>
      <c r="O220" s="3" t="s">
        <v>7010</v>
      </c>
      <c r="P220" s="3" t="s">
        <v>7010</v>
      </c>
      <c r="Q220" s="3" t="s">
        <v>7010</v>
      </c>
      <c r="R220" s="3" t="s">
        <v>7010</v>
      </c>
      <c r="S220" s="3" t="s">
        <v>7010</v>
      </c>
      <c r="T220" s="3" t="s">
        <v>7010</v>
      </c>
      <c r="U220" s="3" t="s">
        <v>7010</v>
      </c>
      <c r="V220" s="3" t="s">
        <v>7010</v>
      </c>
      <c r="W220" s="74" t="str">
        <f t="shared" si="13"/>
        <v>No</v>
      </c>
      <c r="Z220">
        <v>219</v>
      </c>
      <c r="AA220" s="55" t="s">
        <v>835</v>
      </c>
      <c r="AB220" t="s">
        <v>643</v>
      </c>
      <c r="AC220">
        <f t="shared" si="12"/>
        <v>9</v>
      </c>
      <c r="AD220" s="30" t="s">
        <v>3150</v>
      </c>
      <c r="AF220" t="s">
        <v>7635</v>
      </c>
      <c r="AH220" s="3" t="s">
        <v>7015</v>
      </c>
      <c r="AI220" s="3" t="s">
        <v>7010</v>
      </c>
      <c r="AJ220" s="3" t="s">
        <v>7010</v>
      </c>
      <c r="AK220" s="3" t="s">
        <v>7015</v>
      </c>
      <c r="AL220" s="3" t="s">
        <v>7010</v>
      </c>
      <c r="AM220" s="3" t="s">
        <v>7010</v>
      </c>
      <c r="AN220" s="3" t="s">
        <v>7010</v>
      </c>
      <c r="AO220" s="3" t="s">
        <v>7010</v>
      </c>
      <c r="AP220" s="74" t="s">
        <v>7015</v>
      </c>
      <c r="AU220">
        <v>219</v>
      </c>
      <c r="AV220" t="s">
        <v>3151</v>
      </c>
      <c r="AW220" t="s">
        <v>2279</v>
      </c>
      <c r="AX220">
        <f t="shared" si="14"/>
        <v>8</v>
      </c>
      <c r="AY220" s="30" t="s">
        <v>3152</v>
      </c>
      <c r="BC220" s="3" t="s">
        <v>7010</v>
      </c>
      <c r="BD220" s="3" t="s">
        <v>7010</v>
      </c>
      <c r="BE220" s="3" t="s">
        <v>7010</v>
      </c>
      <c r="BF220" s="3" t="s">
        <v>7010</v>
      </c>
      <c r="BG220" s="3" t="s">
        <v>7010</v>
      </c>
      <c r="BH220" s="3" t="s">
        <v>7010</v>
      </c>
      <c r="BI220" s="3" t="s">
        <v>7010</v>
      </c>
      <c r="BJ220" s="3" t="s">
        <v>7010</v>
      </c>
      <c r="BK220" s="74" t="str">
        <f t="shared" si="15"/>
        <v>No</v>
      </c>
    </row>
    <row r="221" spans="6:63">
      <c r="F221" s="55"/>
      <c r="G221">
        <v>220</v>
      </c>
      <c r="H221" s="7" t="s">
        <v>1951</v>
      </c>
      <c r="I221" t="s">
        <v>29</v>
      </c>
      <c r="J221">
        <f>LEN(H221)</f>
        <v>11</v>
      </c>
      <c r="K221" s="49" t="s">
        <v>6195</v>
      </c>
      <c r="O221" s="3" t="s">
        <v>7010</v>
      </c>
      <c r="P221" s="3" t="s">
        <v>7010</v>
      </c>
      <c r="Q221" s="3" t="s">
        <v>7010</v>
      </c>
      <c r="R221" s="3" t="s">
        <v>7010</v>
      </c>
      <c r="S221" s="3" t="s">
        <v>7010</v>
      </c>
      <c r="T221" s="3" t="s">
        <v>7010</v>
      </c>
      <c r="U221" s="3" t="s">
        <v>7010</v>
      </c>
      <c r="V221" s="3" t="s">
        <v>7010</v>
      </c>
      <c r="W221" s="74" t="str">
        <f t="shared" si="13"/>
        <v>No</v>
      </c>
      <c r="Z221">
        <v>220</v>
      </c>
      <c r="AA221" s="55" t="s">
        <v>836</v>
      </c>
      <c r="AB221" t="s">
        <v>643</v>
      </c>
      <c r="AC221">
        <f t="shared" si="12"/>
        <v>8</v>
      </c>
      <c r="AD221" s="30" t="s">
        <v>3154</v>
      </c>
      <c r="AF221" t="s">
        <v>7636</v>
      </c>
      <c r="AH221" s="3" t="s">
        <v>7015</v>
      </c>
      <c r="AI221" s="3" t="s">
        <v>7010</v>
      </c>
      <c r="AJ221" s="3" t="s">
        <v>7010</v>
      </c>
      <c r="AK221" s="3" t="s">
        <v>7015</v>
      </c>
      <c r="AL221" s="3" t="s">
        <v>7010</v>
      </c>
      <c r="AM221" s="3" t="s">
        <v>7010</v>
      </c>
      <c r="AN221" s="3" t="s">
        <v>7010</v>
      </c>
      <c r="AO221" s="3" t="s">
        <v>7010</v>
      </c>
      <c r="AP221" s="74" t="s">
        <v>7015</v>
      </c>
      <c r="AU221">
        <v>220</v>
      </c>
      <c r="AV221" t="s">
        <v>3155</v>
      </c>
      <c r="AW221" t="s">
        <v>2279</v>
      </c>
      <c r="AX221">
        <f t="shared" si="14"/>
        <v>8</v>
      </c>
      <c r="AY221" s="30" t="s">
        <v>3156</v>
      </c>
      <c r="BC221" s="3" t="s">
        <v>7015</v>
      </c>
      <c r="BD221" s="3" t="s">
        <v>7010</v>
      </c>
      <c r="BE221" s="3" t="s">
        <v>7015</v>
      </c>
      <c r="BF221" s="3" t="s">
        <v>7010</v>
      </c>
      <c r="BG221" s="3" t="s">
        <v>7010</v>
      </c>
      <c r="BH221" s="3" t="s">
        <v>7010</v>
      </c>
      <c r="BI221" s="3" t="s">
        <v>7010</v>
      </c>
      <c r="BJ221" s="3" t="s">
        <v>7010</v>
      </c>
      <c r="BK221" s="74" t="str">
        <f t="shared" si="15"/>
        <v>Yes</v>
      </c>
    </row>
    <row r="222" spans="6:63">
      <c r="F222" s="55"/>
      <c r="G222">
        <v>221</v>
      </c>
      <c r="H222" s="7" t="s">
        <v>2015</v>
      </c>
      <c r="I222" t="s">
        <v>29</v>
      </c>
      <c r="J222">
        <f>LEN(H222)</f>
        <v>12</v>
      </c>
      <c r="K222" s="49" t="s">
        <v>6366</v>
      </c>
      <c r="O222" s="3" t="s">
        <v>7010</v>
      </c>
      <c r="P222" s="3" t="s">
        <v>7010</v>
      </c>
      <c r="Q222" s="3" t="s">
        <v>7010</v>
      </c>
      <c r="R222" s="3" t="s">
        <v>7010</v>
      </c>
      <c r="S222" s="3" t="s">
        <v>7010</v>
      </c>
      <c r="T222" s="3" t="s">
        <v>7010</v>
      </c>
      <c r="U222" s="3" t="s">
        <v>7010</v>
      </c>
      <c r="V222" s="3" t="s">
        <v>7010</v>
      </c>
      <c r="W222" s="74" t="str">
        <f t="shared" si="13"/>
        <v>No</v>
      </c>
      <c r="Z222">
        <v>221</v>
      </c>
      <c r="AA222" s="55" t="s">
        <v>837</v>
      </c>
      <c r="AB222" t="s">
        <v>643</v>
      </c>
      <c r="AC222">
        <f t="shared" si="12"/>
        <v>6</v>
      </c>
      <c r="AD222" s="30" t="s">
        <v>3158</v>
      </c>
      <c r="AF222" t="s">
        <v>7637</v>
      </c>
      <c r="AH222" s="3" t="s">
        <v>7015</v>
      </c>
      <c r="AI222" s="3" t="s">
        <v>7010</v>
      </c>
      <c r="AJ222" s="3" t="s">
        <v>7010</v>
      </c>
      <c r="AK222" s="3" t="s">
        <v>7015</v>
      </c>
      <c r="AL222" s="3" t="s">
        <v>7010</v>
      </c>
      <c r="AM222" s="3" t="s">
        <v>7010</v>
      </c>
      <c r="AN222" s="3" t="s">
        <v>7010</v>
      </c>
      <c r="AO222" s="3" t="s">
        <v>7010</v>
      </c>
      <c r="AP222" s="74" t="s">
        <v>7015</v>
      </c>
      <c r="AU222">
        <v>221</v>
      </c>
      <c r="AV222" t="s">
        <v>3159</v>
      </c>
      <c r="AW222" t="s">
        <v>2279</v>
      </c>
      <c r="AX222">
        <f t="shared" si="14"/>
        <v>12</v>
      </c>
      <c r="AY222" s="30" t="s">
        <v>3160</v>
      </c>
      <c r="BC222" s="3" t="s">
        <v>7010</v>
      </c>
      <c r="BD222" s="3" t="s">
        <v>7010</v>
      </c>
      <c r="BE222" s="3" t="s">
        <v>7010</v>
      </c>
      <c r="BF222" s="3" t="s">
        <v>7010</v>
      </c>
      <c r="BG222" s="3" t="s">
        <v>7010</v>
      </c>
      <c r="BH222" s="3" t="s">
        <v>7010</v>
      </c>
      <c r="BI222" s="3" t="s">
        <v>7010</v>
      </c>
      <c r="BJ222" s="3" t="s">
        <v>7010</v>
      </c>
      <c r="BK222" s="74" t="str">
        <f t="shared" si="15"/>
        <v>No</v>
      </c>
    </row>
    <row r="223" spans="6:63">
      <c r="F223" s="55"/>
      <c r="G223">
        <v>222</v>
      </c>
      <c r="H223" s="7" t="s">
        <v>2031</v>
      </c>
      <c r="I223" t="s">
        <v>29</v>
      </c>
      <c r="J223">
        <f>LEN(H223)</f>
        <v>9</v>
      </c>
      <c r="K223" s="49" t="s">
        <v>6407</v>
      </c>
      <c r="O223" s="3" t="s">
        <v>7010</v>
      </c>
      <c r="P223" s="3" t="s">
        <v>7010</v>
      </c>
      <c r="Q223" s="3" t="s">
        <v>7010</v>
      </c>
      <c r="R223" s="3" t="s">
        <v>7010</v>
      </c>
      <c r="S223" s="3" t="s">
        <v>7010</v>
      </c>
      <c r="T223" s="3" t="s">
        <v>7010</v>
      </c>
      <c r="U223" s="3" t="s">
        <v>7010</v>
      </c>
      <c r="V223" s="3" t="s">
        <v>7010</v>
      </c>
      <c r="W223" s="74" t="str">
        <f t="shared" si="13"/>
        <v>No</v>
      </c>
      <c r="Z223">
        <v>222</v>
      </c>
      <c r="AA223" s="55" t="s">
        <v>838</v>
      </c>
      <c r="AB223" t="s">
        <v>643</v>
      </c>
      <c r="AC223">
        <f t="shared" si="12"/>
        <v>7</v>
      </c>
      <c r="AD223" s="30" t="s">
        <v>3162</v>
      </c>
      <c r="AF223" t="s">
        <v>7638</v>
      </c>
      <c r="AH223" s="3" t="s">
        <v>7015</v>
      </c>
      <c r="AI223" s="3" t="s">
        <v>7010</v>
      </c>
      <c r="AJ223" s="3" t="s">
        <v>7010</v>
      </c>
      <c r="AK223" s="3" t="s">
        <v>7015</v>
      </c>
      <c r="AL223" s="3" t="s">
        <v>7010</v>
      </c>
      <c r="AM223" s="3" t="s">
        <v>7010</v>
      </c>
      <c r="AN223" s="3" t="s">
        <v>7010</v>
      </c>
      <c r="AO223" s="3" t="s">
        <v>7010</v>
      </c>
      <c r="AP223" s="74" t="s">
        <v>7015</v>
      </c>
      <c r="AU223">
        <v>222</v>
      </c>
      <c r="AV223" t="s">
        <v>3163</v>
      </c>
      <c r="AW223" t="s">
        <v>2279</v>
      </c>
      <c r="AX223">
        <f t="shared" si="14"/>
        <v>8</v>
      </c>
      <c r="AY223" s="30" t="s">
        <v>3164</v>
      </c>
      <c r="BC223" s="3" t="s">
        <v>7010</v>
      </c>
      <c r="BD223" s="3" t="s">
        <v>7010</v>
      </c>
      <c r="BE223" s="3" t="s">
        <v>7010</v>
      </c>
      <c r="BF223" s="3" t="s">
        <v>7010</v>
      </c>
      <c r="BG223" s="3" t="s">
        <v>7010</v>
      </c>
      <c r="BH223" s="3" t="s">
        <v>7010</v>
      </c>
      <c r="BI223" s="3" t="s">
        <v>7010</v>
      </c>
      <c r="BJ223" s="3" t="s">
        <v>7010</v>
      </c>
      <c r="BK223" s="74" t="str">
        <f t="shared" si="15"/>
        <v>No</v>
      </c>
    </row>
    <row r="224" spans="6:63">
      <c r="F224" s="55"/>
      <c r="G224">
        <v>223</v>
      </c>
      <c r="H224" s="7" t="s">
        <v>568</v>
      </c>
      <c r="I224" t="s">
        <v>29</v>
      </c>
      <c r="J224">
        <f>LEN(H224)</f>
        <v>10</v>
      </c>
      <c r="K224" s="49" t="s">
        <v>3189</v>
      </c>
      <c r="O224" s="3" t="s">
        <v>7010</v>
      </c>
      <c r="P224" s="3" t="s">
        <v>7010</v>
      </c>
      <c r="Q224" s="3" t="s">
        <v>7010</v>
      </c>
      <c r="R224" s="3" t="s">
        <v>7010</v>
      </c>
      <c r="S224" s="3" t="s">
        <v>7010</v>
      </c>
      <c r="T224" s="3" t="s">
        <v>7015</v>
      </c>
      <c r="U224" s="3" t="s">
        <v>7010</v>
      </c>
      <c r="V224" s="3" t="s">
        <v>7010</v>
      </c>
      <c r="W224" s="74" t="str">
        <f t="shared" si="13"/>
        <v>Yes</v>
      </c>
      <c r="Z224">
        <v>223</v>
      </c>
      <c r="AA224" s="55" t="s">
        <v>839</v>
      </c>
      <c r="AB224" t="s">
        <v>643</v>
      </c>
      <c r="AC224">
        <f t="shared" si="12"/>
        <v>6</v>
      </c>
      <c r="AD224" s="30" t="s">
        <v>3166</v>
      </c>
      <c r="AF224" t="s">
        <v>7639</v>
      </c>
      <c r="AH224" s="3" t="s">
        <v>7015</v>
      </c>
      <c r="AI224" s="3" t="s">
        <v>7010</v>
      </c>
      <c r="AJ224" s="3" t="s">
        <v>7010</v>
      </c>
      <c r="AK224" s="3" t="s">
        <v>7015</v>
      </c>
      <c r="AL224" s="3" t="s">
        <v>7010</v>
      </c>
      <c r="AM224" s="3" t="s">
        <v>7010</v>
      </c>
      <c r="AN224" s="3" t="s">
        <v>7010</v>
      </c>
      <c r="AO224" s="3" t="s">
        <v>7010</v>
      </c>
      <c r="AP224" s="74" t="s">
        <v>7015</v>
      </c>
      <c r="AU224">
        <v>223</v>
      </c>
      <c r="AV224" t="s">
        <v>3167</v>
      </c>
      <c r="AW224" t="s">
        <v>2279</v>
      </c>
      <c r="AX224">
        <f t="shared" si="14"/>
        <v>9</v>
      </c>
      <c r="AY224" s="30" t="s">
        <v>3168</v>
      </c>
      <c r="BC224" s="3" t="s">
        <v>7010</v>
      </c>
      <c r="BD224" s="3" t="s">
        <v>7010</v>
      </c>
      <c r="BE224" s="3" t="s">
        <v>7010</v>
      </c>
      <c r="BF224" s="3" t="s">
        <v>7010</v>
      </c>
      <c r="BG224" s="3" t="s">
        <v>7010</v>
      </c>
      <c r="BH224" s="3" t="s">
        <v>7010</v>
      </c>
      <c r="BI224" s="3" t="s">
        <v>7010</v>
      </c>
      <c r="BJ224" s="3" t="s">
        <v>7010</v>
      </c>
      <c r="BK224" s="74" t="str">
        <f t="shared" si="15"/>
        <v>No</v>
      </c>
    </row>
    <row r="225" spans="6:63">
      <c r="F225" s="55"/>
      <c r="G225">
        <v>224</v>
      </c>
      <c r="H225" s="7" t="s">
        <v>572</v>
      </c>
      <c r="I225" t="s">
        <v>29</v>
      </c>
      <c r="J225">
        <f>LEN(H225)</f>
        <v>12</v>
      </c>
      <c r="K225" s="49" t="s">
        <v>3205</v>
      </c>
      <c r="O225" s="3" t="s">
        <v>7010</v>
      </c>
      <c r="P225" s="3" t="s">
        <v>7010</v>
      </c>
      <c r="Q225" s="3" t="s">
        <v>7010</v>
      </c>
      <c r="R225" s="3" t="s">
        <v>7010</v>
      </c>
      <c r="S225" s="3" t="s">
        <v>7010</v>
      </c>
      <c r="T225" s="3" t="s">
        <v>7010</v>
      </c>
      <c r="U225" s="3" t="s">
        <v>7010</v>
      </c>
      <c r="V225" s="3" t="s">
        <v>7010</v>
      </c>
      <c r="W225" s="74" t="str">
        <f t="shared" si="13"/>
        <v>No</v>
      </c>
      <c r="Z225">
        <v>224</v>
      </c>
      <c r="AA225" s="55" t="s">
        <v>840</v>
      </c>
      <c r="AB225" t="s">
        <v>643</v>
      </c>
      <c r="AC225">
        <f t="shared" si="12"/>
        <v>6</v>
      </c>
      <c r="AD225" s="30" t="s">
        <v>3170</v>
      </c>
      <c r="AF225" t="s">
        <v>7640</v>
      </c>
      <c r="AH225" s="3" t="s">
        <v>7015</v>
      </c>
      <c r="AI225" s="3" t="s">
        <v>7010</v>
      </c>
      <c r="AJ225" s="3" t="s">
        <v>7010</v>
      </c>
      <c r="AK225" s="3" t="s">
        <v>7015</v>
      </c>
      <c r="AL225" s="3" t="s">
        <v>7010</v>
      </c>
      <c r="AM225" s="3" t="s">
        <v>7010</v>
      </c>
      <c r="AN225" s="3" t="s">
        <v>7010</v>
      </c>
      <c r="AO225" s="3" t="s">
        <v>7010</v>
      </c>
      <c r="AP225" s="74" t="s">
        <v>7015</v>
      </c>
      <c r="AU225">
        <v>224</v>
      </c>
      <c r="AV225" t="s">
        <v>3171</v>
      </c>
      <c r="AW225" t="s">
        <v>2279</v>
      </c>
      <c r="AX225">
        <f t="shared" si="14"/>
        <v>8</v>
      </c>
      <c r="AY225" s="30" t="s">
        <v>3172</v>
      </c>
      <c r="BC225" s="3" t="s">
        <v>7010</v>
      </c>
      <c r="BD225" s="3" t="s">
        <v>7010</v>
      </c>
      <c r="BE225" s="3" t="s">
        <v>7010</v>
      </c>
      <c r="BF225" s="3" t="s">
        <v>7010</v>
      </c>
      <c r="BG225" s="3" t="s">
        <v>7010</v>
      </c>
      <c r="BH225" s="3" t="s">
        <v>7010</v>
      </c>
      <c r="BI225" s="3" t="s">
        <v>7010</v>
      </c>
      <c r="BJ225" s="3" t="s">
        <v>7010</v>
      </c>
      <c r="BK225" s="74" t="str">
        <f t="shared" si="15"/>
        <v>No</v>
      </c>
    </row>
    <row r="226" spans="6:63">
      <c r="F226" s="55"/>
      <c r="G226">
        <v>225</v>
      </c>
      <c r="H226" s="7" t="s">
        <v>574</v>
      </c>
      <c r="I226" t="s">
        <v>29</v>
      </c>
      <c r="J226">
        <f>LEN(H226)</f>
        <v>11</v>
      </c>
      <c r="K226" s="49" t="s">
        <v>3213</v>
      </c>
      <c r="O226" s="3" t="s">
        <v>7010</v>
      </c>
      <c r="P226" s="3" t="s">
        <v>7010</v>
      </c>
      <c r="Q226" s="3" t="s">
        <v>7010</v>
      </c>
      <c r="R226" s="3" t="s">
        <v>7010</v>
      </c>
      <c r="S226" s="3" t="s">
        <v>7010</v>
      </c>
      <c r="T226" s="3" t="s">
        <v>7015</v>
      </c>
      <c r="U226" s="3" t="s">
        <v>7010</v>
      </c>
      <c r="V226" s="3" t="s">
        <v>7010</v>
      </c>
      <c r="W226" s="74" t="str">
        <f t="shared" si="13"/>
        <v>Yes</v>
      </c>
      <c r="Z226">
        <v>225</v>
      </c>
      <c r="AA226" s="55" t="s">
        <v>841</v>
      </c>
      <c r="AB226" t="s">
        <v>643</v>
      </c>
      <c r="AC226">
        <f t="shared" si="12"/>
        <v>7</v>
      </c>
      <c r="AD226" s="30" t="s">
        <v>3174</v>
      </c>
      <c r="AF226" t="s">
        <v>7641</v>
      </c>
      <c r="AH226" s="3" t="s">
        <v>7015</v>
      </c>
      <c r="AI226" s="3" t="s">
        <v>7010</v>
      </c>
      <c r="AJ226" s="3" t="s">
        <v>7010</v>
      </c>
      <c r="AK226" s="3" t="s">
        <v>7015</v>
      </c>
      <c r="AL226" s="3" t="s">
        <v>7010</v>
      </c>
      <c r="AM226" s="3" t="s">
        <v>7010</v>
      </c>
      <c r="AN226" s="3" t="s">
        <v>7010</v>
      </c>
      <c r="AO226" s="3" t="s">
        <v>7010</v>
      </c>
      <c r="AP226" s="74" t="s">
        <v>7015</v>
      </c>
      <c r="AU226">
        <v>225</v>
      </c>
      <c r="AV226" t="s">
        <v>3175</v>
      </c>
      <c r="AW226" t="s">
        <v>2279</v>
      </c>
      <c r="AX226">
        <f t="shared" si="14"/>
        <v>14</v>
      </c>
      <c r="AY226" s="30" t="s">
        <v>3176</v>
      </c>
      <c r="BC226" s="3" t="s">
        <v>7010</v>
      </c>
      <c r="BD226" s="3" t="s">
        <v>7010</v>
      </c>
      <c r="BE226" s="3" t="s">
        <v>7010</v>
      </c>
      <c r="BF226" s="3" t="s">
        <v>7010</v>
      </c>
      <c r="BG226" s="3" t="s">
        <v>7010</v>
      </c>
      <c r="BH226" s="3" t="s">
        <v>7010</v>
      </c>
      <c r="BI226" s="3" t="s">
        <v>7010</v>
      </c>
      <c r="BJ226" s="3" t="s">
        <v>7010</v>
      </c>
      <c r="BK226" s="74" t="str">
        <f t="shared" si="15"/>
        <v>No</v>
      </c>
    </row>
    <row r="227" spans="6:63">
      <c r="F227" s="55"/>
      <c r="G227">
        <v>226</v>
      </c>
      <c r="H227" s="7" t="s">
        <v>573</v>
      </c>
      <c r="I227" t="s">
        <v>29</v>
      </c>
      <c r="J227">
        <f>LEN(H227)</f>
        <v>7</v>
      </c>
      <c r="K227" s="49" t="s">
        <v>3209</v>
      </c>
      <c r="O227" s="3" t="s">
        <v>7010</v>
      </c>
      <c r="P227" s="3" t="s">
        <v>7010</v>
      </c>
      <c r="Q227" s="3" t="s">
        <v>7010</v>
      </c>
      <c r="R227" s="3" t="s">
        <v>7010</v>
      </c>
      <c r="S227" s="3" t="s">
        <v>7010</v>
      </c>
      <c r="T227" s="3" t="s">
        <v>7015</v>
      </c>
      <c r="U227" s="3" t="s">
        <v>7010</v>
      </c>
      <c r="V227" s="3" t="s">
        <v>7010</v>
      </c>
      <c r="W227" s="74" t="str">
        <f t="shared" si="13"/>
        <v>Yes</v>
      </c>
      <c r="Z227">
        <v>226</v>
      </c>
      <c r="AA227" s="55" t="s">
        <v>842</v>
      </c>
      <c r="AB227" t="s">
        <v>643</v>
      </c>
      <c r="AC227">
        <f t="shared" si="12"/>
        <v>7</v>
      </c>
      <c r="AD227" s="30" t="s">
        <v>3178</v>
      </c>
      <c r="AF227" t="s">
        <v>7642</v>
      </c>
      <c r="AH227" s="3" t="s">
        <v>7015</v>
      </c>
      <c r="AI227" s="3" t="s">
        <v>7010</v>
      </c>
      <c r="AJ227" s="3" t="s">
        <v>7010</v>
      </c>
      <c r="AK227" s="3" t="s">
        <v>7015</v>
      </c>
      <c r="AL227" s="3" t="s">
        <v>7010</v>
      </c>
      <c r="AM227" s="3" t="s">
        <v>7010</v>
      </c>
      <c r="AN227" s="3" t="s">
        <v>7010</v>
      </c>
      <c r="AO227" s="3" t="s">
        <v>7010</v>
      </c>
      <c r="AP227" s="74" t="s">
        <v>7015</v>
      </c>
      <c r="AU227">
        <v>226</v>
      </c>
      <c r="AV227" t="s">
        <v>3179</v>
      </c>
      <c r="AW227" t="s">
        <v>2279</v>
      </c>
      <c r="AX227">
        <f t="shared" si="14"/>
        <v>10</v>
      </c>
      <c r="AY227" s="30" t="s">
        <v>3180</v>
      </c>
      <c r="BC227" s="3" t="s">
        <v>7010</v>
      </c>
      <c r="BD227" s="3" t="s">
        <v>7010</v>
      </c>
      <c r="BE227" s="3" t="s">
        <v>7010</v>
      </c>
      <c r="BF227" s="3" t="s">
        <v>7010</v>
      </c>
      <c r="BG227" s="3" t="s">
        <v>7010</v>
      </c>
      <c r="BH227" s="3" t="s">
        <v>7010</v>
      </c>
      <c r="BI227" s="3" t="s">
        <v>7010</v>
      </c>
      <c r="BJ227" s="3" t="s">
        <v>7010</v>
      </c>
      <c r="BK227" s="74" t="str">
        <f t="shared" si="15"/>
        <v>No</v>
      </c>
    </row>
    <row r="228" spans="6:63">
      <c r="F228" s="55"/>
      <c r="G228">
        <v>227</v>
      </c>
      <c r="H228" s="7" t="s">
        <v>1977</v>
      </c>
      <c r="I228" t="s">
        <v>29</v>
      </c>
      <c r="J228">
        <f>LEN(H228)</f>
        <v>10</v>
      </c>
      <c r="K228" s="49" t="s">
        <v>6268</v>
      </c>
      <c r="O228" s="3" t="s">
        <v>7010</v>
      </c>
      <c r="P228" s="3" t="s">
        <v>7010</v>
      </c>
      <c r="Q228" s="3" t="s">
        <v>7010</v>
      </c>
      <c r="R228" s="3" t="s">
        <v>7010</v>
      </c>
      <c r="S228" s="3" t="s">
        <v>7010</v>
      </c>
      <c r="T228" s="3" t="s">
        <v>7015</v>
      </c>
      <c r="U228" s="3" t="s">
        <v>7010</v>
      </c>
      <c r="V228" s="3" t="s">
        <v>7015</v>
      </c>
      <c r="W228" s="74" t="str">
        <f t="shared" si="13"/>
        <v>Yes</v>
      </c>
      <c r="Z228">
        <v>227</v>
      </c>
      <c r="AA228" s="55" t="s">
        <v>843</v>
      </c>
      <c r="AB228" t="s">
        <v>643</v>
      </c>
      <c r="AC228">
        <f t="shared" si="12"/>
        <v>7</v>
      </c>
      <c r="AD228" s="30" t="s">
        <v>3182</v>
      </c>
      <c r="AF228" t="s">
        <v>7643</v>
      </c>
      <c r="AH228" s="3" t="s">
        <v>7015</v>
      </c>
      <c r="AI228" s="3" t="s">
        <v>7010</v>
      </c>
      <c r="AJ228" s="3" t="s">
        <v>7010</v>
      </c>
      <c r="AK228" s="3" t="s">
        <v>7015</v>
      </c>
      <c r="AL228" s="3" t="s">
        <v>7010</v>
      </c>
      <c r="AM228" s="3" t="s">
        <v>7010</v>
      </c>
      <c r="AN228" s="3" t="s">
        <v>7010</v>
      </c>
      <c r="AO228" s="3" t="s">
        <v>7010</v>
      </c>
      <c r="AP228" s="74" t="s">
        <v>7015</v>
      </c>
      <c r="AU228">
        <v>227</v>
      </c>
      <c r="AV228" t="s">
        <v>3183</v>
      </c>
      <c r="AW228" t="s">
        <v>2279</v>
      </c>
      <c r="AX228">
        <f t="shared" si="14"/>
        <v>12</v>
      </c>
      <c r="AY228" s="30" t="s">
        <v>3184</v>
      </c>
      <c r="BC228" s="3" t="s">
        <v>7010</v>
      </c>
      <c r="BD228" s="3" t="s">
        <v>7010</v>
      </c>
      <c r="BE228" s="3" t="s">
        <v>7010</v>
      </c>
      <c r="BF228" s="3" t="s">
        <v>7010</v>
      </c>
      <c r="BG228" s="3" t="s">
        <v>7010</v>
      </c>
      <c r="BH228" s="3" t="s">
        <v>7010</v>
      </c>
      <c r="BI228" s="3" t="s">
        <v>7010</v>
      </c>
      <c r="BJ228" s="3" t="s">
        <v>7010</v>
      </c>
      <c r="BK228" s="74" t="str">
        <f t="shared" si="15"/>
        <v>No</v>
      </c>
    </row>
    <row r="229" spans="6:63">
      <c r="F229" s="55"/>
      <c r="G229">
        <v>228</v>
      </c>
      <c r="H229" s="7" t="s">
        <v>117</v>
      </c>
      <c r="I229" t="s">
        <v>29</v>
      </c>
      <c r="J229">
        <f>LEN(H229)</f>
        <v>12</v>
      </c>
      <c r="K229" s="49" t="s">
        <v>2297</v>
      </c>
      <c r="O229" s="3" t="s">
        <v>7010</v>
      </c>
      <c r="P229" s="3" t="s">
        <v>7010</v>
      </c>
      <c r="Q229" s="3" t="s">
        <v>7010</v>
      </c>
      <c r="R229" s="3" t="s">
        <v>7015</v>
      </c>
      <c r="S229" s="3" t="s">
        <v>7010</v>
      </c>
      <c r="T229" s="3" t="s">
        <v>7010</v>
      </c>
      <c r="U229" s="3" t="s">
        <v>7010</v>
      </c>
      <c r="V229" s="3" t="s">
        <v>7010</v>
      </c>
      <c r="W229" s="74" t="str">
        <f t="shared" si="13"/>
        <v>Yes</v>
      </c>
      <c r="Z229">
        <v>228</v>
      </c>
      <c r="AA229" s="55" t="s">
        <v>844</v>
      </c>
      <c r="AB229" t="s">
        <v>643</v>
      </c>
      <c r="AC229">
        <f t="shared" si="12"/>
        <v>6</v>
      </c>
      <c r="AD229" s="30" t="s">
        <v>3186</v>
      </c>
      <c r="AF229" t="s">
        <v>7644</v>
      </c>
      <c r="AH229" s="3" t="s">
        <v>7015</v>
      </c>
      <c r="AI229" s="3" t="s">
        <v>7010</v>
      </c>
      <c r="AJ229" s="3" t="s">
        <v>7010</v>
      </c>
      <c r="AK229" s="3" t="s">
        <v>7015</v>
      </c>
      <c r="AL229" s="3" t="s">
        <v>7010</v>
      </c>
      <c r="AM229" s="3" t="s">
        <v>7010</v>
      </c>
      <c r="AN229" s="3" t="s">
        <v>7010</v>
      </c>
      <c r="AO229" s="3" t="s">
        <v>7010</v>
      </c>
      <c r="AP229" s="74" t="s">
        <v>7015</v>
      </c>
      <c r="AU229">
        <v>228</v>
      </c>
      <c r="AV229" t="s">
        <v>3187</v>
      </c>
      <c r="AW229" t="s">
        <v>2279</v>
      </c>
      <c r="AX229">
        <f t="shared" si="14"/>
        <v>8</v>
      </c>
      <c r="AY229" s="30" t="s">
        <v>3188</v>
      </c>
      <c r="BC229" s="3" t="s">
        <v>7010</v>
      </c>
      <c r="BD229" s="3" t="s">
        <v>7010</v>
      </c>
      <c r="BE229" s="3" t="s">
        <v>7010</v>
      </c>
      <c r="BF229" s="3" t="s">
        <v>7010</v>
      </c>
      <c r="BG229" s="3" t="s">
        <v>7010</v>
      </c>
      <c r="BH229" s="3" t="s">
        <v>7010</v>
      </c>
      <c r="BI229" s="3" t="s">
        <v>7010</v>
      </c>
      <c r="BJ229" s="3" t="s">
        <v>7010</v>
      </c>
      <c r="BK229" s="74" t="str">
        <f t="shared" si="15"/>
        <v>No</v>
      </c>
    </row>
    <row r="230" spans="6:63">
      <c r="F230" s="55"/>
      <c r="G230">
        <v>229</v>
      </c>
      <c r="H230" s="7" t="s">
        <v>506</v>
      </c>
      <c r="I230" t="s">
        <v>29</v>
      </c>
      <c r="J230">
        <f>LEN(H230)</f>
        <v>13</v>
      </c>
      <c r="K230" s="49" t="s">
        <v>2941</v>
      </c>
      <c r="O230" s="3" t="s">
        <v>7010</v>
      </c>
      <c r="P230" s="3" t="s">
        <v>7010</v>
      </c>
      <c r="Q230" s="3" t="s">
        <v>7010</v>
      </c>
      <c r="R230" s="3" t="s">
        <v>7010</v>
      </c>
      <c r="S230" s="3" t="s">
        <v>7010</v>
      </c>
      <c r="T230" s="3" t="s">
        <v>7010</v>
      </c>
      <c r="U230" s="3" t="s">
        <v>7010</v>
      </c>
      <c r="V230" s="3" t="s">
        <v>7010</v>
      </c>
      <c r="W230" s="74" t="str">
        <f t="shared" si="13"/>
        <v>No</v>
      </c>
      <c r="Z230">
        <v>229</v>
      </c>
      <c r="AA230" s="55" t="s">
        <v>845</v>
      </c>
      <c r="AB230" t="s">
        <v>643</v>
      </c>
      <c r="AC230">
        <f t="shared" si="12"/>
        <v>8</v>
      </c>
      <c r="AD230" s="30" t="s">
        <v>3190</v>
      </c>
      <c r="AF230" t="s">
        <v>7645</v>
      </c>
      <c r="AH230" s="3" t="s">
        <v>7015</v>
      </c>
      <c r="AI230" s="3" t="s">
        <v>7010</v>
      </c>
      <c r="AJ230" s="3" t="s">
        <v>7010</v>
      </c>
      <c r="AK230" s="3" t="s">
        <v>7015</v>
      </c>
      <c r="AL230" s="3" t="s">
        <v>7010</v>
      </c>
      <c r="AM230" s="3" t="s">
        <v>7010</v>
      </c>
      <c r="AN230" s="3" t="s">
        <v>7010</v>
      </c>
      <c r="AO230" s="3" t="s">
        <v>7010</v>
      </c>
      <c r="AP230" s="74" t="s">
        <v>7015</v>
      </c>
      <c r="AU230">
        <v>229</v>
      </c>
      <c r="AV230" t="s">
        <v>3191</v>
      </c>
      <c r="AW230" t="s">
        <v>2279</v>
      </c>
      <c r="AX230">
        <f t="shared" si="14"/>
        <v>11</v>
      </c>
      <c r="AY230" s="30" t="s">
        <v>3192</v>
      </c>
      <c r="BC230" s="3" t="s">
        <v>7010</v>
      </c>
      <c r="BD230" s="3" t="s">
        <v>7010</v>
      </c>
      <c r="BE230" s="3" t="s">
        <v>7015</v>
      </c>
      <c r="BF230" s="3" t="s">
        <v>7010</v>
      </c>
      <c r="BG230" s="3" t="s">
        <v>7010</v>
      </c>
      <c r="BH230" s="3" t="s">
        <v>7010</v>
      </c>
      <c r="BI230" s="3" t="s">
        <v>7010</v>
      </c>
      <c r="BJ230" s="3" t="s">
        <v>7010</v>
      </c>
      <c r="BK230" s="74" t="str">
        <f t="shared" si="15"/>
        <v>Yes</v>
      </c>
    </row>
    <row r="231" spans="6:63">
      <c r="F231" s="55"/>
      <c r="G231">
        <v>230</v>
      </c>
      <c r="H231" s="7" t="s">
        <v>2041</v>
      </c>
      <c r="I231" t="s">
        <v>29</v>
      </c>
      <c r="J231">
        <f>LEN(H231)</f>
        <v>11</v>
      </c>
      <c r="K231" s="49" t="s">
        <v>6432</v>
      </c>
      <c r="O231" s="3" t="s">
        <v>7010</v>
      </c>
      <c r="P231" s="3" t="s">
        <v>7010</v>
      </c>
      <c r="Q231" s="3" t="s">
        <v>7010</v>
      </c>
      <c r="R231" s="3" t="s">
        <v>7015</v>
      </c>
      <c r="S231" s="3" t="s">
        <v>7010</v>
      </c>
      <c r="T231" s="3" t="s">
        <v>7015</v>
      </c>
      <c r="U231" s="3" t="s">
        <v>7010</v>
      </c>
      <c r="V231" s="3" t="s">
        <v>7015</v>
      </c>
      <c r="W231" s="74" t="str">
        <f t="shared" si="13"/>
        <v>Yes</v>
      </c>
      <c r="Z231">
        <v>230</v>
      </c>
      <c r="AA231" s="55" t="s">
        <v>846</v>
      </c>
      <c r="AB231" t="s">
        <v>643</v>
      </c>
      <c r="AC231">
        <f t="shared" si="12"/>
        <v>6</v>
      </c>
      <c r="AD231" s="30" t="s">
        <v>3194</v>
      </c>
      <c r="AF231" t="s">
        <v>7646</v>
      </c>
      <c r="AH231" s="3" t="s">
        <v>7015</v>
      </c>
      <c r="AI231" s="3" t="s">
        <v>7010</v>
      </c>
      <c r="AJ231" s="3" t="s">
        <v>7010</v>
      </c>
      <c r="AK231" s="3" t="s">
        <v>7015</v>
      </c>
      <c r="AL231" s="3" t="s">
        <v>7010</v>
      </c>
      <c r="AM231" s="3" t="s">
        <v>7010</v>
      </c>
      <c r="AN231" s="3" t="s">
        <v>7010</v>
      </c>
      <c r="AO231" s="3" t="s">
        <v>7010</v>
      </c>
      <c r="AP231" s="74" t="s">
        <v>7015</v>
      </c>
      <c r="AU231">
        <v>230</v>
      </c>
      <c r="AV231" t="s">
        <v>3195</v>
      </c>
      <c r="AW231" t="s">
        <v>2279</v>
      </c>
      <c r="AX231">
        <f t="shared" si="14"/>
        <v>12</v>
      </c>
      <c r="AY231" s="30" t="s">
        <v>3196</v>
      </c>
      <c r="BC231" s="3" t="s">
        <v>7010</v>
      </c>
      <c r="BD231" s="3" t="s">
        <v>7010</v>
      </c>
      <c r="BE231" s="3" t="s">
        <v>7015</v>
      </c>
      <c r="BF231" s="3" t="s">
        <v>7010</v>
      </c>
      <c r="BG231" s="3" t="s">
        <v>7010</v>
      </c>
      <c r="BH231" s="3" t="s">
        <v>7010</v>
      </c>
      <c r="BI231" s="3" t="s">
        <v>7010</v>
      </c>
      <c r="BJ231" s="3" t="s">
        <v>7010</v>
      </c>
      <c r="BK231" s="74" t="str">
        <f t="shared" si="15"/>
        <v>Yes</v>
      </c>
    </row>
    <row r="232" spans="6:63">
      <c r="F232" s="55"/>
      <c r="G232">
        <v>231</v>
      </c>
      <c r="H232" s="7" t="s">
        <v>150</v>
      </c>
      <c r="I232" t="s">
        <v>29</v>
      </c>
      <c r="J232">
        <f>LEN(H232)</f>
        <v>13</v>
      </c>
      <c r="K232" s="49" t="s">
        <v>2305</v>
      </c>
      <c r="O232" s="3" t="s">
        <v>7010</v>
      </c>
      <c r="P232" s="3" t="s">
        <v>7010</v>
      </c>
      <c r="Q232" s="3" t="s">
        <v>7010</v>
      </c>
      <c r="R232" s="3" t="s">
        <v>7010</v>
      </c>
      <c r="S232" s="3" t="s">
        <v>7010</v>
      </c>
      <c r="T232" s="3" t="s">
        <v>7010</v>
      </c>
      <c r="U232" s="3" t="s">
        <v>7010</v>
      </c>
      <c r="V232" s="3" t="s">
        <v>7010</v>
      </c>
      <c r="W232" s="74" t="str">
        <f t="shared" si="13"/>
        <v>No</v>
      </c>
      <c r="Z232">
        <v>231</v>
      </c>
      <c r="AA232" s="55" t="s">
        <v>847</v>
      </c>
      <c r="AB232" t="s">
        <v>643</v>
      </c>
      <c r="AC232">
        <f t="shared" si="12"/>
        <v>6</v>
      </c>
      <c r="AD232" s="30" t="s">
        <v>3198</v>
      </c>
      <c r="AF232" t="s">
        <v>7647</v>
      </c>
      <c r="AH232" s="3" t="s">
        <v>7015</v>
      </c>
      <c r="AI232" s="3" t="s">
        <v>7010</v>
      </c>
      <c r="AJ232" s="3" t="s">
        <v>7010</v>
      </c>
      <c r="AK232" s="3" t="s">
        <v>7015</v>
      </c>
      <c r="AL232" s="3" t="s">
        <v>7010</v>
      </c>
      <c r="AM232" s="3" t="s">
        <v>7010</v>
      </c>
      <c r="AN232" s="3" t="s">
        <v>7010</v>
      </c>
      <c r="AO232" s="3" t="s">
        <v>7010</v>
      </c>
      <c r="AP232" s="74" t="s">
        <v>7015</v>
      </c>
      <c r="AU232">
        <v>231</v>
      </c>
      <c r="AV232" t="s">
        <v>3199</v>
      </c>
      <c r="AW232" t="s">
        <v>2279</v>
      </c>
      <c r="AX232">
        <f t="shared" si="14"/>
        <v>8</v>
      </c>
      <c r="AY232" s="30" t="s">
        <v>3200</v>
      </c>
      <c r="BC232" s="3" t="s">
        <v>7010</v>
      </c>
      <c r="BD232" s="3" t="s">
        <v>7010</v>
      </c>
      <c r="BE232" s="3" t="s">
        <v>7010</v>
      </c>
      <c r="BF232" s="3" t="s">
        <v>7010</v>
      </c>
      <c r="BG232" s="3" t="s">
        <v>7010</v>
      </c>
      <c r="BH232" s="3" t="s">
        <v>7010</v>
      </c>
      <c r="BI232" s="3" t="s">
        <v>7010</v>
      </c>
      <c r="BJ232" s="3" t="s">
        <v>7010</v>
      </c>
      <c r="BK232" s="74" t="str">
        <f t="shared" si="15"/>
        <v>No</v>
      </c>
    </row>
    <row r="233" spans="6:63">
      <c r="F233" s="55"/>
      <c r="G233">
        <v>232</v>
      </c>
      <c r="H233" s="7" t="s">
        <v>263</v>
      </c>
      <c r="I233" t="s">
        <v>29</v>
      </c>
      <c r="J233">
        <f>LEN(H233)</f>
        <v>15</v>
      </c>
      <c r="K233" s="49" t="s">
        <v>2333</v>
      </c>
      <c r="O233" s="3" t="s">
        <v>7010</v>
      </c>
      <c r="P233" s="3" t="s">
        <v>7010</v>
      </c>
      <c r="Q233" s="3" t="s">
        <v>7010</v>
      </c>
      <c r="R233" s="3" t="s">
        <v>7015</v>
      </c>
      <c r="S233" s="3" t="s">
        <v>7010</v>
      </c>
      <c r="T233" s="3" t="s">
        <v>7010</v>
      </c>
      <c r="U233" s="3" t="s">
        <v>7010</v>
      </c>
      <c r="V233" s="3" t="s">
        <v>7010</v>
      </c>
      <c r="W233" s="74" t="str">
        <f t="shared" si="13"/>
        <v>Yes</v>
      </c>
      <c r="Z233">
        <v>232</v>
      </c>
      <c r="AA233" s="55" t="s">
        <v>848</v>
      </c>
      <c r="AB233" t="s">
        <v>643</v>
      </c>
      <c r="AC233">
        <f t="shared" si="12"/>
        <v>6</v>
      </c>
      <c r="AD233" s="30" t="s">
        <v>3202</v>
      </c>
      <c r="AF233" t="s">
        <v>7648</v>
      </c>
      <c r="AH233" s="3" t="s">
        <v>7015</v>
      </c>
      <c r="AI233" s="3" t="s">
        <v>7010</v>
      </c>
      <c r="AJ233" s="3" t="s">
        <v>7010</v>
      </c>
      <c r="AK233" s="3" t="s">
        <v>7015</v>
      </c>
      <c r="AL233" s="3" t="s">
        <v>7010</v>
      </c>
      <c r="AM233" s="3" t="s">
        <v>7010</v>
      </c>
      <c r="AN233" s="3" t="s">
        <v>7010</v>
      </c>
      <c r="AO233" s="3" t="s">
        <v>7010</v>
      </c>
      <c r="AP233" s="74" t="s">
        <v>7015</v>
      </c>
      <c r="AU233">
        <v>232</v>
      </c>
      <c r="AV233" t="s">
        <v>3203</v>
      </c>
      <c r="AW233" t="s">
        <v>2279</v>
      </c>
      <c r="AX233">
        <f t="shared" si="14"/>
        <v>9</v>
      </c>
      <c r="AY233" s="30" t="s">
        <v>3204</v>
      </c>
      <c r="BC233" s="3" t="s">
        <v>7015</v>
      </c>
      <c r="BD233" s="3" t="s">
        <v>7010</v>
      </c>
      <c r="BE233" s="3" t="s">
        <v>7015</v>
      </c>
      <c r="BF233" s="3" t="s">
        <v>7010</v>
      </c>
      <c r="BG233" s="3" t="s">
        <v>7010</v>
      </c>
      <c r="BH233" s="3" t="s">
        <v>7010</v>
      </c>
      <c r="BI233" s="3" t="s">
        <v>7010</v>
      </c>
      <c r="BJ233" s="3" t="s">
        <v>7010</v>
      </c>
      <c r="BK233" s="74" t="str">
        <f t="shared" si="15"/>
        <v>Yes</v>
      </c>
    </row>
    <row r="234" spans="6:63">
      <c r="F234" s="55"/>
      <c r="G234">
        <v>233</v>
      </c>
      <c r="H234" s="7" t="s">
        <v>1746</v>
      </c>
      <c r="I234" t="s">
        <v>29</v>
      </c>
      <c r="J234">
        <f>LEN(H234)</f>
        <v>18</v>
      </c>
      <c r="K234" s="49" t="s">
        <v>5594</v>
      </c>
      <c r="O234" s="3" t="s">
        <v>7010</v>
      </c>
      <c r="P234" s="3" t="s">
        <v>7010</v>
      </c>
      <c r="Q234" s="3" t="s">
        <v>7010</v>
      </c>
      <c r="R234" s="3" t="s">
        <v>7010</v>
      </c>
      <c r="S234" s="3" t="s">
        <v>7010</v>
      </c>
      <c r="T234" s="3" t="s">
        <v>7010</v>
      </c>
      <c r="U234" s="3" t="s">
        <v>7010</v>
      </c>
      <c r="V234" s="3" t="s">
        <v>7010</v>
      </c>
      <c r="W234" s="74" t="str">
        <f t="shared" si="13"/>
        <v>No</v>
      </c>
      <c r="Z234">
        <v>233</v>
      </c>
      <c r="AA234" s="55" t="s">
        <v>849</v>
      </c>
      <c r="AB234" t="s">
        <v>643</v>
      </c>
      <c r="AC234">
        <f t="shared" si="12"/>
        <v>7</v>
      </c>
      <c r="AD234" s="30" t="s">
        <v>3206</v>
      </c>
      <c r="AF234" t="s">
        <v>7649</v>
      </c>
      <c r="AH234" s="3" t="s">
        <v>7015</v>
      </c>
      <c r="AI234" s="3" t="s">
        <v>7010</v>
      </c>
      <c r="AJ234" s="3" t="s">
        <v>7010</v>
      </c>
      <c r="AK234" s="3" t="s">
        <v>7015</v>
      </c>
      <c r="AL234" s="3" t="s">
        <v>7010</v>
      </c>
      <c r="AM234" s="3" t="s">
        <v>7010</v>
      </c>
      <c r="AN234" s="3" t="s">
        <v>7010</v>
      </c>
      <c r="AO234" s="3" t="s">
        <v>7010</v>
      </c>
      <c r="AP234" s="74" t="s">
        <v>7015</v>
      </c>
      <c r="AU234">
        <v>233</v>
      </c>
      <c r="AV234" t="s">
        <v>3207</v>
      </c>
      <c r="AW234" t="s">
        <v>2279</v>
      </c>
      <c r="AX234">
        <f t="shared" si="14"/>
        <v>10</v>
      </c>
      <c r="AY234" s="30" t="s">
        <v>3208</v>
      </c>
      <c r="BC234" s="3" t="s">
        <v>7010</v>
      </c>
      <c r="BD234" s="3" t="s">
        <v>7010</v>
      </c>
      <c r="BE234" s="3" t="s">
        <v>7015</v>
      </c>
      <c r="BF234" s="3" t="s">
        <v>7010</v>
      </c>
      <c r="BG234" s="3" t="s">
        <v>7010</v>
      </c>
      <c r="BH234" s="3" t="s">
        <v>7010</v>
      </c>
      <c r="BI234" s="3" t="s">
        <v>7010</v>
      </c>
      <c r="BJ234" s="3" t="s">
        <v>7010</v>
      </c>
      <c r="BK234" s="74" t="str">
        <f t="shared" si="15"/>
        <v>Yes</v>
      </c>
    </row>
    <row r="235" spans="6:63">
      <c r="F235" s="55"/>
      <c r="G235">
        <v>234</v>
      </c>
      <c r="H235" s="7" t="s">
        <v>1726</v>
      </c>
      <c r="I235" t="s">
        <v>29</v>
      </c>
      <c r="J235">
        <f>LEN(H235)</f>
        <v>17</v>
      </c>
      <c r="K235" s="49" t="s">
        <v>5544</v>
      </c>
      <c r="O235" s="3" t="s">
        <v>7010</v>
      </c>
      <c r="P235" s="3" t="s">
        <v>7010</v>
      </c>
      <c r="Q235" s="3" t="s">
        <v>7010</v>
      </c>
      <c r="R235" s="3" t="s">
        <v>7010</v>
      </c>
      <c r="S235" s="3" t="s">
        <v>7010</v>
      </c>
      <c r="T235" s="3" t="s">
        <v>7010</v>
      </c>
      <c r="U235" s="3" t="s">
        <v>7010</v>
      </c>
      <c r="V235" s="3" t="s">
        <v>7010</v>
      </c>
      <c r="W235" s="74" t="str">
        <f t="shared" si="13"/>
        <v>No</v>
      </c>
      <c r="Z235">
        <v>234</v>
      </c>
      <c r="AA235" s="55" t="s">
        <v>850</v>
      </c>
      <c r="AB235" t="s">
        <v>643</v>
      </c>
      <c r="AC235">
        <f t="shared" si="12"/>
        <v>9</v>
      </c>
      <c r="AD235" s="30" t="s">
        <v>3210</v>
      </c>
      <c r="AF235" t="s">
        <v>7650</v>
      </c>
      <c r="AH235" s="3" t="s">
        <v>7015</v>
      </c>
      <c r="AI235" s="3" t="s">
        <v>7010</v>
      </c>
      <c r="AJ235" s="3" t="s">
        <v>7010</v>
      </c>
      <c r="AK235" s="3" t="s">
        <v>7015</v>
      </c>
      <c r="AL235" s="3" t="s">
        <v>7010</v>
      </c>
      <c r="AM235" s="3" t="s">
        <v>7010</v>
      </c>
      <c r="AN235" s="3" t="s">
        <v>7010</v>
      </c>
      <c r="AO235" s="3" t="s">
        <v>7010</v>
      </c>
      <c r="AP235" s="74" t="s">
        <v>7015</v>
      </c>
      <c r="AU235">
        <v>234</v>
      </c>
      <c r="AV235" t="s">
        <v>3211</v>
      </c>
      <c r="AW235" t="s">
        <v>2279</v>
      </c>
      <c r="AX235">
        <f t="shared" si="14"/>
        <v>9</v>
      </c>
      <c r="AY235" s="30" t="s">
        <v>3212</v>
      </c>
      <c r="BC235" s="3" t="s">
        <v>7010</v>
      </c>
      <c r="BD235" s="3" t="s">
        <v>7010</v>
      </c>
      <c r="BE235" s="3" t="s">
        <v>7010</v>
      </c>
      <c r="BF235" s="3" t="s">
        <v>7010</v>
      </c>
      <c r="BG235" s="3" t="s">
        <v>7010</v>
      </c>
      <c r="BH235" s="3" t="s">
        <v>7010</v>
      </c>
      <c r="BI235" s="3" t="s">
        <v>7010</v>
      </c>
      <c r="BJ235" s="3" t="s">
        <v>7010</v>
      </c>
      <c r="BK235" s="74" t="str">
        <f t="shared" si="15"/>
        <v>No</v>
      </c>
    </row>
    <row r="236" spans="6:63">
      <c r="F236" s="55"/>
      <c r="G236">
        <v>235</v>
      </c>
      <c r="H236" s="7" t="s">
        <v>1804</v>
      </c>
      <c r="I236" t="s">
        <v>29</v>
      </c>
      <c r="J236">
        <f>LEN(H236)</f>
        <v>12</v>
      </c>
      <c r="K236" s="49" t="s">
        <v>5751</v>
      </c>
      <c r="O236" s="3" t="s">
        <v>7010</v>
      </c>
      <c r="P236" s="3" t="s">
        <v>7010</v>
      </c>
      <c r="Q236" s="3" t="s">
        <v>7010</v>
      </c>
      <c r="R236" s="3" t="s">
        <v>7010</v>
      </c>
      <c r="S236" s="3" t="s">
        <v>7010</v>
      </c>
      <c r="T236" s="3" t="s">
        <v>7010</v>
      </c>
      <c r="U236" s="3" t="s">
        <v>7010</v>
      </c>
      <c r="V236" s="3" t="s">
        <v>7010</v>
      </c>
      <c r="W236" s="74" t="str">
        <f t="shared" si="13"/>
        <v>No</v>
      </c>
      <c r="Z236">
        <v>235</v>
      </c>
      <c r="AA236" s="55" t="s">
        <v>851</v>
      </c>
      <c r="AB236" t="s">
        <v>643</v>
      </c>
      <c r="AC236">
        <f t="shared" si="12"/>
        <v>8</v>
      </c>
      <c r="AD236" s="30" t="s">
        <v>3214</v>
      </c>
      <c r="AF236" t="s">
        <v>7651</v>
      </c>
      <c r="AH236" s="3" t="s">
        <v>7015</v>
      </c>
      <c r="AI236" s="3" t="s">
        <v>7010</v>
      </c>
      <c r="AJ236" s="3" t="s">
        <v>7010</v>
      </c>
      <c r="AK236" s="3" t="s">
        <v>7015</v>
      </c>
      <c r="AL236" s="3" t="s">
        <v>7010</v>
      </c>
      <c r="AM236" s="3" t="s">
        <v>7010</v>
      </c>
      <c r="AN236" s="3" t="s">
        <v>7010</v>
      </c>
      <c r="AO236" s="3" t="s">
        <v>7010</v>
      </c>
      <c r="AP236" s="74" t="s">
        <v>7015</v>
      </c>
      <c r="AU236">
        <v>235</v>
      </c>
      <c r="AV236" t="s">
        <v>3215</v>
      </c>
      <c r="AW236" t="s">
        <v>2279</v>
      </c>
      <c r="AX236">
        <f t="shared" si="14"/>
        <v>12</v>
      </c>
      <c r="AY236" s="30" t="s">
        <v>3216</v>
      </c>
      <c r="BC236" s="3" t="s">
        <v>7010</v>
      </c>
      <c r="BD236" s="3" t="s">
        <v>7010</v>
      </c>
      <c r="BE236" s="3" t="s">
        <v>7010</v>
      </c>
      <c r="BF236" s="3" t="s">
        <v>7010</v>
      </c>
      <c r="BG236" s="3" t="s">
        <v>7010</v>
      </c>
      <c r="BH236" s="3" t="s">
        <v>7010</v>
      </c>
      <c r="BI236" s="3" t="s">
        <v>7010</v>
      </c>
      <c r="BJ236" s="3" t="s">
        <v>7010</v>
      </c>
      <c r="BK236" s="74" t="str">
        <f t="shared" si="15"/>
        <v>No</v>
      </c>
    </row>
    <row r="237" spans="6:63">
      <c r="F237" s="55"/>
      <c r="G237">
        <v>236</v>
      </c>
      <c r="H237" s="7" t="s">
        <v>1132</v>
      </c>
      <c r="I237" t="s">
        <v>29</v>
      </c>
      <c r="J237">
        <f>LEN(H237)</f>
        <v>16</v>
      </c>
      <c r="K237" s="49" t="s">
        <v>4040</v>
      </c>
      <c r="O237" s="3" t="s">
        <v>7010</v>
      </c>
      <c r="P237" s="3" t="s">
        <v>7010</v>
      </c>
      <c r="Q237" s="3" t="s">
        <v>7010</v>
      </c>
      <c r="R237" s="3" t="s">
        <v>7010</v>
      </c>
      <c r="S237" s="3" t="s">
        <v>7010</v>
      </c>
      <c r="T237" s="3" t="s">
        <v>7010</v>
      </c>
      <c r="U237" s="3" t="s">
        <v>7010</v>
      </c>
      <c r="V237" s="3" t="s">
        <v>7010</v>
      </c>
      <c r="W237" s="74" t="str">
        <f t="shared" si="13"/>
        <v>No</v>
      </c>
      <c r="Z237">
        <v>236</v>
      </c>
      <c r="AA237" s="55" t="s">
        <v>852</v>
      </c>
      <c r="AB237" t="s">
        <v>643</v>
      </c>
      <c r="AC237">
        <f t="shared" si="12"/>
        <v>7</v>
      </c>
      <c r="AD237" s="30" t="s">
        <v>3218</v>
      </c>
      <c r="AF237" s="54" t="s">
        <v>7652</v>
      </c>
      <c r="AH237" s="3" t="s">
        <v>7015</v>
      </c>
      <c r="AI237" s="3" t="s">
        <v>7010</v>
      </c>
      <c r="AJ237" s="3" t="s">
        <v>7010</v>
      </c>
      <c r="AK237" s="3" t="s">
        <v>7015</v>
      </c>
      <c r="AL237" s="3" t="s">
        <v>7010</v>
      </c>
      <c r="AM237" s="3" t="s">
        <v>7010</v>
      </c>
      <c r="AN237" s="3" t="s">
        <v>7010</v>
      </c>
      <c r="AO237" s="3" t="s">
        <v>7010</v>
      </c>
      <c r="AP237" s="74" t="s">
        <v>7015</v>
      </c>
      <c r="AU237">
        <v>236</v>
      </c>
      <c r="AV237" t="s">
        <v>3219</v>
      </c>
      <c r="AW237" t="s">
        <v>2279</v>
      </c>
      <c r="AX237">
        <f t="shared" si="14"/>
        <v>13</v>
      </c>
      <c r="AY237" s="30" t="s">
        <v>3220</v>
      </c>
      <c r="BC237" s="3" t="s">
        <v>7010</v>
      </c>
      <c r="BD237" s="3" t="s">
        <v>7010</v>
      </c>
      <c r="BE237" s="3" t="s">
        <v>7010</v>
      </c>
      <c r="BF237" s="3" t="s">
        <v>7010</v>
      </c>
      <c r="BG237" s="3" t="s">
        <v>7010</v>
      </c>
      <c r="BH237" s="3" t="s">
        <v>7010</v>
      </c>
      <c r="BI237" s="3" t="s">
        <v>7010</v>
      </c>
      <c r="BJ237" s="3" t="s">
        <v>7010</v>
      </c>
      <c r="BK237" s="74" t="str">
        <f t="shared" si="15"/>
        <v>No</v>
      </c>
    </row>
    <row r="238" spans="6:63">
      <c r="F238" s="55"/>
      <c r="G238">
        <v>237</v>
      </c>
      <c r="H238" s="7" t="s">
        <v>1764</v>
      </c>
      <c r="I238" t="s">
        <v>29</v>
      </c>
      <c r="J238">
        <f>LEN(H238)</f>
        <v>19</v>
      </c>
      <c r="K238" s="49" t="s">
        <v>5639</v>
      </c>
      <c r="O238" s="3" t="s">
        <v>7010</v>
      </c>
      <c r="P238" s="3" t="s">
        <v>7010</v>
      </c>
      <c r="Q238" s="3" t="s">
        <v>7010</v>
      </c>
      <c r="R238" s="3" t="s">
        <v>7010</v>
      </c>
      <c r="S238" s="3" t="s">
        <v>7010</v>
      </c>
      <c r="T238" s="3" t="s">
        <v>7010</v>
      </c>
      <c r="U238" s="3" t="s">
        <v>7010</v>
      </c>
      <c r="V238" s="3" t="s">
        <v>7010</v>
      </c>
      <c r="W238" s="74" t="str">
        <f t="shared" si="13"/>
        <v>No</v>
      </c>
      <c r="Z238">
        <v>237</v>
      </c>
      <c r="AA238" s="55" t="s">
        <v>853</v>
      </c>
      <c r="AB238" t="s">
        <v>643</v>
      </c>
      <c r="AC238">
        <f t="shared" si="12"/>
        <v>8</v>
      </c>
      <c r="AD238" s="30" t="s">
        <v>3222</v>
      </c>
      <c r="AF238" t="s">
        <v>7653</v>
      </c>
      <c r="AH238" s="3" t="s">
        <v>7015</v>
      </c>
      <c r="AI238" s="3" t="s">
        <v>7010</v>
      </c>
      <c r="AJ238" s="3" t="s">
        <v>7010</v>
      </c>
      <c r="AK238" s="3" t="s">
        <v>7015</v>
      </c>
      <c r="AL238" s="3" t="s">
        <v>7010</v>
      </c>
      <c r="AM238" s="3" t="s">
        <v>7010</v>
      </c>
      <c r="AN238" s="3" t="s">
        <v>7010</v>
      </c>
      <c r="AO238" s="3" t="s">
        <v>7010</v>
      </c>
      <c r="AP238" s="74" t="s">
        <v>7015</v>
      </c>
      <c r="AU238">
        <v>237</v>
      </c>
      <c r="AV238" t="s">
        <v>3223</v>
      </c>
      <c r="AW238" t="s">
        <v>2279</v>
      </c>
      <c r="AX238">
        <f t="shared" si="14"/>
        <v>8</v>
      </c>
      <c r="AY238" s="30" t="s">
        <v>3224</v>
      </c>
      <c r="BC238" s="3" t="s">
        <v>7010</v>
      </c>
      <c r="BD238" s="3" t="s">
        <v>7010</v>
      </c>
      <c r="BE238" s="3" t="s">
        <v>7010</v>
      </c>
      <c r="BF238" s="3" t="s">
        <v>7010</v>
      </c>
      <c r="BG238" s="3" t="s">
        <v>7010</v>
      </c>
      <c r="BH238" s="3" t="s">
        <v>7010</v>
      </c>
      <c r="BI238" s="3" t="s">
        <v>7010</v>
      </c>
      <c r="BJ238" s="3" t="s">
        <v>7010</v>
      </c>
      <c r="BK238" s="74" t="str">
        <f t="shared" si="15"/>
        <v>No</v>
      </c>
    </row>
    <row r="239" spans="6:63">
      <c r="F239" s="55"/>
      <c r="G239">
        <v>238</v>
      </c>
      <c r="H239" s="7" t="s">
        <v>1706</v>
      </c>
      <c r="I239" t="s">
        <v>29</v>
      </c>
      <c r="J239">
        <f>LEN(H239)</f>
        <v>19</v>
      </c>
      <c r="K239" s="49" t="s">
        <v>5495</v>
      </c>
      <c r="O239" s="3" t="s">
        <v>7010</v>
      </c>
      <c r="P239" s="3" t="s">
        <v>7010</v>
      </c>
      <c r="Q239" s="3" t="s">
        <v>7010</v>
      </c>
      <c r="R239" s="3" t="s">
        <v>7010</v>
      </c>
      <c r="S239" s="3" t="s">
        <v>7010</v>
      </c>
      <c r="T239" s="3" t="s">
        <v>7010</v>
      </c>
      <c r="U239" s="3" t="s">
        <v>7010</v>
      </c>
      <c r="V239" s="3" t="s">
        <v>7010</v>
      </c>
      <c r="W239" s="74" t="str">
        <f t="shared" si="13"/>
        <v>No</v>
      </c>
      <c r="Z239">
        <v>238</v>
      </c>
      <c r="AA239" s="55" t="s">
        <v>854</v>
      </c>
      <c r="AB239" t="s">
        <v>643</v>
      </c>
      <c r="AC239">
        <f t="shared" si="12"/>
        <v>7</v>
      </c>
      <c r="AD239" s="30" t="s">
        <v>3226</v>
      </c>
      <c r="AF239" t="s">
        <v>7654</v>
      </c>
      <c r="AH239" s="3" t="s">
        <v>7015</v>
      </c>
      <c r="AI239" s="3" t="s">
        <v>7010</v>
      </c>
      <c r="AJ239" s="3" t="s">
        <v>7010</v>
      </c>
      <c r="AK239" s="3" t="s">
        <v>7015</v>
      </c>
      <c r="AL239" s="3" t="s">
        <v>7010</v>
      </c>
      <c r="AM239" s="3" t="s">
        <v>7010</v>
      </c>
      <c r="AN239" s="3" t="s">
        <v>7010</v>
      </c>
      <c r="AO239" s="3" t="s">
        <v>7010</v>
      </c>
      <c r="AP239" s="74" t="s">
        <v>7015</v>
      </c>
      <c r="AU239">
        <v>238</v>
      </c>
      <c r="AV239" t="s">
        <v>3227</v>
      </c>
      <c r="AW239" t="s">
        <v>2279</v>
      </c>
      <c r="AX239">
        <f t="shared" si="14"/>
        <v>9</v>
      </c>
      <c r="AY239" s="30" t="s">
        <v>3228</v>
      </c>
      <c r="BC239" s="3" t="s">
        <v>7010</v>
      </c>
      <c r="BD239" s="3" t="s">
        <v>7010</v>
      </c>
      <c r="BE239" s="3" t="s">
        <v>7010</v>
      </c>
      <c r="BF239" s="3" t="s">
        <v>7010</v>
      </c>
      <c r="BG239" s="3" t="s">
        <v>7010</v>
      </c>
      <c r="BH239" s="3" t="s">
        <v>7010</v>
      </c>
      <c r="BI239" s="3" t="s">
        <v>7010</v>
      </c>
      <c r="BJ239" s="3" t="s">
        <v>7010</v>
      </c>
      <c r="BK239" s="74" t="str">
        <f t="shared" si="15"/>
        <v>No</v>
      </c>
    </row>
    <row r="240" spans="6:63">
      <c r="F240" s="55"/>
      <c r="G240">
        <v>239</v>
      </c>
      <c r="H240" s="7" t="s">
        <v>1846</v>
      </c>
      <c r="I240" t="s">
        <v>29</v>
      </c>
      <c r="J240">
        <f>LEN(H240)</f>
        <v>18</v>
      </c>
      <c r="K240" s="49" t="s">
        <v>5909</v>
      </c>
      <c r="O240" s="3" t="s">
        <v>7010</v>
      </c>
      <c r="P240" s="3" t="s">
        <v>7010</v>
      </c>
      <c r="Q240" s="3" t="s">
        <v>7010</v>
      </c>
      <c r="R240" s="3" t="s">
        <v>7010</v>
      </c>
      <c r="S240" s="3" t="s">
        <v>7010</v>
      </c>
      <c r="T240" s="3" t="s">
        <v>7010</v>
      </c>
      <c r="U240" s="3" t="s">
        <v>7010</v>
      </c>
      <c r="V240" s="3" t="s">
        <v>7010</v>
      </c>
      <c r="W240" s="74" t="str">
        <f t="shared" si="13"/>
        <v>No</v>
      </c>
      <c r="Z240">
        <v>239</v>
      </c>
      <c r="AA240" s="55" t="s">
        <v>855</v>
      </c>
      <c r="AB240" t="s">
        <v>643</v>
      </c>
      <c r="AC240">
        <f t="shared" si="12"/>
        <v>8</v>
      </c>
      <c r="AD240" s="30" t="s">
        <v>3230</v>
      </c>
      <c r="AF240" t="s">
        <v>7655</v>
      </c>
      <c r="AH240" s="3" t="s">
        <v>7015</v>
      </c>
      <c r="AI240" s="3" t="s">
        <v>7010</v>
      </c>
      <c r="AJ240" s="3" t="s">
        <v>7010</v>
      </c>
      <c r="AK240" s="3" t="s">
        <v>7015</v>
      </c>
      <c r="AL240" s="3" t="s">
        <v>7010</v>
      </c>
      <c r="AM240" s="3" t="s">
        <v>7010</v>
      </c>
      <c r="AN240" s="3" t="s">
        <v>7010</v>
      </c>
      <c r="AO240" s="3" t="s">
        <v>7010</v>
      </c>
      <c r="AP240" s="74" t="s">
        <v>7015</v>
      </c>
      <c r="AU240">
        <v>239</v>
      </c>
      <c r="AV240" t="s">
        <v>3231</v>
      </c>
      <c r="AW240" t="s">
        <v>2279</v>
      </c>
      <c r="AX240">
        <f t="shared" si="14"/>
        <v>8</v>
      </c>
      <c r="AY240" s="30" t="s">
        <v>3232</v>
      </c>
      <c r="BC240" s="3" t="s">
        <v>7010</v>
      </c>
      <c r="BD240" s="3" t="s">
        <v>7010</v>
      </c>
      <c r="BE240" s="3" t="s">
        <v>7015</v>
      </c>
      <c r="BF240" s="3" t="s">
        <v>7010</v>
      </c>
      <c r="BG240" s="3" t="s">
        <v>7010</v>
      </c>
      <c r="BH240" s="3" t="s">
        <v>7010</v>
      </c>
      <c r="BI240" s="3" t="s">
        <v>7010</v>
      </c>
      <c r="BJ240" s="3" t="s">
        <v>7010</v>
      </c>
      <c r="BK240" s="74" t="str">
        <f t="shared" si="15"/>
        <v>Yes</v>
      </c>
    </row>
    <row r="241" spans="6:63">
      <c r="F241" s="55"/>
      <c r="G241">
        <v>240</v>
      </c>
      <c r="H241" s="7" t="s">
        <v>1816</v>
      </c>
      <c r="I241" t="s">
        <v>29</v>
      </c>
      <c r="J241">
        <f>LEN(H241)</f>
        <v>18</v>
      </c>
      <c r="K241" s="49" t="s">
        <v>5784</v>
      </c>
      <c r="O241" s="3" t="s">
        <v>7010</v>
      </c>
      <c r="P241" s="3" t="s">
        <v>7010</v>
      </c>
      <c r="Q241" s="3" t="s">
        <v>7010</v>
      </c>
      <c r="R241" s="3" t="s">
        <v>7010</v>
      </c>
      <c r="S241" s="3" t="s">
        <v>7010</v>
      </c>
      <c r="T241" s="3" t="s">
        <v>7010</v>
      </c>
      <c r="U241" s="3" t="s">
        <v>7010</v>
      </c>
      <c r="V241" s="3" t="s">
        <v>7010</v>
      </c>
      <c r="W241" s="74" t="str">
        <f t="shared" si="13"/>
        <v>No</v>
      </c>
      <c r="Z241">
        <v>240</v>
      </c>
      <c r="AA241" s="55" t="s">
        <v>856</v>
      </c>
      <c r="AB241" t="s">
        <v>643</v>
      </c>
      <c r="AC241">
        <f t="shared" si="12"/>
        <v>5</v>
      </c>
      <c r="AD241" s="30" t="s">
        <v>3234</v>
      </c>
      <c r="AF241" t="s">
        <v>7656</v>
      </c>
      <c r="AH241" s="3" t="s">
        <v>7015</v>
      </c>
      <c r="AI241" s="3" t="s">
        <v>7010</v>
      </c>
      <c r="AJ241" s="3" t="s">
        <v>7010</v>
      </c>
      <c r="AK241" s="3" t="s">
        <v>7015</v>
      </c>
      <c r="AL241" s="3" t="s">
        <v>7010</v>
      </c>
      <c r="AM241" s="3" t="s">
        <v>7010</v>
      </c>
      <c r="AN241" s="3" t="s">
        <v>7010</v>
      </c>
      <c r="AO241" s="3" t="s">
        <v>7010</v>
      </c>
      <c r="AP241" s="74" t="s">
        <v>7015</v>
      </c>
      <c r="AU241">
        <v>240</v>
      </c>
      <c r="AV241" t="s">
        <v>3235</v>
      </c>
      <c r="AW241" t="s">
        <v>2279</v>
      </c>
      <c r="AX241">
        <f t="shared" si="14"/>
        <v>8</v>
      </c>
      <c r="AY241" s="30" t="s">
        <v>3236</v>
      </c>
      <c r="BC241" s="3" t="s">
        <v>7010</v>
      </c>
      <c r="BD241" s="3" t="s">
        <v>7010</v>
      </c>
      <c r="BE241" s="3" t="s">
        <v>7010</v>
      </c>
      <c r="BF241" s="3" t="s">
        <v>7010</v>
      </c>
      <c r="BG241" s="3" t="s">
        <v>7010</v>
      </c>
      <c r="BH241" s="3" t="s">
        <v>7010</v>
      </c>
      <c r="BI241" s="3" t="s">
        <v>7010</v>
      </c>
      <c r="BJ241" s="3" t="s">
        <v>7010</v>
      </c>
      <c r="BK241" s="74" t="str">
        <f t="shared" si="15"/>
        <v>No</v>
      </c>
    </row>
    <row r="242" spans="6:63">
      <c r="F242" s="55"/>
      <c r="G242">
        <v>241</v>
      </c>
      <c r="H242" s="7" t="s">
        <v>1792</v>
      </c>
      <c r="I242" t="s">
        <v>29</v>
      </c>
      <c r="J242">
        <f>LEN(H242)</f>
        <v>15</v>
      </c>
      <c r="K242" s="49" t="s">
        <v>5717</v>
      </c>
      <c r="O242" s="3" t="s">
        <v>7010</v>
      </c>
      <c r="P242" s="3" t="s">
        <v>7010</v>
      </c>
      <c r="Q242" s="3" t="s">
        <v>7010</v>
      </c>
      <c r="R242" s="3" t="s">
        <v>7010</v>
      </c>
      <c r="S242" s="3" t="s">
        <v>7010</v>
      </c>
      <c r="T242" s="3" t="s">
        <v>7010</v>
      </c>
      <c r="U242" s="3" t="s">
        <v>7010</v>
      </c>
      <c r="V242" s="3" t="s">
        <v>7010</v>
      </c>
      <c r="W242" s="74" t="str">
        <f t="shared" si="13"/>
        <v>No</v>
      </c>
      <c r="Z242">
        <v>241</v>
      </c>
      <c r="AA242" s="55">
        <v>888888</v>
      </c>
      <c r="AB242" t="s">
        <v>643</v>
      </c>
      <c r="AC242">
        <f t="shared" si="12"/>
        <v>6</v>
      </c>
      <c r="AD242" s="30" t="s">
        <v>3238</v>
      </c>
      <c r="AF242" t="s">
        <v>7657</v>
      </c>
      <c r="AH242" s="3" t="s">
        <v>7015</v>
      </c>
      <c r="AI242" s="3" t="s">
        <v>7010</v>
      </c>
      <c r="AJ242" s="3" t="s">
        <v>7010</v>
      </c>
      <c r="AK242" s="3" t="s">
        <v>7015</v>
      </c>
      <c r="AL242" s="3" t="s">
        <v>7010</v>
      </c>
      <c r="AM242" s="3" t="s">
        <v>7010</v>
      </c>
      <c r="AN242" s="3" t="s">
        <v>7010</v>
      </c>
      <c r="AO242" s="3" t="s">
        <v>7010</v>
      </c>
      <c r="AP242" s="74" t="s">
        <v>7015</v>
      </c>
      <c r="AU242">
        <v>241</v>
      </c>
      <c r="AV242" t="s">
        <v>3239</v>
      </c>
      <c r="AW242" t="s">
        <v>2279</v>
      </c>
      <c r="AX242">
        <f t="shared" si="14"/>
        <v>8</v>
      </c>
      <c r="AY242" s="30" t="s">
        <v>3240</v>
      </c>
      <c r="BC242" s="3" t="s">
        <v>7010</v>
      </c>
      <c r="BD242" s="3" t="s">
        <v>7010</v>
      </c>
      <c r="BE242" s="3" t="s">
        <v>7010</v>
      </c>
      <c r="BF242" s="3" t="s">
        <v>7010</v>
      </c>
      <c r="BG242" s="3" t="s">
        <v>7010</v>
      </c>
      <c r="BH242" s="3" t="s">
        <v>7010</v>
      </c>
      <c r="BI242" s="3" t="s">
        <v>7010</v>
      </c>
      <c r="BJ242" s="3" t="s">
        <v>7010</v>
      </c>
      <c r="BK242" s="74" t="str">
        <f t="shared" si="15"/>
        <v>No</v>
      </c>
    </row>
    <row r="243" spans="6:63">
      <c r="F243" s="55"/>
      <c r="G243">
        <v>242</v>
      </c>
      <c r="H243" s="7" t="s">
        <v>1830</v>
      </c>
      <c r="I243" t="s">
        <v>29</v>
      </c>
      <c r="J243">
        <f>LEN(H243)</f>
        <v>19</v>
      </c>
      <c r="K243" s="49" t="s">
        <v>5847</v>
      </c>
      <c r="O243" s="3" t="s">
        <v>7010</v>
      </c>
      <c r="P243" s="3" t="s">
        <v>7010</v>
      </c>
      <c r="Q243" s="3" t="s">
        <v>7010</v>
      </c>
      <c r="R243" s="3" t="s">
        <v>7010</v>
      </c>
      <c r="S243" s="3" t="s">
        <v>7010</v>
      </c>
      <c r="T243" s="3" t="s">
        <v>7010</v>
      </c>
      <c r="U243" s="3" t="s">
        <v>7010</v>
      </c>
      <c r="V243" s="3" t="s">
        <v>7010</v>
      </c>
      <c r="W243" s="74" t="str">
        <f t="shared" si="13"/>
        <v>No</v>
      </c>
      <c r="Z243">
        <v>242</v>
      </c>
      <c r="AA243" s="55" t="s">
        <v>857</v>
      </c>
      <c r="AB243" t="s">
        <v>643</v>
      </c>
      <c r="AC243">
        <f t="shared" si="12"/>
        <v>7</v>
      </c>
      <c r="AD243" s="30" t="s">
        <v>3242</v>
      </c>
      <c r="AF243" t="s">
        <v>7658</v>
      </c>
      <c r="AH243" s="3" t="s">
        <v>7015</v>
      </c>
      <c r="AI243" s="3" t="s">
        <v>7010</v>
      </c>
      <c r="AJ243" s="3" t="s">
        <v>7010</v>
      </c>
      <c r="AK243" s="3" t="s">
        <v>7015</v>
      </c>
      <c r="AL243" s="3" t="s">
        <v>7010</v>
      </c>
      <c r="AM243" s="3" t="s">
        <v>7010</v>
      </c>
      <c r="AN243" s="3" t="s">
        <v>7010</v>
      </c>
      <c r="AO243" s="3" t="s">
        <v>7010</v>
      </c>
      <c r="AP243" s="74" t="s">
        <v>7015</v>
      </c>
      <c r="AU243">
        <v>242</v>
      </c>
      <c r="AV243" t="s">
        <v>3243</v>
      </c>
      <c r="AW243" t="s">
        <v>2279</v>
      </c>
      <c r="AX243">
        <f t="shared" si="14"/>
        <v>16</v>
      </c>
      <c r="AY243" s="30" t="s">
        <v>3244</v>
      </c>
      <c r="BC243" s="3" t="s">
        <v>7010</v>
      </c>
      <c r="BD243" s="3" t="s">
        <v>7010</v>
      </c>
      <c r="BE243" s="3" t="s">
        <v>7010</v>
      </c>
      <c r="BF243" s="3" t="s">
        <v>7010</v>
      </c>
      <c r="BG243" s="3" t="s">
        <v>7010</v>
      </c>
      <c r="BH243" s="3" t="s">
        <v>7010</v>
      </c>
      <c r="BI243" s="3" t="s">
        <v>7010</v>
      </c>
      <c r="BJ243" s="3" t="s">
        <v>7010</v>
      </c>
      <c r="BK243" s="74" t="str">
        <f t="shared" si="15"/>
        <v>No</v>
      </c>
    </row>
    <row r="244" spans="6:63">
      <c r="F244" s="55"/>
      <c r="G244">
        <v>243</v>
      </c>
      <c r="H244" s="7" t="s">
        <v>1776</v>
      </c>
      <c r="I244" t="s">
        <v>29</v>
      </c>
      <c r="J244">
        <f>LEN(H244)</f>
        <v>16</v>
      </c>
      <c r="K244" s="49" t="s">
        <v>5673</v>
      </c>
      <c r="O244" s="3" t="s">
        <v>7010</v>
      </c>
      <c r="P244" s="3" t="s">
        <v>7010</v>
      </c>
      <c r="Q244" s="3" t="s">
        <v>7010</v>
      </c>
      <c r="R244" s="3" t="s">
        <v>7010</v>
      </c>
      <c r="S244" s="3" t="s">
        <v>7010</v>
      </c>
      <c r="T244" s="3" t="s">
        <v>7010</v>
      </c>
      <c r="U244" s="3" t="s">
        <v>7010</v>
      </c>
      <c r="V244" s="3" t="s">
        <v>7010</v>
      </c>
      <c r="W244" s="74" t="str">
        <f t="shared" si="13"/>
        <v>No</v>
      </c>
      <c r="Z244">
        <v>243</v>
      </c>
      <c r="AA244" s="55" t="s">
        <v>858</v>
      </c>
      <c r="AB244" t="s">
        <v>643</v>
      </c>
      <c r="AC244">
        <f t="shared" si="12"/>
        <v>5</v>
      </c>
      <c r="AD244" s="30" t="s">
        <v>3246</v>
      </c>
      <c r="AF244" t="s">
        <v>7659</v>
      </c>
      <c r="AH244" s="3" t="s">
        <v>7015</v>
      </c>
      <c r="AI244" s="3" t="s">
        <v>7010</v>
      </c>
      <c r="AJ244" s="3" t="s">
        <v>7010</v>
      </c>
      <c r="AK244" s="3" t="s">
        <v>7015</v>
      </c>
      <c r="AL244" s="3" t="s">
        <v>7010</v>
      </c>
      <c r="AM244" s="3" t="s">
        <v>7010</v>
      </c>
      <c r="AN244" s="3" t="s">
        <v>7010</v>
      </c>
      <c r="AO244" s="3" t="s">
        <v>7010</v>
      </c>
      <c r="AP244" s="74" t="s">
        <v>7015</v>
      </c>
      <c r="AU244">
        <v>243</v>
      </c>
      <c r="AV244" t="s">
        <v>3247</v>
      </c>
      <c r="AW244" t="s">
        <v>2279</v>
      </c>
      <c r="AX244">
        <f t="shared" si="14"/>
        <v>8</v>
      </c>
      <c r="AY244" s="30" t="s">
        <v>3248</v>
      </c>
      <c r="BC244" s="3" t="s">
        <v>7010</v>
      </c>
      <c r="BD244" s="3" t="s">
        <v>7010</v>
      </c>
      <c r="BE244" s="3" t="s">
        <v>7010</v>
      </c>
      <c r="BF244" s="3" t="s">
        <v>7010</v>
      </c>
      <c r="BG244" s="3" t="s">
        <v>7010</v>
      </c>
      <c r="BH244" s="3" t="s">
        <v>7010</v>
      </c>
      <c r="BI244" s="3" t="s">
        <v>7010</v>
      </c>
      <c r="BJ244" s="3" t="s">
        <v>7010</v>
      </c>
      <c r="BK244" s="74" t="str">
        <f t="shared" si="15"/>
        <v>No</v>
      </c>
    </row>
    <row r="245" spans="6:63">
      <c r="F245" s="55"/>
      <c r="G245">
        <v>244</v>
      </c>
      <c r="H245" s="7" t="s">
        <v>2091</v>
      </c>
      <c r="I245" t="s">
        <v>29</v>
      </c>
      <c r="J245">
        <f>LEN(H245)</f>
        <v>14</v>
      </c>
      <c r="K245" s="49" t="s">
        <v>6553</v>
      </c>
      <c r="O245" s="3" t="s">
        <v>7010</v>
      </c>
      <c r="P245" s="3" t="s">
        <v>7010</v>
      </c>
      <c r="Q245" s="3" t="s">
        <v>7010</v>
      </c>
      <c r="R245" s="3" t="s">
        <v>7010</v>
      </c>
      <c r="S245" s="3" t="s">
        <v>7010</v>
      </c>
      <c r="T245" s="3" t="s">
        <v>7010</v>
      </c>
      <c r="U245" s="3" t="s">
        <v>7010</v>
      </c>
      <c r="V245" s="3" t="s">
        <v>7010</v>
      </c>
      <c r="W245" s="74" t="str">
        <f t="shared" si="13"/>
        <v>No</v>
      </c>
      <c r="Z245">
        <v>244</v>
      </c>
      <c r="AA245" s="55" t="s">
        <v>859</v>
      </c>
      <c r="AB245" t="s">
        <v>643</v>
      </c>
      <c r="AC245">
        <f t="shared" si="12"/>
        <v>5</v>
      </c>
      <c r="AD245" s="30" t="s">
        <v>3250</v>
      </c>
      <c r="AF245" t="s">
        <v>7660</v>
      </c>
      <c r="AH245" s="3" t="s">
        <v>7015</v>
      </c>
      <c r="AI245" s="3" t="s">
        <v>7010</v>
      </c>
      <c r="AJ245" s="3" t="s">
        <v>7010</v>
      </c>
      <c r="AK245" s="3" t="s">
        <v>7015</v>
      </c>
      <c r="AL245" s="3" t="s">
        <v>7010</v>
      </c>
      <c r="AM245" s="3" t="s">
        <v>7010</v>
      </c>
      <c r="AN245" s="3" t="s">
        <v>7010</v>
      </c>
      <c r="AO245" s="3" t="s">
        <v>7010</v>
      </c>
      <c r="AP245" s="74" t="s">
        <v>7015</v>
      </c>
      <c r="AU245">
        <v>244</v>
      </c>
      <c r="AV245" t="s">
        <v>3251</v>
      </c>
      <c r="AW245" t="s">
        <v>2279</v>
      </c>
      <c r="AX245">
        <f t="shared" si="14"/>
        <v>9</v>
      </c>
      <c r="AY245" s="30" t="s">
        <v>3252</v>
      </c>
      <c r="BC245" s="3" t="s">
        <v>7010</v>
      </c>
      <c r="BD245" s="3" t="s">
        <v>7010</v>
      </c>
      <c r="BE245" s="3" t="s">
        <v>7015</v>
      </c>
      <c r="BF245" s="3" t="s">
        <v>7010</v>
      </c>
      <c r="BG245" s="3" t="s">
        <v>7010</v>
      </c>
      <c r="BH245" s="3" t="s">
        <v>7010</v>
      </c>
      <c r="BI245" s="3" t="s">
        <v>7010</v>
      </c>
      <c r="BJ245" s="3" t="s">
        <v>7010</v>
      </c>
      <c r="BK245" s="74" t="str">
        <f t="shared" si="15"/>
        <v>Yes</v>
      </c>
    </row>
    <row r="246" spans="6:63">
      <c r="F246" s="55"/>
      <c r="G246">
        <v>245</v>
      </c>
      <c r="H246" s="7" t="s">
        <v>1076</v>
      </c>
      <c r="I246" t="s">
        <v>29</v>
      </c>
      <c r="J246">
        <f>LEN(H246)</f>
        <v>10</v>
      </c>
      <c r="K246" s="49" t="s">
        <v>3902</v>
      </c>
      <c r="O246" s="3" t="s">
        <v>7010</v>
      </c>
      <c r="P246" s="3" t="s">
        <v>7010</v>
      </c>
      <c r="Q246" s="3" t="s">
        <v>7010</v>
      </c>
      <c r="R246" s="3" t="s">
        <v>7010</v>
      </c>
      <c r="S246" s="3" t="s">
        <v>7010</v>
      </c>
      <c r="T246" s="3" t="s">
        <v>7010</v>
      </c>
      <c r="U246" s="3" t="s">
        <v>7010</v>
      </c>
      <c r="V246" s="3" t="s">
        <v>7010</v>
      </c>
      <c r="W246" s="74" t="str">
        <f t="shared" si="13"/>
        <v>No</v>
      </c>
      <c r="Z246">
        <v>245</v>
      </c>
      <c r="AA246" s="55" t="s">
        <v>860</v>
      </c>
      <c r="AB246" t="s">
        <v>643</v>
      </c>
      <c r="AC246">
        <f t="shared" si="12"/>
        <v>6</v>
      </c>
      <c r="AD246" s="30" t="s">
        <v>3254</v>
      </c>
      <c r="AF246" t="s">
        <v>7661</v>
      </c>
      <c r="AH246" s="3" t="s">
        <v>7015</v>
      </c>
      <c r="AI246" s="3" t="s">
        <v>7010</v>
      </c>
      <c r="AJ246" s="3" t="s">
        <v>7010</v>
      </c>
      <c r="AK246" s="3" t="s">
        <v>7015</v>
      </c>
      <c r="AL246" s="3" t="s">
        <v>7010</v>
      </c>
      <c r="AM246" s="3" t="s">
        <v>7010</v>
      </c>
      <c r="AN246" s="3" t="s">
        <v>7010</v>
      </c>
      <c r="AO246" s="3" t="s">
        <v>7010</v>
      </c>
      <c r="AP246" s="74" t="s">
        <v>7015</v>
      </c>
      <c r="AU246">
        <v>245</v>
      </c>
      <c r="AV246" t="s">
        <v>3255</v>
      </c>
      <c r="AW246" t="s">
        <v>2279</v>
      </c>
      <c r="AX246">
        <f t="shared" si="14"/>
        <v>8</v>
      </c>
      <c r="AY246" s="30" t="s">
        <v>3256</v>
      </c>
      <c r="BC246" s="3" t="s">
        <v>7010</v>
      </c>
      <c r="BD246" s="3" t="s">
        <v>7010</v>
      </c>
      <c r="BE246" s="3" t="s">
        <v>7010</v>
      </c>
      <c r="BF246" s="3" t="s">
        <v>7010</v>
      </c>
      <c r="BG246" s="3" t="s">
        <v>7010</v>
      </c>
      <c r="BH246" s="3" t="s">
        <v>7010</v>
      </c>
      <c r="BI246" s="3" t="s">
        <v>7010</v>
      </c>
      <c r="BJ246" s="3" t="s">
        <v>7010</v>
      </c>
      <c r="BK246" s="74" t="str">
        <f t="shared" si="15"/>
        <v>No</v>
      </c>
    </row>
    <row r="247" spans="6:63">
      <c r="F247" s="55"/>
      <c r="G247">
        <v>246</v>
      </c>
      <c r="H247" s="7" t="s">
        <v>1080</v>
      </c>
      <c r="I247" t="s">
        <v>29</v>
      </c>
      <c r="J247">
        <f>LEN(H247)</f>
        <v>10</v>
      </c>
      <c r="K247" s="49" t="s">
        <v>3912</v>
      </c>
      <c r="O247" s="3" t="s">
        <v>7010</v>
      </c>
      <c r="P247" s="3" t="s">
        <v>7010</v>
      </c>
      <c r="Q247" s="3" t="s">
        <v>7010</v>
      </c>
      <c r="R247" s="3" t="s">
        <v>7010</v>
      </c>
      <c r="S247" s="3" t="s">
        <v>7010</v>
      </c>
      <c r="T247" s="3" t="s">
        <v>7015</v>
      </c>
      <c r="U247" s="3" t="s">
        <v>7010</v>
      </c>
      <c r="V247" s="3" t="s">
        <v>7010</v>
      </c>
      <c r="W247" s="74" t="str">
        <f t="shared" si="13"/>
        <v>Yes</v>
      </c>
      <c r="Z247">
        <v>246</v>
      </c>
      <c r="AA247" s="55" t="s">
        <v>861</v>
      </c>
      <c r="AB247" t="s">
        <v>643</v>
      </c>
      <c r="AC247">
        <f t="shared" si="12"/>
        <v>6</v>
      </c>
      <c r="AD247" s="30" t="s">
        <v>3258</v>
      </c>
      <c r="AF247" t="s">
        <v>7662</v>
      </c>
      <c r="AH247" s="3" t="s">
        <v>7015</v>
      </c>
      <c r="AI247" s="3" t="s">
        <v>7010</v>
      </c>
      <c r="AJ247" s="3" t="s">
        <v>7010</v>
      </c>
      <c r="AK247" s="3" t="s">
        <v>7015</v>
      </c>
      <c r="AL247" s="3" t="s">
        <v>7010</v>
      </c>
      <c r="AM247" s="3" t="s">
        <v>7010</v>
      </c>
      <c r="AN247" s="3" t="s">
        <v>7010</v>
      </c>
      <c r="AO247" s="3" t="s">
        <v>7010</v>
      </c>
      <c r="AP247" s="74" t="s">
        <v>7015</v>
      </c>
      <c r="AU247">
        <v>246</v>
      </c>
      <c r="AV247" t="s">
        <v>3259</v>
      </c>
      <c r="AW247" t="s">
        <v>2279</v>
      </c>
      <c r="AX247">
        <f t="shared" si="14"/>
        <v>8</v>
      </c>
      <c r="AY247" s="30" t="s">
        <v>3260</v>
      </c>
      <c r="BC247" s="3" t="s">
        <v>7010</v>
      </c>
      <c r="BD247" s="3" t="s">
        <v>7010</v>
      </c>
      <c r="BE247" s="3" t="s">
        <v>7010</v>
      </c>
      <c r="BF247" s="3" t="s">
        <v>7010</v>
      </c>
      <c r="BG247" s="3" t="s">
        <v>7010</v>
      </c>
      <c r="BH247" s="3" t="s">
        <v>7010</v>
      </c>
      <c r="BI247" s="3" t="s">
        <v>7010</v>
      </c>
      <c r="BJ247" s="3" t="s">
        <v>7010</v>
      </c>
      <c r="BK247" s="74" t="str">
        <f t="shared" si="15"/>
        <v>No</v>
      </c>
    </row>
    <row r="248" spans="6:63">
      <c r="F248" s="55"/>
      <c r="G248">
        <v>247</v>
      </c>
      <c r="H248" s="7" t="s">
        <v>363</v>
      </c>
      <c r="I248" t="s">
        <v>29</v>
      </c>
      <c r="J248">
        <f>LEN(H248)</f>
        <v>8</v>
      </c>
      <c r="K248" s="49" t="s">
        <v>2373</v>
      </c>
      <c r="O248" s="3" t="s">
        <v>7015</v>
      </c>
      <c r="P248" s="3" t="s">
        <v>7010</v>
      </c>
      <c r="Q248" s="3" t="s">
        <v>7010</v>
      </c>
      <c r="R248" s="3" t="s">
        <v>7010</v>
      </c>
      <c r="S248" s="3" t="s">
        <v>7010</v>
      </c>
      <c r="T248" s="3" t="s">
        <v>7015</v>
      </c>
      <c r="U248" s="3" t="s">
        <v>7010</v>
      </c>
      <c r="V248" s="3" t="s">
        <v>7010</v>
      </c>
      <c r="W248" s="74" t="str">
        <f t="shared" si="13"/>
        <v>Yes</v>
      </c>
      <c r="Z248">
        <v>247</v>
      </c>
      <c r="AA248" s="55" t="s">
        <v>862</v>
      </c>
      <c r="AB248" t="s">
        <v>643</v>
      </c>
      <c r="AC248">
        <f t="shared" si="12"/>
        <v>6</v>
      </c>
      <c r="AD248" s="30" t="s">
        <v>3262</v>
      </c>
      <c r="AF248" t="s">
        <v>7663</v>
      </c>
      <c r="AH248" s="3" t="s">
        <v>7015</v>
      </c>
      <c r="AI248" s="3" t="s">
        <v>7010</v>
      </c>
      <c r="AJ248" s="3" t="s">
        <v>7010</v>
      </c>
      <c r="AK248" s="3" t="s">
        <v>7015</v>
      </c>
      <c r="AL248" s="3" t="s">
        <v>7010</v>
      </c>
      <c r="AM248" s="3" t="s">
        <v>7010</v>
      </c>
      <c r="AN248" s="3" t="s">
        <v>7010</v>
      </c>
      <c r="AO248" s="3" t="s">
        <v>7010</v>
      </c>
      <c r="AP248" s="74" t="s">
        <v>7015</v>
      </c>
      <c r="AU248">
        <v>247</v>
      </c>
      <c r="AV248" t="s">
        <v>3263</v>
      </c>
      <c r="AW248" t="s">
        <v>2279</v>
      </c>
      <c r="AX248">
        <f t="shared" si="14"/>
        <v>9</v>
      </c>
      <c r="AY248" s="30" t="s">
        <v>3264</v>
      </c>
      <c r="BC248" s="3" t="s">
        <v>7010</v>
      </c>
      <c r="BD248" s="3" t="s">
        <v>7010</v>
      </c>
      <c r="BE248" s="3" t="s">
        <v>7010</v>
      </c>
      <c r="BF248" s="3" t="s">
        <v>7010</v>
      </c>
      <c r="BG248" s="3" t="s">
        <v>7010</v>
      </c>
      <c r="BH248" s="3" t="s">
        <v>7010</v>
      </c>
      <c r="BI248" s="3" t="s">
        <v>7010</v>
      </c>
      <c r="BJ248" s="3" t="s">
        <v>7010</v>
      </c>
      <c r="BK248" s="74" t="str">
        <f t="shared" si="15"/>
        <v>No</v>
      </c>
    </row>
    <row r="249" spans="6:63">
      <c r="F249" s="55"/>
      <c r="G249">
        <v>248</v>
      </c>
      <c r="H249" s="7" t="s">
        <v>488</v>
      </c>
      <c r="I249" t="s">
        <v>29</v>
      </c>
      <c r="J249">
        <f>LEN(H249)</f>
        <v>9</v>
      </c>
      <c r="K249" s="49" t="s">
        <v>2869</v>
      </c>
      <c r="O249" s="3" t="s">
        <v>7010</v>
      </c>
      <c r="P249" s="3" t="s">
        <v>7010</v>
      </c>
      <c r="Q249" s="3" t="s">
        <v>7010</v>
      </c>
      <c r="R249" s="3" t="s">
        <v>7010</v>
      </c>
      <c r="S249" s="3" t="s">
        <v>7010</v>
      </c>
      <c r="T249" s="3" t="s">
        <v>7010</v>
      </c>
      <c r="U249" s="3" t="s">
        <v>7010</v>
      </c>
      <c r="V249" s="3" t="s">
        <v>7010</v>
      </c>
      <c r="W249" s="74" t="str">
        <f t="shared" si="13"/>
        <v>No</v>
      </c>
      <c r="Z249">
        <v>248</v>
      </c>
      <c r="AA249" s="55" t="s">
        <v>863</v>
      </c>
      <c r="AB249" t="s">
        <v>643</v>
      </c>
      <c r="AC249">
        <f t="shared" si="12"/>
        <v>6</v>
      </c>
      <c r="AD249" s="30" t="s">
        <v>3266</v>
      </c>
      <c r="AF249" t="s">
        <v>7664</v>
      </c>
      <c r="AH249" s="3" t="s">
        <v>7015</v>
      </c>
      <c r="AI249" s="3" t="s">
        <v>7010</v>
      </c>
      <c r="AJ249" s="3" t="s">
        <v>7010</v>
      </c>
      <c r="AK249" s="3" t="s">
        <v>7015</v>
      </c>
      <c r="AL249" s="3" t="s">
        <v>7010</v>
      </c>
      <c r="AM249" s="3" t="s">
        <v>7010</v>
      </c>
      <c r="AN249" s="3" t="s">
        <v>7010</v>
      </c>
      <c r="AO249" s="3" t="s">
        <v>7010</v>
      </c>
      <c r="AP249" s="74" t="s">
        <v>7015</v>
      </c>
      <c r="AU249">
        <v>248</v>
      </c>
      <c r="AV249" t="s">
        <v>3267</v>
      </c>
      <c r="AW249" t="s">
        <v>2279</v>
      </c>
      <c r="AX249">
        <f t="shared" si="14"/>
        <v>9</v>
      </c>
      <c r="AY249" s="30" t="s">
        <v>3268</v>
      </c>
      <c r="BC249" s="3" t="s">
        <v>7010</v>
      </c>
      <c r="BD249" s="3" t="s">
        <v>7010</v>
      </c>
      <c r="BE249" s="3" t="s">
        <v>7010</v>
      </c>
      <c r="BF249" s="3" t="s">
        <v>7010</v>
      </c>
      <c r="BG249" s="3" t="s">
        <v>7010</v>
      </c>
      <c r="BH249" s="3" t="s">
        <v>7010</v>
      </c>
      <c r="BI249" s="3" t="s">
        <v>7010</v>
      </c>
      <c r="BJ249" s="3" t="s">
        <v>7010</v>
      </c>
      <c r="BK249" s="74" t="str">
        <f t="shared" si="15"/>
        <v>No</v>
      </c>
    </row>
    <row r="250" spans="6:63">
      <c r="F250" s="55"/>
      <c r="G250">
        <v>249</v>
      </c>
      <c r="H250" s="7" t="s">
        <v>460</v>
      </c>
      <c r="I250" t="s">
        <v>29</v>
      </c>
      <c r="J250">
        <f>LEN(H250)</f>
        <v>10</v>
      </c>
      <c r="K250" s="49" t="s">
        <v>2757</v>
      </c>
      <c r="O250" s="3" t="s">
        <v>7010</v>
      </c>
      <c r="P250" s="3" t="s">
        <v>7010</v>
      </c>
      <c r="Q250" s="3" t="s">
        <v>7010</v>
      </c>
      <c r="R250" s="3" t="s">
        <v>7015</v>
      </c>
      <c r="S250" s="3" t="s">
        <v>7010</v>
      </c>
      <c r="T250" s="3" t="s">
        <v>7015</v>
      </c>
      <c r="U250" s="3" t="s">
        <v>7010</v>
      </c>
      <c r="V250" s="3" t="s">
        <v>7010</v>
      </c>
      <c r="W250" s="74" t="str">
        <f t="shared" si="13"/>
        <v>Yes</v>
      </c>
      <c r="Z250">
        <v>249</v>
      </c>
      <c r="AA250" s="55" t="s">
        <v>864</v>
      </c>
      <c r="AB250" t="s">
        <v>643</v>
      </c>
      <c r="AC250">
        <f t="shared" si="12"/>
        <v>7</v>
      </c>
      <c r="AD250" s="30" t="s">
        <v>3270</v>
      </c>
      <c r="AF250" t="s">
        <v>7665</v>
      </c>
      <c r="AH250" s="3" t="s">
        <v>7015</v>
      </c>
      <c r="AI250" s="3" t="s">
        <v>7010</v>
      </c>
      <c r="AJ250" s="3" t="s">
        <v>7010</v>
      </c>
      <c r="AK250" s="3" t="s">
        <v>7015</v>
      </c>
      <c r="AL250" s="3" t="s">
        <v>7010</v>
      </c>
      <c r="AM250" s="3" t="s">
        <v>7010</v>
      </c>
      <c r="AN250" s="3" t="s">
        <v>7010</v>
      </c>
      <c r="AO250" s="3" t="s">
        <v>7010</v>
      </c>
      <c r="AP250" s="74" t="s">
        <v>7015</v>
      </c>
      <c r="AU250">
        <v>249</v>
      </c>
      <c r="AV250" t="s">
        <v>3271</v>
      </c>
      <c r="AW250" t="s">
        <v>2279</v>
      </c>
      <c r="AX250">
        <f t="shared" si="14"/>
        <v>10</v>
      </c>
      <c r="AY250" s="30" t="s">
        <v>3272</v>
      </c>
      <c r="BC250" s="3" t="s">
        <v>7010</v>
      </c>
      <c r="BD250" s="3" t="s">
        <v>7010</v>
      </c>
      <c r="BE250" s="3" t="s">
        <v>7010</v>
      </c>
      <c r="BF250" s="3" t="s">
        <v>7010</v>
      </c>
      <c r="BG250" s="3" t="s">
        <v>7010</v>
      </c>
      <c r="BH250" s="3" t="s">
        <v>7010</v>
      </c>
      <c r="BI250" s="3" t="s">
        <v>7010</v>
      </c>
      <c r="BJ250" s="3" t="s">
        <v>7010</v>
      </c>
      <c r="BK250" s="74" t="str">
        <f t="shared" si="15"/>
        <v>No</v>
      </c>
    </row>
    <row r="251" spans="6:63">
      <c r="F251" s="55"/>
      <c r="G251">
        <v>250</v>
      </c>
      <c r="H251" s="7" t="s">
        <v>2203</v>
      </c>
      <c r="I251" t="s">
        <v>29</v>
      </c>
      <c r="J251">
        <f>LEN(H251)</f>
        <v>13</v>
      </c>
      <c r="K251" s="49" t="s">
        <v>6830</v>
      </c>
      <c r="O251" s="3" t="s">
        <v>7010</v>
      </c>
      <c r="P251" s="3" t="s">
        <v>7010</v>
      </c>
      <c r="Q251" s="3" t="s">
        <v>7010</v>
      </c>
      <c r="R251" s="3" t="s">
        <v>7010</v>
      </c>
      <c r="S251" s="3" t="s">
        <v>7010</v>
      </c>
      <c r="T251" s="3" t="s">
        <v>7010</v>
      </c>
      <c r="U251" s="3" t="s">
        <v>7010</v>
      </c>
      <c r="V251" s="3" t="s">
        <v>7010</v>
      </c>
      <c r="W251" s="74" t="str">
        <f t="shared" si="13"/>
        <v>No</v>
      </c>
      <c r="Z251">
        <v>250</v>
      </c>
      <c r="AA251" s="55" t="s">
        <v>865</v>
      </c>
      <c r="AB251" t="s">
        <v>643</v>
      </c>
      <c r="AC251">
        <f t="shared" si="12"/>
        <v>6</v>
      </c>
      <c r="AD251" s="30" t="s">
        <v>3274</v>
      </c>
      <c r="AF251" t="s">
        <v>7666</v>
      </c>
      <c r="AH251" s="3" t="s">
        <v>7015</v>
      </c>
      <c r="AI251" s="3" t="s">
        <v>7010</v>
      </c>
      <c r="AJ251" s="3" t="s">
        <v>7010</v>
      </c>
      <c r="AK251" s="3" t="s">
        <v>7015</v>
      </c>
      <c r="AL251" s="3" t="s">
        <v>7010</v>
      </c>
      <c r="AM251" s="3" t="s">
        <v>7010</v>
      </c>
      <c r="AN251" s="3" t="s">
        <v>7010</v>
      </c>
      <c r="AO251" s="3" t="s">
        <v>7010</v>
      </c>
      <c r="AP251" s="74" t="s">
        <v>7015</v>
      </c>
      <c r="AU251">
        <v>250</v>
      </c>
      <c r="AV251" t="s">
        <v>3275</v>
      </c>
      <c r="AW251" t="s">
        <v>2279</v>
      </c>
      <c r="AX251">
        <f t="shared" si="14"/>
        <v>8</v>
      </c>
      <c r="AY251" s="30" t="s">
        <v>3276</v>
      </c>
      <c r="BC251" s="3" t="s">
        <v>7010</v>
      </c>
      <c r="BD251" s="3" t="s">
        <v>7010</v>
      </c>
      <c r="BE251" s="3" t="s">
        <v>7010</v>
      </c>
      <c r="BF251" s="3" t="s">
        <v>7010</v>
      </c>
      <c r="BG251" s="3" t="s">
        <v>7010</v>
      </c>
      <c r="BH251" s="3" t="s">
        <v>7010</v>
      </c>
      <c r="BI251" s="3" t="s">
        <v>7010</v>
      </c>
      <c r="BJ251" s="3" t="s">
        <v>7010</v>
      </c>
      <c r="BK251" s="74" t="str">
        <f t="shared" si="15"/>
        <v>No</v>
      </c>
    </row>
    <row r="252" spans="6:63">
      <c r="F252" s="55"/>
      <c r="G252">
        <v>251</v>
      </c>
      <c r="H252" s="7" t="s">
        <v>444</v>
      </c>
      <c r="I252" t="s">
        <v>29</v>
      </c>
      <c r="J252">
        <f>LEN(H252)</f>
        <v>12</v>
      </c>
      <c r="K252" s="49" t="s">
        <v>2693</v>
      </c>
      <c r="O252" s="3" t="s">
        <v>7010</v>
      </c>
      <c r="P252" s="3" t="s">
        <v>7010</v>
      </c>
      <c r="Q252" s="3" t="s">
        <v>7010</v>
      </c>
      <c r="R252" s="3" t="s">
        <v>7010</v>
      </c>
      <c r="S252" s="3" t="s">
        <v>7010</v>
      </c>
      <c r="T252" s="3" t="s">
        <v>7010</v>
      </c>
      <c r="U252" s="3" t="s">
        <v>7010</v>
      </c>
      <c r="V252" s="3" t="s">
        <v>7010</v>
      </c>
      <c r="W252" s="74" t="str">
        <f t="shared" si="13"/>
        <v>No</v>
      </c>
      <c r="Z252">
        <v>251</v>
      </c>
      <c r="AA252" s="55" t="s">
        <v>866</v>
      </c>
      <c r="AB252" t="s">
        <v>643</v>
      </c>
      <c r="AC252">
        <f t="shared" si="12"/>
        <v>7</v>
      </c>
      <c r="AD252" s="30" t="s">
        <v>3278</v>
      </c>
      <c r="AF252" t="s">
        <v>7667</v>
      </c>
      <c r="AH252" s="3" t="s">
        <v>7015</v>
      </c>
      <c r="AI252" s="3" t="s">
        <v>7010</v>
      </c>
      <c r="AJ252" s="3" t="s">
        <v>7010</v>
      </c>
      <c r="AK252" s="3" t="s">
        <v>7015</v>
      </c>
      <c r="AL252" s="3" t="s">
        <v>7010</v>
      </c>
      <c r="AM252" s="3" t="s">
        <v>7010</v>
      </c>
      <c r="AN252" s="3" t="s">
        <v>7010</v>
      </c>
      <c r="AO252" s="3" t="s">
        <v>7010</v>
      </c>
      <c r="AP252" s="74" t="s">
        <v>7015</v>
      </c>
      <c r="AU252">
        <v>251</v>
      </c>
      <c r="AV252" t="s">
        <v>3279</v>
      </c>
      <c r="AW252" t="s">
        <v>2279</v>
      </c>
      <c r="AX252">
        <f t="shared" si="14"/>
        <v>11</v>
      </c>
      <c r="AY252" s="30" t="s">
        <v>3280</v>
      </c>
      <c r="BC252" s="3" t="s">
        <v>7010</v>
      </c>
      <c r="BD252" s="3" t="s">
        <v>7010</v>
      </c>
      <c r="BE252" s="3" t="s">
        <v>7010</v>
      </c>
      <c r="BF252" s="3" t="s">
        <v>7010</v>
      </c>
      <c r="BG252" s="3" t="s">
        <v>7010</v>
      </c>
      <c r="BH252" s="3" t="s">
        <v>7010</v>
      </c>
      <c r="BI252" s="3" t="s">
        <v>7010</v>
      </c>
      <c r="BJ252" s="3" t="s">
        <v>7010</v>
      </c>
      <c r="BK252" s="74" t="str">
        <f t="shared" si="15"/>
        <v>No</v>
      </c>
    </row>
    <row r="253" spans="6:63">
      <c r="F253" s="55"/>
      <c r="G253">
        <v>252</v>
      </c>
      <c r="H253" s="7" t="s">
        <v>534</v>
      </c>
      <c r="I253" t="s">
        <v>29</v>
      </c>
      <c r="J253">
        <f>LEN(H253)</f>
        <v>10</v>
      </c>
      <c r="K253" s="49" t="s">
        <v>3053</v>
      </c>
      <c r="O253" s="3" t="s">
        <v>7010</v>
      </c>
      <c r="P253" s="3" t="s">
        <v>7010</v>
      </c>
      <c r="Q253" s="3" t="s">
        <v>7010</v>
      </c>
      <c r="R253" s="3" t="s">
        <v>7010</v>
      </c>
      <c r="S253" s="3" t="s">
        <v>7010</v>
      </c>
      <c r="T253" s="3" t="s">
        <v>7010</v>
      </c>
      <c r="U253" s="3" t="s">
        <v>7010</v>
      </c>
      <c r="V253" s="3" t="s">
        <v>7010</v>
      </c>
      <c r="W253" s="74" t="str">
        <f t="shared" si="13"/>
        <v>No</v>
      </c>
      <c r="Z253">
        <v>252</v>
      </c>
      <c r="AA253" s="55" t="s">
        <v>867</v>
      </c>
      <c r="AB253" t="s">
        <v>643</v>
      </c>
      <c r="AC253">
        <f t="shared" si="12"/>
        <v>6</v>
      </c>
      <c r="AD253" s="30" t="s">
        <v>3282</v>
      </c>
      <c r="AF253" t="s">
        <v>7668</v>
      </c>
      <c r="AH253" s="3" t="s">
        <v>7015</v>
      </c>
      <c r="AI253" s="3" t="s">
        <v>7010</v>
      </c>
      <c r="AJ253" s="3" t="s">
        <v>7010</v>
      </c>
      <c r="AK253" s="3" t="s">
        <v>7015</v>
      </c>
      <c r="AL253" s="3" t="s">
        <v>7010</v>
      </c>
      <c r="AM253" s="3" t="s">
        <v>7010</v>
      </c>
      <c r="AN253" s="3" t="s">
        <v>7010</v>
      </c>
      <c r="AO253" s="3" t="s">
        <v>7010</v>
      </c>
      <c r="AP253" s="74" t="s">
        <v>7015</v>
      </c>
      <c r="AU253">
        <v>252</v>
      </c>
      <c r="AV253" t="s">
        <v>3283</v>
      </c>
      <c r="AW253" t="s">
        <v>2279</v>
      </c>
      <c r="AX253">
        <f t="shared" si="14"/>
        <v>9</v>
      </c>
      <c r="AY253" s="30" t="s">
        <v>3284</v>
      </c>
      <c r="BC253" s="3" t="s">
        <v>7010</v>
      </c>
      <c r="BD253" s="3" t="s">
        <v>7010</v>
      </c>
      <c r="BE253" s="3" t="s">
        <v>7010</v>
      </c>
      <c r="BF253" s="3" t="s">
        <v>7010</v>
      </c>
      <c r="BG253" s="3" t="s">
        <v>7010</v>
      </c>
      <c r="BH253" s="3" t="s">
        <v>7010</v>
      </c>
      <c r="BI253" s="3" t="s">
        <v>7010</v>
      </c>
      <c r="BJ253" s="3" t="s">
        <v>7010</v>
      </c>
      <c r="BK253" s="74" t="str">
        <f t="shared" si="15"/>
        <v>No</v>
      </c>
    </row>
    <row r="254" spans="6:63">
      <c r="F254" s="55"/>
      <c r="G254">
        <v>253</v>
      </c>
      <c r="H254" s="7" t="s">
        <v>455</v>
      </c>
      <c r="I254" t="s">
        <v>29</v>
      </c>
      <c r="J254">
        <f>LEN(H254)</f>
        <v>11</v>
      </c>
      <c r="K254" s="49" t="s">
        <v>2737</v>
      </c>
      <c r="O254" s="3" t="s">
        <v>7010</v>
      </c>
      <c r="P254" s="3" t="s">
        <v>7010</v>
      </c>
      <c r="Q254" s="3" t="s">
        <v>7010</v>
      </c>
      <c r="R254" s="3" t="s">
        <v>7010</v>
      </c>
      <c r="S254" s="3" t="s">
        <v>7010</v>
      </c>
      <c r="T254" s="3" t="s">
        <v>7010</v>
      </c>
      <c r="U254" s="3" t="s">
        <v>7010</v>
      </c>
      <c r="V254" s="3" t="s">
        <v>7010</v>
      </c>
      <c r="W254" s="74" t="str">
        <f t="shared" si="13"/>
        <v>No</v>
      </c>
      <c r="Z254">
        <v>253</v>
      </c>
      <c r="AA254" s="55" t="s">
        <v>868</v>
      </c>
      <c r="AB254" t="s">
        <v>643</v>
      </c>
      <c r="AC254">
        <f t="shared" si="12"/>
        <v>6</v>
      </c>
      <c r="AD254" s="30" t="s">
        <v>3286</v>
      </c>
      <c r="AF254" t="s">
        <v>7669</v>
      </c>
      <c r="AH254" s="3" t="s">
        <v>7015</v>
      </c>
      <c r="AI254" s="3" t="s">
        <v>7010</v>
      </c>
      <c r="AJ254" s="3" t="s">
        <v>7010</v>
      </c>
      <c r="AK254" s="3" t="s">
        <v>7015</v>
      </c>
      <c r="AL254" s="3" t="s">
        <v>7010</v>
      </c>
      <c r="AM254" s="3" t="s">
        <v>7010</v>
      </c>
      <c r="AN254" s="3" t="s">
        <v>7010</v>
      </c>
      <c r="AO254" s="3" t="s">
        <v>7010</v>
      </c>
      <c r="AP254" s="74" t="s">
        <v>7015</v>
      </c>
      <c r="AU254">
        <v>253</v>
      </c>
      <c r="AV254" t="s">
        <v>3287</v>
      </c>
      <c r="AW254" t="s">
        <v>2279</v>
      </c>
      <c r="AX254">
        <f t="shared" si="14"/>
        <v>8</v>
      </c>
      <c r="AY254" s="30" t="s">
        <v>3288</v>
      </c>
      <c r="BC254" s="3" t="s">
        <v>7010</v>
      </c>
      <c r="BD254" s="3" t="s">
        <v>7010</v>
      </c>
      <c r="BE254" s="3" t="s">
        <v>7010</v>
      </c>
      <c r="BF254" s="3" t="s">
        <v>7010</v>
      </c>
      <c r="BG254" s="3" t="s">
        <v>7010</v>
      </c>
      <c r="BH254" s="3" t="s">
        <v>7010</v>
      </c>
      <c r="BI254" s="3" t="s">
        <v>7010</v>
      </c>
      <c r="BJ254" s="3" t="s">
        <v>7010</v>
      </c>
      <c r="BK254" s="74" t="str">
        <f t="shared" si="15"/>
        <v>No</v>
      </c>
    </row>
    <row r="255" spans="6:63">
      <c r="F255" s="55"/>
      <c r="G255">
        <v>254</v>
      </c>
      <c r="H255" s="7" t="s">
        <v>2177</v>
      </c>
      <c r="I255" t="s">
        <v>29</v>
      </c>
      <c r="J255">
        <f>LEN(H255)</f>
        <v>12</v>
      </c>
      <c r="K255" s="49" t="s">
        <v>6767</v>
      </c>
      <c r="O255" s="3" t="s">
        <v>7010</v>
      </c>
      <c r="P255" s="3" t="s">
        <v>7010</v>
      </c>
      <c r="Q255" s="3" t="s">
        <v>7010</v>
      </c>
      <c r="R255" s="3" t="s">
        <v>7010</v>
      </c>
      <c r="S255" s="3" t="s">
        <v>7010</v>
      </c>
      <c r="T255" s="3" t="s">
        <v>7010</v>
      </c>
      <c r="U255" s="3" t="s">
        <v>7010</v>
      </c>
      <c r="V255" s="3" t="s">
        <v>7010</v>
      </c>
      <c r="W255" s="74" t="str">
        <f t="shared" si="13"/>
        <v>No</v>
      </c>
      <c r="Z255">
        <v>254</v>
      </c>
      <c r="AA255" s="55" t="s">
        <v>869</v>
      </c>
      <c r="AB255" t="s">
        <v>643</v>
      </c>
      <c r="AC255">
        <f t="shared" si="12"/>
        <v>5</v>
      </c>
      <c r="AD255" s="30" t="s">
        <v>3290</v>
      </c>
      <c r="AF255" t="s">
        <v>7670</v>
      </c>
      <c r="AH255" s="3" t="s">
        <v>7015</v>
      </c>
      <c r="AI255" s="3" t="s">
        <v>7010</v>
      </c>
      <c r="AJ255" s="3" t="s">
        <v>7010</v>
      </c>
      <c r="AK255" s="3" t="s">
        <v>7015</v>
      </c>
      <c r="AL255" s="3" t="s">
        <v>7010</v>
      </c>
      <c r="AM255" s="3" t="s">
        <v>7010</v>
      </c>
      <c r="AN255" s="3" t="s">
        <v>7010</v>
      </c>
      <c r="AO255" s="3" t="s">
        <v>7010</v>
      </c>
      <c r="AP255" s="74" t="s">
        <v>7015</v>
      </c>
      <c r="AU255">
        <v>254</v>
      </c>
      <c r="AV255" t="s">
        <v>3291</v>
      </c>
      <c r="AW255" t="s">
        <v>2279</v>
      </c>
      <c r="AX255">
        <f t="shared" si="14"/>
        <v>11</v>
      </c>
      <c r="AY255" s="30" t="s">
        <v>3292</v>
      </c>
      <c r="BC255" s="3" t="s">
        <v>7010</v>
      </c>
      <c r="BD255" s="3" t="s">
        <v>7010</v>
      </c>
      <c r="BE255" s="3" t="s">
        <v>7010</v>
      </c>
      <c r="BF255" s="3" t="s">
        <v>7010</v>
      </c>
      <c r="BG255" s="3" t="s">
        <v>7010</v>
      </c>
      <c r="BH255" s="3" t="s">
        <v>7010</v>
      </c>
      <c r="BI255" s="3" t="s">
        <v>7010</v>
      </c>
      <c r="BJ255" s="3" t="s">
        <v>7010</v>
      </c>
      <c r="BK255" s="74" t="str">
        <f t="shared" si="15"/>
        <v>No</v>
      </c>
    </row>
    <row r="256" spans="6:63">
      <c r="F256" s="55"/>
      <c r="G256">
        <v>255</v>
      </c>
      <c r="H256" s="7" t="s">
        <v>486</v>
      </c>
      <c r="I256" t="s">
        <v>29</v>
      </c>
      <c r="J256">
        <f>LEN(H256)</f>
        <v>8</v>
      </c>
      <c r="K256" s="49" t="s">
        <v>2861</v>
      </c>
      <c r="O256" s="3" t="s">
        <v>7010</v>
      </c>
      <c r="P256" s="3" t="s">
        <v>7010</v>
      </c>
      <c r="Q256" s="3" t="s">
        <v>7010</v>
      </c>
      <c r="R256" s="3" t="s">
        <v>7010</v>
      </c>
      <c r="S256" s="3" t="s">
        <v>7010</v>
      </c>
      <c r="T256" s="3" t="s">
        <v>7010</v>
      </c>
      <c r="U256" s="3" t="s">
        <v>7010</v>
      </c>
      <c r="V256" s="3" t="s">
        <v>7010</v>
      </c>
      <c r="W256" s="74" t="str">
        <f t="shared" si="13"/>
        <v>No</v>
      </c>
      <c r="Z256">
        <v>255</v>
      </c>
      <c r="AA256" s="55" t="s">
        <v>870</v>
      </c>
      <c r="AB256" t="s">
        <v>643</v>
      </c>
      <c r="AC256">
        <f t="shared" si="12"/>
        <v>7</v>
      </c>
      <c r="AD256" s="30" t="s">
        <v>3294</v>
      </c>
      <c r="AF256" t="s">
        <v>7671</v>
      </c>
      <c r="AH256" s="3" t="s">
        <v>7015</v>
      </c>
      <c r="AI256" s="3" t="s">
        <v>7010</v>
      </c>
      <c r="AJ256" s="3" t="s">
        <v>7010</v>
      </c>
      <c r="AK256" s="3" t="s">
        <v>7015</v>
      </c>
      <c r="AL256" s="3" t="s">
        <v>7010</v>
      </c>
      <c r="AM256" s="3" t="s">
        <v>7010</v>
      </c>
      <c r="AN256" s="3" t="s">
        <v>7010</v>
      </c>
      <c r="AO256" s="3" t="s">
        <v>7010</v>
      </c>
      <c r="AP256" s="74" t="s">
        <v>7015</v>
      </c>
      <c r="AU256">
        <v>255</v>
      </c>
      <c r="AV256" t="s">
        <v>3295</v>
      </c>
      <c r="AW256" t="s">
        <v>2279</v>
      </c>
      <c r="AX256">
        <f t="shared" si="14"/>
        <v>8</v>
      </c>
      <c r="AY256" s="30" t="s">
        <v>3296</v>
      </c>
      <c r="BC256" s="3" t="s">
        <v>7010</v>
      </c>
      <c r="BD256" s="3" t="s">
        <v>7010</v>
      </c>
      <c r="BE256" s="3" t="s">
        <v>7010</v>
      </c>
      <c r="BF256" s="3" t="s">
        <v>7010</v>
      </c>
      <c r="BG256" s="3" t="s">
        <v>7010</v>
      </c>
      <c r="BH256" s="3" t="s">
        <v>7010</v>
      </c>
      <c r="BI256" s="3" t="s">
        <v>7010</v>
      </c>
      <c r="BJ256" s="3" t="s">
        <v>7010</v>
      </c>
      <c r="BK256" s="74" t="str">
        <f t="shared" si="15"/>
        <v>No</v>
      </c>
    </row>
    <row r="257" spans="6:63">
      <c r="F257" s="55"/>
      <c r="G257">
        <v>256</v>
      </c>
      <c r="H257" t="s">
        <v>6995</v>
      </c>
      <c r="I257" t="s">
        <v>29</v>
      </c>
      <c r="J257">
        <f>LEN(H257)</f>
        <v>13</v>
      </c>
      <c r="K257" s="49" t="s">
        <v>6997</v>
      </c>
      <c r="O257" s="3" t="s">
        <v>7010</v>
      </c>
      <c r="P257" s="3" t="s">
        <v>7010</v>
      </c>
      <c r="Q257" s="3" t="s">
        <v>7010</v>
      </c>
      <c r="R257" s="3" t="s">
        <v>7010</v>
      </c>
      <c r="S257" s="3" t="s">
        <v>7010</v>
      </c>
      <c r="T257" s="3" t="s">
        <v>7015</v>
      </c>
      <c r="U257" s="3" t="s">
        <v>7010</v>
      </c>
      <c r="V257" s="3" t="s">
        <v>7010</v>
      </c>
      <c r="W257" s="74" t="str">
        <f t="shared" si="13"/>
        <v>Yes</v>
      </c>
      <c r="Z257">
        <v>256</v>
      </c>
      <c r="AA257" s="55" t="s">
        <v>871</v>
      </c>
      <c r="AB257" t="s">
        <v>643</v>
      </c>
      <c r="AC257">
        <f t="shared" si="12"/>
        <v>7</v>
      </c>
      <c r="AD257" s="30" t="s">
        <v>3298</v>
      </c>
      <c r="AF257" t="s">
        <v>7672</v>
      </c>
      <c r="AH257" s="3" t="s">
        <v>7015</v>
      </c>
      <c r="AI257" s="3" t="s">
        <v>7010</v>
      </c>
      <c r="AJ257" s="3" t="s">
        <v>7010</v>
      </c>
      <c r="AK257" s="3" t="s">
        <v>7015</v>
      </c>
      <c r="AL257" s="3" t="s">
        <v>7010</v>
      </c>
      <c r="AM257" s="3" t="s">
        <v>7010</v>
      </c>
      <c r="AN257" s="3" t="s">
        <v>7010</v>
      </c>
      <c r="AO257" s="3" t="s">
        <v>7010</v>
      </c>
      <c r="AP257" s="74" t="s">
        <v>7015</v>
      </c>
      <c r="AU257">
        <v>256</v>
      </c>
      <c r="AV257" t="s">
        <v>3299</v>
      </c>
      <c r="AW257" t="s">
        <v>2279</v>
      </c>
      <c r="AX257">
        <f t="shared" si="14"/>
        <v>10</v>
      </c>
      <c r="AY257" s="30" t="s">
        <v>3300</v>
      </c>
      <c r="BC257" s="3" t="s">
        <v>7010</v>
      </c>
      <c r="BD257" s="3" t="s">
        <v>7010</v>
      </c>
      <c r="BE257" s="3" t="s">
        <v>7015</v>
      </c>
      <c r="BF257" s="3" t="s">
        <v>7010</v>
      </c>
      <c r="BG257" s="3" t="s">
        <v>7010</v>
      </c>
      <c r="BH257" s="3" t="s">
        <v>7010</v>
      </c>
      <c r="BI257" s="3" t="s">
        <v>7010</v>
      </c>
      <c r="BJ257" s="3" t="s">
        <v>7010</v>
      </c>
      <c r="BK257" s="74" t="str">
        <f t="shared" si="15"/>
        <v>Yes</v>
      </c>
    </row>
    <row r="258" spans="6:63">
      <c r="F258" s="55"/>
      <c r="G258">
        <v>257</v>
      </c>
      <c r="H258" s="7" t="s">
        <v>1894</v>
      </c>
      <c r="I258" t="s">
        <v>29</v>
      </c>
      <c r="J258">
        <f>LEN(H258)</f>
        <v>19</v>
      </c>
      <c r="K258" s="49" t="s">
        <v>6039</v>
      </c>
      <c r="O258" s="3" t="s">
        <v>7010</v>
      </c>
      <c r="P258" s="3" t="s">
        <v>7010</v>
      </c>
      <c r="Q258" s="3" t="s">
        <v>7010</v>
      </c>
      <c r="R258" s="3" t="s">
        <v>7010</v>
      </c>
      <c r="S258" s="3" t="s">
        <v>7010</v>
      </c>
      <c r="T258" s="3" t="s">
        <v>7015</v>
      </c>
      <c r="U258" s="3" t="s">
        <v>7010</v>
      </c>
      <c r="V258" s="3" t="s">
        <v>7010</v>
      </c>
      <c r="W258" s="74" t="str">
        <f t="shared" si="13"/>
        <v>Yes</v>
      </c>
      <c r="Z258">
        <v>257</v>
      </c>
      <c r="AA258" s="55" t="s">
        <v>872</v>
      </c>
      <c r="AB258" t="s">
        <v>643</v>
      </c>
      <c r="AC258">
        <f t="shared" ref="AC258:AC321" si="16">LEN(AA258)</f>
        <v>6</v>
      </c>
      <c r="AD258" s="30" t="s">
        <v>3302</v>
      </c>
      <c r="AF258" t="s">
        <v>7673</v>
      </c>
      <c r="AH258" s="3" t="s">
        <v>7015</v>
      </c>
      <c r="AI258" s="3" t="s">
        <v>7010</v>
      </c>
      <c r="AJ258" s="3" t="s">
        <v>7010</v>
      </c>
      <c r="AK258" s="3" t="s">
        <v>7015</v>
      </c>
      <c r="AL258" s="3" t="s">
        <v>7010</v>
      </c>
      <c r="AM258" s="3" t="s">
        <v>7010</v>
      </c>
      <c r="AN258" s="3" t="s">
        <v>7010</v>
      </c>
      <c r="AO258" s="3" t="s">
        <v>7010</v>
      </c>
      <c r="AP258" s="74" t="s">
        <v>7015</v>
      </c>
      <c r="AU258">
        <v>257</v>
      </c>
      <c r="AV258" t="s">
        <v>3303</v>
      </c>
      <c r="AW258" t="s">
        <v>2279</v>
      </c>
      <c r="AX258">
        <f t="shared" si="14"/>
        <v>8</v>
      </c>
      <c r="AY258" s="30" t="s">
        <v>3304</v>
      </c>
      <c r="BC258" s="3" t="s">
        <v>7010</v>
      </c>
      <c r="BD258" s="3" t="s">
        <v>7010</v>
      </c>
      <c r="BE258" s="3" t="s">
        <v>7010</v>
      </c>
      <c r="BF258" s="3" t="s">
        <v>7010</v>
      </c>
      <c r="BG258" s="3" t="s">
        <v>7010</v>
      </c>
      <c r="BH258" s="3" t="s">
        <v>7010</v>
      </c>
      <c r="BI258" s="3" t="s">
        <v>7010</v>
      </c>
      <c r="BJ258" s="3" t="s">
        <v>7010</v>
      </c>
      <c r="BK258" s="74" t="str">
        <f t="shared" si="15"/>
        <v>No</v>
      </c>
    </row>
    <row r="259" spans="6:63">
      <c r="F259" s="55"/>
      <c r="G259">
        <v>258</v>
      </c>
      <c r="H259" s="7" t="s">
        <v>1046</v>
      </c>
      <c r="I259" t="s">
        <v>29</v>
      </c>
      <c r="J259">
        <f>LEN(H259)</f>
        <v>15</v>
      </c>
      <c r="K259" s="49" t="s">
        <v>3824</v>
      </c>
      <c r="O259" s="3" t="s">
        <v>7010</v>
      </c>
      <c r="P259" s="3" t="s">
        <v>7010</v>
      </c>
      <c r="Q259" s="3" t="s">
        <v>7010</v>
      </c>
      <c r="R259" s="3" t="s">
        <v>7010</v>
      </c>
      <c r="S259" s="3" t="s">
        <v>7010</v>
      </c>
      <c r="T259" s="3" t="s">
        <v>7015</v>
      </c>
      <c r="U259" s="3" t="s">
        <v>7010</v>
      </c>
      <c r="V259" s="3" t="s">
        <v>7010</v>
      </c>
      <c r="W259" s="74" t="str">
        <f t="shared" ref="W259:W322" si="17">IF(COUNTIF(O259:V259, "Yes") &gt; 0, "Yes", "No")</f>
        <v>Yes</v>
      </c>
      <c r="Z259">
        <v>258</v>
      </c>
      <c r="AA259" s="55" t="s">
        <v>873</v>
      </c>
      <c r="AB259" t="s">
        <v>643</v>
      </c>
      <c r="AC259">
        <f t="shared" si="16"/>
        <v>7</v>
      </c>
      <c r="AD259" s="30" t="s">
        <v>3306</v>
      </c>
      <c r="AF259" t="s">
        <v>7674</v>
      </c>
      <c r="AH259" s="3" t="s">
        <v>7015</v>
      </c>
      <c r="AI259" s="3" t="s">
        <v>7010</v>
      </c>
      <c r="AJ259" s="3" t="s">
        <v>7010</v>
      </c>
      <c r="AK259" s="3" t="s">
        <v>7015</v>
      </c>
      <c r="AL259" s="3" t="s">
        <v>7010</v>
      </c>
      <c r="AM259" s="3" t="s">
        <v>7010</v>
      </c>
      <c r="AN259" s="3" t="s">
        <v>7010</v>
      </c>
      <c r="AO259" s="3" t="s">
        <v>7010</v>
      </c>
      <c r="AP259" s="74" t="s">
        <v>7015</v>
      </c>
      <c r="AU259">
        <v>258</v>
      </c>
      <c r="AV259" t="s">
        <v>3307</v>
      </c>
      <c r="AW259" t="s">
        <v>2279</v>
      </c>
      <c r="AX259">
        <f t="shared" ref="AX259:AX322" si="18">LEN(AV259)</f>
        <v>8</v>
      </c>
      <c r="AY259" s="30" t="s">
        <v>3308</v>
      </c>
      <c r="BC259" s="3" t="s">
        <v>7010</v>
      </c>
      <c r="BD259" s="3" t="s">
        <v>7010</v>
      </c>
      <c r="BE259" s="3" t="s">
        <v>7010</v>
      </c>
      <c r="BF259" s="3" t="s">
        <v>7010</v>
      </c>
      <c r="BG259" s="3" t="s">
        <v>7010</v>
      </c>
      <c r="BH259" s="3" t="s">
        <v>7010</v>
      </c>
      <c r="BI259" s="3" t="s">
        <v>7010</v>
      </c>
      <c r="BJ259" s="3" t="s">
        <v>7010</v>
      </c>
      <c r="BK259" s="74" t="str">
        <f t="shared" ref="BK259:BK322" si="19">IF(COUNTIF(BC259:BJ259, "Yes") &gt; 0, "Yes", "No")</f>
        <v>No</v>
      </c>
    </row>
    <row r="260" spans="6:63">
      <c r="F260" s="55"/>
      <c r="G260">
        <v>259</v>
      </c>
      <c r="H260" s="9" t="s">
        <v>2193</v>
      </c>
      <c r="I260" t="s">
        <v>29</v>
      </c>
      <c r="J260">
        <f>LEN(H260)</f>
        <v>15</v>
      </c>
      <c r="K260" s="49" t="s">
        <v>6806</v>
      </c>
      <c r="O260" s="3" t="s">
        <v>7010</v>
      </c>
      <c r="P260" s="3" t="s">
        <v>7010</v>
      </c>
      <c r="Q260" s="3" t="s">
        <v>7010</v>
      </c>
      <c r="R260" s="3" t="s">
        <v>7010</v>
      </c>
      <c r="S260" s="3" t="s">
        <v>7010</v>
      </c>
      <c r="T260" s="3" t="s">
        <v>7010</v>
      </c>
      <c r="U260" s="3" t="s">
        <v>7010</v>
      </c>
      <c r="V260" s="3" t="s">
        <v>7010</v>
      </c>
      <c r="W260" s="74" t="str">
        <f t="shared" si="17"/>
        <v>No</v>
      </c>
      <c r="Z260">
        <v>259</v>
      </c>
      <c r="AA260" s="55" t="s">
        <v>874</v>
      </c>
      <c r="AB260" t="s">
        <v>643</v>
      </c>
      <c r="AC260">
        <f t="shared" si="16"/>
        <v>6</v>
      </c>
      <c r="AD260" s="30" t="s">
        <v>3310</v>
      </c>
      <c r="AF260" t="s">
        <v>7675</v>
      </c>
      <c r="AH260" s="3" t="s">
        <v>7015</v>
      </c>
      <c r="AI260" s="3" t="s">
        <v>7010</v>
      </c>
      <c r="AJ260" s="3" t="s">
        <v>7010</v>
      </c>
      <c r="AK260" s="3" t="s">
        <v>7015</v>
      </c>
      <c r="AL260" s="3" t="s">
        <v>7010</v>
      </c>
      <c r="AM260" s="3" t="s">
        <v>7010</v>
      </c>
      <c r="AN260" s="3" t="s">
        <v>7010</v>
      </c>
      <c r="AO260" s="3" t="s">
        <v>7010</v>
      </c>
      <c r="AP260" s="74" t="s">
        <v>7015</v>
      </c>
      <c r="AU260">
        <v>259</v>
      </c>
      <c r="AV260" t="s">
        <v>3311</v>
      </c>
      <c r="AW260" t="s">
        <v>2279</v>
      </c>
      <c r="AX260">
        <f t="shared" si="18"/>
        <v>8</v>
      </c>
      <c r="AY260" s="30" t="s">
        <v>3312</v>
      </c>
      <c r="BC260" s="3" t="s">
        <v>7015</v>
      </c>
      <c r="BD260" s="3" t="s">
        <v>7010</v>
      </c>
      <c r="BE260" s="3" t="s">
        <v>7015</v>
      </c>
      <c r="BF260" s="3" t="s">
        <v>7010</v>
      </c>
      <c r="BG260" s="3" t="s">
        <v>7010</v>
      </c>
      <c r="BH260" s="3" t="s">
        <v>7010</v>
      </c>
      <c r="BI260" s="3" t="s">
        <v>7010</v>
      </c>
      <c r="BJ260" s="3" t="s">
        <v>7010</v>
      </c>
      <c r="BK260" s="74" t="str">
        <f t="shared" si="19"/>
        <v>Yes</v>
      </c>
    </row>
    <row r="261" spans="6:63">
      <c r="F261" s="55"/>
      <c r="G261">
        <v>260</v>
      </c>
      <c r="H261" s="9" t="s">
        <v>328</v>
      </c>
      <c r="I261" t="s">
        <v>29</v>
      </c>
      <c r="J261">
        <f>LEN(H261)</f>
        <v>11</v>
      </c>
      <c r="K261" s="49" t="s">
        <v>2349</v>
      </c>
      <c r="O261" s="3" t="s">
        <v>7010</v>
      </c>
      <c r="P261" s="3" t="s">
        <v>7010</v>
      </c>
      <c r="Q261" s="3" t="s">
        <v>7010</v>
      </c>
      <c r="R261" s="3" t="s">
        <v>7010</v>
      </c>
      <c r="S261" s="3" t="s">
        <v>7010</v>
      </c>
      <c r="T261" s="3" t="s">
        <v>7015</v>
      </c>
      <c r="U261" s="3" t="s">
        <v>7010</v>
      </c>
      <c r="V261" s="3" t="s">
        <v>7010</v>
      </c>
      <c r="W261" s="74" t="str">
        <f t="shared" si="17"/>
        <v>Yes</v>
      </c>
      <c r="Z261">
        <v>260</v>
      </c>
      <c r="AA261" s="55" t="s">
        <v>875</v>
      </c>
      <c r="AB261" t="s">
        <v>643</v>
      </c>
      <c r="AC261">
        <f t="shared" si="16"/>
        <v>6</v>
      </c>
      <c r="AD261" s="30" t="s">
        <v>3314</v>
      </c>
      <c r="AF261" t="s">
        <v>7676</v>
      </c>
      <c r="AH261" s="3" t="s">
        <v>7015</v>
      </c>
      <c r="AI261" s="3" t="s">
        <v>7010</v>
      </c>
      <c r="AJ261" s="3" t="s">
        <v>7010</v>
      </c>
      <c r="AK261" s="3" t="s">
        <v>7015</v>
      </c>
      <c r="AL261" s="3" t="s">
        <v>7010</v>
      </c>
      <c r="AM261" s="3" t="s">
        <v>7010</v>
      </c>
      <c r="AN261" s="3" t="s">
        <v>7010</v>
      </c>
      <c r="AO261" s="3" t="s">
        <v>7010</v>
      </c>
      <c r="AP261" s="74" t="s">
        <v>7015</v>
      </c>
      <c r="AU261">
        <v>260</v>
      </c>
      <c r="AV261" t="s">
        <v>3315</v>
      </c>
      <c r="AW261" t="s">
        <v>2279</v>
      </c>
      <c r="AX261">
        <f t="shared" si="18"/>
        <v>8</v>
      </c>
      <c r="AY261" s="30" t="s">
        <v>3316</v>
      </c>
      <c r="BC261" s="3" t="s">
        <v>7010</v>
      </c>
      <c r="BD261" s="3" t="s">
        <v>7010</v>
      </c>
      <c r="BE261" s="3" t="s">
        <v>7015</v>
      </c>
      <c r="BF261" s="3" t="s">
        <v>7010</v>
      </c>
      <c r="BG261" s="3" t="s">
        <v>7010</v>
      </c>
      <c r="BH261" s="3" t="s">
        <v>7010</v>
      </c>
      <c r="BI261" s="3" t="s">
        <v>7010</v>
      </c>
      <c r="BJ261" s="3" t="s">
        <v>7010</v>
      </c>
      <c r="BK261" s="74" t="str">
        <f t="shared" si="19"/>
        <v>Yes</v>
      </c>
    </row>
    <row r="262" spans="6:63">
      <c r="F262" s="55"/>
      <c r="G262">
        <v>261</v>
      </c>
      <c r="H262" s="7" t="s">
        <v>579</v>
      </c>
      <c r="I262" t="s">
        <v>29</v>
      </c>
      <c r="J262">
        <f>LEN(H262)</f>
        <v>13</v>
      </c>
      <c r="K262" s="49" t="s">
        <v>3233</v>
      </c>
      <c r="O262" s="3" t="s">
        <v>7010</v>
      </c>
      <c r="P262" s="3" t="s">
        <v>7010</v>
      </c>
      <c r="Q262" s="3" t="s">
        <v>7010</v>
      </c>
      <c r="R262" s="3" t="s">
        <v>7010</v>
      </c>
      <c r="S262" s="3" t="s">
        <v>7010</v>
      </c>
      <c r="T262" s="3" t="s">
        <v>7015</v>
      </c>
      <c r="U262" s="3" t="s">
        <v>7010</v>
      </c>
      <c r="V262" s="3" t="s">
        <v>7015</v>
      </c>
      <c r="W262" s="74" t="str">
        <f t="shared" si="17"/>
        <v>Yes</v>
      </c>
      <c r="Z262">
        <v>261</v>
      </c>
      <c r="AA262" s="55" t="s">
        <v>876</v>
      </c>
      <c r="AB262" t="s">
        <v>643</v>
      </c>
      <c r="AC262">
        <f t="shared" si="16"/>
        <v>6</v>
      </c>
      <c r="AD262" s="30" t="s">
        <v>3318</v>
      </c>
      <c r="AF262" t="s">
        <v>7677</v>
      </c>
      <c r="AH262" s="3" t="s">
        <v>7015</v>
      </c>
      <c r="AI262" s="3" t="s">
        <v>7010</v>
      </c>
      <c r="AJ262" s="3" t="s">
        <v>7010</v>
      </c>
      <c r="AK262" s="3" t="s">
        <v>7015</v>
      </c>
      <c r="AL262" s="3" t="s">
        <v>7010</v>
      </c>
      <c r="AM262" s="3" t="s">
        <v>7010</v>
      </c>
      <c r="AN262" s="3" t="s">
        <v>7010</v>
      </c>
      <c r="AO262" s="3" t="s">
        <v>7010</v>
      </c>
      <c r="AP262" s="74" t="s">
        <v>7015</v>
      </c>
      <c r="AU262">
        <v>261</v>
      </c>
      <c r="AV262" t="s">
        <v>3319</v>
      </c>
      <c r="AW262" t="s">
        <v>2279</v>
      </c>
      <c r="AX262">
        <f t="shared" si="18"/>
        <v>15</v>
      </c>
      <c r="AY262" s="30" t="s">
        <v>3320</v>
      </c>
      <c r="BC262" s="3" t="s">
        <v>7010</v>
      </c>
      <c r="BD262" s="3" t="s">
        <v>7010</v>
      </c>
      <c r="BE262" s="3" t="s">
        <v>7010</v>
      </c>
      <c r="BF262" s="3" t="s">
        <v>7010</v>
      </c>
      <c r="BG262" s="3" t="s">
        <v>7010</v>
      </c>
      <c r="BH262" s="3" t="s">
        <v>7010</v>
      </c>
      <c r="BI262" s="3" t="s">
        <v>7010</v>
      </c>
      <c r="BJ262" s="3" t="s">
        <v>7010</v>
      </c>
      <c r="BK262" s="74" t="str">
        <f t="shared" si="19"/>
        <v>No</v>
      </c>
    </row>
    <row r="263" spans="6:63">
      <c r="F263" s="55"/>
      <c r="G263">
        <v>262</v>
      </c>
      <c r="H263" s="7" t="s">
        <v>564</v>
      </c>
      <c r="I263" t="s">
        <v>29</v>
      </c>
      <c r="J263">
        <f>LEN(H263)</f>
        <v>14</v>
      </c>
      <c r="K263" s="49" t="s">
        <v>3173</v>
      </c>
      <c r="O263" s="3" t="s">
        <v>7010</v>
      </c>
      <c r="P263" s="3" t="s">
        <v>7010</v>
      </c>
      <c r="Q263" s="3" t="s">
        <v>7010</v>
      </c>
      <c r="R263" s="3" t="s">
        <v>7010</v>
      </c>
      <c r="S263" s="3" t="s">
        <v>7010</v>
      </c>
      <c r="T263" s="3" t="s">
        <v>7015</v>
      </c>
      <c r="U263" s="3" t="s">
        <v>7010</v>
      </c>
      <c r="V263" s="3" t="s">
        <v>7010</v>
      </c>
      <c r="W263" s="74" t="str">
        <f t="shared" si="17"/>
        <v>Yes</v>
      </c>
      <c r="Z263">
        <v>262</v>
      </c>
      <c r="AA263" s="55">
        <v>456789</v>
      </c>
      <c r="AB263" t="s">
        <v>643</v>
      </c>
      <c r="AC263">
        <f t="shared" si="16"/>
        <v>6</v>
      </c>
      <c r="AD263" s="30" t="s">
        <v>3322</v>
      </c>
      <c r="AF263" t="s">
        <v>7678</v>
      </c>
      <c r="AH263" s="3" t="s">
        <v>7015</v>
      </c>
      <c r="AI263" s="3" t="s">
        <v>7010</v>
      </c>
      <c r="AJ263" s="3" t="s">
        <v>7010</v>
      </c>
      <c r="AK263" s="3" t="s">
        <v>7015</v>
      </c>
      <c r="AL263" s="3" t="s">
        <v>7010</v>
      </c>
      <c r="AM263" s="3" t="s">
        <v>7010</v>
      </c>
      <c r="AN263" s="3" t="s">
        <v>7010</v>
      </c>
      <c r="AO263" s="3" t="s">
        <v>7010</v>
      </c>
      <c r="AP263" s="74" t="s">
        <v>7015</v>
      </c>
      <c r="AU263">
        <v>262</v>
      </c>
      <c r="AV263" t="s">
        <v>3323</v>
      </c>
      <c r="AW263" t="s">
        <v>2279</v>
      </c>
      <c r="AX263">
        <f t="shared" si="18"/>
        <v>12</v>
      </c>
      <c r="AY263" s="30" t="s">
        <v>3324</v>
      </c>
      <c r="BC263" s="3" t="s">
        <v>7010</v>
      </c>
      <c r="BD263" s="3" t="s">
        <v>7010</v>
      </c>
      <c r="BE263" s="3" t="s">
        <v>7010</v>
      </c>
      <c r="BF263" s="3" t="s">
        <v>7010</v>
      </c>
      <c r="BG263" s="3" t="s">
        <v>7010</v>
      </c>
      <c r="BH263" s="3" t="s">
        <v>7010</v>
      </c>
      <c r="BI263" s="3" t="s">
        <v>7010</v>
      </c>
      <c r="BJ263" s="3" t="s">
        <v>7010</v>
      </c>
      <c r="BK263" s="74" t="str">
        <f t="shared" si="19"/>
        <v>No</v>
      </c>
    </row>
    <row r="264" spans="6:63">
      <c r="F264" s="55"/>
      <c r="G264">
        <v>263</v>
      </c>
      <c r="H264" s="7" t="s">
        <v>453</v>
      </c>
      <c r="I264" t="s">
        <v>29</v>
      </c>
      <c r="J264">
        <f>LEN(H264)</f>
        <v>12</v>
      </c>
      <c r="K264" s="49" t="s">
        <v>2729</v>
      </c>
      <c r="O264" s="3" t="s">
        <v>7010</v>
      </c>
      <c r="P264" s="3" t="s">
        <v>7010</v>
      </c>
      <c r="Q264" s="3" t="s">
        <v>7010</v>
      </c>
      <c r="R264" s="3" t="s">
        <v>7010</v>
      </c>
      <c r="S264" s="3" t="s">
        <v>7010</v>
      </c>
      <c r="T264" s="3" t="s">
        <v>7015</v>
      </c>
      <c r="U264" s="3" t="s">
        <v>7010</v>
      </c>
      <c r="V264" s="3" t="s">
        <v>7015</v>
      </c>
      <c r="W264" s="74" t="str">
        <f t="shared" si="17"/>
        <v>Yes</v>
      </c>
      <c r="Z264">
        <v>263</v>
      </c>
      <c r="AA264" s="55" t="s">
        <v>877</v>
      </c>
      <c r="AB264" t="s">
        <v>643</v>
      </c>
      <c r="AC264">
        <f t="shared" si="16"/>
        <v>9</v>
      </c>
      <c r="AD264" s="30" t="s">
        <v>3326</v>
      </c>
      <c r="AF264" t="s">
        <v>7679</v>
      </c>
      <c r="AH264" s="3" t="s">
        <v>7015</v>
      </c>
      <c r="AI264" s="3" t="s">
        <v>7010</v>
      </c>
      <c r="AJ264" s="3" t="s">
        <v>7010</v>
      </c>
      <c r="AK264" s="3" t="s">
        <v>7015</v>
      </c>
      <c r="AL264" s="3" t="s">
        <v>7010</v>
      </c>
      <c r="AM264" s="3" t="s">
        <v>7010</v>
      </c>
      <c r="AN264" s="3" t="s">
        <v>7010</v>
      </c>
      <c r="AO264" s="3" t="s">
        <v>7010</v>
      </c>
      <c r="AP264" s="74" t="s">
        <v>7015</v>
      </c>
      <c r="AU264">
        <v>263</v>
      </c>
      <c r="AV264" t="s">
        <v>3327</v>
      </c>
      <c r="AW264" t="s">
        <v>2279</v>
      </c>
      <c r="AX264">
        <f t="shared" si="18"/>
        <v>12</v>
      </c>
      <c r="AY264" s="30" t="s">
        <v>3328</v>
      </c>
      <c r="BC264" s="3" t="s">
        <v>7010</v>
      </c>
      <c r="BD264" s="3" t="s">
        <v>7010</v>
      </c>
      <c r="BE264" s="3" t="s">
        <v>7015</v>
      </c>
      <c r="BF264" s="3" t="s">
        <v>7010</v>
      </c>
      <c r="BG264" s="3" t="s">
        <v>7010</v>
      </c>
      <c r="BH264" s="3" t="s">
        <v>7010</v>
      </c>
      <c r="BI264" s="3" t="s">
        <v>7010</v>
      </c>
      <c r="BJ264" s="3" t="s">
        <v>7010</v>
      </c>
      <c r="BK264" s="74" t="str">
        <f t="shared" si="19"/>
        <v>Yes</v>
      </c>
    </row>
    <row r="265" spans="6:63">
      <c r="F265" s="55"/>
      <c r="G265">
        <v>264</v>
      </c>
      <c r="H265" s="7" t="s">
        <v>1993</v>
      </c>
      <c r="I265" t="s">
        <v>29</v>
      </c>
      <c r="J265">
        <f>LEN(H265)</f>
        <v>11</v>
      </c>
      <c r="K265" s="49" t="s">
        <v>6307</v>
      </c>
      <c r="O265" s="3" t="s">
        <v>7010</v>
      </c>
      <c r="P265" s="3" t="s">
        <v>7010</v>
      </c>
      <c r="Q265" s="3" t="s">
        <v>7010</v>
      </c>
      <c r="R265" s="3" t="s">
        <v>7015</v>
      </c>
      <c r="S265" s="3" t="s">
        <v>7010</v>
      </c>
      <c r="T265" s="3" t="s">
        <v>7015</v>
      </c>
      <c r="U265" s="3" t="s">
        <v>7010</v>
      </c>
      <c r="V265" s="3" t="s">
        <v>7010</v>
      </c>
      <c r="W265" s="74" t="str">
        <f t="shared" si="17"/>
        <v>Yes</v>
      </c>
      <c r="Z265">
        <v>264</v>
      </c>
      <c r="AA265" s="55" t="s">
        <v>878</v>
      </c>
      <c r="AB265" t="s">
        <v>643</v>
      </c>
      <c r="AC265">
        <f t="shared" si="16"/>
        <v>7</v>
      </c>
      <c r="AD265" s="30" t="s">
        <v>3330</v>
      </c>
      <c r="AF265" t="s">
        <v>7680</v>
      </c>
      <c r="AH265" s="3" t="s">
        <v>7015</v>
      </c>
      <c r="AI265" s="3" t="s">
        <v>7010</v>
      </c>
      <c r="AJ265" s="3" t="s">
        <v>7010</v>
      </c>
      <c r="AK265" s="3" t="s">
        <v>7015</v>
      </c>
      <c r="AL265" s="3" t="s">
        <v>7010</v>
      </c>
      <c r="AM265" s="3" t="s">
        <v>7010</v>
      </c>
      <c r="AN265" s="3" t="s">
        <v>7010</v>
      </c>
      <c r="AO265" s="3" t="s">
        <v>7010</v>
      </c>
      <c r="AP265" s="74" t="s">
        <v>7015</v>
      </c>
      <c r="AU265">
        <v>264</v>
      </c>
      <c r="AV265" t="s">
        <v>3331</v>
      </c>
      <c r="AW265" t="s">
        <v>2279</v>
      </c>
      <c r="AX265">
        <f t="shared" si="18"/>
        <v>9</v>
      </c>
      <c r="AY265" s="30" t="s">
        <v>3332</v>
      </c>
      <c r="BC265" s="3" t="s">
        <v>7010</v>
      </c>
      <c r="BD265" s="3" t="s">
        <v>7010</v>
      </c>
      <c r="BE265" s="3" t="s">
        <v>7015</v>
      </c>
      <c r="BF265" s="3" t="s">
        <v>7010</v>
      </c>
      <c r="BG265" s="3" t="s">
        <v>7010</v>
      </c>
      <c r="BH265" s="3" t="s">
        <v>7010</v>
      </c>
      <c r="BI265" s="3" t="s">
        <v>7010</v>
      </c>
      <c r="BJ265" s="3" t="s">
        <v>7010</v>
      </c>
      <c r="BK265" s="74" t="str">
        <f t="shared" si="19"/>
        <v>Yes</v>
      </c>
    </row>
    <row r="266" spans="6:63">
      <c r="F266" s="55"/>
      <c r="G266">
        <v>265</v>
      </c>
      <c r="H266" s="7" t="s">
        <v>1860</v>
      </c>
      <c r="I266" t="s">
        <v>29</v>
      </c>
      <c r="J266">
        <f>LEN(H266)</f>
        <v>13</v>
      </c>
      <c r="K266" s="49" t="s">
        <v>5956</v>
      </c>
      <c r="O266" s="3" t="s">
        <v>7010</v>
      </c>
      <c r="P266" s="3" t="s">
        <v>7010</v>
      </c>
      <c r="Q266" s="3" t="s">
        <v>7010</v>
      </c>
      <c r="R266" s="3" t="s">
        <v>7010</v>
      </c>
      <c r="S266" s="3" t="s">
        <v>7010</v>
      </c>
      <c r="T266" s="3" t="s">
        <v>7010</v>
      </c>
      <c r="U266" s="3" t="s">
        <v>7010</v>
      </c>
      <c r="V266" s="3" t="s">
        <v>7010</v>
      </c>
      <c r="W266" s="74" t="str">
        <f t="shared" si="17"/>
        <v>No</v>
      </c>
      <c r="Z266">
        <v>265</v>
      </c>
      <c r="AA266" s="55" t="s">
        <v>879</v>
      </c>
      <c r="AB266" t="s">
        <v>643</v>
      </c>
      <c r="AC266">
        <f t="shared" si="16"/>
        <v>6</v>
      </c>
      <c r="AD266" s="30" t="s">
        <v>3334</v>
      </c>
      <c r="AF266" t="s">
        <v>7681</v>
      </c>
      <c r="AH266" s="3" t="s">
        <v>7015</v>
      </c>
      <c r="AI266" s="3" t="s">
        <v>7010</v>
      </c>
      <c r="AJ266" s="3" t="s">
        <v>7010</v>
      </c>
      <c r="AK266" s="3" t="s">
        <v>7015</v>
      </c>
      <c r="AL266" s="3" t="s">
        <v>7010</v>
      </c>
      <c r="AM266" s="3" t="s">
        <v>7010</v>
      </c>
      <c r="AN266" s="3" t="s">
        <v>7010</v>
      </c>
      <c r="AO266" s="3" t="s">
        <v>7010</v>
      </c>
      <c r="AP266" s="74" t="s">
        <v>7015</v>
      </c>
      <c r="AU266">
        <v>265</v>
      </c>
      <c r="AV266" t="s">
        <v>3335</v>
      </c>
      <c r="AW266" t="s">
        <v>2279</v>
      </c>
      <c r="AX266">
        <f t="shared" si="18"/>
        <v>8</v>
      </c>
      <c r="AY266" s="30" t="s">
        <v>3336</v>
      </c>
      <c r="BC266" s="3" t="s">
        <v>7010</v>
      </c>
      <c r="BD266" s="3" t="s">
        <v>7010</v>
      </c>
      <c r="BE266" s="3" t="s">
        <v>7015</v>
      </c>
      <c r="BF266" s="3" t="s">
        <v>7010</v>
      </c>
      <c r="BG266" s="3" t="s">
        <v>7010</v>
      </c>
      <c r="BH266" s="3" t="s">
        <v>7010</v>
      </c>
      <c r="BI266" s="3" t="s">
        <v>7010</v>
      </c>
      <c r="BJ266" s="3" t="s">
        <v>7010</v>
      </c>
      <c r="BK266" s="74" t="str">
        <f t="shared" si="19"/>
        <v>Yes</v>
      </c>
    </row>
    <row r="267" spans="6:63">
      <c r="F267" s="55"/>
      <c r="G267">
        <v>266</v>
      </c>
      <c r="H267" s="7" t="s">
        <v>2099</v>
      </c>
      <c r="I267" t="s">
        <v>29</v>
      </c>
      <c r="J267">
        <f>LEN(H267)</f>
        <v>12</v>
      </c>
      <c r="K267" s="49" t="s">
        <v>6573</v>
      </c>
      <c r="O267" s="3" t="s">
        <v>7010</v>
      </c>
      <c r="P267" s="3" t="s">
        <v>7010</v>
      </c>
      <c r="Q267" s="3" t="s">
        <v>7010</v>
      </c>
      <c r="R267" s="3" t="s">
        <v>7010</v>
      </c>
      <c r="S267" s="3" t="s">
        <v>7010</v>
      </c>
      <c r="T267" s="3" t="s">
        <v>7015</v>
      </c>
      <c r="U267" s="3" t="s">
        <v>7010</v>
      </c>
      <c r="V267" s="3" t="s">
        <v>7010</v>
      </c>
      <c r="W267" s="74" t="str">
        <f t="shared" si="17"/>
        <v>Yes</v>
      </c>
      <c r="Z267">
        <v>266</v>
      </c>
      <c r="AA267" s="55" t="s">
        <v>880</v>
      </c>
      <c r="AB267" t="s">
        <v>643</v>
      </c>
      <c r="AC267">
        <f t="shared" si="16"/>
        <v>9</v>
      </c>
      <c r="AD267" s="30" t="s">
        <v>3338</v>
      </c>
      <c r="AF267" t="s">
        <v>7682</v>
      </c>
      <c r="AH267" s="3" t="s">
        <v>7015</v>
      </c>
      <c r="AI267" s="3" t="s">
        <v>7010</v>
      </c>
      <c r="AJ267" s="3" t="s">
        <v>7010</v>
      </c>
      <c r="AK267" s="3" t="s">
        <v>7015</v>
      </c>
      <c r="AL267" s="3" t="s">
        <v>7010</v>
      </c>
      <c r="AM267" s="3" t="s">
        <v>7010</v>
      </c>
      <c r="AN267" s="3" t="s">
        <v>7010</v>
      </c>
      <c r="AO267" s="3" t="s">
        <v>7010</v>
      </c>
      <c r="AP267" s="74" t="s">
        <v>7015</v>
      </c>
      <c r="AU267">
        <v>266</v>
      </c>
      <c r="AV267" t="s">
        <v>3339</v>
      </c>
      <c r="AW267" t="s">
        <v>2279</v>
      </c>
      <c r="AX267">
        <f t="shared" si="18"/>
        <v>8</v>
      </c>
      <c r="AY267" s="30" t="s">
        <v>3340</v>
      </c>
      <c r="BC267" s="3" t="s">
        <v>7010</v>
      </c>
      <c r="BD267" s="3" t="s">
        <v>7010</v>
      </c>
      <c r="BE267" s="3" t="s">
        <v>7010</v>
      </c>
      <c r="BF267" s="3" t="s">
        <v>7010</v>
      </c>
      <c r="BG267" s="3" t="s">
        <v>7010</v>
      </c>
      <c r="BH267" s="3" t="s">
        <v>7010</v>
      </c>
      <c r="BI267" s="3" t="s">
        <v>7010</v>
      </c>
      <c r="BJ267" s="3" t="s">
        <v>7010</v>
      </c>
      <c r="BK267" s="74" t="str">
        <f t="shared" si="19"/>
        <v>No</v>
      </c>
    </row>
    <row r="268" spans="6:63">
      <c r="F268" s="55"/>
      <c r="G268">
        <v>267</v>
      </c>
      <c r="H268" s="7" t="s">
        <v>516</v>
      </c>
      <c r="I268" t="s">
        <v>29</v>
      </c>
      <c r="J268">
        <f>LEN(H268)</f>
        <v>13</v>
      </c>
      <c r="K268" s="49" t="s">
        <v>2981</v>
      </c>
      <c r="O268" s="3" t="s">
        <v>7010</v>
      </c>
      <c r="P268" s="3" t="s">
        <v>7010</v>
      </c>
      <c r="Q268" s="3" t="s">
        <v>7010</v>
      </c>
      <c r="R268" s="3" t="s">
        <v>7010</v>
      </c>
      <c r="S268" s="3" t="s">
        <v>7010</v>
      </c>
      <c r="T268" s="3" t="s">
        <v>7010</v>
      </c>
      <c r="U268" s="3" t="s">
        <v>7010</v>
      </c>
      <c r="V268" s="3" t="s">
        <v>7010</v>
      </c>
      <c r="W268" s="74" t="str">
        <f t="shared" si="17"/>
        <v>No</v>
      </c>
      <c r="Z268">
        <v>267</v>
      </c>
      <c r="AA268" s="55" t="s">
        <v>881</v>
      </c>
      <c r="AB268" t="s">
        <v>643</v>
      </c>
      <c r="AC268">
        <f t="shared" si="16"/>
        <v>11</v>
      </c>
      <c r="AD268" s="30" t="s">
        <v>3342</v>
      </c>
      <c r="AF268" t="s">
        <v>7683</v>
      </c>
      <c r="AH268" s="3" t="s">
        <v>7015</v>
      </c>
      <c r="AI268" s="3" t="s">
        <v>7010</v>
      </c>
      <c r="AJ268" s="3" t="s">
        <v>7010</v>
      </c>
      <c r="AK268" s="3" t="s">
        <v>7015</v>
      </c>
      <c r="AL268" s="3" t="s">
        <v>7010</v>
      </c>
      <c r="AM268" s="3" t="s">
        <v>7010</v>
      </c>
      <c r="AN268" s="3" t="s">
        <v>7010</v>
      </c>
      <c r="AO268" s="3" t="s">
        <v>7010</v>
      </c>
      <c r="AP268" s="74" t="s">
        <v>7015</v>
      </c>
      <c r="AU268">
        <v>267</v>
      </c>
      <c r="AV268" t="s">
        <v>3343</v>
      </c>
      <c r="AW268" t="s">
        <v>2279</v>
      </c>
      <c r="AX268">
        <f t="shared" si="18"/>
        <v>10</v>
      </c>
      <c r="AY268" s="30" t="s">
        <v>3344</v>
      </c>
      <c r="BC268" s="3" t="s">
        <v>7015</v>
      </c>
      <c r="BD268" s="3" t="s">
        <v>7010</v>
      </c>
      <c r="BE268" s="3" t="s">
        <v>7015</v>
      </c>
      <c r="BF268" s="3" t="s">
        <v>7010</v>
      </c>
      <c r="BG268" s="3" t="s">
        <v>7010</v>
      </c>
      <c r="BH268" s="3" t="s">
        <v>7010</v>
      </c>
      <c r="BI268" s="3" t="s">
        <v>7010</v>
      </c>
      <c r="BJ268" s="3" t="s">
        <v>7010</v>
      </c>
      <c r="BK268" s="74" t="str">
        <f t="shared" si="19"/>
        <v>Yes</v>
      </c>
    </row>
    <row r="269" spans="6:63">
      <c r="F269" s="55"/>
      <c r="G269">
        <v>268</v>
      </c>
      <c r="H269" s="7" t="s">
        <v>402</v>
      </c>
      <c r="I269" t="s">
        <v>29</v>
      </c>
      <c r="J269">
        <f>LEN(H269)</f>
        <v>9</v>
      </c>
      <c r="K269" s="51" t="s">
        <v>2525</v>
      </c>
      <c r="O269" s="3" t="s">
        <v>7010</v>
      </c>
      <c r="P269" s="3" t="s">
        <v>7010</v>
      </c>
      <c r="Q269" s="3" t="s">
        <v>7010</v>
      </c>
      <c r="R269" s="3" t="s">
        <v>7015</v>
      </c>
      <c r="S269" s="3" t="s">
        <v>7010</v>
      </c>
      <c r="T269" s="3" t="s">
        <v>7015</v>
      </c>
      <c r="U269" s="3" t="s">
        <v>7010</v>
      </c>
      <c r="V269" s="3" t="s">
        <v>7010</v>
      </c>
      <c r="W269" s="74" t="str">
        <f t="shared" si="17"/>
        <v>Yes</v>
      </c>
      <c r="Z269">
        <v>268</v>
      </c>
      <c r="AA269" s="55" t="s">
        <v>882</v>
      </c>
      <c r="AB269" t="s">
        <v>643</v>
      </c>
      <c r="AC269">
        <f t="shared" si="16"/>
        <v>6</v>
      </c>
      <c r="AD269" s="30" t="s">
        <v>3346</v>
      </c>
      <c r="AF269" t="s">
        <v>7684</v>
      </c>
      <c r="AH269" s="3" t="s">
        <v>7015</v>
      </c>
      <c r="AI269" s="3" t="s">
        <v>7010</v>
      </c>
      <c r="AJ269" s="3" t="s">
        <v>7010</v>
      </c>
      <c r="AK269" s="3" t="s">
        <v>7015</v>
      </c>
      <c r="AL269" s="3" t="s">
        <v>7010</v>
      </c>
      <c r="AM269" s="3" t="s">
        <v>7010</v>
      </c>
      <c r="AN269" s="3" t="s">
        <v>7010</v>
      </c>
      <c r="AO269" s="3" t="s">
        <v>7010</v>
      </c>
      <c r="AP269" s="74" t="s">
        <v>7015</v>
      </c>
      <c r="AU269">
        <v>268</v>
      </c>
      <c r="AV269" t="s">
        <v>3347</v>
      </c>
      <c r="AW269" t="s">
        <v>2279</v>
      </c>
      <c r="AX269">
        <f t="shared" si="18"/>
        <v>8</v>
      </c>
      <c r="AY269" s="31" t="s">
        <v>3348</v>
      </c>
      <c r="BC269" s="3" t="s">
        <v>7015</v>
      </c>
      <c r="BD269" s="3" t="s">
        <v>7010</v>
      </c>
      <c r="BE269" s="3" t="s">
        <v>7015</v>
      </c>
      <c r="BF269" s="3" t="s">
        <v>7010</v>
      </c>
      <c r="BG269" s="3" t="s">
        <v>7010</v>
      </c>
      <c r="BH269" s="3" t="s">
        <v>7010</v>
      </c>
      <c r="BI269" s="3" t="s">
        <v>7010</v>
      </c>
      <c r="BJ269" s="3" t="s">
        <v>7010</v>
      </c>
      <c r="BK269" s="74" t="str">
        <f t="shared" si="19"/>
        <v>Yes</v>
      </c>
    </row>
    <row r="270" spans="6:63">
      <c r="F270" s="55"/>
      <c r="G270">
        <v>269</v>
      </c>
      <c r="H270" s="7" t="s">
        <v>1038</v>
      </c>
      <c r="I270" t="s">
        <v>29</v>
      </c>
      <c r="J270">
        <f>LEN(H270)</f>
        <v>10</v>
      </c>
      <c r="K270" s="49" t="s">
        <v>3805</v>
      </c>
      <c r="O270" s="3" t="s">
        <v>7010</v>
      </c>
      <c r="P270" s="3" t="s">
        <v>7010</v>
      </c>
      <c r="Q270" s="3" t="s">
        <v>7010</v>
      </c>
      <c r="R270" s="3" t="s">
        <v>7010</v>
      </c>
      <c r="S270" s="3" t="s">
        <v>7010</v>
      </c>
      <c r="T270" s="3" t="s">
        <v>7010</v>
      </c>
      <c r="U270" s="3" t="s">
        <v>7010</v>
      </c>
      <c r="V270" s="3" t="s">
        <v>7010</v>
      </c>
      <c r="W270" s="74" t="str">
        <f t="shared" si="17"/>
        <v>No</v>
      </c>
      <c r="Z270">
        <v>269</v>
      </c>
      <c r="AA270" s="55" t="s">
        <v>883</v>
      </c>
      <c r="AB270" t="s">
        <v>643</v>
      </c>
      <c r="AC270">
        <f t="shared" si="16"/>
        <v>6</v>
      </c>
      <c r="AD270" s="30" t="s">
        <v>3350</v>
      </c>
      <c r="AF270" t="s">
        <v>7685</v>
      </c>
      <c r="AH270" s="3" t="s">
        <v>7015</v>
      </c>
      <c r="AI270" s="3" t="s">
        <v>7010</v>
      </c>
      <c r="AJ270" s="3" t="s">
        <v>7010</v>
      </c>
      <c r="AK270" s="3" t="s">
        <v>7015</v>
      </c>
      <c r="AL270" s="3" t="s">
        <v>7010</v>
      </c>
      <c r="AM270" s="3" t="s">
        <v>7010</v>
      </c>
      <c r="AN270" s="3" t="s">
        <v>7010</v>
      </c>
      <c r="AO270" s="3" t="s">
        <v>7010</v>
      </c>
      <c r="AP270" s="74" t="s">
        <v>7015</v>
      </c>
      <c r="AU270">
        <v>269</v>
      </c>
      <c r="AV270" t="s">
        <v>3351</v>
      </c>
      <c r="AW270" t="s">
        <v>2279</v>
      </c>
      <c r="AX270">
        <f t="shared" si="18"/>
        <v>8</v>
      </c>
      <c r="AY270" s="30" t="s">
        <v>3352</v>
      </c>
      <c r="BC270" s="3" t="s">
        <v>7010</v>
      </c>
      <c r="BD270" s="3" t="s">
        <v>7010</v>
      </c>
      <c r="BE270" s="3" t="s">
        <v>7010</v>
      </c>
      <c r="BF270" s="3" t="s">
        <v>7010</v>
      </c>
      <c r="BG270" s="3" t="s">
        <v>7010</v>
      </c>
      <c r="BH270" s="3" t="s">
        <v>7010</v>
      </c>
      <c r="BI270" s="3" t="s">
        <v>7010</v>
      </c>
      <c r="BJ270" s="3" t="s">
        <v>7010</v>
      </c>
      <c r="BK270" s="74" t="str">
        <f t="shared" si="19"/>
        <v>No</v>
      </c>
    </row>
    <row r="271" spans="6:63">
      <c r="F271" s="55"/>
      <c r="G271">
        <v>270</v>
      </c>
      <c r="H271" s="7" t="s">
        <v>2149</v>
      </c>
      <c r="I271" t="s">
        <v>29</v>
      </c>
      <c r="J271">
        <f>LEN(H271)</f>
        <v>14</v>
      </c>
      <c r="K271" s="49" t="s">
        <v>6697</v>
      </c>
      <c r="O271" s="3" t="s">
        <v>7010</v>
      </c>
      <c r="P271" s="3" t="s">
        <v>7010</v>
      </c>
      <c r="Q271" s="3" t="s">
        <v>7010</v>
      </c>
      <c r="R271" s="3" t="s">
        <v>7010</v>
      </c>
      <c r="S271" s="3" t="s">
        <v>7010</v>
      </c>
      <c r="T271" s="3" t="s">
        <v>7010</v>
      </c>
      <c r="U271" s="3" t="s">
        <v>7010</v>
      </c>
      <c r="V271" s="3" t="s">
        <v>7010</v>
      </c>
      <c r="W271" s="74" t="str">
        <f t="shared" si="17"/>
        <v>No</v>
      </c>
      <c r="Z271">
        <v>270</v>
      </c>
      <c r="AA271" s="55" t="s">
        <v>884</v>
      </c>
      <c r="AB271" t="s">
        <v>643</v>
      </c>
      <c r="AC271">
        <f t="shared" si="16"/>
        <v>7</v>
      </c>
      <c r="AD271" s="30" t="s">
        <v>3354</v>
      </c>
      <c r="AF271" t="s">
        <v>7686</v>
      </c>
      <c r="AH271" s="3" t="s">
        <v>7015</v>
      </c>
      <c r="AI271" s="3" t="s">
        <v>7010</v>
      </c>
      <c r="AJ271" s="3" t="s">
        <v>7010</v>
      </c>
      <c r="AK271" s="3" t="s">
        <v>7015</v>
      </c>
      <c r="AL271" s="3" t="s">
        <v>7010</v>
      </c>
      <c r="AM271" s="3" t="s">
        <v>7010</v>
      </c>
      <c r="AN271" s="3" t="s">
        <v>7010</v>
      </c>
      <c r="AO271" s="3" t="s">
        <v>7010</v>
      </c>
      <c r="AP271" s="74" t="s">
        <v>7015</v>
      </c>
      <c r="AU271">
        <v>270</v>
      </c>
      <c r="AV271" t="s">
        <v>3355</v>
      </c>
      <c r="AW271" t="s">
        <v>2279</v>
      </c>
      <c r="AX271">
        <f t="shared" si="18"/>
        <v>9</v>
      </c>
      <c r="AY271" s="30" t="s">
        <v>3356</v>
      </c>
      <c r="BC271" s="3" t="s">
        <v>7010</v>
      </c>
      <c r="BD271" s="3" t="s">
        <v>7010</v>
      </c>
      <c r="BE271" s="3" t="s">
        <v>7015</v>
      </c>
      <c r="BF271" s="3" t="s">
        <v>7010</v>
      </c>
      <c r="BG271" s="3" t="s">
        <v>7010</v>
      </c>
      <c r="BH271" s="3" t="s">
        <v>7010</v>
      </c>
      <c r="BI271" s="3" t="s">
        <v>7010</v>
      </c>
      <c r="BJ271" s="3" t="s">
        <v>7010</v>
      </c>
      <c r="BK271" s="74" t="str">
        <f t="shared" si="19"/>
        <v>Yes</v>
      </c>
    </row>
    <row r="272" spans="6:63">
      <c r="F272" s="55"/>
      <c r="G272">
        <v>271</v>
      </c>
      <c r="H272" s="7" t="s">
        <v>2221</v>
      </c>
      <c r="I272" t="s">
        <v>29</v>
      </c>
      <c r="J272">
        <f>LEN(H272)</f>
        <v>16</v>
      </c>
      <c r="K272" s="49" t="s">
        <v>6874</v>
      </c>
      <c r="O272" s="3" t="s">
        <v>7010</v>
      </c>
      <c r="P272" s="3" t="s">
        <v>7010</v>
      </c>
      <c r="Q272" s="3" t="s">
        <v>7010</v>
      </c>
      <c r="R272" s="3" t="s">
        <v>7010</v>
      </c>
      <c r="S272" s="3" t="s">
        <v>7010</v>
      </c>
      <c r="T272" s="3" t="s">
        <v>7015</v>
      </c>
      <c r="U272" s="3" t="s">
        <v>7010</v>
      </c>
      <c r="V272" s="3" t="s">
        <v>7010</v>
      </c>
      <c r="W272" s="74" t="str">
        <f t="shared" si="17"/>
        <v>Yes</v>
      </c>
      <c r="Z272">
        <v>271</v>
      </c>
      <c r="AA272" s="55">
        <v>123456789</v>
      </c>
      <c r="AB272" t="s">
        <v>643</v>
      </c>
      <c r="AC272">
        <f t="shared" si="16"/>
        <v>9</v>
      </c>
      <c r="AD272" s="30" t="s">
        <v>3358</v>
      </c>
      <c r="AF272" t="s">
        <v>7687</v>
      </c>
      <c r="AH272" s="3" t="s">
        <v>7015</v>
      </c>
      <c r="AI272" s="3" t="s">
        <v>7010</v>
      </c>
      <c r="AJ272" s="3" t="s">
        <v>7010</v>
      </c>
      <c r="AK272" s="3" t="s">
        <v>7015</v>
      </c>
      <c r="AL272" s="3" t="s">
        <v>7010</v>
      </c>
      <c r="AM272" s="3" t="s">
        <v>7010</v>
      </c>
      <c r="AN272" s="3" t="s">
        <v>7010</v>
      </c>
      <c r="AO272" s="3" t="s">
        <v>7010</v>
      </c>
      <c r="AP272" s="74" t="s">
        <v>7015</v>
      </c>
      <c r="AU272">
        <v>271</v>
      </c>
      <c r="AV272" t="s">
        <v>3359</v>
      </c>
      <c r="AW272" t="s">
        <v>2279</v>
      </c>
      <c r="AX272">
        <f t="shared" si="18"/>
        <v>10</v>
      </c>
      <c r="AY272" s="30" t="s">
        <v>3360</v>
      </c>
      <c r="BC272" s="3" t="s">
        <v>7010</v>
      </c>
      <c r="BD272" s="3" t="s">
        <v>7010</v>
      </c>
      <c r="BE272" s="3" t="s">
        <v>7010</v>
      </c>
      <c r="BF272" s="3" t="s">
        <v>7010</v>
      </c>
      <c r="BG272" s="3" t="s">
        <v>7010</v>
      </c>
      <c r="BH272" s="3" t="s">
        <v>7010</v>
      </c>
      <c r="BI272" s="3" t="s">
        <v>7010</v>
      </c>
      <c r="BJ272" s="3" t="s">
        <v>7010</v>
      </c>
      <c r="BK272" s="74" t="str">
        <f t="shared" si="19"/>
        <v>No</v>
      </c>
    </row>
    <row r="273" spans="6:63">
      <c r="F273" s="55"/>
      <c r="G273">
        <v>272</v>
      </c>
      <c r="H273" s="7" t="s">
        <v>215</v>
      </c>
      <c r="I273" t="s">
        <v>29</v>
      </c>
      <c r="J273">
        <f>LEN(H273)</f>
        <v>15</v>
      </c>
      <c r="K273" s="49" t="s">
        <v>2321</v>
      </c>
      <c r="O273" s="3" t="s">
        <v>7010</v>
      </c>
      <c r="P273" s="3" t="s">
        <v>7010</v>
      </c>
      <c r="Q273" s="3" t="s">
        <v>7010</v>
      </c>
      <c r="R273" s="3" t="s">
        <v>7010</v>
      </c>
      <c r="S273" s="3" t="s">
        <v>7010</v>
      </c>
      <c r="T273" s="3" t="s">
        <v>7010</v>
      </c>
      <c r="U273" s="3" t="s">
        <v>7010</v>
      </c>
      <c r="V273" s="3" t="s">
        <v>7010</v>
      </c>
      <c r="W273" s="74" t="str">
        <f t="shared" si="17"/>
        <v>No</v>
      </c>
      <c r="Z273">
        <v>272</v>
      </c>
      <c r="AA273" s="55" t="s">
        <v>885</v>
      </c>
      <c r="AB273" t="s">
        <v>643</v>
      </c>
      <c r="AC273">
        <f t="shared" si="16"/>
        <v>6</v>
      </c>
      <c r="AD273" s="30" t="s">
        <v>3362</v>
      </c>
      <c r="AF273" t="s">
        <v>7688</v>
      </c>
      <c r="AH273" s="3" t="s">
        <v>7015</v>
      </c>
      <c r="AI273" s="3" t="s">
        <v>7010</v>
      </c>
      <c r="AJ273" s="3" t="s">
        <v>7010</v>
      </c>
      <c r="AK273" s="3" t="s">
        <v>7015</v>
      </c>
      <c r="AL273" s="3" t="s">
        <v>7010</v>
      </c>
      <c r="AM273" s="3" t="s">
        <v>7010</v>
      </c>
      <c r="AN273" s="3" t="s">
        <v>7010</v>
      </c>
      <c r="AO273" s="3" t="s">
        <v>7010</v>
      </c>
      <c r="AP273" s="74" t="s">
        <v>7015</v>
      </c>
      <c r="AU273">
        <v>272</v>
      </c>
      <c r="AV273" t="s">
        <v>3363</v>
      </c>
      <c r="AW273" t="s">
        <v>2279</v>
      </c>
      <c r="AX273">
        <f t="shared" si="18"/>
        <v>8</v>
      </c>
      <c r="AY273" s="30" t="s">
        <v>3364</v>
      </c>
      <c r="BC273" s="3" t="s">
        <v>7010</v>
      </c>
      <c r="BD273" s="3" t="s">
        <v>7010</v>
      </c>
      <c r="BE273" s="3" t="s">
        <v>7010</v>
      </c>
      <c r="BF273" s="3" t="s">
        <v>7010</v>
      </c>
      <c r="BG273" s="3" t="s">
        <v>7010</v>
      </c>
      <c r="BH273" s="3" t="s">
        <v>7010</v>
      </c>
      <c r="BI273" s="3" t="s">
        <v>7010</v>
      </c>
      <c r="BJ273" s="3" t="s">
        <v>7010</v>
      </c>
      <c r="BK273" s="74" t="str">
        <f t="shared" si="19"/>
        <v>No</v>
      </c>
    </row>
    <row r="274" spans="6:63">
      <c r="F274" s="55"/>
      <c r="G274">
        <v>273</v>
      </c>
      <c r="H274" s="7" t="s">
        <v>2001</v>
      </c>
      <c r="I274" t="s">
        <v>29</v>
      </c>
      <c r="J274">
        <f>LEN(H274)</f>
        <v>9</v>
      </c>
      <c r="K274" s="49" t="s">
        <v>6327</v>
      </c>
      <c r="O274" s="3" t="s">
        <v>7010</v>
      </c>
      <c r="P274" s="3" t="s">
        <v>7010</v>
      </c>
      <c r="Q274" s="3" t="s">
        <v>7010</v>
      </c>
      <c r="R274" s="3" t="s">
        <v>7010</v>
      </c>
      <c r="S274" s="3" t="s">
        <v>7010</v>
      </c>
      <c r="T274" s="3" t="s">
        <v>7015</v>
      </c>
      <c r="U274" s="3" t="s">
        <v>7010</v>
      </c>
      <c r="V274" s="3" t="s">
        <v>7010</v>
      </c>
      <c r="W274" s="74" t="str">
        <f t="shared" si="17"/>
        <v>Yes</v>
      </c>
      <c r="Z274">
        <v>273</v>
      </c>
      <c r="AA274" s="55" t="s">
        <v>886</v>
      </c>
      <c r="AB274" t="s">
        <v>643</v>
      </c>
      <c r="AC274">
        <f t="shared" si="16"/>
        <v>9</v>
      </c>
      <c r="AD274" s="30" t="s">
        <v>3366</v>
      </c>
      <c r="AF274" t="s">
        <v>7689</v>
      </c>
      <c r="AH274" s="3" t="s">
        <v>7015</v>
      </c>
      <c r="AI274" s="3" t="s">
        <v>7010</v>
      </c>
      <c r="AJ274" s="3" t="s">
        <v>7010</v>
      </c>
      <c r="AK274" s="3" t="s">
        <v>7015</v>
      </c>
      <c r="AL274" s="3" t="s">
        <v>7010</v>
      </c>
      <c r="AM274" s="3" t="s">
        <v>7010</v>
      </c>
      <c r="AN274" s="3" t="s">
        <v>7010</v>
      </c>
      <c r="AO274" s="3" t="s">
        <v>7010</v>
      </c>
      <c r="AP274" s="74" t="s">
        <v>7015</v>
      </c>
      <c r="AU274">
        <v>273</v>
      </c>
      <c r="AV274" t="s">
        <v>3367</v>
      </c>
      <c r="AW274" t="s">
        <v>2279</v>
      </c>
      <c r="AX274">
        <f t="shared" si="18"/>
        <v>15</v>
      </c>
      <c r="AY274" s="30" t="s">
        <v>3368</v>
      </c>
      <c r="BC274" s="3" t="s">
        <v>7010</v>
      </c>
      <c r="BD274" s="3" t="s">
        <v>7010</v>
      </c>
      <c r="BE274" s="3" t="s">
        <v>7010</v>
      </c>
      <c r="BF274" s="3" t="s">
        <v>7010</v>
      </c>
      <c r="BG274" s="3" t="s">
        <v>7010</v>
      </c>
      <c r="BH274" s="3" t="s">
        <v>7010</v>
      </c>
      <c r="BI274" s="3" t="s">
        <v>7010</v>
      </c>
      <c r="BJ274" s="3" t="s">
        <v>7010</v>
      </c>
      <c r="BK274" s="74" t="str">
        <f t="shared" si="19"/>
        <v>No</v>
      </c>
    </row>
    <row r="275" spans="6:63">
      <c r="F275" s="55"/>
      <c r="G275">
        <v>274</v>
      </c>
      <c r="H275" s="7" t="s">
        <v>2035</v>
      </c>
      <c r="I275" t="s">
        <v>29</v>
      </c>
      <c r="J275">
        <f>LEN(H275)</f>
        <v>9</v>
      </c>
      <c r="K275" s="49" t="s">
        <v>6417</v>
      </c>
      <c r="O275" s="3" t="s">
        <v>7010</v>
      </c>
      <c r="P275" s="3" t="s">
        <v>7010</v>
      </c>
      <c r="Q275" s="3" t="s">
        <v>7010</v>
      </c>
      <c r="R275" s="3" t="s">
        <v>7010</v>
      </c>
      <c r="S275" s="3" t="s">
        <v>7010</v>
      </c>
      <c r="T275" s="3" t="s">
        <v>7015</v>
      </c>
      <c r="U275" s="3" t="s">
        <v>7010</v>
      </c>
      <c r="V275" s="3" t="s">
        <v>7010</v>
      </c>
      <c r="W275" s="74" t="str">
        <f t="shared" si="17"/>
        <v>Yes</v>
      </c>
      <c r="Z275">
        <v>274</v>
      </c>
      <c r="AA275" s="55" t="s">
        <v>887</v>
      </c>
      <c r="AB275" t="s">
        <v>643</v>
      </c>
      <c r="AC275">
        <f t="shared" si="16"/>
        <v>6</v>
      </c>
      <c r="AD275" s="30" t="s">
        <v>3370</v>
      </c>
      <c r="AF275" t="s">
        <v>7690</v>
      </c>
      <c r="AH275" s="3" t="s">
        <v>7015</v>
      </c>
      <c r="AI275" s="3" t="s">
        <v>7010</v>
      </c>
      <c r="AJ275" s="3" t="s">
        <v>7010</v>
      </c>
      <c r="AK275" s="3" t="s">
        <v>7015</v>
      </c>
      <c r="AL275" s="3" t="s">
        <v>7010</v>
      </c>
      <c r="AM275" s="3" t="s">
        <v>7010</v>
      </c>
      <c r="AN275" s="3" t="s">
        <v>7010</v>
      </c>
      <c r="AO275" s="3" t="s">
        <v>7010</v>
      </c>
      <c r="AP275" s="74" t="s">
        <v>7015</v>
      </c>
      <c r="AU275">
        <v>274</v>
      </c>
      <c r="AV275" t="s">
        <v>3371</v>
      </c>
      <c r="AW275" t="s">
        <v>2279</v>
      </c>
      <c r="AX275">
        <f t="shared" si="18"/>
        <v>11</v>
      </c>
      <c r="AY275" s="30" t="s">
        <v>3372</v>
      </c>
      <c r="BC275" s="3" t="s">
        <v>7010</v>
      </c>
      <c r="BD275" s="3" t="s">
        <v>7010</v>
      </c>
      <c r="BE275" s="3" t="s">
        <v>7010</v>
      </c>
      <c r="BF275" s="3" t="s">
        <v>7010</v>
      </c>
      <c r="BG275" s="3" t="s">
        <v>7010</v>
      </c>
      <c r="BH275" s="3" t="s">
        <v>7010</v>
      </c>
      <c r="BI275" s="3" t="s">
        <v>7010</v>
      </c>
      <c r="BJ275" s="3" t="s">
        <v>7010</v>
      </c>
      <c r="BK275" s="74" t="str">
        <f t="shared" si="19"/>
        <v>No</v>
      </c>
    </row>
    <row r="276" spans="6:63">
      <c r="F276" s="55"/>
      <c r="G276">
        <v>275</v>
      </c>
      <c r="H276" s="7" t="s">
        <v>2185</v>
      </c>
      <c r="I276" t="s">
        <v>29</v>
      </c>
      <c r="J276">
        <f>LEN(H276)</f>
        <v>23</v>
      </c>
      <c r="K276" s="49" t="s">
        <v>6786</v>
      </c>
      <c r="O276" s="3" t="s">
        <v>7010</v>
      </c>
      <c r="P276" s="3" t="s">
        <v>7010</v>
      </c>
      <c r="Q276" s="3" t="s">
        <v>7010</v>
      </c>
      <c r="R276" s="3" t="s">
        <v>7010</v>
      </c>
      <c r="S276" s="3" t="s">
        <v>7010</v>
      </c>
      <c r="T276" s="3" t="s">
        <v>7010</v>
      </c>
      <c r="U276" s="3" t="s">
        <v>7010</v>
      </c>
      <c r="V276" s="3" t="s">
        <v>7010</v>
      </c>
      <c r="W276" s="74" t="str">
        <f t="shared" si="17"/>
        <v>No</v>
      </c>
      <c r="Z276">
        <v>275</v>
      </c>
      <c r="AA276" s="55" t="s">
        <v>888</v>
      </c>
      <c r="AB276" t="s">
        <v>643</v>
      </c>
      <c r="AC276">
        <f t="shared" si="16"/>
        <v>7</v>
      </c>
      <c r="AD276" s="30" t="s">
        <v>3374</v>
      </c>
      <c r="AF276" t="s">
        <v>7691</v>
      </c>
      <c r="AH276" s="3" t="s">
        <v>7015</v>
      </c>
      <c r="AI276" s="3" t="s">
        <v>7010</v>
      </c>
      <c r="AJ276" s="3" t="s">
        <v>7010</v>
      </c>
      <c r="AK276" s="3" t="s">
        <v>7015</v>
      </c>
      <c r="AL276" s="3" t="s">
        <v>7010</v>
      </c>
      <c r="AM276" s="3" t="s">
        <v>7010</v>
      </c>
      <c r="AN276" s="3" t="s">
        <v>7010</v>
      </c>
      <c r="AO276" s="3" t="s">
        <v>7010</v>
      </c>
      <c r="AP276" s="74" t="s">
        <v>7015</v>
      </c>
      <c r="AU276">
        <v>275</v>
      </c>
      <c r="AV276" t="s">
        <v>3375</v>
      </c>
      <c r="AW276" t="s">
        <v>2279</v>
      </c>
      <c r="AX276">
        <f t="shared" si="18"/>
        <v>13</v>
      </c>
      <c r="AY276" s="30" t="s">
        <v>3376</v>
      </c>
      <c r="BC276" s="3" t="s">
        <v>7010</v>
      </c>
      <c r="BD276" s="3" t="s">
        <v>7010</v>
      </c>
      <c r="BE276" s="3" t="s">
        <v>7010</v>
      </c>
      <c r="BF276" s="3" t="s">
        <v>7010</v>
      </c>
      <c r="BG276" s="3" t="s">
        <v>7010</v>
      </c>
      <c r="BH276" s="3" t="s">
        <v>7010</v>
      </c>
      <c r="BI276" s="3" t="s">
        <v>7010</v>
      </c>
      <c r="BJ276" s="3" t="s">
        <v>7010</v>
      </c>
      <c r="BK276" s="74" t="str">
        <f t="shared" si="19"/>
        <v>No</v>
      </c>
    </row>
    <row r="277" spans="6:63">
      <c r="F277" s="55"/>
      <c r="G277">
        <v>276</v>
      </c>
      <c r="H277" s="7" t="s">
        <v>626</v>
      </c>
      <c r="I277" t="s">
        <v>29</v>
      </c>
      <c r="J277">
        <f>LEN(H277)</f>
        <v>14</v>
      </c>
      <c r="K277" s="49" t="s">
        <v>3421</v>
      </c>
      <c r="O277" s="3" t="s">
        <v>7010</v>
      </c>
      <c r="P277" s="3" t="s">
        <v>7010</v>
      </c>
      <c r="Q277" s="3" t="s">
        <v>7010</v>
      </c>
      <c r="R277" s="3" t="s">
        <v>7010</v>
      </c>
      <c r="S277" s="3" t="s">
        <v>7010</v>
      </c>
      <c r="T277" s="3" t="s">
        <v>7010</v>
      </c>
      <c r="U277" s="3" t="s">
        <v>7010</v>
      </c>
      <c r="V277" s="3" t="s">
        <v>7010</v>
      </c>
      <c r="W277" s="74" t="str">
        <f t="shared" si="17"/>
        <v>No</v>
      </c>
      <c r="Z277">
        <v>276</v>
      </c>
      <c r="AA277" s="55" t="s">
        <v>889</v>
      </c>
      <c r="AB277" t="s">
        <v>643</v>
      </c>
      <c r="AC277">
        <f t="shared" si="16"/>
        <v>6</v>
      </c>
      <c r="AD277" s="30" t="s">
        <v>3378</v>
      </c>
      <c r="AF277" t="s">
        <v>7692</v>
      </c>
      <c r="AH277" s="3" t="s">
        <v>7015</v>
      </c>
      <c r="AI277" s="3" t="s">
        <v>7010</v>
      </c>
      <c r="AJ277" s="3" t="s">
        <v>7010</v>
      </c>
      <c r="AK277" s="3" t="s">
        <v>7015</v>
      </c>
      <c r="AL277" s="3" t="s">
        <v>7010</v>
      </c>
      <c r="AM277" s="3" t="s">
        <v>7010</v>
      </c>
      <c r="AN277" s="3" t="s">
        <v>7010</v>
      </c>
      <c r="AO277" s="3" t="s">
        <v>7010</v>
      </c>
      <c r="AP277" s="74" t="s">
        <v>7015</v>
      </c>
      <c r="AU277">
        <v>276</v>
      </c>
      <c r="AV277" t="s">
        <v>3379</v>
      </c>
      <c r="AW277" t="s">
        <v>2279</v>
      </c>
      <c r="AX277">
        <f t="shared" si="18"/>
        <v>8</v>
      </c>
      <c r="AY277" s="30" t="s">
        <v>3380</v>
      </c>
      <c r="BC277" s="3" t="s">
        <v>7015</v>
      </c>
      <c r="BD277" s="3" t="s">
        <v>7010</v>
      </c>
      <c r="BE277" s="3" t="s">
        <v>7015</v>
      </c>
      <c r="BF277" s="3" t="s">
        <v>7010</v>
      </c>
      <c r="BG277" s="3" t="s">
        <v>7010</v>
      </c>
      <c r="BH277" s="3" t="s">
        <v>7010</v>
      </c>
      <c r="BI277" s="3" t="s">
        <v>7010</v>
      </c>
      <c r="BJ277" s="3" t="s">
        <v>7010</v>
      </c>
      <c r="BK277" s="74" t="str">
        <f t="shared" si="19"/>
        <v>Yes</v>
      </c>
    </row>
    <row r="278" spans="6:63">
      <c r="F278" s="55"/>
      <c r="G278">
        <v>277</v>
      </c>
      <c r="H278" s="7" t="s">
        <v>1934</v>
      </c>
      <c r="I278" t="s">
        <v>29</v>
      </c>
      <c r="J278">
        <f>LEN(H278)</f>
        <v>11</v>
      </c>
      <c r="K278" s="49" t="s">
        <v>6147</v>
      </c>
      <c r="O278" s="3" t="s">
        <v>7010</v>
      </c>
      <c r="P278" s="3" t="s">
        <v>7010</v>
      </c>
      <c r="Q278" s="3" t="s">
        <v>7010</v>
      </c>
      <c r="R278" s="3" t="s">
        <v>7010</v>
      </c>
      <c r="S278" s="3" t="s">
        <v>7010</v>
      </c>
      <c r="T278" s="3" t="s">
        <v>7010</v>
      </c>
      <c r="U278" s="3" t="s">
        <v>7010</v>
      </c>
      <c r="V278" s="3" t="s">
        <v>7010</v>
      </c>
      <c r="W278" s="74" t="str">
        <f t="shared" si="17"/>
        <v>No</v>
      </c>
      <c r="Z278">
        <v>277</v>
      </c>
      <c r="AA278" s="55" t="s">
        <v>890</v>
      </c>
      <c r="AB278" t="s">
        <v>643</v>
      </c>
      <c r="AC278">
        <f t="shared" si="16"/>
        <v>7</v>
      </c>
      <c r="AD278" s="30" t="s">
        <v>3382</v>
      </c>
      <c r="AF278" t="s">
        <v>7693</v>
      </c>
      <c r="AH278" s="3" t="s">
        <v>7015</v>
      </c>
      <c r="AI278" s="3" t="s">
        <v>7010</v>
      </c>
      <c r="AJ278" s="3" t="s">
        <v>7010</v>
      </c>
      <c r="AK278" s="3" t="s">
        <v>7015</v>
      </c>
      <c r="AL278" s="3" t="s">
        <v>7010</v>
      </c>
      <c r="AM278" s="3" t="s">
        <v>7010</v>
      </c>
      <c r="AN278" s="3" t="s">
        <v>7010</v>
      </c>
      <c r="AO278" s="3" t="s">
        <v>7010</v>
      </c>
      <c r="AP278" s="74" t="s">
        <v>7015</v>
      </c>
      <c r="AU278">
        <v>277</v>
      </c>
      <c r="AV278" t="s">
        <v>3383</v>
      </c>
      <c r="AW278" t="s">
        <v>2279</v>
      </c>
      <c r="AX278">
        <f t="shared" si="18"/>
        <v>14</v>
      </c>
      <c r="AY278" s="30" t="s">
        <v>3384</v>
      </c>
      <c r="BC278" s="3" t="s">
        <v>7010</v>
      </c>
      <c r="BD278" s="3" t="s">
        <v>7010</v>
      </c>
      <c r="BE278" s="3" t="s">
        <v>7010</v>
      </c>
      <c r="BF278" s="3" t="s">
        <v>7010</v>
      </c>
      <c r="BG278" s="3" t="s">
        <v>7010</v>
      </c>
      <c r="BH278" s="3" t="s">
        <v>7010</v>
      </c>
      <c r="BI278" s="3" t="s">
        <v>7010</v>
      </c>
      <c r="BJ278" s="3" t="s">
        <v>7010</v>
      </c>
      <c r="BK278" s="74" t="str">
        <f t="shared" si="19"/>
        <v>No</v>
      </c>
    </row>
    <row r="279" spans="6:63">
      <c r="F279" s="55"/>
      <c r="G279">
        <v>278</v>
      </c>
      <c r="H279" s="7" t="s">
        <v>2073</v>
      </c>
      <c r="I279" t="s">
        <v>29</v>
      </c>
      <c r="J279">
        <f>LEN(H279)</f>
        <v>16</v>
      </c>
      <c r="K279" s="49" t="s">
        <v>6508</v>
      </c>
      <c r="O279" s="3" t="s">
        <v>7010</v>
      </c>
      <c r="P279" s="3" t="s">
        <v>7010</v>
      </c>
      <c r="Q279" s="3" t="s">
        <v>7010</v>
      </c>
      <c r="R279" s="3" t="s">
        <v>7010</v>
      </c>
      <c r="S279" s="3" t="s">
        <v>7010</v>
      </c>
      <c r="T279" s="3" t="s">
        <v>7015</v>
      </c>
      <c r="U279" s="3" t="s">
        <v>7010</v>
      </c>
      <c r="V279" s="3" t="s">
        <v>7010</v>
      </c>
      <c r="W279" s="74" t="str">
        <f t="shared" si="17"/>
        <v>Yes</v>
      </c>
      <c r="Z279">
        <v>278</v>
      </c>
      <c r="AA279" s="55" t="s">
        <v>891</v>
      </c>
      <c r="AB279" t="s">
        <v>643</v>
      </c>
      <c r="AC279">
        <f t="shared" si="16"/>
        <v>8</v>
      </c>
      <c r="AD279" s="30" t="s">
        <v>3386</v>
      </c>
      <c r="AF279" t="s">
        <v>7694</v>
      </c>
      <c r="AH279" s="3" t="s">
        <v>7015</v>
      </c>
      <c r="AI279" s="3" t="s">
        <v>7010</v>
      </c>
      <c r="AJ279" s="3" t="s">
        <v>7010</v>
      </c>
      <c r="AK279" s="3" t="s">
        <v>7015</v>
      </c>
      <c r="AL279" s="3" t="s">
        <v>7010</v>
      </c>
      <c r="AM279" s="3" t="s">
        <v>7010</v>
      </c>
      <c r="AN279" s="3" t="s">
        <v>7010</v>
      </c>
      <c r="AO279" s="3" t="s">
        <v>7010</v>
      </c>
      <c r="AP279" s="74" t="s">
        <v>7015</v>
      </c>
      <c r="AU279">
        <v>278</v>
      </c>
      <c r="AV279" t="s">
        <v>3387</v>
      </c>
      <c r="AW279" t="s">
        <v>2279</v>
      </c>
      <c r="AX279">
        <f t="shared" si="18"/>
        <v>8</v>
      </c>
      <c r="AY279" s="30" t="s">
        <v>3388</v>
      </c>
      <c r="BC279" s="3" t="s">
        <v>7010</v>
      </c>
      <c r="BD279" s="3" t="s">
        <v>7010</v>
      </c>
      <c r="BE279" s="3" t="s">
        <v>7010</v>
      </c>
      <c r="BF279" s="3" t="s">
        <v>7010</v>
      </c>
      <c r="BG279" s="3" t="s">
        <v>7010</v>
      </c>
      <c r="BH279" s="3" t="s">
        <v>7010</v>
      </c>
      <c r="BI279" s="3" t="s">
        <v>7010</v>
      </c>
      <c r="BJ279" s="3" t="s">
        <v>7010</v>
      </c>
      <c r="BK279" s="74" t="str">
        <f t="shared" si="19"/>
        <v>No</v>
      </c>
    </row>
    <row r="280" spans="6:63">
      <c r="F280" s="55"/>
      <c r="G280">
        <v>279</v>
      </c>
      <c r="H280" s="7" t="s">
        <v>499</v>
      </c>
      <c r="I280" t="s">
        <v>29</v>
      </c>
      <c r="J280">
        <f>LEN(H280)</f>
        <v>16</v>
      </c>
      <c r="K280" s="49" t="s">
        <v>2913</v>
      </c>
      <c r="O280" s="3" t="s">
        <v>7010</v>
      </c>
      <c r="P280" s="3" t="s">
        <v>7010</v>
      </c>
      <c r="Q280" s="3" t="s">
        <v>7010</v>
      </c>
      <c r="R280" s="3" t="s">
        <v>7010</v>
      </c>
      <c r="S280" s="3" t="s">
        <v>7010</v>
      </c>
      <c r="T280" s="3" t="s">
        <v>7010</v>
      </c>
      <c r="U280" s="3" t="s">
        <v>7010</v>
      </c>
      <c r="V280" s="3" t="s">
        <v>7010</v>
      </c>
      <c r="W280" s="74" t="str">
        <f t="shared" si="17"/>
        <v>No</v>
      </c>
      <c r="Z280">
        <v>279</v>
      </c>
      <c r="AA280" s="55" t="s">
        <v>892</v>
      </c>
      <c r="AB280" t="s">
        <v>643</v>
      </c>
      <c r="AC280">
        <f t="shared" si="16"/>
        <v>8</v>
      </c>
      <c r="AD280" s="30" t="s">
        <v>3390</v>
      </c>
      <c r="AF280" t="s">
        <v>7695</v>
      </c>
      <c r="AH280" s="3" t="s">
        <v>7015</v>
      </c>
      <c r="AI280" s="3" t="s">
        <v>7010</v>
      </c>
      <c r="AJ280" s="3" t="s">
        <v>7010</v>
      </c>
      <c r="AK280" s="3" t="s">
        <v>7015</v>
      </c>
      <c r="AL280" s="3" t="s">
        <v>7010</v>
      </c>
      <c r="AM280" s="3" t="s">
        <v>7010</v>
      </c>
      <c r="AN280" s="3" t="s">
        <v>7010</v>
      </c>
      <c r="AO280" s="3" t="s">
        <v>7010</v>
      </c>
      <c r="AP280" s="74" t="s">
        <v>7015</v>
      </c>
      <c r="AU280">
        <v>279</v>
      </c>
      <c r="AV280" t="s">
        <v>3391</v>
      </c>
      <c r="AW280" t="s">
        <v>2279</v>
      </c>
      <c r="AX280">
        <f t="shared" si="18"/>
        <v>10</v>
      </c>
      <c r="AY280" s="30" t="s">
        <v>3392</v>
      </c>
      <c r="BC280" s="3" t="s">
        <v>7015</v>
      </c>
      <c r="BD280" s="3" t="s">
        <v>7010</v>
      </c>
      <c r="BE280" s="3" t="s">
        <v>7015</v>
      </c>
      <c r="BF280" s="3" t="s">
        <v>7010</v>
      </c>
      <c r="BG280" s="3" t="s">
        <v>7010</v>
      </c>
      <c r="BH280" s="3" t="s">
        <v>7010</v>
      </c>
      <c r="BI280" s="3" t="s">
        <v>7010</v>
      </c>
      <c r="BJ280" s="3" t="s">
        <v>7010</v>
      </c>
      <c r="BK280" s="74" t="str">
        <f t="shared" si="19"/>
        <v>Yes</v>
      </c>
    </row>
    <row r="281" spans="6:63">
      <c r="F281" s="55"/>
      <c r="G281">
        <v>280</v>
      </c>
      <c r="H281" s="7" t="s">
        <v>2139</v>
      </c>
      <c r="I281" t="s">
        <v>29</v>
      </c>
      <c r="J281">
        <f>LEN(H281)</f>
        <v>16</v>
      </c>
      <c r="K281" s="49" t="s">
        <v>6673</v>
      </c>
      <c r="O281" s="3" t="s">
        <v>7010</v>
      </c>
      <c r="P281" s="3" t="s">
        <v>7010</v>
      </c>
      <c r="Q281" s="3" t="s">
        <v>7010</v>
      </c>
      <c r="R281" s="3" t="s">
        <v>7010</v>
      </c>
      <c r="S281" s="3" t="s">
        <v>7010</v>
      </c>
      <c r="T281" s="3" t="s">
        <v>7015</v>
      </c>
      <c r="U281" s="3" t="s">
        <v>7010</v>
      </c>
      <c r="V281" s="3" t="s">
        <v>7010</v>
      </c>
      <c r="W281" s="74" t="str">
        <f t="shared" si="17"/>
        <v>Yes</v>
      </c>
      <c r="Z281">
        <v>280</v>
      </c>
      <c r="AA281" s="55" t="s">
        <v>893</v>
      </c>
      <c r="AB281" t="s">
        <v>643</v>
      </c>
      <c r="AC281">
        <f t="shared" si="16"/>
        <v>7</v>
      </c>
      <c r="AD281" s="30" t="s">
        <v>3394</v>
      </c>
      <c r="AF281" t="s">
        <v>7696</v>
      </c>
      <c r="AH281" s="3" t="s">
        <v>7015</v>
      </c>
      <c r="AI281" s="3" t="s">
        <v>7010</v>
      </c>
      <c r="AJ281" s="3" t="s">
        <v>7010</v>
      </c>
      <c r="AK281" s="3" t="s">
        <v>7015</v>
      </c>
      <c r="AL281" s="3" t="s">
        <v>7010</v>
      </c>
      <c r="AM281" s="3" t="s">
        <v>7010</v>
      </c>
      <c r="AN281" s="3" t="s">
        <v>7010</v>
      </c>
      <c r="AO281" s="3" t="s">
        <v>7010</v>
      </c>
      <c r="AP281" s="74" t="s">
        <v>7015</v>
      </c>
      <c r="AU281">
        <v>280</v>
      </c>
      <c r="AV281" t="s">
        <v>3395</v>
      </c>
      <c r="AW281" t="s">
        <v>2279</v>
      </c>
      <c r="AX281">
        <f t="shared" si="18"/>
        <v>11</v>
      </c>
      <c r="AY281" s="30" t="s">
        <v>3396</v>
      </c>
      <c r="BC281" s="3" t="s">
        <v>7010</v>
      </c>
      <c r="BD281" s="3" t="s">
        <v>7010</v>
      </c>
      <c r="BE281" s="3" t="s">
        <v>7010</v>
      </c>
      <c r="BF281" s="3" t="s">
        <v>7010</v>
      </c>
      <c r="BG281" s="3" t="s">
        <v>7010</v>
      </c>
      <c r="BH281" s="3" t="s">
        <v>7010</v>
      </c>
      <c r="BI281" s="3" t="s">
        <v>7010</v>
      </c>
      <c r="BJ281" s="3" t="s">
        <v>7010</v>
      </c>
      <c r="BK281" s="74" t="str">
        <f t="shared" si="19"/>
        <v>No</v>
      </c>
    </row>
    <row r="282" spans="6:63">
      <c r="F282" s="55"/>
      <c r="G282">
        <v>281</v>
      </c>
      <c r="H282" s="7" t="s">
        <v>384</v>
      </c>
      <c r="I282" t="s">
        <v>29</v>
      </c>
      <c r="J282">
        <f>LEN(H282)</f>
        <v>12</v>
      </c>
      <c r="K282" s="49" t="s">
        <v>2453</v>
      </c>
      <c r="O282" s="3" t="s">
        <v>7010</v>
      </c>
      <c r="P282" s="3" t="s">
        <v>7010</v>
      </c>
      <c r="Q282" s="3" t="s">
        <v>7010</v>
      </c>
      <c r="R282" s="3" t="s">
        <v>7010</v>
      </c>
      <c r="S282" s="3" t="s">
        <v>7010</v>
      </c>
      <c r="T282" s="3" t="s">
        <v>7010</v>
      </c>
      <c r="U282" s="3" t="s">
        <v>7010</v>
      </c>
      <c r="V282" s="3" t="s">
        <v>7010</v>
      </c>
      <c r="W282" s="74" t="str">
        <f t="shared" si="17"/>
        <v>No</v>
      </c>
      <c r="Z282">
        <v>281</v>
      </c>
      <c r="AA282" s="55" t="s">
        <v>894</v>
      </c>
      <c r="AB282" t="s">
        <v>643</v>
      </c>
      <c r="AC282">
        <f t="shared" si="16"/>
        <v>6</v>
      </c>
      <c r="AD282" s="30" t="s">
        <v>3398</v>
      </c>
      <c r="AF282" t="s">
        <v>7697</v>
      </c>
      <c r="AH282" s="3" t="s">
        <v>7015</v>
      </c>
      <c r="AI282" s="3" t="s">
        <v>7010</v>
      </c>
      <c r="AJ282" s="3" t="s">
        <v>7010</v>
      </c>
      <c r="AK282" s="3" t="s">
        <v>7015</v>
      </c>
      <c r="AL282" s="3" t="s">
        <v>7010</v>
      </c>
      <c r="AM282" s="3" t="s">
        <v>7010</v>
      </c>
      <c r="AN282" s="3" t="s">
        <v>7010</v>
      </c>
      <c r="AO282" s="3" t="s">
        <v>7010</v>
      </c>
      <c r="AP282" s="74" t="s">
        <v>7015</v>
      </c>
      <c r="AU282">
        <v>281</v>
      </c>
      <c r="AV282" t="s">
        <v>3399</v>
      </c>
      <c r="AW282" t="s">
        <v>2279</v>
      </c>
      <c r="AX282">
        <f t="shared" si="18"/>
        <v>8</v>
      </c>
      <c r="AY282" s="30" t="s">
        <v>3400</v>
      </c>
      <c r="BC282" s="3" t="s">
        <v>7010</v>
      </c>
      <c r="BD282" s="3" t="s">
        <v>7010</v>
      </c>
      <c r="BE282" s="3" t="s">
        <v>7010</v>
      </c>
      <c r="BF282" s="3" t="s">
        <v>7010</v>
      </c>
      <c r="BG282" s="3" t="s">
        <v>7010</v>
      </c>
      <c r="BH282" s="3" t="s">
        <v>7010</v>
      </c>
      <c r="BI282" s="3" t="s">
        <v>7010</v>
      </c>
      <c r="BJ282" s="3" t="s">
        <v>7010</v>
      </c>
      <c r="BK282" s="74" t="str">
        <f t="shared" si="19"/>
        <v>No</v>
      </c>
    </row>
    <row r="283" spans="6:63">
      <c r="F283" s="55"/>
      <c r="G283">
        <v>282</v>
      </c>
      <c r="H283" s="7" t="s">
        <v>1060</v>
      </c>
      <c r="I283" t="s">
        <v>29</v>
      </c>
      <c r="J283">
        <f>LEN(H283)</f>
        <v>11</v>
      </c>
      <c r="K283" s="49" t="s">
        <v>3858</v>
      </c>
      <c r="O283" s="3" t="s">
        <v>7010</v>
      </c>
      <c r="P283" s="3" t="s">
        <v>7010</v>
      </c>
      <c r="Q283" s="3" t="s">
        <v>7010</v>
      </c>
      <c r="R283" s="3" t="s">
        <v>7010</v>
      </c>
      <c r="S283" s="3" t="s">
        <v>7010</v>
      </c>
      <c r="T283" s="3" t="s">
        <v>7015</v>
      </c>
      <c r="U283" s="3" t="s">
        <v>7010</v>
      </c>
      <c r="V283" s="3" t="s">
        <v>7010</v>
      </c>
      <c r="W283" s="74" t="str">
        <f t="shared" si="17"/>
        <v>Yes</v>
      </c>
      <c r="Z283">
        <v>282</v>
      </c>
      <c r="AA283" s="55" t="s">
        <v>895</v>
      </c>
      <c r="AB283" t="s">
        <v>643</v>
      </c>
      <c r="AC283">
        <f t="shared" si="16"/>
        <v>6</v>
      </c>
      <c r="AD283" s="30" t="s">
        <v>3402</v>
      </c>
      <c r="AF283" t="s">
        <v>7698</v>
      </c>
      <c r="AH283" s="3" t="s">
        <v>7015</v>
      </c>
      <c r="AI283" s="3" t="s">
        <v>7010</v>
      </c>
      <c r="AJ283" s="3" t="s">
        <v>7010</v>
      </c>
      <c r="AK283" s="3" t="s">
        <v>7015</v>
      </c>
      <c r="AL283" s="3" t="s">
        <v>7010</v>
      </c>
      <c r="AM283" s="3" t="s">
        <v>7010</v>
      </c>
      <c r="AN283" s="3" t="s">
        <v>7010</v>
      </c>
      <c r="AO283" s="3" t="s">
        <v>7010</v>
      </c>
      <c r="AP283" s="74" t="s">
        <v>7015</v>
      </c>
      <c r="AU283">
        <v>282</v>
      </c>
      <c r="AV283" t="s">
        <v>3403</v>
      </c>
      <c r="AW283" t="s">
        <v>2279</v>
      </c>
      <c r="AX283">
        <f t="shared" si="18"/>
        <v>8</v>
      </c>
      <c r="AY283" s="30" t="s">
        <v>3404</v>
      </c>
      <c r="BC283" s="3" t="s">
        <v>7010</v>
      </c>
      <c r="BD283" s="3" t="s">
        <v>7010</v>
      </c>
      <c r="BE283" s="3" t="s">
        <v>7015</v>
      </c>
      <c r="BF283" s="3" t="s">
        <v>7010</v>
      </c>
      <c r="BG283" s="3" t="s">
        <v>7010</v>
      </c>
      <c r="BH283" s="3" t="s">
        <v>7010</v>
      </c>
      <c r="BI283" s="3" t="s">
        <v>7010</v>
      </c>
      <c r="BJ283" s="3" t="s">
        <v>7010</v>
      </c>
      <c r="BK283" s="74" t="str">
        <f t="shared" si="19"/>
        <v>Yes</v>
      </c>
    </row>
    <row r="284" spans="6:63">
      <c r="F284" s="55"/>
      <c r="G284">
        <v>283</v>
      </c>
      <c r="H284" s="7" t="s">
        <v>912</v>
      </c>
      <c r="I284" t="s">
        <v>29</v>
      </c>
      <c r="J284">
        <f>LEN(H284)</f>
        <v>15</v>
      </c>
      <c r="K284" s="49" t="s">
        <v>3477</v>
      </c>
      <c r="O284" s="3" t="s">
        <v>7010</v>
      </c>
      <c r="P284" s="3" t="s">
        <v>7010</v>
      </c>
      <c r="Q284" s="3" t="s">
        <v>7010</v>
      </c>
      <c r="R284" s="3" t="s">
        <v>7010</v>
      </c>
      <c r="S284" s="3" t="s">
        <v>7010</v>
      </c>
      <c r="T284" s="3" t="s">
        <v>7010</v>
      </c>
      <c r="U284" s="3" t="s">
        <v>7010</v>
      </c>
      <c r="V284" s="3" t="s">
        <v>7010</v>
      </c>
      <c r="W284" s="74" t="str">
        <f t="shared" si="17"/>
        <v>No</v>
      </c>
      <c r="Z284">
        <v>283</v>
      </c>
      <c r="AA284" s="55" t="s">
        <v>896</v>
      </c>
      <c r="AB284" t="s">
        <v>643</v>
      </c>
      <c r="AC284">
        <f t="shared" si="16"/>
        <v>5</v>
      </c>
      <c r="AD284" s="30" t="s">
        <v>3406</v>
      </c>
      <c r="AF284" t="s">
        <v>7699</v>
      </c>
      <c r="AH284" s="3" t="s">
        <v>7015</v>
      </c>
      <c r="AI284" s="3" t="s">
        <v>7010</v>
      </c>
      <c r="AJ284" s="3" t="s">
        <v>7010</v>
      </c>
      <c r="AK284" s="3" t="s">
        <v>7015</v>
      </c>
      <c r="AL284" s="3" t="s">
        <v>7010</v>
      </c>
      <c r="AM284" s="3" t="s">
        <v>7010</v>
      </c>
      <c r="AN284" s="3" t="s">
        <v>7010</v>
      </c>
      <c r="AO284" s="3" t="s">
        <v>7010</v>
      </c>
      <c r="AP284" s="74" t="s">
        <v>7015</v>
      </c>
      <c r="AU284">
        <v>283</v>
      </c>
      <c r="AV284" t="s">
        <v>3407</v>
      </c>
      <c r="AW284" t="s">
        <v>2279</v>
      </c>
      <c r="AX284">
        <f t="shared" si="18"/>
        <v>8</v>
      </c>
      <c r="AY284" s="30" t="s">
        <v>3408</v>
      </c>
      <c r="BC284" s="3" t="s">
        <v>7010</v>
      </c>
      <c r="BD284" s="3" t="s">
        <v>7010</v>
      </c>
      <c r="BE284" s="3" t="s">
        <v>7010</v>
      </c>
      <c r="BF284" s="3" t="s">
        <v>7010</v>
      </c>
      <c r="BG284" s="3" t="s">
        <v>7010</v>
      </c>
      <c r="BH284" s="3" t="s">
        <v>7010</v>
      </c>
      <c r="BI284" s="3" t="s">
        <v>7010</v>
      </c>
      <c r="BJ284" s="3" t="s">
        <v>7010</v>
      </c>
      <c r="BK284" s="74" t="str">
        <f t="shared" si="19"/>
        <v>No</v>
      </c>
    </row>
    <row r="285" spans="6:63">
      <c r="F285" s="55"/>
      <c r="G285">
        <v>284</v>
      </c>
      <c r="H285" s="7" t="s">
        <v>616</v>
      </c>
      <c r="I285" t="s">
        <v>29</v>
      </c>
      <c r="J285">
        <f>LEN(H285)</f>
        <v>9</v>
      </c>
      <c r="K285" s="49" t="s">
        <v>3381</v>
      </c>
      <c r="O285" s="3" t="s">
        <v>7010</v>
      </c>
      <c r="P285" s="3" t="s">
        <v>7010</v>
      </c>
      <c r="Q285" s="3" t="s">
        <v>7010</v>
      </c>
      <c r="R285" s="3" t="s">
        <v>7010</v>
      </c>
      <c r="S285" s="3" t="s">
        <v>7010</v>
      </c>
      <c r="T285" s="3" t="s">
        <v>7015</v>
      </c>
      <c r="U285" s="3" t="s">
        <v>7010</v>
      </c>
      <c r="V285" s="3" t="s">
        <v>7010</v>
      </c>
      <c r="W285" s="74" t="str">
        <f t="shared" si="17"/>
        <v>Yes</v>
      </c>
      <c r="Z285">
        <v>284</v>
      </c>
      <c r="AA285" s="55" t="s">
        <v>897</v>
      </c>
      <c r="AB285" t="s">
        <v>643</v>
      </c>
      <c r="AC285">
        <f t="shared" si="16"/>
        <v>5</v>
      </c>
      <c r="AD285" s="30" t="s">
        <v>3410</v>
      </c>
      <c r="AF285" t="s">
        <v>7700</v>
      </c>
      <c r="AH285" s="3" t="s">
        <v>7015</v>
      </c>
      <c r="AI285" s="3" t="s">
        <v>7010</v>
      </c>
      <c r="AJ285" s="3" t="s">
        <v>7010</v>
      </c>
      <c r="AK285" s="3" t="s">
        <v>7015</v>
      </c>
      <c r="AL285" s="3" t="s">
        <v>7010</v>
      </c>
      <c r="AM285" s="3" t="s">
        <v>7010</v>
      </c>
      <c r="AN285" s="3" t="s">
        <v>7010</v>
      </c>
      <c r="AO285" s="3" t="s">
        <v>7010</v>
      </c>
      <c r="AP285" s="74" t="s">
        <v>7015</v>
      </c>
      <c r="AU285">
        <v>284</v>
      </c>
      <c r="AV285" t="s">
        <v>3411</v>
      </c>
      <c r="AW285" t="s">
        <v>2279</v>
      </c>
      <c r="AX285">
        <f t="shared" si="18"/>
        <v>8</v>
      </c>
      <c r="AY285" s="30" t="s">
        <v>3412</v>
      </c>
      <c r="BC285" s="3" t="s">
        <v>7010</v>
      </c>
      <c r="BD285" s="3" t="s">
        <v>7010</v>
      </c>
      <c r="BE285" s="3" t="s">
        <v>7010</v>
      </c>
      <c r="BF285" s="3" t="s">
        <v>7010</v>
      </c>
      <c r="BG285" s="3" t="s">
        <v>7010</v>
      </c>
      <c r="BH285" s="3" t="s">
        <v>7010</v>
      </c>
      <c r="BI285" s="3" t="s">
        <v>7010</v>
      </c>
      <c r="BJ285" s="3" t="s">
        <v>7010</v>
      </c>
      <c r="BK285" s="74" t="str">
        <f t="shared" si="19"/>
        <v>No</v>
      </c>
    </row>
    <row r="286" spans="6:63">
      <c r="F286" s="55"/>
      <c r="G286">
        <v>285</v>
      </c>
      <c r="H286" s="7" t="s">
        <v>1098</v>
      </c>
      <c r="I286" t="s">
        <v>29</v>
      </c>
      <c r="J286">
        <f>LEN(H286)</f>
        <v>10</v>
      </c>
      <c r="K286" s="49" t="s">
        <v>3957</v>
      </c>
      <c r="O286" s="3" t="s">
        <v>7010</v>
      </c>
      <c r="P286" s="3" t="s">
        <v>7010</v>
      </c>
      <c r="Q286" s="3" t="s">
        <v>7010</v>
      </c>
      <c r="R286" s="3" t="s">
        <v>7010</v>
      </c>
      <c r="S286" s="3" t="s">
        <v>7010</v>
      </c>
      <c r="T286" s="3" t="s">
        <v>7010</v>
      </c>
      <c r="U286" s="3" t="s">
        <v>7010</v>
      </c>
      <c r="V286" s="3" t="s">
        <v>7010</v>
      </c>
      <c r="W286" s="74" t="str">
        <f t="shared" si="17"/>
        <v>No</v>
      </c>
      <c r="Z286">
        <v>285</v>
      </c>
      <c r="AA286" s="55" t="s">
        <v>898</v>
      </c>
      <c r="AB286" t="s">
        <v>643</v>
      </c>
      <c r="AC286">
        <f t="shared" si="16"/>
        <v>7</v>
      </c>
      <c r="AD286" s="30" t="s">
        <v>3414</v>
      </c>
      <c r="AF286" t="s">
        <v>7701</v>
      </c>
      <c r="AH286" s="3" t="s">
        <v>7015</v>
      </c>
      <c r="AI286" s="3" t="s">
        <v>7010</v>
      </c>
      <c r="AJ286" s="3" t="s">
        <v>7010</v>
      </c>
      <c r="AK286" s="3" t="s">
        <v>7015</v>
      </c>
      <c r="AL286" s="3" t="s">
        <v>7010</v>
      </c>
      <c r="AM286" s="3" t="s">
        <v>7010</v>
      </c>
      <c r="AN286" s="3" t="s">
        <v>7010</v>
      </c>
      <c r="AO286" s="3" t="s">
        <v>7010</v>
      </c>
      <c r="AP286" s="74" t="s">
        <v>7015</v>
      </c>
      <c r="AU286">
        <v>285</v>
      </c>
      <c r="AV286" t="s">
        <v>3415</v>
      </c>
      <c r="AW286" t="s">
        <v>2279</v>
      </c>
      <c r="AX286">
        <f t="shared" si="18"/>
        <v>8</v>
      </c>
      <c r="AY286" s="30" t="s">
        <v>3416</v>
      </c>
      <c r="BC286" s="3" t="s">
        <v>7010</v>
      </c>
      <c r="BD286" s="3" t="s">
        <v>7010</v>
      </c>
      <c r="BE286" s="3" t="s">
        <v>7015</v>
      </c>
      <c r="BF286" s="3" t="s">
        <v>7010</v>
      </c>
      <c r="BG286" s="3" t="s">
        <v>7010</v>
      </c>
      <c r="BH286" s="3" t="s">
        <v>7010</v>
      </c>
      <c r="BI286" s="3" t="s">
        <v>7010</v>
      </c>
      <c r="BJ286" s="3" t="s">
        <v>7010</v>
      </c>
      <c r="BK286" s="74" t="str">
        <f t="shared" si="19"/>
        <v>Yes</v>
      </c>
    </row>
    <row r="287" spans="6:63">
      <c r="F287" s="55"/>
      <c r="G287">
        <v>286</v>
      </c>
      <c r="H287" s="7" t="s">
        <v>1945</v>
      </c>
      <c r="I287" t="s">
        <v>29</v>
      </c>
      <c r="J287">
        <f>LEN(H287)</f>
        <v>12</v>
      </c>
      <c r="K287" s="49" t="s">
        <v>6180</v>
      </c>
      <c r="O287" s="3" t="s">
        <v>7010</v>
      </c>
      <c r="P287" s="3" t="s">
        <v>7010</v>
      </c>
      <c r="Q287" s="3" t="s">
        <v>7010</v>
      </c>
      <c r="R287" s="3" t="s">
        <v>7015</v>
      </c>
      <c r="S287" s="3" t="s">
        <v>7010</v>
      </c>
      <c r="T287" s="3" t="s">
        <v>7015</v>
      </c>
      <c r="U287" s="3" t="s">
        <v>7010</v>
      </c>
      <c r="V287" s="3" t="s">
        <v>7010</v>
      </c>
      <c r="W287" s="74" t="str">
        <f t="shared" si="17"/>
        <v>Yes</v>
      </c>
      <c r="Z287">
        <v>286</v>
      </c>
      <c r="AA287" s="55" t="s">
        <v>899</v>
      </c>
      <c r="AB287" t="s">
        <v>643</v>
      </c>
      <c r="AC287">
        <f t="shared" si="16"/>
        <v>7</v>
      </c>
      <c r="AD287" s="30" t="s">
        <v>3418</v>
      </c>
      <c r="AF287" t="s">
        <v>7702</v>
      </c>
      <c r="AH287" s="3" t="s">
        <v>7015</v>
      </c>
      <c r="AI287" s="3" t="s">
        <v>7010</v>
      </c>
      <c r="AJ287" s="3" t="s">
        <v>7010</v>
      </c>
      <c r="AK287" s="3" t="s">
        <v>7015</v>
      </c>
      <c r="AL287" s="3" t="s">
        <v>7010</v>
      </c>
      <c r="AM287" s="3" t="s">
        <v>7010</v>
      </c>
      <c r="AN287" s="3" t="s">
        <v>7010</v>
      </c>
      <c r="AO287" s="3" t="s">
        <v>7010</v>
      </c>
      <c r="AP287" s="74" t="s">
        <v>7015</v>
      </c>
      <c r="AU287">
        <v>286</v>
      </c>
      <c r="AV287" t="s">
        <v>3419</v>
      </c>
      <c r="AW287" t="s">
        <v>2279</v>
      </c>
      <c r="AX287">
        <f t="shared" si="18"/>
        <v>10</v>
      </c>
      <c r="AY287" s="30" t="s">
        <v>3420</v>
      </c>
      <c r="BC287" s="3" t="s">
        <v>7010</v>
      </c>
      <c r="BD287" s="3" t="s">
        <v>7010</v>
      </c>
      <c r="BE287" s="3" t="s">
        <v>7010</v>
      </c>
      <c r="BF287" s="3" t="s">
        <v>7010</v>
      </c>
      <c r="BG287" s="3" t="s">
        <v>7010</v>
      </c>
      <c r="BH287" s="3" t="s">
        <v>7010</v>
      </c>
      <c r="BI287" s="3" t="s">
        <v>7010</v>
      </c>
      <c r="BJ287" s="3" t="s">
        <v>7010</v>
      </c>
      <c r="BK287" s="74" t="str">
        <f t="shared" si="19"/>
        <v>No</v>
      </c>
    </row>
    <row r="288" spans="6:63">
      <c r="F288" s="55"/>
      <c r="G288">
        <v>287</v>
      </c>
      <c r="H288" s="7" t="s">
        <v>431</v>
      </c>
      <c r="I288" t="s">
        <v>29</v>
      </c>
      <c r="J288">
        <f>LEN(H288)</f>
        <v>10</v>
      </c>
      <c r="K288" s="49" t="s">
        <v>2641</v>
      </c>
      <c r="O288" s="3" t="s">
        <v>7010</v>
      </c>
      <c r="P288" s="3" t="s">
        <v>7010</v>
      </c>
      <c r="Q288" s="3" t="s">
        <v>7010</v>
      </c>
      <c r="R288" s="3" t="s">
        <v>7015</v>
      </c>
      <c r="S288" s="3" t="s">
        <v>7010</v>
      </c>
      <c r="T288" s="3" t="s">
        <v>7015</v>
      </c>
      <c r="U288" s="3" t="s">
        <v>7010</v>
      </c>
      <c r="V288" s="3" t="s">
        <v>7010</v>
      </c>
      <c r="W288" s="74" t="str">
        <f t="shared" si="17"/>
        <v>Yes</v>
      </c>
      <c r="Z288">
        <v>287</v>
      </c>
      <c r="AA288" s="55" t="s">
        <v>900</v>
      </c>
      <c r="AB288" t="s">
        <v>643</v>
      </c>
      <c r="AC288">
        <f t="shared" si="16"/>
        <v>6</v>
      </c>
      <c r="AD288" s="30" t="s">
        <v>3422</v>
      </c>
      <c r="AF288" t="s">
        <v>7703</v>
      </c>
      <c r="AH288" s="3" t="s">
        <v>7015</v>
      </c>
      <c r="AI288" s="3" t="s">
        <v>7010</v>
      </c>
      <c r="AJ288" s="3" t="s">
        <v>7010</v>
      </c>
      <c r="AK288" s="3" t="s">
        <v>7015</v>
      </c>
      <c r="AL288" s="3" t="s">
        <v>7010</v>
      </c>
      <c r="AM288" s="3" t="s">
        <v>7010</v>
      </c>
      <c r="AN288" s="3" t="s">
        <v>7010</v>
      </c>
      <c r="AO288" s="3" t="s">
        <v>7010</v>
      </c>
      <c r="AP288" s="74" t="s">
        <v>7015</v>
      </c>
      <c r="AU288">
        <v>287</v>
      </c>
      <c r="AV288" t="s">
        <v>3423</v>
      </c>
      <c r="AW288" t="s">
        <v>2279</v>
      </c>
      <c r="AX288">
        <f t="shared" si="18"/>
        <v>8</v>
      </c>
      <c r="AY288" s="30" t="s">
        <v>3424</v>
      </c>
      <c r="BC288" s="3" t="s">
        <v>7010</v>
      </c>
      <c r="BD288" s="3" t="s">
        <v>7010</v>
      </c>
      <c r="BE288" s="3" t="s">
        <v>7010</v>
      </c>
      <c r="BF288" s="3" t="s">
        <v>7010</v>
      </c>
      <c r="BG288" s="3" t="s">
        <v>7010</v>
      </c>
      <c r="BH288" s="3" t="s">
        <v>7010</v>
      </c>
      <c r="BI288" s="3" t="s">
        <v>7010</v>
      </c>
      <c r="BJ288" s="3" t="s">
        <v>7010</v>
      </c>
      <c r="BK288" s="74" t="str">
        <f t="shared" si="19"/>
        <v>No</v>
      </c>
    </row>
    <row r="289" spans="6:63">
      <c r="F289" s="55"/>
      <c r="G289">
        <v>288</v>
      </c>
      <c r="H289" s="9" t="s">
        <v>393</v>
      </c>
      <c r="I289" t="s">
        <v>29</v>
      </c>
      <c r="J289">
        <f>LEN(H289)</f>
        <v>9</v>
      </c>
      <c r="K289" s="49" t="s">
        <v>2489</v>
      </c>
      <c r="O289" s="3" t="s">
        <v>7010</v>
      </c>
      <c r="P289" s="3" t="s">
        <v>7010</v>
      </c>
      <c r="Q289" s="3" t="s">
        <v>7010</v>
      </c>
      <c r="R289" s="3" t="s">
        <v>7010</v>
      </c>
      <c r="S289" s="3" t="s">
        <v>7010</v>
      </c>
      <c r="T289" s="3" t="s">
        <v>7010</v>
      </c>
      <c r="U289" s="3" t="s">
        <v>7010</v>
      </c>
      <c r="V289" s="3" t="s">
        <v>7010</v>
      </c>
      <c r="W289" s="74" t="str">
        <f t="shared" si="17"/>
        <v>No</v>
      </c>
      <c r="Z289">
        <v>288</v>
      </c>
      <c r="AA289" s="55" t="s">
        <v>901</v>
      </c>
      <c r="AB289" t="s">
        <v>643</v>
      </c>
      <c r="AC289">
        <f t="shared" si="16"/>
        <v>6</v>
      </c>
      <c r="AD289" s="30" t="s">
        <v>3426</v>
      </c>
      <c r="AF289" t="s">
        <v>7704</v>
      </c>
      <c r="AH289" s="3" t="s">
        <v>7015</v>
      </c>
      <c r="AI289" s="3" t="s">
        <v>7010</v>
      </c>
      <c r="AJ289" s="3" t="s">
        <v>7010</v>
      </c>
      <c r="AK289" s="3" t="s">
        <v>7015</v>
      </c>
      <c r="AL289" s="3" t="s">
        <v>7010</v>
      </c>
      <c r="AM289" s="3" t="s">
        <v>7010</v>
      </c>
      <c r="AN289" s="3" t="s">
        <v>7010</v>
      </c>
      <c r="AO289" s="3" t="s">
        <v>7010</v>
      </c>
      <c r="AP289" s="74" t="s">
        <v>7015</v>
      </c>
      <c r="AU289">
        <v>288</v>
      </c>
      <c r="AV289" t="s">
        <v>3427</v>
      </c>
      <c r="AW289" t="s">
        <v>2279</v>
      </c>
      <c r="AX289">
        <f t="shared" si="18"/>
        <v>8</v>
      </c>
      <c r="AY289" s="30" t="s">
        <v>3428</v>
      </c>
      <c r="BC289" s="3" t="s">
        <v>7010</v>
      </c>
      <c r="BD289" s="3" t="s">
        <v>7010</v>
      </c>
      <c r="BE289" s="3" t="s">
        <v>7010</v>
      </c>
      <c r="BF289" s="3" t="s">
        <v>7010</v>
      </c>
      <c r="BG289" s="3" t="s">
        <v>7010</v>
      </c>
      <c r="BH289" s="3" t="s">
        <v>7010</v>
      </c>
      <c r="BI289" s="3" t="s">
        <v>7010</v>
      </c>
      <c r="BJ289" s="3" t="s">
        <v>7010</v>
      </c>
      <c r="BK289" s="74" t="str">
        <f t="shared" si="19"/>
        <v>No</v>
      </c>
    </row>
    <row r="290" spans="6:63">
      <c r="F290" s="55"/>
      <c r="G290">
        <v>289</v>
      </c>
      <c r="H290" s="7" t="s">
        <v>1971</v>
      </c>
      <c r="I290" t="s">
        <v>29</v>
      </c>
      <c r="J290">
        <f>LEN(H290)</f>
        <v>12</v>
      </c>
      <c r="K290" s="49" t="s">
        <v>6249</v>
      </c>
      <c r="O290" s="3" t="s">
        <v>7010</v>
      </c>
      <c r="P290" s="3" t="s">
        <v>7010</v>
      </c>
      <c r="Q290" s="3" t="s">
        <v>7010</v>
      </c>
      <c r="R290" s="3" t="s">
        <v>7010</v>
      </c>
      <c r="S290" s="3" t="s">
        <v>7010</v>
      </c>
      <c r="T290" s="3" t="s">
        <v>7010</v>
      </c>
      <c r="U290" s="3" t="s">
        <v>7010</v>
      </c>
      <c r="V290" s="3" t="s">
        <v>7010</v>
      </c>
      <c r="W290" s="74" t="str">
        <f t="shared" si="17"/>
        <v>No</v>
      </c>
      <c r="Z290">
        <v>289</v>
      </c>
      <c r="AA290" s="55" t="s">
        <v>902</v>
      </c>
      <c r="AB290" t="s">
        <v>643</v>
      </c>
      <c r="AC290">
        <f t="shared" si="16"/>
        <v>6</v>
      </c>
      <c r="AD290" s="30" t="s">
        <v>3430</v>
      </c>
      <c r="AF290" t="s">
        <v>7705</v>
      </c>
      <c r="AH290" s="3" t="s">
        <v>7015</v>
      </c>
      <c r="AI290" s="3" t="s">
        <v>7010</v>
      </c>
      <c r="AJ290" s="3" t="s">
        <v>7010</v>
      </c>
      <c r="AK290" s="3" t="s">
        <v>7015</v>
      </c>
      <c r="AL290" s="3" t="s">
        <v>7010</v>
      </c>
      <c r="AM290" s="3" t="s">
        <v>7010</v>
      </c>
      <c r="AN290" s="3" t="s">
        <v>7010</v>
      </c>
      <c r="AO290" s="3" t="s">
        <v>7010</v>
      </c>
      <c r="AP290" s="74" t="s">
        <v>7015</v>
      </c>
      <c r="AU290">
        <v>289</v>
      </c>
      <c r="AV290" t="s">
        <v>3431</v>
      </c>
      <c r="AW290" t="s">
        <v>2279</v>
      </c>
      <c r="AX290">
        <f t="shared" si="18"/>
        <v>9</v>
      </c>
      <c r="AY290" s="30" t="s">
        <v>3432</v>
      </c>
      <c r="BC290" s="3" t="s">
        <v>7010</v>
      </c>
      <c r="BD290" s="3" t="s">
        <v>7010</v>
      </c>
      <c r="BE290" s="3" t="s">
        <v>7010</v>
      </c>
      <c r="BF290" s="3" t="s">
        <v>7010</v>
      </c>
      <c r="BG290" s="3" t="s">
        <v>7010</v>
      </c>
      <c r="BH290" s="3" t="s">
        <v>7010</v>
      </c>
      <c r="BI290" s="3" t="s">
        <v>7010</v>
      </c>
      <c r="BJ290" s="3" t="s">
        <v>7010</v>
      </c>
      <c r="BK290" s="74" t="str">
        <f t="shared" si="19"/>
        <v>No</v>
      </c>
    </row>
    <row r="291" spans="6:63">
      <c r="F291" s="55"/>
      <c r="G291">
        <v>290</v>
      </c>
      <c r="H291" s="7" t="s">
        <v>428</v>
      </c>
      <c r="I291" t="s">
        <v>29</v>
      </c>
      <c r="J291">
        <f>LEN(H291)</f>
        <v>11</v>
      </c>
      <c r="K291" s="49" t="s">
        <v>2629</v>
      </c>
      <c r="O291" s="3" t="s">
        <v>7010</v>
      </c>
      <c r="P291" s="3" t="s">
        <v>7010</v>
      </c>
      <c r="Q291" s="3" t="s">
        <v>7010</v>
      </c>
      <c r="R291" s="3" t="s">
        <v>7010</v>
      </c>
      <c r="S291" s="3" t="s">
        <v>7010</v>
      </c>
      <c r="T291" s="3" t="s">
        <v>7010</v>
      </c>
      <c r="U291" s="3" t="s">
        <v>7010</v>
      </c>
      <c r="V291" s="3" t="s">
        <v>7010</v>
      </c>
      <c r="W291" s="74" t="str">
        <f t="shared" si="17"/>
        <v>No</v>
      </c>
      <c r="Z291">
        <v>290</v>
      </c>
      <c r="AA291" s="55" t="s">
        <v>903</v>
      </c>
      <c r="AB291" t="s">
        <v>643</v>
      </c>
      <c r="AC291">
        <f t="shared" si="16"/>
        <v>6</v>
      </c>
      <c r="AD291" s="30" t="s">
        <v>3434</v>
      </c>
      <c r="AF291" t="s">
        <v>7706</v>
      </c>
      <c r="AH291" s="3" t="s">
        <v>7015</v>
      </c>
      <c r="AI291" s="3" t="s">
        <v>7010</v>
      </c>
      <c r="AJ291" s="3" t="s">
        <v>7010</v>
      </c>
      <c r="AK291" s="3" t="s">
        <v>7015</v>
      </c>
      <c r="AL291" s="3" t="s">
        <v>7010</v>
      </c>
      <c r="AM291" s="3" t="s">
        <v>7010</v>
      </c>
      <c r="AN291" s="3" t="s">
        <v>7010</v>
      </c>
      <c r="AO291" s="3" t="s">
        <v>7010</v>
      </c>
      <c r="AP291" s="74" t="s">
        <v>7015</v>
      </c>
      <c r="AU291">
        <v>290</v>
      </c>
      <c r="AV291" t="s">
        <v>3435</v>
      </c>
      <c r="AW291" t="s">
        <v>2279</v>
      </c>
      <c r="AX291">
        <f t="shared" si="18"/>
        <v>11</v>
      </c>
      <c r="AY291" s="30" t="s">
        <v>3436</v>
      </c>
      <c r="BC291" s="3" t="s">
        <v>7010</v>
      </c>
      <c r="BD291" s="3" t="s">
        <v>7010</v>
      </c>
      <c r="BE291" s="3" t="s">
        <v>7010</v>
      </c>
      <c r="BF291" s="3" t="s">
        <v>7010</v>
      </c>
      <c r="BG291" s="3" t="s">
        <v>7010</v>
      </c>
      <c r="BH291" s="3" t="s">
        <v>7010</v>
      </c>
      <c r="BI291" s="3" t="s">
        <v>7010</v>
      </c>
      <c r="BJ291" s="3" t="s">
        <v>7010</v>
      </c>
      <c r="BK291" s="74" t="str">
        <f t="shared" si="19"/>
        <v>No</v>
      </c>
    </row>
    <row r="292" spans="6:63">
      <c r="F292" s="55"/>
      <c r="G292">
        <v>291</v>
      </c>
      <c r="H292" s="7" t="s">
        <v>498</v>
      </c>
      <c r="I292" t="s">
        <v>29</v>
      </c>
      <c r="J292">
        <f>LEN(H292)</f>
        <v>10</v>
      </c>
      <c r="K292" s="49" t="s">
        <v>2909</v>
      </c>
      <c r="O292" s="3" t="s">
        <v>7010</v>
      </c>
      <c r="P292" s="3" t="s">
        <v>7010</v>
      </c>
      <c r="Q292" s="3" t="s">
        <v>7010</v>
      </c>
      <c r="R292" s="3" t="s">
        <v>7010</v>
      </c>
      <c r="S292" s="3" t="s">
        <v>7010</v>
      </c>
      <c r="T292" s="3" t="s">
        <v>7010</v>
      </c>
      <c r="U292" s="3" t="s">
        <v>7010</v>
      </c>
      <c r="V292" s="3" t="s">
        <v>7010</v>
      </c>
      <c r="W292" s="74" t="str">
        <f t="shared" si="17"/>
        <v>No</v>
      </c>
      <c r="Z292">
        <v>291</v>
      </c>
      <c r="AA292" s="55" t="s">
        <v>904</v>
      </c>
      <c r="AB292" t="s">
        <v>643</v>
      </c>
      <c r="AC292">
        <f t="shared" si="16"/>
        <v>5</v>
      </c>
      <c r="AD292" s="30" t="s">
        <v>3438</v>
      </c>
      <c r="AF292" t="s">
        <v>7707</v>
      </c>
      <c r="AH292" s="3" t="s">
        <v>7015</v>
      </c>
      <c r="AI292" s="3" t="s">
        <v>7010</v>
      </c>
      <c r="AJ292" s="3" t="s">
        <v>7010</v>
      </c>
      <c r="AK292" s="3" t="s">
        <v>7015</v>
      </c>
      <c r="AL292" s="3" t="s">
        <v>7010</v>
      </c>
      <c r="AM292" s="3" t="s">
        <v>7010</v>
      </c>
      <c r="AN292" s="3" t="s">
        <v>7010</v>
      </c>
      <c r="AO292" s="3" t="s">
        <v>7010</v>
      </c>
      <c r="AP292" s="74" t="s">
        <v>7015</v>
      </c>
      <c r="AU292">
        <v>291</v>
      </c>
      <c r="AV292" t="s">
        <v>3439</v>
      </c>
      <c r="AW292" t="s">
        <v>2279</v>
      </c>
      <c r="AX292">
        <f t="shared" si="18"/>
        <v>9</v>
      </c>
      <c r="AY292" s="30" t="s">
        <v>3440</v>
      </c>
      <c r="BC292" s="3" t="s">
        <v>7010</v>
      </c>
      <c r="BD292" s="3" t="s">
        <v>7010</v>
      </c>
      <c r="BE292" s="3" t="s">
        <v>7010</v>
      </c>
      <c r="BF292" s="3" t="s">
        <v>7010</v>
      </c>
      <c r="BG292" s="3" t="s">
        <v>7010</v>
      </c>
      <c r="BH292" s="3" t="s">
        <v>7010</v>
      </c>
      <c r="BI292" s="3" t="s">
        <v>7010</v>
      </c>
      <c r="BJ292" s="3" t="s">
        <v>7010</v>
      </c>
      <c r="BK292" s="74" t="str">
        <f t="shared" si="19"/>
        <v>No</v>
      </c>
    </row>
    <row r="293" spans="6:63">
      <c r="F293" s="55"/>
      <c r="G293">
        <v>292</v>
      </c>
      <c r="H293" s="7" t="s">
        <v>2223</v>
      </c>
      <c r="I293" t="s">
        <v>29</v>
      </c>
      <c r="J293">
        <f>LEN(H293)</f>
        <v>12</v>
      </c>
      <c r="K293" s="49" t="s">
        <v>6879</v>
      </c>
      <c r="O293" s="3" t="s">
        <v>7010</v>
      </c>
      <c r="P293" s="3" t="s">
        <v>7010</v>
      </c>
      <c r="Q293" s="3" t="s">
        <v>7010</v>
      </c>
      <c r="R293" s="3" t="s">
        <v>7010</v>
      </c>
      <c r="S293" s="3" t="s">
        <v>7010</v>
      </c>
      <c r="T293" s="3" t="s">
        <v>7010</v>
      </c>
      <c r="U293" s="3" t="s">
        <v>7010</v>
      </c>
      <c r="V293" s="3" t="s">
        <v>7010</v>
      </c>
      <c r="W293" s="74" t="str">
        <f t="shared" si="17"/>
        <v>No</v>
      </c>
      <c r="Z293">
        <v>292</v>
      </c>
      <c r="AA293" s="55" t="s">
        <v>905</v>
      </c>
      <c r="AB293" t="s">
        <v>643</v>
      </c>
      <c r="AC293">
        <f t="shared" si="16"/>
        <v>7</v>
      </c>
      <c r="AD293" s="30" t="s">
        <v>3442</v>
      </c>
      <c r="AF293" t="s">
        <v>7708</v>
      </c>
      <c r="AH293" s="3" t="s">
        <v>7015</v>
      </c>
      <c r="AI293" s="3" t="s">
        <v>7010</v>
      </c>
      <c r="AJ293" s="3" t="s">
        <v>7010</v>
      </c>
      <c r="AK293" s="3" t="s">
        <v>7015</v>
      </c>
      <c r="AL293" s="3" t="s">
        <v>7010</v>
      </c>
      <c r="AM293" s="3" t="s">
        <v>7010</v>
      </c>
      <c r="AN293" s="3" t="s">
        <v>7010</v>
      </c>
      <c r="AO293" s="3" t="s">
        <v>7010</v>
      </c>
      <c r="AP293" s="74" t="s">
        <v>7015</v>
      </c>
      <c r="AU293">
        <v>292</v>
      </c>
      <c r="AV293" t="s">
        <v>3443</v>
      </c>
      <c r="AW293" t="s">
        <v>2279</v>
      </c>
      <c r="AX293">
        <f t="shared" si="18"/>
        <v>10</v>
      </c>
      <c r="AY293" s="30" t="s">
        <v>3444</v>
      </c>
      <c r="BC293" s="3" t="s">
        <v>7010</v>
      </c>
      <c r="BD293" s="3" t="s">
        <v>7010</v>
      </c>
      <c r="BE293" s="3" t="s">
        <v>7010</v>
      </c>
      <c r="BF293" s="3" t="s">
        <v>7010</v>
      </c>
      <c r="BG293" s="3" t="s">
        <v>7010</v>
      </c>
      <c r="BH293" s="3" t="s">
        <v>7010</v>
      </c>
      <c r="BI293" s="3" t="s">
        <v>7010</v>
      </c>
      <c r="BJ293" s="3" t="s">
        <v>7010</v>
      </c>
      <c r="BK293" s="74" t="str">
        <f t="shared" si="19"/>
        <v>No</v>
      </c>
    </row>
    <row r="294" spans="6:63">
      <c r="F294" s="55"/>
      <c r="G294">
        <v>293</v>
      </c>
      <c r="H294" s="7" t="s">
        <v>1928</v>
      </c>
      <c r="I294" t="s">
        <v>29</v>
      </c>
      <c r="J294">
        <f>LEN(H294)</f>
        <v>10</v>
      </c>
      <c r="K294" s="49" t="s">
        <v>6128</v>
      </c>
      <c r="O294" s="3" t="s">
        <v>7010</v>
      </c>
      <c r="P294" s="3" t="s">
        <v>7010</v>
      </c>
      <c r="Q294" s="3" t="s">
        <v>7010</v>
      </c>
      <c r="R294" s="3" t="s">
        <v>7015</v>
      </c>
      <c r="S294" s="3" t="s">
        <v>7010</v>
      </c>
      <c r="T294" s="3" t="s">
        <v>7015</v>
      </c>
      <c r="U294" s="3" t="s">
        <v>7010</v>
      </c>
      <c r="V294" s="3" t="s">
        <v>7010</v>
      </c>
      <c r="W294" s="74" t="str">
        <f t="shared" si="17"/>
        <v>Yes</v>
      </c>
      <c r="Z294">
        <v>293</v>
      </c>
      <c r="AA294" s="55" t="s">
        <v>906</v>
      </c>
      <c r="AB294" t="s">
        <v>643</v>
      </c>
      <c r="AC294">
        <f t="shared" si="16"/>
        <v>6</v>
      </c>
      <c r="AD294" s="30" t="s">
        <v>3446</v>
      </c>
      <c r="AF294" t="s">
        <v>7709</v>
      </c>
      <c r="AH294" s="3" t="s">
        <v>7015</v>
      </c>
      <c r="AI294" s="3" t="s">
        <v>7010</v>
      </c>
      <c r="AJ294" s="3" t="s">
        <v>7010</v>
      </c>
      <c r="AK294" s="3" t="s">
        <v>7015</v>
      </c>
      <c r="AL294" s="3" t="s">
        <v>7010</v>
      </c>
      <c r="AM294" s="3" t="s">
        <v>7010</v>
      </c>
      <c r="AN294" s="3" t="s">
        <v>7010</v>
      </c>
      <c r="AO294" s="3" t="s">
        <v>7010</v>
      </c>
      <c r="AP294" s="74" t="s">
        <v>7015</v>
      </c>
      <c r="AU294">
        <v>293</v>
      </c>
      <c r="AV294" t="s">
        <v>3447</v>
      </c>
      <c r="AW294" t="s">
        <v>2279</v>
      </c>
      <c r="AX294">
        <f t="shared" si="18"/>
        <v>8</v>
      </c>
      <c r="AY294" s="30" t="s">
        <v>3448</v>
      </c>
      <c r="BC294" s="3" t="s">
        <v>7010</v>
      </c>
      <c r="BD294" s="3" t="s">
        <v>7010</v>
      </c>
      <c r="BE294" s="3" t="s">
        <v>7010</v>
      </c>
      <c r="BF294" s="3" t="s">
        <v>7010</v>
      </c>
      <c r="BG294" s="3" t="s">
        <v>7010</v>
      </c>
      <c r="BH294" s="3" t="s">
        <v>7010</v>
      </c>
      <c r="BI294" s="3" t="s">
        <v>7010</v>
      </c>
      <c r="BJ294" s="3" t="s">
        <v>7010</v>
      </c>
      <c r="BK294" s="74" t="str">
        <f t="shared" si="19"/>
        <v>No</v>
      </c>
    </row>
    <row r="295" spans="6:63">
      <c r="F295" s="55"/>
      <c r="G295">
        <v>294</v>
      </c>
      <c r="H295" s="7" t="s">
        <v>508</v>
      </c>
      <c r="I295" t="s">
        <v>29</v>
      </c>
      <c r="J295">
        <f>LEN(H295)</f>
        <v>15</v>
      </c>
      <c r="K295" s="49" t="s">
        <v>2949</v>
      </c>
      <c r="O295" s="3" t="s">
        <v>7010</v>
      </c>
      <c r="P295" s="3" t="s">
        <v>7010</v>
      </c>
      <c r="Q295" s="3" t="s">
        <v>7010</v>
      </c>
      <c r="R295" s="3" t="s">
        <v>7010</v>
      </c>
      <c r="S295" s="3" t="s">
        <v>7010</v>
      </c>
      <c r="T295" s="3" t="s">
        <v>7015</v>
      </c>
      <c r="U295" s="3" t="s">
        <v>7010</v>
      </c>
      <c r="V295" s="3" t="s">
        <v>7010</v>
      </c>
      <c r="W295" s="74" t="str">
        <f t="shared" si="17"/>
        <v>Yes</v>
      </c>
      <c r="Z295">
        <v>294</v>
      </c>
      <c r="AA295" s="55" t="s">
        <v>907</v>
      </c>
      <c r="AB295" t="s">
        <v>643</v>
      </c>
      <c r="AC295">
        <f t="shared" si="16"/>
        <v>7</v>
      </c>
      <c r="AD295" s="30" t="s">
        <v>3450</v>
      </c>
      <c r="AF295" t="s">
        <v>7710</v>
      </c>
      <c r="AH295" s="3" t="s">
        <v>7015</v>
      </c>
      <c r="AI295" s="3" t="s">
        <v>7010</v>
      </c>
      <c r="AJ295" s="3" t="s">
        <v>7010</v>
      </c>
      <c r="AK295" s="3" t="s">
        <v>7015</v>
      </c>
      <c r="AL295" s="3" t="s">
        <v>7010</v>
      </c>
      <c r="AM295" s="3" t="s">
        <v>7010</v>
      </c>
      <c r="AN295" s="3" t="s">
        <v>7010</v>
      </c>
      <c r="AO295" s="3" t="s">
        <v>7010</v>
      </c>
      <c r="AP295" s="74" t="s">
        <v>7015</v>
      </c>
      <c r="AU295">
        <v>294</v>
      </c>
      <c r="AV295" t="s">
        <v>3451</v>
      </c>
      <c r="AW295" t="s">
        <v>2279</v>
      </c>
      <c r="AX295">
        <f t="shared" si="18"/>
        <v>9</v>
      </c>
      <c r="AY295" s="30" t="s">
        <v>3452</v>
      </c>
      <c r="BC295" s="3" t="s">
        <v>7010</v>
      </c>
      <c r="BD295" s="3" t="s">
        <v>7010</v>
      </c>
      <c r="BE295" s="3" t="s">
        <v>7010</v>
      </c>
      <c r="BF295" s="3" t="s">
        <v>7010</v>
      </c>
      <c r="BG295" s="3" t="s">
        <v>7010</v>
      </c>
      <c r="BH295" s="3" t="s">
        <v>7010</v>
      </c>
      <c r="BI295" s="3" t="s">
        <v>7010</v>
      </c>
      <c r="BJ295" s="3" t="s">
        <v>7010</v>
      </c>
      <c r="BK295" s="74" t="str">
        <f t="shared" si="19"/>
        <v>No</v>
      </c>
    </row>
    <row r="296" spans="6:63">
      <c r="F296" s="55"/>
      <c r="G296">
        <v>295</v>
      </c>
      <c r="H296" s="7" t="s">
        <v>411</v>
      </c>
      <c r="I296" t="s">
        <v>29</v>
      </c>
      <c r="J296">
        <f>LEN(H296)</f>
        <v>12</v>
      </c>
      <c r="K296" s="49" t="s">
        <v>2561</v>
      </c>
      <c r="O296" s="3" t="s">
        <v>7010</v>
      </c>
      <c r="P296" s="3" t="s">
        <v>7010</v>
      </c>
      <c r="Q296" s="3" t="s">
        <v>7010</v>
      </c>
      <c r="R296" s="3" t="s">
        <v>7015</v>
      </c>
      <c r="S296" s="3" t="s">
        <v>7010</v>
      </c>
      <c r="T296" s="3" t="s">
        <v>7015</v>
      </c>
      <c r="U296" s="3" t="s">
        <v>7010</v>
      </c>
      <c r="V296" s="3" t="s">
        <v>7010</v>
      </c>
      <c r="W296" s="74" t="str">
        <f t="shared" si="17"/>
        <v>Yes</v>
      </c>
      <c r="Z296">
        <v>295</v>
      </c>
      <c r="AA296" s="55" t="s">
        <v>908</v>
      </c>
      <c r="AB296" t="s">
        <v>643</v>
      </c>
      <c r="AC296">
        <f t="shared" si="16"/>
        <v>7</v>
      </c>
      <c r="AD296" s="30" t="s">
        <v>3454</v>
      </c>
      <c r="AF296" t="s">
        <v>7711</v>
      </c>
      <c r="AH296" s="3" t="s">
        <v>7015</v>
      </c>
      <c r="AI296" s="3" t="s">
        <v>7010</v>
      </c>
      <c r="AJ296" s="3" t="s">
        <v>7010</v>
      </c>
      <c r="AK296" s="3" t="s">
        <v>7015</v>
      </c>
      <c r="AL296" s="3" t="s">
        <v>7010</v>
      </c>
      <c r="AM296" s="3" t="s">
        <v>7010</v>
      </c>
      <c r="AN296" s="3" t="s">
        <v>7010</v>
      </c>
      <c r="AO296" s="3" t="s">
        <v>7010</v>
      </c>
      <c r="AP296" s="74" t="s">
        <v>7015</v>
      </c>
      <c r="AU296">
        <v>295</v>
      </c>
      <c r="AV296" t="s">
        <v>3455</v>
      </c>
      <c r="AW296" t="s">
        <v>2279</v>
      </c>
      <c r="AX296">
        <f t="shared" si="18"/>
        <v>12</v>
      </c>
      <c r="AY296" s="30" t="s">
        <v>3456</v>
      </c>
      <c r="BC296" s="3" t="s">
        <v>7010</v>
      </c>
      <c r="BD296" s="3" t="s">
        <v>7010</v>
      </c>
      <c r="BE296" s="3" t="s">
        <v>7010</v>
      </c>
      <c r="BF296" s="3" t="s">
        <v>7010</v>
      </c>
      <c r="BG296" s="3" t="s">
        <v>7010</v>
      </c>
      <c r="BH296" s="3" t="s">
        <v>7010</v>
      </c>
      <c r="BI296" s="3" t="s">
        <v>7010</v>
      </c>
      <c r="BJ296" s="3" t="s">
        <v>7010</v>
      </c>
      <c r="BK296" s="74" t="str">
        <f t="shared" si="19"/>
        <v>No</v>
      </c>
    </row>
    <row r="297" spans="6:63">
      <c r="F297" s="55"/>
      <c r="G297">
        <v>296</v>
      </c>
      <c r="H297" s="7" t="s">
        <v>1880</v>
      </c>
      <c r="I297" t="s">
        <v>29</v>
      </c>
      <c r="J297">
        <f>LEN(H297)</f>
        <v>9</v>
      </c>
      <c r="K297" s="49" t="s">
        <v>6004</v>
      </c>
      <c r="O297" s="3" t="s">
        <v>7010</v>
      </c>
      <c r="P297" s="3" t="s">
        <v>7010</v>
      </c>
      <c r="Q297" s="3" t="s">
        <v>7010</v>
      </c>
      <c r="R297" s="3" t="s">
        <v>7010</v>
      </c>
      <c r="S297" s="3" t="s">
        <v>7010</v>
      </c>
      <c r="T297" s="3" t="s">
        <v>7015</v>
      </c>
      <c r="U297" s="3" t="s">
        <v>7010</v>
      </c>
      <c r="V297" s="3" t="s">
        <v>7010</v>
      </c>
      <c r="W297" s="74" t="str">
        <f t="shared" si="17"/>
        <v>Yes</v>
      </c>
      <c r="Z297">
        <v>296</v>
      </c>
      <c r="AA297" s="55" t="s">
        <v>909</v>
      </c>
      <c r="AB297" t="s">
        <v>643</v>
      </c>
      <c r="AC297">
        <f t="shared" si="16"/>
        <v>6</v>
      </c>
      <c r="AD297" s="30" t="s">
        <v>3458</v>
      </c>
      <c r="AF297" t="s">
        <v>7712</v>
      </c>
      <c r="AH297" s="3" t="s">
        <v>7015</v>
      </c>
      <c r="AI297" s="3" t="s">
        <v>7010</v>
      </c>
      <c r="AJ297" s="3" t="s">
        <v>7010</v>
      </c>
      <c r="AK297" s="3" t="s">
        <v>7015</v>
      </c>
      <c r="AL297" s="3" t="s">
        <v>7010</v>
      </c>
      <c r="AM297" s="3" t="s">
        <v>7010</v>
      </c>
      <c r="AN297" s="3" t="s">
        <v>7010</v>
      </c>
      <c r="AO297" s="3" t="s">
        <v>7010</v>
      </c>
      <c r="AP297" s="74" t="s">
        <v>7015</v>
      </c>
      <c r="AU297">
        <v>296</v>
      </c>
      <c r="AV297" t="s">
        <v>3459</v>
      </c>
      <c r="AW297" t="s">
        <v>2279</v>
      </c>
      <c r="AX297">
        <f t="shared" si="18"/>
        <v>10</v>
      </c>
      <c r="AY297" s="30" t="s">
        <v>3460</v>
      </c>
      <c r="BC297" s="3" t="s">
        <v>7010</v>
      </c>
      <c r="BD297" s="3" t="s">
        <v>7010</v>
      </c>
      <c r="BE297" s="3" t="s">
        <v>7015</v>
      </c>
      <c r="BF297" s="3" t="s">
        <v>7010</v>
      </c>
      <c r="BG297" s="3" t="s">
        <v>7010</v>
      </c>
      <c r="BH297" s="3" t="s">
        <v>7010</v>
      </c>
      <c r="BI297" s="3" t="s">
        <v>7010</v>
      </c>
      <c r="BJ297" s="3" t="s">
        <v>7010</v>
      </c>
      <c r="BK297" s="74" t="str">
        <f t="shared" si="19"/>
        <v>Yes</v>
      </c>
    </row>
    <row r="298" spans="6:63">
      <c r="F298" s="55"/>
      <c r="G298">
        <v>297</v>
      </c>
      <c r="H298" s="7" t="s">
        <v>412</v>
      </c>
      <c r="I298" t="s">
        <v>29</v>
      </c>
      <c r="J298">
        <f>LEN(H298)</f>
        <v>10</v>
      </c>
      <c r="K298" s="49" t="s">
        <v>2565</v>
      </c>
      <c r="O298" s="3" t="s">
        <v>7010</v>
      </c>
      <c r="P298" s="3" t="s">
        <v>7010</v>
      </c>
      <c r="Q298" s="3" t="s">
        <v>7010</v>
      </c>
      <c r="R298" s="3" t="s">
        <v>7010</v>
      </c>
      <c r="S298" s="3" t="s">
        <v>7010</v>
      </c>
      <c r="T298" s="3" t="s">
        <v>7015</v>
      </c>
      <c r="U298" s="3" t="s">
        <v>7010</v>
      </c>
      <c r="V298" s="3" t="s">
        <v>7010</v>
      </c>
      <c r="W298" s="74" t="str">
        <f t="shared" si="17"/>
        <v>Yes</v>
      </c>
      <c r="Z298">
        <v>297</v>
      </c>
      <c r="AA298" s="55">
        <v>789456123</v>
      </c>
      <c r="AB298" t="s">
        <v>643</v>
      </c>
      <c r="AC298">
        <f t="shared" si="16"/>
        <v>9</v>
      </c>
      <c r="AD298" s="30" t="s">
        <v>3462</v>
      </c>
      <c r="AF298" t="s">
        <v>7713</v>
      </c>
      <c r="AH298" s="3" t="s">
        <v>7015</v>
      </c>
      <c r="AI298" s="3" t="s">
        <v>7010</v>
      </c>
      <c r="AJ298" s="3" t="s">
        <v>7010</v>
      </c>
      <c r="AK298" s="3" t="s">
        <v>7015</v>
      </c>
      <c r="AL298" s="3" t="s">
        <v>7010</v>
      </c>
      <c r="AM298" s="3" t="s">
        <v>7010</v>
      </c>
      <c r="AN298" s="3" t="s">
        <v>7010</v>
      </c>
      <c r="AO298" s="3" t="s">
        <v>7010</v>
      </c>
      <c r="AP298" s="74" t="s">
        <v>7015</v>
      </c>
      <c r="AU298">
        <v>297</v>
      </c>
      <c r="AV298" t="s">
        <v>3463</v>
      </c>
      <c r="AW298" t="s">
        <v>2279</v>
      </c>
      <c r="AX298">
        <f t="shared" si="18"/>
        <v>10</v>
      </c>
      <c r="AY298" s="30" t="s">
        <v>3464</v>
      </c>
      <c r="BC298" s="3" t="s">
        <v>7010</v>
      </c>
      <c r="BD298" s="3" t="s">
        <v>7010</v>
      </c>
      <c r="BE298" s="3" t="s">
        <v>7010</v>
      </c>
      <c r="BF298" s="3" t="s">
        <v>7010</v>
      </c>
      <c r="BG298" s="3" t="s">
        <v>7010</v>
      </c>
      <c r="BH298" s="3" t="s">
        <v>7010</v>
      </c>
      <c r="BI298" s="3" t="s">
        <v>7010</v>
      </c>
      <c r="BJ298" s="3" t="s">
        <v>7010</v>
      </c>
      <c r="BK298" s="74" t="str">
        <f t="shared" si="19"/>
        <v>No</v>
      </c>
    </row>
    <row r="299" spans="6:63">
      <c r="F299" s="55"/>
      <c r="G299">
        <v>298</v>
      </c>
      <c r="H299" s="7" t="s">
        <v>934</v>
      </c>
      <c r="I299" t="s">
        <v>29</v>
      </c>
      <c r="J299">
        <f>LEN(H299)</f>
        <v>13</v>
      </c>
      <c r="K299" s="49" t="s">
        <v>3531</v>
      </c>
      <c r="O299" s="3" t="s">
        <v>7010</v>
      </c>
      <c r="P299" s="3" t="s">
        <v>7010</v>
      </c>
      <c r="Q299" s="3" t="s">
        <v>7010</v>
      </c>
      <c r="R299" s="3" t="s">
        <v>7010</v>
      </c>
      <c r="S299" s="3" t="s">
        <v>7010</v>
      </c>
      <c r="T299" s="3" t="s">
        <v>7010</v>
      </c>
      <c r="U299" s="3" t="s">
        <v>7010</v>
      </c>
      <c r="V299" s="3" t="s">
        <v>7010</v>
      </c>
      <c r="W299" s="74" t="str">
        <f t="shared" si="17"/>
        <v>No</v>
      </c>
      <c r="Z299">
        <v>298</v>
      </c>
      <c r="AA299" s="55">
        <v>123654</v>
      </c>
      <c r="AB299" t="s">
        <v>643</v>
      </c>
      <c r="AC299">
        <f t="shared" si="16"/>
        <v>6</v>
      </c>
      <c r="AD299" s="30" t="s">
        <v>3466</v>
      </c>
      <c r="AF299" t="s">
        <v>7714</v>
      </c>
      <c r="AH299" s="3" t="s">
        <v>7015</v>
      </c>
      <c r="AI299" s="3" t="s">
        <v>7010</v>
      </c>
      <c r="AJ299" s="3" t="s">
        <v>7010</v>
      </c>
      <c r="AK299" s="3" t="s">
        <v>7015</v>
      </c>
      <c r="AL299" s="3" t="s">
        <v>7010</v>
      </c>
      <c r="AM299" s="3" t="s">
        <v>7010</v>
      </c>
      <c r="AN299" s="3" t="s">
        <v>7010</v>
      </c>
      <c r="AO299" s="3" t="s">
        <v>7010</v>
      </c>
      <c r="AP299" s="74" t="s">
        <v>7015</v>
      </c>
      <c r="AU299">
        <v>298</v>
      </c>
      <c r="AV299" t="s">
        <v>3467</v>
      </c>
      <c r="AW299" t="s">
        <v>2279</v>
      </c>
      <c r="AX299">
        <f t="shared" si="18"/>
        <v>11</v>
      </c>
      <c r="AY299" s="30" t="s">
        <v>3468</v>
      </c>
      <c r="BC299" s="3" t="s">
        <v>7010</v>
      </c>
      <c r="BD299" s="3" t="s">
        <v>7010</v>
      </c>
      <c r="BE299" s="3" t="s">
        <v>7010</v>
      </c>
      <c r="BF299" s="3" t="s">
        <v>7010</v>
      </c>
      <c r="BG299" s="3" t="s">
        <v>7010</v>
      </c>
      <c r="BH299" s="3" t="s">
        <v>7010</v>
      </c>
      <c r="BI299" s="3" t="s">
        <v>7010</v>
      </c>
      <c r="BJ299" s="3" t="s">
        <v>7010</v>
      </c>
      <c r="BK299" s="74" t="str">
        <f t="shared" si="19"/>
        <v>No</v>
      </c>
    </row>
    <row r="300" spans="6:63">
      <c r="F300" s="55"/>
      <c r="G300">
        <v>299</v>
      </c>
      <c r="H300" s="7" t="s">
        <v>629</v>
      </c>
      <c r="I300" t="s">
        <v>29</v>
      </c>
      <c r="J300">
        <f>LEN(H300)</f>
        <v>15</v>
      </c>
      <c r="K300" s="49" t="s">
        <v>3433</v>
      </c>
      <c r="O300" s="3" t="s">
        <v>7010</v>
      </c>
      <c r="P300" s="3" t="s">
        <v>7010</v>
      </c>
      <c r="Q300" s="3" t="s">
        <v>7010</v>
      </c>
      <c r="R300" s="3" t="s">
        <v>7010</v>
      </c>
      <c r="S300" s="3" t="s">
        <v>7010</v>
      </c>
      <c r="T300" s="3" t="s">
        <v>7010</v>
      </c>
      <c r="U300" s="3" t="s">
        <v>7010</v>
      </c>
      <c r="V300" s="3" t="s">
        <v>7010</v>
      </c>
      <c r="W300" s="74" t="str">
        <f t="shared" si="17"/>
        <v>No</v>
      </c>
      <c r="Z300">
        <v>299</v>
      </c>
      <c r="AA300" s="55" t="s">
        <v>910</v>
      </c>
      <c r="AB300" t="s">
        <v>643</v>
      </c>
      <c r="AC300">
        <f t="shared" si="16"/>
        <v>5</v>
      </c>
      <c r="AD300" s="30" t="s">
        <v>3470</v>
      </c>
      <c r="AF300" t="s">
        <v>7715</v>
      </c>
      <c r="AH300" s="3" t="s">
        <v>7015</v>
      </c>
      <c r="AI300" s="3" t="s">
        <v>7010</v>
      </c>
      <c r="AJ300" s="3" t="s">
        <v>7010</v>
      </c>
      <c r="AK300" s="3" t="s">
        <v>7015</v>
      </c>
      <c r="AL300" s="3" t="s">
        <v>7010</v>
      </c>
      <c r="AM300" s="3" t="s">
        <v>7010</v>
      </c>
      <c r="AN300" s="3" t="s">
        <v>7010</v>
      </c>
      <c r="AO300" s="3" t="s">
        <v>7010</v>
      </c>
      <c r="AP300" s="74" t="s">
        <v>7015</v>
      </c>
      <c r="AU300">
        <v>299</v>
      </c>
      <c r="AV300" t="s">
        <v>3471</v>
      </c>
      <c r="AW300" t="s">
        <v>2279</v>
      </c>
      <c r="AX300">
        <f t="shared" si="18"/>
        <v>9</v>
      </c>
      <c r="AY300" s="30" t="s">
        <v>3472</v>
      </c>
      <c r="BC300" s="3" t="s">
        <v>7010</v>
      </c>
      <c r="BD300" s="3" t="s">
        <v>7010</v>
      </c>
      <c r="BE300" s="3" t="s">
        <v>7015</v>
      </c>
      <c r="BF300" s="3" t="s">
        <v>7010</v>
      </c>
      <c r="BG300" s="3" t="s">
        <v>7010</v>
      </c>
      <c r="BH300" s="3" t="s">
        <v>7010</v>
      </c>
      <c r="BI300" s="3" t="s">
        <v>7010</v>
      </c>
      <c r="BJ300" s="3" t="s">
        <v>7010</v>
      </c>
      <c r="BK300" s="74" t="str">
        <f t="shared" si="19"/>
        <v>Yes</v>
      </c>
    </row>
    <row r="301" spans="6:63">
      <c r="F301" s="55"/>
      <c r="G301">
        <v>300</v>
      </c>
      <c r="H301" s="7" t="s">
        <v>1774</v>
      </c>
      <c r="I301" t="s">
        <v>29</v>
      </c>
      <c r="J301">
        <f>LEN(H301)</f>
        <v>16</v>
      </c>
      <c r="K301" s="49" t="s">
        <v>5668</v>
      </c>
      <c r="O301" s="3" t="s">
        <v>7010</v>
      </c>
      <c r="P301" s="3" t="s">
        <v>7010</v>
      </c>
      <c r="Q301" s="3" t="s">
        <v>7010</v>
      </c>
      <c r="R301" s="3" t="s">
        <v>7010</v>
      </c>
      <c r="S301" s="3" t="s">
        <v>7010</v>
      </c>
      <c r="T301" s="3" t="s">
        <v>7010</v>
      </c>
      <c r="U301" s="3" t="s">
        <v>7010</v>
      </c>
      <c r="V301" s="3" t="s">
        <v>7010</v>
      </c>
      <c r="W301" s="74" t="str">
        <f t="shared" si="17"/>
        <v>No</v>
      </c>
      <c r="Z301">
        <v>300</v>
      </c>
      <c r="AA301" s="55" t="s">
        <v>911</v>
      </c>
      <c r="AB301" t="s">
        <v>643</v>
      </c>
      <c r="AC301">
        <f t="shared" si="16"/>
        <v>6</v>
      </c>
      <c r="AD301" s="30" t="s">
        <v>3474</v>
      </c>
      <c r="AF301" t="s">
        <v>7716</v>
      </c>
      <c r="AH301" s="3" t="s">
        <v>7015</v>
      </c>
      <c r="AI301" s="3" t="s">
        <v>7010</v>
      </c>
      <c r="AJ301" s="3" t="s">
        <v>7010</v>
      </c>
      <c r="AK301" s="3" t="s">
        <v>7015</v>
      </c>
      <c r="AL301" s="3" t="s">
        <v>7010</v>
      </c>
      <c r="AM301" s="3" t="s">
        <v>7010</v>
      </c>
      <c r="AN301" s="3" t="s">
        <v>7010</v>
      </c>
      <c r="AO301" s="3" t="s">
        <v>7010</v>
      </c>
      <c r="AP301" s="74" t="s">
        <v>7015</v>
      </c>
      <c r="AU301">
        <v>300</v>
      </c>
      <c r="AV301" t="s">
        <v>3475</v>
      </c>
      <c r="AW301" t="s">
        <v>2279</v>
      </c>
      <c r="AX301">
        <f t="shared" si="18"/>
        <v>9</v>
      </c>
      <c r="AY301" s="30" t="s">
        <v>3476</v>
      </c>
      <c r="BC301" s="3" t="s">
        <v>7010</v>
      </c>
      <c r="BD301" s="3" t="s">
        <v>7010</v>
      </c>
      <c r="BE301" s="3" t="s">
        <v>7015</v>
      </c>
      <c r="BF301" s="3" t="s">
        <v>7010</v>
      </c>
      <c r="BG301" s="3" t="s">
        <v>7010</v>
      </c>
      <c r="BH301" s="3" t="s">
        <v>7010</v>
      </c>
      <c r="BI301" s="3" t="s">
        <v>7010</v>
      </c>
      <c r="BJ301" s="3" t="s">
        <v>7010</v>
      </c>
      <c r="BK301" s="74" t="str">
        <f t="shared" si="19"/>
        <v>Yes</v>
      </c>
    </row>
    <row r="302" spans="6:63">
      <c r="F302" s="55"/>
      <c r="G302">
        <v>301</v>
      </c>
      <c r="H302" s="7" t="s">
        <v>1828</v>
      </c>
      <c r="I302" t="s">
        <v>29</v>
      </c>
      <c r="J302">
        <f>LEN(H302)</f>
        <v>16</v>
      </c>
      <c r="K302" s="49" t="s">
        <v>5842</v>
      </c>
      <c r="O302" s="3" t="s">
        <v>7010</v>
      </c>
      <c r="P302" s="3" t="s">
        <v>7010</v>
      </c>
      <c r="Q302" s="3" t="s">
        <v>7010</v>
      </c>
      <c r="R302" s="3" t="s">
        <v>7010</v>
      </c>
      <c r="S302" s="3" t="s">
        <v>7010</v>
      </c>
      <c r="T302" s="3" t="s">
        <v>7015</v>
      </c>
      <c r="U302" s="3" t="s">
        <v>7010</v>
      </c>
      <c r="V302" s="3" t="s">
        <v>7010</v>
      </c>
      <c r="W302" s="74" t="str">
        <f t="shared" si="17"/>
        <v>Yes</v>
      </c>
      <c r="Z302">
        <v>301</v>
      </c>
      <c r="AA302" s="55" t="s">
        <v>3478</v>
      </c>
      <c r="AC302">
        <f t="shared" si="16"/>
        <v>8</v>
      </c>
      <c r="AD302" s="30" t="s">
        <v>3479</v>
      </c>
      <c r="AF302" t="s">
        <v>7717</v>
      </c>
      <c r="AH302" s="3" t="s">
        <v>7015</v>
      </c>
      <c r="AI302" s="3" t="s">
        <v>7010</v>
      </c>
      <c r="AJ302" s="3" t="s">
        <v>7010</v>
      </c>
      <c r="AK302" s="3" t="s">
        <v>7015</v>
      </c>
      <c r="AL302" s="3" t="s">
        <v>7010</v>
      </c>
      <c r="AM302" s="3" t="s">
        <v>7010</v>
      </c>
      <c r="AN302" s="3" t="s">
        <v>7010</v>
      </c>
      <c r="AO302" s="3" t="s">
        <v>7010</v>
      </c>
      <c r="AP302" s="74" t="s">
        <v>7015</v>
      </c>
      <c r="AU302">
        <v>301</v>
      </c>
      <c r="AV302" t="s">
        <v>3480</v>
      </c>
      <c r="AW302" t="s">
        <v>2279</v>
      </c>
      <c r="AX302">
        <f t="shared" si="18"/>
        <v>8</v>
      </c>
      <c r="AY302" s="30" t="s">
        <v>3481</v>
      </c>
      <c r="BC302" s="3" t="s">
        <v>7010</v>
      </c>
      <c r="BD302" s="3" t="s">
        <v>7010</v>
      </c>
      <c r="BE302" s="3" t="s">
        <v>7010</v>
      </c>
      <c r="BF302" s="3" t="s">
        <v>7010</v>
      </c>
      <c r="BG302" s="3" t="s">
        <v>7010</v>
      </c>
      <c r="BH302" s="3" t="s">
        <v>7010</v>
      </c>
      <c r="BI302" s="3" t="s">
        <v>7010</v>
      </c>
      <c r="BJ302" s="3" t="s">
        <v>7010</v>
      </c>
      <c r="BK302" s="74" t="str">
        <f t="shared" si="19"/>
        <v>No</v>
      </c>
    </row>
    <row r="303" spans="6:63">
      <c r="F303" s="55"/>
      <c r="G303">
        <v>302</v>
      </c>
      <c r="H303" s="7" t="s">
        <v>1852</v>
      </c>
      <c r="I303" t="s">
        <v>29</v>
      </c>
      <c r="J303">
        <f>LEN(H303)</f>
        <v>18</v>
      </c>
      <c r="K303" s="49" t="s">
        <v>5936</v>
      </c>
      <c r="O303" s="3" t="s">
        <v>7010</v>
      </c>
      <c r="P303" s="3" t="s">
        <v>7010</v>
      </c>
      <c r="Q303" s="3" t="s">
        <v>7010</v>
      </c>
      <c r="R303" s="3" t="s">
        <v>7010</v>
      </c>
      <c r="S303" s="3" t="s">
        <v>7010</v>
      </c>
      <c r="T303" s="3" t="s">
        <v>7010</v>
      </c>
      <c r="U303" s="3" t="s">
        <v>7010</v>
      </c>
      <c r="V303" s="3" t="s">
        <v>7010</v>
      </c>
      <c r="W303" s="74" t="str">
        <f t="shared" si="17"/>
        <v>No</v>
      </c>
      <c r="Z303">
        <v>302</v>
      </c>
      <c r="AA303" s="55" t="s">
        <v>3483</v>
      </c>
      <c r="AC303">
        <f t="shared" si="16"/>
        <v>5</v>
      </c>
      <c r="AD303" s="31" t="s">
        <v>3484</v>
      </c>
      <c r="AF303" t="s">
        <v>7718</v>
      </c>
      <c r="AH303" s="3" t="s">
        <v>7015</v>
      </c>
      <c r="AI303" s="3" t="s">
        <v>7010</v>
      </c>
      <c r="AJ303" s="3" t="s">
        <v>7010</v>
      </c>
      <c r="AK303" s="3" t="s">
        <v>7015</v>
      </c>
      <c r="AL303" s="3" t="s">
        <v>7010</v>
      </c>
      <c r="AM303" s="3" t="s">
        <v>7010</v>
      </c>
      <c r="AN303" s="3" t="s">
        <v>7010</v>
      </c>
      <c r="AO303" s="3" t="s">
        <v>7010</v>
      </c>
      <c r="AP303" s="74" t="s">
        <v>7015</v>
      </c>
      <c r="AU303">
        <v>302</v>
      </c>
      <c r="AV303" t="s">
        <v>3485</v>
      </c>
      <c r="AW303" t="s">
        <v>2279</v>
      </c>
      <c r="AX303">
        <f t="shared" si="18"/>
        <v>8</v>
      </c>
      <c r="AY303" s="30" t="s">
        <v>3486</v>
      </c>
      <c r="BC303" s="3" t="s">
        <v>7010</v>
      </c>
      <c r="BD303" s="3" t="s">
        <v>7010</v>
      </c>
      <c r="BE303" s="3" t="s">
        <v>7010</v>
      </c>
      <c r="BF303" s="3" t="s">
        <v>7010</v>
      </c>
      <c r="BG303" s="3" t="s">
        <v>7010</v>
      </c>
      <c r="BH303" s="3" t="s">
        <v>7010</v>
      </c>
      <c r="BI303" s="3" t="s">
        <v>7010</v>
      </c>
      <c r="BJ303" s="3" t="s">
        <v>7010</v>
      </c>
      <c r="BK303" s="74" t="str">
        <f t="shared" si="19"/>
        <v>No</v>
      </c>
    </row>
    <row r="304" spans="6:63">
      <c r="F304" s="55"/>
      <c r="G304">
        <v>303</v>
      </c>
      <c r="H304" s="7" t="s">
        <v>1708</v>
      </c>
      <c r="I304" t="s">
        <v>29</v>
      </c>
      <c r="J304">
        <f>LEN(H304)</f>
        <v>20</v>
      </c>
      <c r="K304" s="49" t="s">
        <v>5500</v>
      </c>
      <c r="O304" s="3" t="s">
        <v>7010</v>
      </c>
      <c r="P304" s="3" t="s">
        <v>7010</v>
      </c>
      <c r="Q304" s="3" t="s">
        <v>7010</v>
      </c>
      <c r="R304" s="3" t="s">
        <v>7010</v>
      </c>
      <c r="S304" s="3" t="s">
        <v>7010</v>
      </c>
      <c r="T304" s="3" t="s">
        <v>7010</v>
      </c>
      <c r="U304" s="3" t="s">
        <v>7010</v>
      </c>
      <c r="V304" s="3" t="s">
        <v>7010</v>
      </c>
      <c r="W304" s="74" t="str">
        <f t="shared" si="17"/>
        <v>No</v>
      </c>
      <c r="Z304">
        <v>303</v>
      </c>
      <c r="AA304" s="55">
        <v>777777</v>
      </c>
      <c r="AC304">
        <f t="shared" si="16"/>
        <v>6</v>
      </c>
      <c r="AD304" s="30" t="s">
        <v>3488</v>
      </c>
      <c r="AF304" t="s">
        <v>7719</v>
      </c>
      <c r="AH304" s="3" t="s">
        <v>7015</v>
      </c>
      <c r="AI304" s="3" t="s">
        <v>7010</v>
      </c>
      <c r="AJ304" s="3" t="s">
        <v>7010</v>
      </c>
      <c r="AK304" s="3" t="s">
        <v>7015</v>
      </c>
      <c r="AL304" s="3" t="s">
        <v>7010</v>
      </c>
      <c r="AM304" s="3" t="s">
        <v>7010</v>
      </c>
      <c r="AN304" s="3" t="s">
        <v>7010</v>
      </c>
      <c r="AO304" s="3" t="s">
        <v>7010</v>
      </c>
      <c r="AP304" s="74" t="s">
        <v>7015</v>
      </c>
      <c r="AU304">
        <v>303</v>
      </c>
      <c r="AV304" t="s">
        <v>3489</v>
      </c>
      <c r="AW304" t="s">
        <v>2279</v>
      </c>
      <c r="AX304">
        <f t="shared" si="18"/>
        <v>8</v>
      </c>
      <c r="AY304" s="30" t="s">
        <v>3490</v>
      </c>
      <c r="BC304" s="3" t="s">
        <v>7010</v>
      </c>
      <c r="BD304" s="3" t="s">
        <v>7010</v>
      </c>
      <c r="BE304" s="3" t="s">
        <v>7010</v>
      </c>
      <c r="BF304" s="3" t="s">
        <v>7010</v>
      </c>
      <c r="BG304" s="3" t="s">
        <v>7010</v>
      </c>
      <c r="BH304" s="3" t="s">
        <v>7010</v>
      </c>
      <c r="BI304" s="3" t="s">
        <v>7010</v>
      </c>
      <c r="BJ304" s="3" t="s">
        <v>7010</v>
      </c>
      <c r="BK304" s="74" t="str">
        <f t="shared" si="19"/>
        <v>No</v>
      </c>
    </row>
    <row r="305" spans="6:63">
      <c r="F305" s="55"/>
      <c r="G305">
        <v>304</v>
      </c>
      <c r="H305" s="7" t="s">
        <v>1802</v>
      </c>
      <c r="I305" t="s">
        <v>29</v>
      </c>
      <c r="J305">
        <f>LEN(H305)</f>
        <v>15</v>
      </c>
      <c r="K305" s="49" t="s">
        <v>5746</v>
      </c>
      <c r="O305" s="3" t="s">
        <v>7010</v>
      </c>
      <c r="P305" s="3" t="s">
        <v>7010</v>
      </c>
      <c r="Q305" s="3" t="s">
        <v>7010</v>
      </c>
      <c r="R305" s="3" t="s">
        <v>7010</v>
      </c>
      <c r="S305" s="3" t="s">
        <v>7010</v>
      </c>
      <c r="T305" s="3" t="s">
        <v>7010</v>
      </c>
      <c r="U305" s="3" t="s">
        <v>7010</v>
      </c>
      <c r="V305" s="3" t="s">
        <v>7010</v>
      </c>
      <c r="W305" s="74" t="str">
        <f t="shared" si="17"/>
        <v>No</v>
      </c>
      <c r="Z305">
        <v>304</v>
      </c>
      <c r="AA305" s="55" t="s">
        <v>3492</v>
      </c>
      <c r="AC305">
        <f t="shared" si="16"/>
        <v>6</v>
      </c>
      <c r="AD305" s="30" t="s">
        <v>3493</v>
      </c>
      <c r="AF305" t="s">
        <v>7720</v>
      </c>
      <c r="AH305" s="3" t="s">
        <v>7015</v>
      </c>
      <c r="AI305" s="3" t="s">
        <v>7010</v>
      </c>
      <c r="AJ305" s="3" t="s">
        <v>7010</v>
      </c>
      <c r="AK305" s="3" t="s">
        <v>7015</v>
      </c>
      <c r="AL305" s="3" t="s">
        <v>7010</v>
      </c>
      <c r="AM305" s="3" t="s">
        <v>7010</v>
      </c>
      <c r="AN305" s="3" t="s">
        <v>7010</v>
      </c>
      <c r="AO305" s="3" t="s">
        <v>7010</v>
      </c>
      <c r="AP305" s="74" t="s">
        <v>7015</v>
      </c>
      <c r="AU305">
        <v>304</v>
      </c>
      <c r="AV305" t="s">
        <v>3494</v>
      </c>
      <c r="AW305" t="s">
        <v>2279</v>
      </c>
      <c r="AX305">
        <f t="shared" si="18"/>
        <v>8</v>
      </c>
      <c r="AY305" s="30" t="s">
        <v>3495</v>
      </c>
      <c r="BC305" s="3" t="s">
        <v>7015</v>
      </c>
      <c r="BD305" s="3" t="s">
        <v>7010</v>
      </c>
      <c r="BE305" s="3" t="s">
        <v>7015</v>
      </c>
      <c r="BF305" s="3" t="s">
        <v>7010</v>
      </c>
      <c r="BG305" s="3" t="s">
        <v>7010</v>
      </c>
      <c r="BH305" s="3" t="s">
        <v>7010</v>
      </c>
      <c r="BI305" s="3" t="s">
        <v>7010</v>
      </c>
      <c r="BJ305" s="3" t="s">
        <v>7010</v>
      </c>
      <c r="BK305" s="74" t="str">
        <f t="shared" si="19"/>
        <v>Yes</v>
      </c>
    </row>
    <row r="306" spans="6:63">
      <c r="F306" s="55"/>
      <c r="G306">
        <v>305</v>
      </c>
      <c r="H306" s="7" t="s">
        <v>1826</v>
      </c>
      <c r="I306" t="s">
        <v>29</v>
      </c>
      <c r="J306">
        <f>LEN(H306)</f>
        <v>14</v>
      </c>
      <c r="K306" s="49" t="s">
        <v>5813</v>
      </c>
      <c r="O306" s="3" t="s">
        <v>7010</v>
      </c>
      <c r="P306" s="3" t="s">
        <v>7010</v>
      </c>
      <c r="Q306" s="3" t="s">
        <v>7010</v>
      </c>
      <c r="R306" s="3" t="s">
        <v>7010</v>
      </c>
      <c r="S306" s="3" t="s">
        <v>7010</v>
      </c>
      <c r="T306" s="3" t="s">
        <v>7010</v>
      </c>
      <c r="U306" s="3" t="s">
        <v>7010</v>
      </c>
      <c r="V306" s="3" t="s">
        <v>7010</v>
      </c>
      <c r="W306" s="74" t="str">
        <f t="shared" si="17"/>
        <v>No</v>
      </c>
      <c r="Z306">
        <v>305</v>
      </c>
      <c r="AA306" s="55" t="s">
        <v>3497</v>
      </c>
      <c r="AC306">
        <f t="shared" si="16"/>
        <v>6</v>
      </c>
      <c r="AD306" s="30" t="s">
        <v>3498</v>
      </c>
      <c r="AF306" t="s">
        <v>7721</v>
      </c>
      <c r="AH306" s="3" t="s">
        <v>7015</v>
      </c>
      <c r="AI306" s="3" t="s">
        <v>7010</v>
      </c>
      <c r="AJ306" s="3" t="s">
        <v>7010</v>
      </c>
      <c r="AK306" s="3" t="s">
        <v>7015</v>
      </c>
      <c r="AL306" s="3" t="s">
        <v>7010</v>
      </c>
      <c r="AM306" s="3" t="s">
        <v>7010</v>
      </c>
      <c r="AN306" s="3" t="s">
        <v>7010</v>
      </c>
      <c r="AO306" s="3" t="s">
        <v>7010</v>
      </c>
      <c r="AP306" s="74" t="s">
        <v>7015</v>
      </c>
      <c r="AU306">
        <v>305</v>
      </c>
      <c r="AV306" t="s">
        <v>3499</v>
      </c>
      <c r="AW306" t="s">
        <v>2279</v>
      </c>
      <c r="AX306">
        <f t="shared" si="18"/>
        <v>9</v>
      </c>
      <c r="AY306" s="30" t="s">
        <v>3500</v>
      </c>
      <c r="BC306" s="3" t="s">
        <v>7010</v>
      </c>
      <c r="BD306" s="3" t="s">
        <v>7010</v>
      </c>
      <c r="BE306" s="3" t="s">
        <v>7010</v>
      </c>
      <c r="BF306" s="3" t="s">
        <v>7010</v>
      </c>
      <c r="BG306" s="3" t="s">
        <v>7010</v>
      </c>
      <c r="BH306" s="3" t="s">
        <v>7010</v>
      </c>
      <c r="BI306" s="3" t="s">
        <v>7010</v>
      </c>
      <c r="BJ306" s="3" t="s">
        <v>7010</v>
      </c>
      <c r="BK306" s="74" t="str">
        <f t="shared" si="19"/>
        <v>No</v>
      </c>
    </row>
    <row r="307" spans="6:63">
      <c r="F307" s="55"/>
      <c r="G307">
        <v>306</v>
      </c>
      <c r="H307" s="7" t="s">
        <v>1744</v>
      </c>
      <c r="I307" t="s">
        <v>29</v>
      </c>
      <c r="J307">
        <f>LEN(H307)</f>
        <v>16</v>
      </c>
      <c r="K307" s="49" t="s">
        <v>5589</v>
      </c>
      <c r="O307" s="3" t="s">
        <v>7010</v>
      </c>
      <c r="P307" s="3" t="s">
        <v>7010</v>
      </c>
      <c r="Q307" s="3" t="s">
        <v>7010</v>
      </c>
      <c r="R307" s="3" t="s">
        <v>7010</v>
      </c>
      <c r="S307" s="3" t="s">
        <v>7010</v>
      </c>
      <c r="T307" s="3" t="s">
        <v>7010</v>
      </c>
      <c r="U307" s="3" t="s">
        <v>7010</v>
      </c>
      <c r="V307" s="3" t="s">
        <v>7010</v>
      </c>
      <c r="W307" s="74" t="str">
        <f t="shared" si="17"/>
        <v>No</v>
      </c>
      <c r="Z307">
        <v>306</v>
      </c>
      <c r="AA307" s="55" t="s">
        <v>3502</v>
      </c>
      <c r="AC307">
        <f t="shared" si="16"/>
        <v>6</v>
      </c>
      <c r="AD307" s="30" t="s">
        <v>3503</v>
      </c>
      <c r="AF307" t="s">
        <v>7722</v>
      </c>
      <c r="AH307" s="3" t="s">
        <v>7015</v>
      </c>
      <c r="AI307" s="3" t="s">
        <v>7010</v>
      </c>
      <c r="AJ307" s="3" t="s">
        <v>7010</v>
      </c>
      <c r="AK307" s="3" t="s">
        <v>7015</v>
      </c>
      <c r="AL307" s="3" t="s">
        <v>7010</v>
      </c>
      <c r="AM307" s="3" t="s">
        <v>7010</v>
      </c>
      <c r="AN307" s="3" t="s">
        <v>7010</v>
      </c>
      <c r="AO307" s="3" t="s">
        <v>7010</v>
      </c>
      <c r="AP307" s="74" t="s">
        <v>7015</v>
      </c>
      <c r="AU307">
        <v>306</v>
      </c>
      <c r="AV307" t="s">
        <v>3504</v>
      </c>
      <c r="AW307" t="s">
        <v>2279</v>
      </c>
      <c r="AX307">
        <f t="shared" si="18"/>
        <v>8</v>
      </c>
      <c r="AY307" s="30" t="s">
        <v>3505</v>
      </c>
      <c r="BC307" s="3" t="s">
        <v>7010</v>
      </c>
      <c r="BD307" s="3" t="s">
        <v>7010</v>
      </c>
      <c r="BE307" s="3" t="s">
        <v>7015</v>
      </c>
      <c r="BF307" s="3" t="s">
        <v>7010</v>
      </c>
      <c r="BG307" s="3" t="s">
        <v>7010</v>
      </c>
      <c r="BH307" s="3" t="s">
        <v>7010</v>
      </c>
      <c r="BI307" s="3" t="s">
        <v>7010</v>
      </c>
      <c r="BJ307" s="3" t="s">
        <v>7010</v>
      </c>
      <c r="BK307" s="74" t="str">
        <f t="shared" si="19"/>
        <v>Yes</v>
      </c>
    </row>
    <row r="308" spans="6:63">
      <c r="F308" s="55"/>
      <c r="G308">
        <v>307</v>
      </c>
      <c r="H308" s="7" t="s">
        <v>1834</v>
      </c>
      <c r="I308" t="s">
        <v>29</v>
      </c>
      <c r="J308">
        <f>LEN(H308)</f>
        <v>13</v>
      </c>
      <c r="K308" s="49" t="s">
        <v>5871</v>
      </c>
      <c r="O308" s="3" t="s">
        <v>7010</v>
      </c>
      <c r="P308" s="3" t="s">
        <v>7010</v>
      </c>
      <c r="Q308" s="3" t="s">
        <v>7010</v>
      </c>
      <c r="R308" s="3" t="s">
        <v>7010</v>
      </c>
      <c r="S308" s="3" t="s">
        <v>7010</v>
      </c>
      <c r="T308" s="3" t="s">
        <v>7015</v>
      </c>
      <c r="U308" s="3" t="s">
        <v>7010</v>
      </c>
      <c r="V308" s="3" t="s">
        <v>7010</v>
      </c>
      <c r="W308" s="74" t="str">
        <f t="shared" si="17"/>
        <v>Yes</v>
      </c>
      <c r="Z308">
        <v>307</v>
      </c>
      <c r="AA308" s="55" t="s">
        <v>3507</v>
      </c>
      <c r="AC308">
        <f t="shared" si="16"/>
        <v>10</v>
      </c>
      <c r="AD308" s="30" t="s">
        <v>3508</v>
      </c>
      <c r="AF308" t="s">
        <v>7723</v>
      </c>
      <c r="AH308" s="3" t="s">
        <v>7015</v>
      </c>
      <c r="AI308" s="3" t="s">
        <v>7010</v>
      </c>
      <c r="AJ308" s="3" t="s">
        <v>7010</v>
      </c>
      <c r="AK308" s="3" t="s">
        <v>7015</v>
      </c>
      <c r="AL308" s="3" t="s">
        <v>7010</v>
      </c>
      <c r="AM308" s="3" t="s">
        <v>7010</v>
      </c>
      <c r="AN308" s="3" t="s">
        <v>7010</v>
      </c>
      <c r="AO308" s="3" t="s">
        <v>7010</v>
      </c>
      <c r="AP308" s="74" t="s">
        <v>7015</v>
      </c>
      <c r="AU308">
        <v>307</v>
      </c>
      <c r="AV308" t="s">
        <v>3509</v>
      </c>
      <c r="AW308" t="s">
        <v>2279</v>
      </c>
      <c r="AX308">
        <f t="shared" si="18"/>
        <v>8</v>
      </c>
      <c r="AY308" s="30" t="s">
        <v>3510</v>
      </c>
      <c r="BC308" s="3" t="s">
        <v>7010</v>
      </c>
      <c r="BD308" s="3" t="s">
        <v>7010</v>
      </c>
      <c r="BE308" s="3" t="s">
        <v>7010</v>
      </c>
      <c r="BF308" s="3" t="s">
        <v>7010</v>
      </c>
      <c r="BG308" s="3" t="s">
        <v>7010</v>
      </c>
      <c r="BH308" s="3" t="s">
        <v>7010</v>
      </c>
      <c r="BI308" s="3" t="s">
        <v>7010</v>
      </c>
      <c r="BJ308" s="3" t="s">
        <v>7010</v>
      </c>
      <c r="BK308" s="74" t="str">
        <f t="shared" si="19"/>
        <v>No</v>
      </c>
    </row>
    <row r="309" spans="6:63">
      <c r="F309" s="55"/>
      <c r="G309">
        <v>308</v>
      </c>
      <c r="H309" s="7" t="s">
        <v>1156</v>
      </c>
      <c r="I309" t="s">
        <v>29</v>
      </c>
      <c r="J309">
        <f>LEN(H309)</f>
        <v>12</v>
      </c>
      <c r="K309" s="49" t="s">
        <v>4099</v>
      </c>
      <c r="O309" s="3" t="s">
        <v>7010</v>
      </c>
      <c r="P309" s="3" t="s">
        <v>7010</v>
      </c>
      <c r="Q309" s="3" t="s">
        <v>7010</v>
      </c>
      <c r="R309" s="3" t="s">
        <v>7010</v>
      </c>
      <c r="S309" s="3" t="s">
        <v>7010</v>
      </c>
      <c r="T309" s="3" t="s">
        <v>7010</v>
      </c>
      <c r="U309" s="3" t="s">
        <v>7010</v>
      </c>
      <c r="V309" s="3" t="s">
        <v>7010</v>
      </c>
      <c r="W309" s="74" t="str">
        <f t="shared" si="17"/>
        <v>No</v>
      </c>
      <c r="Z309">
        <v>308</v>
      </c>
      <c r="AA309" s="55" t="s">
        <v>3512</v>
      </c>
      <c r="AC309">
        <f t="shared" si="16"/>
        <v>6</v>
      </c>
      <c r="AD309" s="30" t="s">
        <v>3513</v>
      </c>
      <c r="AF309" t="s">
        <v>7724</v>
      </c>
      <c r="AH309" s="3" t="s">
        <v>7015</v>
      </c>
      <c r="AI309" s="3" t="s">
        <v>7010</v>
      </c>
      <c r="AJ309" s="3" t="s">
        <v>7010</v>
      </c>
      <c r="AK309" s="3" t="s">
        <v>7015</v>
      </c>
      <c r="AL309" s="3" t="s">
        <v>7010</v>
      </c>
      <c r="AM309" s="3" t="s">
        <v>7010</v>
      </c>
      <c r="AN309" s="3" t="s">
        <v>7010</v>
      </c>
      <c r="AO309" s="3" t="s">
        <v>7010</v>
      </c>
      <c r="AP309" s="74" t="s">
        <v>7015</v>
      </c>
      <c r="AU309">
        <v>308</v>
      </c>
      <c r="AV309" t="s">
        <v>3514</v>
      </c>
      <c r="AW309" t="s">
        <v>2279</v>
      </c>
      <c r="AX309">
        <f t="shared" si="18"/>
        <v>8</v>
      </c>
      <c r="AY309" s="30" t="s">
        <v>3515</v>
      </c>
      <c r="BC309" s="3" t="s">
        <v>7010</v>
      </c>
      <c r="BD309" s="3" t="s">
        <v>7010</v>
      </c>
      <c r="BE309" s="3" t="s">
        <v>7010</v>
      </c>
      <c r="BF309" s="3" t="s">
        <v>7010</v>
      </c>
      <c r="BG309" s="3" t="s">
        <v>7010</v>
      </c>
      <c r="BH309" s="3" t="s">
        <v>7010</v>
      </c>
      <c r="BI309" s="3" t="s">
        <v>7010</v>
      </c>
      <c r="BJ309" s="3" t="s">
        <v>7010</v>
      </c>
      <c r="BK309" s="74" t="str">
        <f t="shared" si="19"/>
        <v>No</v>
      </c>
    </row>
    <row r="310" spans="6:63">
      <c r="F310" s="55"/>
      <c r="G310">
        <v>309</v>
      </c>
      <c r="H310" s="7" t="s">
        <v>1762</v>
      </c>
      <c r="I310" t="s">
        <v>29</v>
      </c>
      <c r="J310">
        <f>LEN(H310)</f>
        <v>17</v>
      </c>
      <c r="K310" s="49" t="s">
        <v>5634</v>
      </c>
      <c r="O310" s="3" t="s">
        <v>7010</v>
      </c>
      <c r="P310" s="3" t="s">
        <v>7010</v>
      </c>
      <c r="Q310" s="3" t="s">
        <v>7010</v>
      </c>
      <c r="R310" s="3" t="s">
        <v>7010</v>
      </c>
      <c r="S310" s="3" t="s">
        <v>7010</v>
      </c>
      <c r="T310" s="3" t="s">
        <v>7010</v>
      </c>
      <c r="U310" s="3" t="s">
        <v>7010</v>
      </c>
      <c r="V310" s="3" t="s">
        <v>7010</v>
      </c>
      <c r="W310" s="74" t="str">
        <f t="shared" si="17"/>
        <v>No</v>
      </c>
      <c r="Z310">
        <v>309</v>
      </c>
      <c r="AA310" s="55" t="s">
        <v>3517</v>
      </c>
      <c r="AC310">
        <f t="shared" si="16"/>
        <v>8</v>
      </c>
      <c r="AD310" s="30" t="s">
        <v>3518</v>
      </c>
      <c r="AF310" t="s">
        <v>7725</v>
      </c>
      <c r="AH310" s="3" t="s">
        <v>7015</v>
      </c>
      <c r="AI310" s="3" t="s">
        <v>7010</v>
      </c>
      <c r="AJ310" s="3" t="s">
        <v>7010</v>
      </c>
      <c r="AK310" s="3" t="s">
        <v>7015</v>
      </c>
      <c r="AL310" s="3" t="s">
        <v>7010</v>
      </c>
      <c r="AM310" s="3" t="s">
        <v>7010</v>
      </c>
      <c r="AN310" s="3" t="s">
        <v>7010</v>
      </c>
      <c r="AO310" s="3" t="s">
        <v>7010</v>
      </c>
      <c r="AP310" s="74" t="s">
        <v>7015</v>
      </c>
      <c r="AU310">
        <v>309</v>
      </c>
      <c r="AV310" t="s">
        <v>3519</v>
      </c>
      <c r="AW310" t="s">
        <v>2279</v>
      </c>
      <c r="AX310">
        <f t="shared" si="18"/>
        <v>11</v>
      </c>
      <c r="AY310" s="30" t="s">
        <v>3520</v>
      </c>
      <c r="BC310" s="3" t="s">
        <v>7015</v>
      </c>
      <c r="BD310" s="3" t="s">
        <v>7010</v>
      </c>
      <c r="BE310" s="3" t="s">
        <v>7015</v>
      </c>
      <c r="BF310" s="3" t="s">
        <v>7010</v>
      </c>
      <c r="BG310" s="3" t="s">
        <v>7010</v>
      </c>
      <c r="BH310" s="3" t="s">
        <v>7010</v>
      </c>
      <c r="BI310" s="3" t="s">
        <v>7010</v>
      </c>
      <c r="BJ310" s="3" t="s">
        <v>7010</v>
      </c>
      <c r="BK310" s="74" t="str">
        <f t="shared" si="19"/>
        <v>Yes</v>
      </c>
    </row>
    <row r="311" spans="6:63">
      <c r="F311" s="55"/>
      <c r="G311">
        <v>310</v>
      </c>
      <c r="H311" s="7" t="s">
        <v>1844</v>
      </c>
      <c r="I311" t="s">
        <v>29</v>
      </c>
      <c r="J311">
        <f>LEN(H311)</f>
        <v>17</v>
      </c>
      <c r="K311" s="49" t="s">
        <v>5904</v>
      </c>
      <c r="O311" s="3" t="s">
        <v>7010</v>
      </c>
      <c r="P311" s="3" t="s">
        <v>7010</v>
      </c>
      <c r="Q311" s="3" t="s">
        <v>7010</v>
      </c>
      <c r="R311" s="3" t="s">
        <v>7010</v>
      </c>
      <c r="S311" s="3" t="s">
        <v>7010</v>
      </c>
      <c r="T311" s="3" t="s">
        <v>7010</v>
      </c>
      <c r="U311" s="3" t="s">
        <v>7010</v>
      </c>
      <c r="V311" s="3" t="s">
        <v>7010</v>
      </c>
      <c r="W311" s="74" t="str">
        <f t="shared" si="17"/>
        <v>No</v>
      </c>
      <c r="Z311">
        <v>310</v>
      </c>
      <c r="AA311" s="55" t="s">
        <v>3522</v>
      </c>
      <c r="AC311">
        <f t="shared" si="16"/>
        <v>7</v>
      </c>
      <c r="AD311" s="30" t="s">
        <v>3523</v>
      </c>
      <c r="AF311" t="s">
        <v>7726</v>
      </c>
      <c r="AH311" s="3" t="s">
        <v>7015</v>
      </c>
      <c r="AI311" s="3" t="s">
        <v>7010</v>
      </c>
      <c r="AJ311" s="3" t="s">
        <v>7010</v>
      </c>
      <c r="AK311" s="3" t="s">
        <v>7015</v>
      </c>
      <c r="AL311" s="3" t="s">
        <v>7010</v>
      </c>
      <c r="AM311" s="3" t="s">
        <v>7010</v>
      </c>
      <c r="AN311" s="3" t="s">
        <v>7010</v>
      </c>
      <c r="AO311" s="3" t="s">
        <v>7010</v>
      </c>
      <c r="AP311" s="74" t="s">
        <v>7015</v>
      </c>
      <c r="AU311">
        <v>310</v>
      </c>
      <c r="AV311" t="s">
        <v>3524</v>
      </c>
      <c r="AW311" t="s">
        <v>2279</v>
      </c>
      <c r="AX311">
        <f t="shared" si="18"/>
        <v>10</v>
      </c>
      <c r="AY311" s="30" t="s">
        <v>3525</v>
      </c>
      <c r="BC311" s="3" t="s">
        <v>7010</v>
      </c>
      <c r="BD311" s="3" t="s">
        <v>7010</v>
      </c>
      <c r="BE311" s="3" t="s">
        <v>7010</v>
      </c>
      <c r="BF311" s="3" t="s">
        <v>7010</v>
      </c>
      <c r="BG311" s="3" t="s">
        <v>7010</v>
      </c>
      <c r="BH311" s="3" t="s">
        <v>7010</v>
      </c>
      <c r="BI311" s="3" t="s">
        <v>7010</v>
      </c>
      <c r="BJ311" s="3" t="s">
        <v>7010</v>
      </c>
      <c r="BK311" s="74" t="str">
        <f t="shared" si="19"/>
        <v>No</v>
      </c>
    </row>
    <row r="312" spans="6:63">
      <c r="F312" s="55"/>
      <c r="G312">
        <v>311</v>
      </c>
      <c r="H312" s="7" t="s">
        <v>1114</v>
      </c>
      <c r="I312" t="s">
        <v>29</v>
      </c>
      <c r="J312">
        <f>LEN(H312)</f>
        <v>17</v>
      </c>
      <c r="K312" s="49" t="s">
        <v>3997</v>
      </c>
      <c r="O312" s="3" t="s">
        <v>7010</v>
      </c>
      <c r="P312" s="3" t="s">
        <v>7010</v>
      </c>
      <c r="Q312" s="3" t="s">
        <v>7010</v>
      </c>
      <c r="R312" s="3" t="s">
        <v>7010</v>
      </c>
      <c r="S312" s="3" t="s">
        <v>7010</v>
      </c>
      <c r="T312" s="3" t="s">
        <v>7010</v>
      </c>
      <c r="U312" s="3" t="s">
        <v>7010</v>
      </c>
      <c r="V312" s="3" t="s">
        <v>7010</v>
      </c>
      <c r="W312" s="74" t="str">
        <f t="shared" si="17"/>
        <v>No</v>
      </c>
      <c r="Z312">
        <v>311</v>
      </c>
      <c r="AA312" s="55" t="s">
        <v>3527</v>
      </c>
      <c r="AC312">
        <f t="shared" si="16"/>
        <v>7</v>
      </c>
      <c r="AD312" s="30" t="s">
        <v>3528</v>
      </c>
      <c r="AF312" t="s">
        <v>7727</v>
      </c>
      <c r="AH312" s="3" t="s">
        <v>7015</v>
      </c>
      <c r="AI312" s="3" t="s">
        <v>7010</v>
      </c>
      <c r="AJ312" s="3" t="s">
        <v>7010</v>
      </c>
      <c r="AK312" s="3" t="s">
        <v>7015</v>
      </c>
      <c r="AL312" s="3" t="s">
        <v>7010</v>
      </c>
      <c r="AM312" s="3" t="s">
        <v>7010</v>
      </c>
      <c r="AN312" s="3" t="s">
        <v>7010</v>
      </c>
      <c r="AO312" s="3" t="s">
        <v>7010</v>
      </c>
      <c r="AP312" s="74" t="s">
        <v>7015</v>
      </c>
      <c r="AU312">
        <v>311</v>
      </c>
      <c r="AV312" t="s">
        <v>3529</v>
      </c>
      <c r="AW312" t="s">
        <v>2279</v>
      </c>
      <c r="AX312">
        <f t="shared" si="18"/>
        <v>8</v>
      </c>
      <c r="AY312" s="30" t="s">
        <v>3530</v>
      </c>
      <c r="BC312" s="3" t="s">
        <v>7015</v>
      </c>
      <c r="BD312" s="3" t="s">
        <v>7010</v>
      </c>
      <c r="BE312" s="3" t="s">
        <v>7015</v>
      </c>
      <c r="BF312" s="3" t="s">
        <v>7010</v>
      </c>
      <c r="BG312" s="3" t="s">
        <v>7010</v>
      </c>
      <c r="BH312" s="3" t="s">
        <v>7010</v>
      </c>
      <c r="BI312" s="3" t="s">
        <v>7010</v>
      </c>
      <c r="BJ312" s="3" t="s">
        <v>7010</v>
      </c>
      <c r="BK312" s="74" t="str">
        <f t="shared" si="19"/>
        <v>Yes</v>
      </c>
    </row>
    <row r="313" spans="6:63">
      <c r="F313" s="55"/>
      <c r="G313">
        <v>312</v>
      </c>
      <c r="H313" s="7" t="s">
        <v>1790</v>
      </c>
      <c r="I313" t="s">
        <v>29</v>
      </c>
      <c r="J313">
        <f>LEN(H313)</f>
        <v>16</v>
      </c>
      <c r="K313" s="49" t="s">
        <v>5712</v>
      </c>
      <c r="O313" s="3" t="s">
        <v>7010</v>
      </c>
      <c r="P313" s="3" t="s">
        <v>7010</v>
      </c>
      <c r="Q313" s="3" t="s">
        <v>7010</v>
      </c>
      <c r="R313" s="3" t="s">
        <v>7010</v>
      </c>
      <c r="S313" s="3" t="s">
        <v>7010</v>
      </c>
      <c r="T313" s="3" t="s">
        <v>7010</v>
      </c>
      <c r="U313" s="3" t="s">
        <v>7010</v>
      </c>
      <c r="V313" s="3" t="s">
        <v>7010</v>
      </c>
      <c r="W313" s="74" t="str">
        <f t="shared" si="17"/>
        <v>No</v>
      </c>
      <c r="Z313">
        <v>312</v>
      </c>
      <c r="AA313" s="55" t="s">
        <v>3532</v>
      </c>
      <c r="AC313">
        <f t="shared" si="16"/>
        <v>6</v>
      </c>
      <c r="AD313" s="30" t="s">
        <v>3533</v>
      </c>
      <c r="AF313" t="s">
        <v>7728</v>
      </c>
      <c r="AH313" s="3" t="s">
        <v>7015</v>
      </c>
      <c r="AI313" s="3" t="s">
        <v>7010</v>
      </c>
      <c r="AJ313" s="3" t="s">
        <v>7010</v>
      </c>
      <c r="AK313" s="3" t="s">
        <v>7015</v>
      </c>
      <c r="AL313" s="3" t="s">
        <v>7010</v>
      </c>
      <c r="AM313" s="3" t="s">
        <v>7010</v>
      </c>
      <c r="AN313" s="3" t="s">
        <v>7010</v>
      </c>
      <c r="AO313" s="3" t="s">
        <v>7010</v>
      </c>
      <c r="AP313" s="74" t="s">
        <v>7015</v>
      </c>
      <c r="AU313">
        <v>312</v>
      </c>
      <c r="AV313" t="s">
        <v>3534</v>
      </c>
      <c r="AW313" t="s">
        <v>2279</v>
      </c>
      <c r="AX313">
        <f t="shared" si="18"/>
        <v>8</v>
      </c>
      <c r="AY313" s="30" t="s">
        <v>3535</v>
      </c>
      <c r="BC313" s="3" t="s">
        <v>7015</v>
      </c>
      <c r="BD313" s="3" t="s">
        <v>7010</v>
      </c>
      <c r="BE313" s="3" t="s">
        <v>7015</v>
      </c>
      <c r="BF313" s="3" t="s">
        <v>7010</v>
      </c>
      <c r="BG313" s="3" t="s">
        <v>7010</v>
      </c>
      <c r="BH313" s="3" t="s">
        <v>7010</v>
      </c>
      <c r="BI313" s="3" t="s">
        <v>7010</v>
      </c>
      <c r="BJ313" s="3" t="s">
        <v>7010</v>
      </c>
      <c r="BK313" s="74" t="str">
        <f t="shared" si="19"/>
        <v>Yes</v>
      </c>
    </row>
    <row r="314" spans="6:63">
      <c r="F314" s="55"/>
      <c r="G314">
        <v>313</v>
      </c>
      <c r="H314" s="7" t="s">
        <v>1696</v>
      </c>
      <c r="I314" t="s">
        <v>29</v>
      </c>
      <c r="J314">
        <f>LEN(H314)</f>
        <v>17</v>
      </c>
      <c r="K314" s="49" t="s">
        <v>5470</v>
      </c>
      <c r="O314" s="3" t="s">
        <v>7010</v>
      </c>
      <c r="P314" s="3" t="s">
        <v>7010</v>
      </c>
      <c r="Q314" s="3" t="s">
        <v>7010</v>
      </c>
      <c r="R314" s="3" t="s">
        <v>7010</v>
      </c>
      <c r="S314" s="3" t="s">
        <v>7010</v>
      </c>
      <c r="T314" s="3" t="s">
        <v>7010</v>
      </c>
      <c r="U314" s="3" t="s">
        <v>7010</v>
      </c>
      <c r="V314" s="3" t="s">
        <v>7010</v>
      </c>
      <c r="W314" s="74" t="str">
        <f t="shared" si="17"/>
        <v>No</v>
      </c>
      <c r="Z314">
        <v>313</v>
      </c>
      <c r="AA314" s="55" t="s">
        <v>3537</v>
      </c>
      <c r="AC314">
        <f t="shared" si="16"/>
        <v>8</v>
      </c>
      <c r="AD314" s="30" t="s">
        <v>3538</v>
      </c>
      <c r="AF314" t="s">
        <v>7729</v>
      </c>
      <c r="AH314" s="3" t="s">
        <v>7015</v>
      </c>
      <c r="AI314" s="3" t="s">
        <v>7010</v>
      </c>
      <c r="AJ314" s="3" t="s">
        <v>7010</v>
      </c>
      <c r="AK314" s="3" t="s">
        <v>7015</v>
      </c>
      <c r="AL314" s="3" t="s">
        <v>7010</v>
      </c>
      <c r="AM314" s="3" t="s">
        <v>7010</v>
      </c>
      <c r="AN314" s="3" t="s">
        <v>7010</v>
      </c>
      <c r="AO314" s="3" t="s">
        <v>7010</v>
      </c>
      <c r="AP314" s="74" t="s">
        <v>7015</v>
      </c>
      <c r="AU314">
        <v>313</v>
      </c>
      <c r="AV314" t="s">
        <v>3539</v>
      </c>
      <c r="AW314" t="s">
        <v>2279</v>
      </c>
      <c r="AX314">
        <f t="shared" si="18"/>
        <v>21</v>
      </c>
      <c r="AY314" s="30" t="s">
        <v>3540</v>
      </c>
      <c r="BC314" s="3" t="s">
        <v>7010</v>
      </c>
      <c r="BD314" s="3" t="s">
        <v>7010</v>
      </c>
      <c r="BE314" s="3" t="s">
        <v>7010</v>
      </c>
      <c r="BF314" s="3" t="s">
        <v>7010</v>
      </c>
      <c r="BG314" s="3" t="s">
        <v>7010</v>
      </c>
      <c r="BH314" s="3" t="s">
        <v>7010</v>
      </c>
      <c r="BI314" s="3" t="s">
        <v>7010</v>
      </c>
      <c r="BJ314" s="3" t="s">
        <v>7010</v>
      </c>
      <c r="BK314" s="74" t="str">
        <f t="shared" si="19"/>
        <v>No</v>
      </c>
    </row>
    <row r="315" spans="6:63">
      <c r="F315" s="55"/>
      <c r="G315">
        <v>314</v>
      </c>
      <c r="H315" s="7" t="s">
        <v>1814</v>
      </c>
      <c r="I315" t="s">
        <v>29</v>
      </c>
      <c r="J315">
        <f>LEN(H315)</f>
        <v>17</v>
      </c>
      <c r="K315" s="49" t="s">
        <v>5779</v>
      </c>
      <c r="O315" s="3" t="s">
        <v>7010</v>
      </c>
      <c r="P315" s="3" t="s">
        <v>7010</v>
      </c>
      <c r="Q315" s="3" t="s">
        <v>7010</v>
      </c>
      <c r="R315" s="3" t="s">
        <v>7010</v>
      </c>
      <c r="S315" s="3" t="s">
        <v>7010</v>
      </c>
      <c r="T315" s="3" t="s">
        <v>7010</v>
      </c>
      <c r="U315" s="3" t="s">
        <v>7010</v>
      </c>
      <c r="V315" s="3" t="s">
        <v>7010</v>
      </c>
      <c r="W315" s="74" t="str">
        <f t="shared" si="17"/>
        <v>No</v>
      </c>
      <c r="Z315">
        <v>314</v>
      </c>
      <c r="AA315" s="55" t="s">
        <v>3542</v>
      </c>
      <c r="AC315">
        <f t="shared" si="16"/>
        <v>7</v>
      </c>
      <c r="AD315" s="30" t="s">
        <v>3543</v>
      </c>
      <c r="AF315" t="s">
        <v>7730</v>
      </c>
      <c r="AH315" s="3" t="s">
        <v>7015</v>
      </c>
      <c r="AI315" s="3" t="s">
        <v>7010</v>
      </c>
      <c r="AJ315" s="3" t="s">
        <v>7010</v>
      </c>
      <c r="AK315" s="3" t="s">
        <v>7015</v>
      </c>
      <c r="AL315" s="3" t="s">
        <v>7010</v>
      </c>
      <c r="AM315" s="3" t="s">
        <v>7010</v>
      </c>
      <c r="AN315" s="3" t="s">
        <v>7010</v>
      </c>
      <c r="AO315" s="3" t="s">
        <v>7010</v>
      </c>
      <c r="AP315" s="74" t="s">
        <v>7015</v>
      </c>
      <c r="AU315">
        <v>314</v>
      </c>
      <c r="AV315" t="s">
        <v>3544</v>
      </c>
      <c r="AW315" t="s">
        <v>2279</v>
      </c>
      <c r="AX315">
        <f t="shared" si="18"/>
        <v>12</v>
      </c>
      <c r="AY315" s="30" t="s">
        <v>3545</v>
      </c>
      <c r="BC315" s="3" t="s">
        <v>7010</v>
      </c>
      <c r="BD315" s="3" t="s">
        <v>7010</v>
      </c>
      <c r="BE315" s="3" t="s">
        <v>7010</v>
      </c>
      <c r="BF315" s="3" t="s">
        <v>7010</v>
      </c>
      <c r="BG315" s="3" t="s">
        <v>7010</v>
      </c>
      <c r="BH315" s="3" t="s">
        <v>7010</v>
      </c>
      <c r="BI315" s="3" t="s">
        <v>7010</v>
      </c>
      <c r="BJ315" s="3" t="s">
        <v>7010</v>
      </c>
      <c r="BK315" s="74" t="str">
        <f t="shared" si="19"/>
        <v>No</v>
      </c>
    </row>
    <row r="316" spans="6:63">
      <c r="F316" s="55"/>
      <c r="G316">
        <v>315</v>
      </c>
      <c r="H316" s="7" t="s">
        <v>1130</v>
      </c>
      <c r="I316" t="s">
        <v>29</v>
      </c>
      <c r="J316">
        <f>LEN(H316)</f>
        <v>13</v>
      </c>
      <c r="K316" s="49" t="s">
        <v>4036</v>
      </c>
      <c r="O316" s="3" t="s">
        <v>7010</v>
      </c>
      <c r="P316" s="3" t="s">
        <v>7010</v>
      </c>
      <c r="Q316" s="3" t="s">
        <v>7010</v>
      </c>
      <c r="R316" s="3" t="s">
        <v>7010</v>
      </c>
      <c r="S316" s="3" t="s">
        <v>7010</v>
      </c>
      <c r="T316" s="3" t="s">
        <v>7010</v>
      </c>
      <c r="U316" s="3" t="s">
        <v>7010</v>
      </c>
      <c r="V316" s="3" t="s">
        <v>7010</v>
      </c>
      <c r="W316" s="74" t="str">
        <f t="shared" si="17"/>
        <v>No</v>
      </c>
      <c r="Z316">
        <v>315</v>
      </c>
      <c r="AA316" s="55" t="s">
        <v>3547</v>
      </c>
      <c r="AC316">
        <f t="shared" si="16"/>
        <v>8</v>
      </c>
      <c r="AD316" s="30" t="s">
        <v>3548</v>
      </c>
      <c r="AF316" t="s">
        <v>7731</v>
      </c>
      <c r="AH316" s="3" t="s">
        <v>7015</v>
      </c>
      <c r="AI316" s="3" t="s">
        <v>7010</v>
      </c>
      <c r="AJ316" s="3" t="s">
        <v>7010</v>
      </c>
      <c r="AK316" s="3" t="s">
        <v>7015</v>
      </c>
      <c r="AL316" s="3" t="s">
        <v>7010</v>
      </c>
      <c r="AM316" s="3" t="s">
        <v>7010</v>
      </c>
      <c r="AN316" s="3" t="s">
        <v>7010</v>
      </c>
      <c r="AO316" s="3" t="s">
        <v>7010</v>
      </c>
      <c r="AP316" s="74" t="s">
        <v>7015</v>
      </c>
      <c r="AU316">
        <v>315</v>
      </c>
      <c r="AV316" t="s">
        <v>3549</v>
      </c>
      <c r="AW316" t="s">
        <v>2279</v>
      </c>
      <c r="AX316">
        <f t="shared" si="18"/>
        <v>16</v>
      </c>
      <c r="AY316" s="30" t="s">
        <v>3550</v>
      </c>
      <c r="BC316" s="3" t="s">
        <v>7010</v>
      </c>
      <c r="BD316" s="3" t="s">
        <v>7010</v>
      </c>
      <c r="BE316" s="3" t="s">
        <v>7010</v>
      </c>
      <c r="BF316" s="3" t="s">
        <v>7010</v>
      </c>
      <c r="BG316" s="3" t="s">
        <v>7010</v>
      </c>
      <c r="BH316" s="3" t="s">
        <v>7010</v>
      </c>
      <c r="BI316" s="3" t="s">
        <v>7010</v>
      </c>
      <c r="BJ316" s="3" t="s">
        <v>7010</v>
      </c>
      <c r="BK316" s="74" t="str">
        <f t="shared" si="19"/>
        <v>No</v>
      </c>
    </row>
    <row r="317" spans="6:63">
      <c r="F317" s="55"/>
      <c r="G317">
        <v>316</v>
      </c>
      <c r="H317" s="7" t="s">
        <v>1728</v>
      </c>
      <c r="I317" t="s">
        <v>29</v>
      </c>
      <c r="J317">
        <f>LEN(H317)</f>
        <v>15</v>
      </c>
      <c r="K317" s="49" t="s">
        <v>5549</v>
      </c>
      <c r="O317" s="3" t="s">
        <v>7010</v>
      </c>
      <c r="P317" s="3" t="s">
        <v>7010</v>
      </c>
      <c r="Q317" s="3" t="s">
        <v>7010</v>
      </c>
      <c r="R317" s="3" t="s">
        <v>7010</v>
      </c>
      <c r="S317" s="3" t="s">
        <v>7010</v>
      </c>
      <c r="T317" s="3" t="s">
        <v>7010</v>
      </c>
      <c r="U317" s="3" t="s">
        <v>7010</v>
      </c>
      <c r="V317" s="3" t="s">
        <v>7010</v>
      </c>
      <c r="W317" s="74" t="str">
        <f t="shared" si="17"/>
        <v>No</v>
      </c>
      <c r="Z317">
        <v>316</v>
      </c>
      <c r="AA317" s="55" t="s">
        <v>3552</v>
      </c>
      <c r="AC317">
        <f t="shared" si="16"/>
        <v>6</v>
      </c>
      <c r="AD317" s="30" t="s">
        <v>3553</v>
      </c>
      <c r="AF317" t="s">
        <v>7732</v>
      </c>
      <c r="AH317" s="3" t="s">
        <v>7015</v>
      </c>
      <c r="AI317" s="3" t="s">
        <v>7010</v>
      </c>
      <c r="AJ317" s="3" t="s">
        <v>7010</v>
      </c>
      <c r="AK317" s="3" t="s">
        <v>7015</v>
      </c>
      <c r="AL317" s="3" t="s">
        <v>7010</v>
      </c>
      <c r="AM317" s="3" t="s">
        <v>7010</v>
      </c>
      <c r="AN317" s="3" t="s">
        <v>7010</v>
      </c>
      <c r="AO317" s="3" t="s">
        <v>7010</v>
      </c>
      <c r="AP317" s="74" t="s">
        <v>7015</v>
      </c>
      <c r="AU317">
        <v>316</v>
      </c>
      <c r="AV317" t="s">
        <v>3554</v>
      </c>
      <c r="AW317" t="s">
        <v>2279</v>
      </c>
      <c r="AX317">
        <f t="shared" si="18"/>
        <v>16</v>
      </c>
      <c r="AY317" s="30" t="s">
        <v>3555</v>
      </c>
      <c r="BC317" s="3" t="s">
        <v>7010</v>
      </c>
      <c r="BD317" s="3" t="s">
        <v>7010</v>
      </c>
      <c r="BE317" s="3" t="s">
        <v>7010</v>
      </c>
      <c r="BF317" s="3" t="s">
        <v>7010</v>
      </c>
      <c r="BG317" s="3" t="s">
        <v>7010</v>
      </c>
      <c r="BH317" s="3" t="s">
        <v>7010</v>
      </c>
      <c r="BI317" s="3" t="s">
        <v>7010</v>
      </c>
      <c r="BJ317" s="3" t="s">
        <v>7010</v>
      </c>
      <c r="BK317" s="74" t="str">
        <f t="shared" si="19"/>
        <v>No</v>
      </c>
    </row>
    <row r="318" spans="6:63">
      <c r="F318" s="55"/>
      <c r="G318">
        <v>317</v>
      </c>
      <c r="H318" s="7" t="s">
        <v>922</v>
      </c>
      <c r="I318" t="s">
        <v>29</v>
      </c>
      <c r="J318">
        <f>LEN(H318)</f>
        <v>13</v>
      </c>
      <c r="K318" s="49" t="s">
        <v>3501</v>
      </c>
      <c r="O318" s="3" t="s">
        <v>7010</v>
      </c>
      <c r="P318" s="3" t="s">
        <v>7010</v>
      </c>
      <c r="Q318" s="3" t="s">
        <v>7010</v>
      </c>
      <c r="R318" s="3" t="s">
        <v>7010</v>
      </c>
      <c r="S318" s="3" t="s">
        <v>7010</v>
      </c>
      <c r="T318" s="3" t="s">
        <v>7010</v>
      </c>
      <c r="U318" s="3" t="s">
        <v>7010</v>
      </c>
      <c r="V318" s="3" t="s">
        <v>7010</v>
      </c>
      <c r="W318" s="74" t="str">
        <f t="shared" si="17"/>
        <v>No</v>
      </c>
      <c r="Z318">
        <v>317</v>
      </c>
      <c r="AA318" s="55" t="s">
        <v>3557</v>
      </c>
      <c r="AC318">
        <f t="shared" si="16"/>
        <v>6</v>
      </c>
      <c r="AD318" s="30" t="s">
        <v>3558</v>
      </c>
      <c r="AF318" t="s">
        <v>7733</v>
      </c>
      <c r="AH318" s="3" t="s">
        <v>7015</v>
      </c>
      <c r="AI318" s="3" t="s">
        <v>7010</v>
      </c>
      <c r="AJ318" s="3" t="s">
        <v>7010</v>
      </c>
      <c r="AK318" s="3" t="s">
        <v>7015</v>
      </c>
      <c r="AL318" s="3" t="s">
        <v>7010</v>
      </c>
      <c r="AM318" s="3" t="s">
        <v>7010</v>
      </c>
      <c r="AN318" s="3" t="s">
        <v>7010</v>
      </c>
      <c r="AO318" s="3" t="s">
        <v>7010</v>
      </c>
      <c r="AP318" s="74" t="s">
        <v>7015</v>
      </c>
      <c r="AU318">
        <v>317</v>
      </c>
      <c r="AV318" t="s">
        <v>3559</v>
      </c>
      <c r="AW318" t="s">
        <v>2279</v>
      </c>
      <c r="AX318">
        <f t="shared" si="18"/>
        <v>10</v>
      </c>
      <c r="AY318" s="30" t="s">
        <v>3560</v>
      </c>
      <c r="BC318" s="3" t="s">
        <v>7010</v>
      </c>
      <c r="BD318" s="3" t="s">
        <v>7010</v>
      </c>
      <c r="BE318" s="3" t="s">
        <v>7010</v>
      </c>
      <c r="BF318" s="3" t="s">
        <v>7010</v>
      </c>
      <c r="BG318" s="3" t="s">
        <v>7010</v>
      </c>
      <c r="BH318" s="3" t="s">
        <v>7010</v>
      </c>
      <c r="BI318" s="3" t="s">
        <v>7010</v>
      </c>
      <c r="BJ318" s="3" t="s">
        <v>7010</v>
      </c>
      <c r="BK318" s="74" t="str">
        <f t="shared" si="19"/>
        <v>No</v>
      </c>
    </row>
    <row r="319" spans="6:63">
      <c r="F319" s="55"/>
      <c r="G319">
        <v>318</v>
      </c>
      <c r="H319" s="7" t="s">
        <v>1142</v>
      </c>
      <c r="I319" t="s">
        <v>29</v>
      </c>
      <c r="J319">
        <f>LEN(H319)</f>
        <v>16</v>
      </c>
      <c r="K319" s="49" t="s">
        <v>4065</v>
      </c>
      <c r="O319" s="3" t="s">
        <v>7010</v>
      </c>
      <c r="P319" s="3" t="s">
        <v>7010</v>
      </c>
      <c r="Q319" s="3" t="s">
        <v>7010</v>
      </c>
      <c r="R319" s="3" t="s">
        <v>7010</v>
      </c>
      <c r="S319" s="3" t="s">
        <v>7010</v>
      </c>
      <c r="T319" s="3" t="s">
        <v>7010</v>
      </c>
      <c r="U319" s="3" t="s">
        <v>7010</v>
      </c>
      <c r="V319" s="3" t="s">
        <v>7010</v>
      </c>
      <c r="W319" s="74" t="str">
        <f t="shared" si="17"/>
        <v>No</v>
      </c>
      <c r="Z319">
        <v>318</v>
      </c>
      <c r="AA319" s="55" t="s">
        <v>3562</v>
      </c>
      <c r="AC319">
        <f t="shared" si="16"/>
        <v>10</v>
      </c>
      <c r="AD319" s="30" t="s">
        <v>3563</v>
      </c>
      <c r="AF319" t="s">
        <v>7734</v>
      </c>
      <c r="AH319" s="3" t="s">
        <v>7015</v>
      </c>
      <c r="AI319" s="3" t="s">
        <v>7010</v>
      </c>
      <c r="AJ319" s="3" t="s">
        <v>7010</v>
      </c>
      <c r="AK319" s="3" t="s">
        <v>7015</v>
      </c>
      <c r="AL319" s="3" t="s">
        <v>7010</v>
      </c>
      <c r="AM319" s="3" t="s">
        <v>7010</v>
      </c>
      <c r="AN319" s="3" t="s">
        <v>7010</v>
      </c>
      <c r="AO319" s="3" t="s">
        <v>7010</v>
      </c>
      <c r="AP319" s="74" t="s">
        <v>7015</v>
      </c>
      <c r="AU319">
        <v>318</v>
      </c>
      <c r="AV319" t="s">
        <v>3564</v>
      </c>
      <c r="AW319" t="s">
        <v>2279</v>
      </c>
      <c r="AX319">
        <f t="shared" si="18"/>
        <v>8</v>
      </c>
      <c r="AY319" s="30" t="s">
        <v>3565</v>
      </c>
      <c r="BC319" s="3" t="s">
        <v>7010</v>
      </c>
      <c r="BD319" s="3" t="s">
        <v>7010</v>
      </c>
      <c r="BE319" s="3" t="s">
        <v>7010</v>
      </c>
      <c r="BF319" s="3" t="s">
        <v>7010</v>
      </c>
      <c r="BG319" s="3" t="s">
        <v>7010</v>
      </c>
      <c r="BH319" s="3" t="s">
        <v>7010</v>
      </c>
      <c r="BI319" s="3" t="s">
        <v>7010</v>
      </c>
      <c r="BJ319" s="3" t="s">
        <v>7010</v>
      </c>
      <c r="BK319" s="74" t="str">
        <f t="shared" si="19"/>
        <v>No</v>
      </c>
    </row>
    <row r="320" spans="6:63">
      <c r="F320" s="55"/>
      <c r="G320">
        <v>319</v>
      </c>
      <c r="H320" s="7" t="s">
        <v>638</v>
      </c>
      <c r="I320" t="s">
        <v>29</v>
      </c>
      <c r="J320">
        <f>LEN(H320)</f>
        <v>16</v>
      </c>
      <c r="K320" s="49" t="s">
        <v>3469</v>
      </c>
      <c r="O320" s="3" t="s">
        <v>7010</v>
      </c>
      <c r="P320" s="3" t="s">
        <v>7010</v>
      </c>
      <c r="Q320" s="3" t="s">
        <v>7010</v>
      </c>
      <c r="R320" s="3" t="s">
        <v>7010</v>
      </c>
      <c r="S320" s="3" t="s">
        <v>7010</v>
      </c>
      <c r="T320" s="3" t="s">
        <v>7010</v>
      </c>
      <c r="U320" s="3" t="s">
        <v>7010</v>
      </c>
      <c r="V320" s="3" t="s">
        <v>7010</v>
      </c>
      <c r="W320" s="74" t="str">
        <f t="shared" si="17"/>
        <v>No</v>
      </c>
      <c r="Z320">
        <v>319</v>
      </c>
      <c r="AA320" s="55" t="s">
        <v>3567</v>
      </c>
      <c r="AC320">
        <f t="shared" si="16"/>
        <v>7</v>
      </c>
      <c r="AD320" s="30" t="s">
        <v>3568</v>
      </c>
      <c r="AF320" t="s">
        <v>7735</v>
      </c>
      <c r="AH320" s="3" t="s">
        <v>7015</v>
      </c>
      <c r="AI320" s="3" t="s">
        <v>7010</v>
      </c>
      <c r="AJ320" s="3" t="s">
        <v>7010</v>
      </c>
      <c r="AK320" s="3" t="s">
        <v>7015</v>
      </c>
      <c r="AL320" s="3" t="s">
        <v>7010</v>
      </c>
      <c r="AM320" s="3" t="s">
        <v>7010</v>
      </c>
      <c r="AN320" s="3" t="s">
        <v>7010</v>
      </c>
      <c r="AO320" s="3" t="s">
        <v>7010</v>
      </c>
      <c r="AP320" s="74" t="s">
        <v>7015</v>
      </c>
      <c r="AU320">
        <v>319</v>
      </c>
      <c r="AV320" t="s">
        <v>3569</v>
      </c>
      <c r="AW320" t="s">
        <v>2279</v>
      </c>
      <c r="AX320">
        <f t="shared" si="18"/>
        <v>11</v>
      </c>
      <c r="AY320" s="30" t="s">
        <v>3570</v>
      </c>
      <c r="BC320" s="3" t="s">
        <v>7010</v>
      </c>
      <c r="BD320" s="3" t="s">
        <v>7010</v>
      </c>
      <c r="BE320" s="3" t="s">
        <v>7015</v>
      </c>
      <c r="BF320" s="3" t="s">
        <v>7010</v>
      </c>
      <c r="BG320" s="3" t="s">
        <v>7010</v>
      </c>
      <c r="BH320" s="3" t="s">
        <v>7010</v>
      </c>
      <c r="BI320" s="3" t="s">
        <v>7010</v>
      </c>
      <c r="BJ320" s="3" t="s">
        <v>7010</v>
      </c>
      <c r="BK320" s="74" t="str">
        <f t="shared" si="19"/>
        <v>Yes</v>
      </c>
    </row>
    <row r="321" spans="6:63">
      <c r="F321" s="55"/>
      <c r="G321">
        <v>320</v>
      </c>
      <c r="H321" s="7" t="s">
        <v>623</v>
      </c>
      <c r="I321" t="s">
        <v>29</v>
      </c>
      <c r="J321">
        <f>LEN(H321)</f>
        <v>14</v>
      </c>
      <c r="K321" s="49" t="s">
        <v>3409</v>
      </c>
      <c r="O321" s="3" t="s">
        <v>7010</v>
      </c>
      <c r="P321" s="3" t="s">
        <v>7010</v>
      </c>
      <c r="Q321" s="3" t="s">
        <v>7010</v>
      </c>
      <c r="R321" s="3" t="s">
        <v>7010</v>
      </c>
      <c r="S321" s="3" t="s">
        <v>7010</v>
      </c>
      <c r="T321" s="3" t="s">
        <v>7010</v>
      </c>
      <c r="U321" s="3" t="s">
        <v>7010</v>
      </c>
      <c r="V321" s="3" t="s">
        <v>7010</v>
      </c>
      <c r="W321" s="74" t="str">
        <f t="shared" si="17"/>
        <v>No</v>
      </c>
      <c r="Z321">
        <v>320</v>
      </c>
      <c r="AA321" s="55">
        <v>101010</v>
      </c>
      <c r="AC321">
        <f t="shared" si="16"/>
        <v>6</v>
      </c>
      <c r="AD321" s="30" t="s">
        <v>3572</v>
      </c>
      <c r="AF321" t="s">
        <v>7736</v>
      </c>
      <c r="AH321" s="3" t="s">
        <v>7015</v>
      </c>
      <c r="AI321" s="3" t="s">
        <v>7010</v>
      </c>
      <c r="AJ321" s="3" t="s">
        <v>7010</v>
      </c>
      <c r="AK321" s="3" t="s">
        <v>7015</v>
      </c>
      <c r="AL321" s="3" t="s">
        <v>7010</v>
      </c>
      <c r="AM321" s="3" t="s">
        <v>7010</v>
      </c>
      <c r="AN321" s="3" t="s">
        <v>7010</v>
      </c>
      <c r="AO321" s="3" t="s">
        <v>7010</v>
      </c>
      <c r="AP321" s="74" t="s">
        <v>7015</v>
      </c>
      <c r="AU321">
        <v>320</v>
      </c>
      <c r="AV321" t="s">
        <v>3573</v>
      </c>
      <c r="AW321" t="s">
        <v>2279</v>
      </c>
      <c r="AX321">
        <f t="shared" si="18"/>
        <v>8</v>
      </c>
      <c r="AY321" s="30" t="s">
        <v>3574</v>
      </c>
      <c r="BC321" s="3" t="s">
        <v>7010</v>
      </c>
      <c r="BD321" s="3" t="s">
        <v>7010</v>
      </c>
      <c r="BE321" s="3" t="s">
        <v>7010</v>
      </c>
      <c r="BF321" s="3" t="s">
        <v>7010</v>
      </c>
      <c r="BG321" s="3" t="s">
        <v>7010</v>
      </c>
      <c r="BH321" s="3" t="s">
        <v>7010</v>
      </c>
      <c r="BI321" s="3" t="s">
        <v>7010</v>
      </c>
      <c r="BJ321" s="3" t="s">
        <v>7010</v>
      </c>
      <c r="BK321" s="74" t="str">
        <f t="shared" si="19"/>
        <v>No</v>
      </c>
    </row>
    <row r="322" spans="6:63">
      <c r="F322" s="55"/>
      <c r="G322">
        <v>321</v>
      </c>
      <c r="H322" s="7" t="s">
        <v>383</v>
      </c>
      <c r="I322" t="s">
        <v>29</v>
      </c>
      <c r="J322">
        <f>LEN(H322)</f>
        <v>12</v>
      </c>
      <c r="K322" s="49" t="s">
        <v>2449</v>
      </c>
      <c r="O322" s="3" t="s">
        <v>7010</v>
      </c>
      <c r="P322" s="3" t="s">
        <v>7010</v>
      </c>
      <c r="Q322" s="3" t="s">
        <v>7010</v>
      </c>
      <c r="R322" s="3" t="s">
        <v>7010</v>
      </c>
      <c r="S322" s="3" t="s">
        <v>7010</v>
      </c>
      <c r="T322" s="3" t="s">
        <v>7010</v>
      </c>
      <c r="U322" s="3" t="s">
        <v>7010</v>
      </c>
      <c r="V322" s="3" t="s">
        <v>7010</v>
      </c>
      <c r="W322" s="74" t="str">
        <f t="shared" si="17"/>
        <v>No</v>
      </c>
      <c r="Z322">
        <v>321</v>
      </c>
      <c r="AA322" s="55" t="s">
        <v>3576</v>
      </c>
      <c r="AC322">
        <f t="shared" ref="AC322:AC385" si="20">LEN(AA322)</f>
        <v>6</v>
      </c>
      <c r="AD322" s="30" t="s">
        <v>3577</v>
      </c>
      <c r="AF322" t="s">
        <v>7737</v>
      </c>
      <c r="AH322" s="3" t="s">
        <v>7015</v>
      </c>
      <c r="AI322" s="3" t="s">
        <v>7010</v>
      </c>
      <c r="AJ322" s="3" t="s">
        <v>7010</v>
      </c>
      <c r="AK322" s="3" t="s">
        <v>7015</v>
      </c>
      <c r="AL322" s="3" t="s">
        <v>7010</v>
      </c>
      <c r="AM322" s="3" t="s">
        <v>7010</v>
      </c>
      <c r="AN322" s="3" t="s">
        <v>7010</v>
      </c>
      <c r="AO322" s="3" t="s">
        <v>7010</v>
      </c>
      <c r="AP322" s="74" t="s">
        <v>7015</v>
      </c>
      <c r="AU322">
        <v>321</v>
      </c>
      <c r="AV322" t="s">
        <v>3578</v>
      </c>
      <c r="AW322" t="s">
        <v>2279</v>
      </c>
      <c r="AX322">
        <f t="shared" si="18"/>
        <v>11</v>
      </c>
      <c r="AY322" s="30" t="s">
        <v>3579</v>
      </c>
      <c r="BC322" s="3" t="s">
        <v>7010</v>
      </c>
      <c r="BD322" s="3" t="s">
        <v>7010</v>
      </c>
      <c r="BE322" s="3" t="s">
        <v>7010</v>
      </c>
      <c r="BF322" s="3" t="s">
        <v>7010</v>
      </c>
      <c r="BG322" s="3" t="s">
        <v>7010</v>
      </c>
      <c r="BH322" s="3" t="s">
        <v>7010</v>
      </c>
      <c r="BI322" s="3" t="s">
        <v>7010</v>
      </c>
      <c r="BJ322" s="3" t="s">
        <v>7010</v>
      </c>
      <c r="BK322" s="74" t="str">
        <f t="shared" si="19"/>
        <v>No</v>
      </c>
    </row>
    <row r="323" spans="6:63">
      <c r="F323" s="55"/>
      <c r="G323">
        <v>322</v>
      </c>
      <c r="H323" s="7" t="s">
        <v>602</v>
      </c>
      <c r="I323" t="s">
        <v>29</v>
      </c>
      <c r="J323">
        <f>LEN(H323)</f>
        <v>11</v>
      </c>
      <c r="K323" s="49" t="s">
        <v>3325</v>
      </c>
      <c r="O323" s="3" t="s">
        <v>7010</v>
      </c>
      <c r="P323" s="3" t="s">
        <v>7010</v>
      </c>
      <c r="Q323" s="3" t="s">
        <v>7010</v>
      </c>
      <c r="R323" s="3" t="s">
        <v>7010</v>
      </c>
      <c r="S323" s="3" t="s">
        <v>7010</v>
      </c>
      <c r="T323" s="3" t="s">
        <v>7015</v>
      </c>
      <c r="U323" s="3" t="s">
        <v>7010</v>
      </c>
      <c r="V323" s="3" t="s">
        <v>7010</v>
      </c>
      <c r="W323" s="74" t="str">
        <f t="shared" ref="W323:W386" si="21">IF(COUNTIF(O323:V323, "Yes") &gt; 0, "Yes", "No")</f>
        <v>Yes</v>
      </c>
      <c r="Z323">
        <v>322</v>
      </c>
      <c r="AA323" s="55" t="s">
        <v>3581</v>
      </c>
      <c r="AC323">
        <f t="shared" si="20"/>
        <v>6</v>
      </c>
      <c r="AD323" s="30" t="s">
        <v>3582</v>
      </c>
      <c r="AF323" t="s">
        <v>7738</v>
      </c>
      <c r="AH323" s="3" t="s">
        <v>7015</v>
      </c>
      <c r="AI323" s="3" t="s">
        <v>7010</v>
      </c>
      <c r="AJ323" s="3" t="s">
        <v>7010</v>
      </c>
      <c r="AK323" s="3" t="s">
        <v>7015</v>
      </c>
      <c r="AL323" s="3" t="s">
        <v>7010</v>
      </c>
      <c r="AM323" s="3" t="s">
        <v>7010</v>
      </c>
      <c r="AN323" s="3" t="s">
        <v>7010</v>
      </c>
      <c r="AO323" s="3" t="s">
        <v>7010</v>
      </c>
      <c r="AP323" s="74" t="s">
        <v>7015</v>
      </c>
      <c r="AU323">
        <v>322</v>
      </c>
      <c r="AV323" t="s">
        <v>3583</v>
      </c>
      <c r="AW323" t="s">
        <v>2279</v>
      </c>
      <c r="AX323">
        <f t="shared" ref="AX323:AX386" si="22">LEN(AV323)</f>
        <v>9</v>
      </c>
      <c r="AY323" s="30" t="s">
        <v>3584</v>
      </c>
      <c r="BC323" s="3" t="s">
        <v>7010</v>
      </c>
      <c r="BD323" s="3" t="s">
        <v>7010</v>
      </c>
      <c r="BE323" s="3" t="s">
        <v>7015</v>
      </c>
      <c r="BF323" s="3" t="s">
        <v>7010</v>
      </c>
      <c r="BG323" s="3" t="s">
        <v>7010</v>
      </c>
      <c r="BH323" s="3" t="s">
        <v>7010</v>
      </c>
      <c r="BI323" s="3" t="s">
        <v>7010</v>
      </c>
      <c r="BJ323" s="3" t="s">
        <v>7010</v>
      </c>
      <c r="BK323" s="74" t="str">
        <f t="shared" ref="BK323:BK386" si="23">IF(COUNTIF(BC323:BJ323, "Yes") &gt; 0, "Yes", "No")</f>
        <v>Yes</v>
      </c>
    </row>
    <row r="324" spans="6:63">
      <c r="F324" s="55"/>
      <c r="G324">
        <v>323</v>
      </c>
      <c r="H324" s="7" t="s">
        <v>398</v>
      </c>
      <c r="I324" t="s">
        <v>29</v>
      </c>
      <c r="J324">
        <f>LEN(H324)</f>
        <v>11</v>
      </c>
      <c r="K324" s="49" t="s">
        <v>2509</v>
      </c>
      <c r="O324" s="3" t="s">
        <v>7010</v>
      </c>
      <c r="P324" s="3" t="s">
        <v>7010</v>
      </c>
      <c r="Q324" s="3" t="s">
        <v>7010</v>
      </c>
      <c r="R324" s="3" t="s">
        <v>7010</v>
      </c>
      <c r="S324" s="3" t="s">
        <v>7010</v>
      </c>
      <c r="T324" s="3" t="s">
        <v>7010</v>
      </c>
      <c r="U324" s="3" t="s">
        <v>7010</v>
      </c>
      <c r="V324" s="3" t="s">
        <v>7010</v>
      </c>
      <c r="W324" s="74" t="str">
        <f t="shared" si="21"/>
        <v>No</v>
      </c>
      <c r="Z324">
        <v>323</v>
      </c>
      <c r="AA324" s="55" t="s">
        <v>3586</v>
      </c>
      <c r="AC324">
        <f t="shared" si="20"/>
        <v>8</v>
      </c>
      <c r="AD324" s="30" t="s">
        <v>3587</v>
      </c>
      <c r="AF324" t="s">
        <v>7739</v>
      </c>
      <c r="AH324" s="3" t="s">
        <v>7015</v>
      </c>
      <c r="AI324" s="3" t="s">
        <v>7010</v>
      </c>
      <c r="AJ324" s="3" t="s">
        <v>7010</v>
      </c>
      <c r="AK324" s="3" t="s">
        <v>7015</v>
      </c>
      <c r="AL324" s="3" t="s">
        <v>7010</v>
      </c>
      <c r="AM324" s="3" t="s">
        <v>7010</v>
      </c>
      <c r="AN324" s="3" t="s">
        <v>7010</v>
      </c>
      <c r="AO324" s="3" t="s">
        <v>7010</v>
      </c>
      <c r="AP324" s="74" t="s">
        <v>7015</v>
      </c>
      <c r="AU324">
        <v>323</v>
      </c>
      <c r="AV324" t="s">
        <v>3588</v>
      </c>
      <c r="AW324" t="s">
        <v>2279</v>
      </c>
      <c r="AX324">
        <f t="shared" si="22"/>
        <v>8</v>
      </c>
      <c r="AY324" s="30" t="s">
        <v>3589</v>
      </c>
      <c r="BC324" s="3" t="s">
        <v>7010</v>
      </c>
      <c r="BD324" s="3" t="s">
        <v>7010</v>
      </c>
      <c r="BE324" s="3" t="s">
        <v>7010</v>
      </c>
      <c r="BF324" s="3" t="s">
        <v>7010</v>
      </c>
      <c r="BG324" s="3" t="s">
        <v>7010</v>
      </c>
      <c r="BH324" s="3" t="s">
        <v>7010</v>
      </c>
      <c r="BI324" s="3" t="s">
        <v>7010</v>
      </c>
      <c r="BJ324" s="3" t="s">
        <v>7010</v>
      </c>
      <c r="BK324" s="74" t="str">
        <f t="shared" si="23"/>
        <v>No</v>
      </c>
    </row>
    <row r="325" spans="6:63">
      <c r="G325">
        <v>324</v>
      </c>
      <c r="H325" s="7" t="s">
        <v>535</v>
      </c>
      <c r="I325" t="s">
        <v>29</v>
      </c>
      <c r="J325">
        <f>LEN(H325)</f>
        <v>12</v>
      </c>
      <c r="K325" s="49" t="s">
        <v>3057</v>
      </c>
      <c r="O325" s="3" t="s">
        <v>7010</v>
      </c>
      <c r="P325" s="3" t="s">
        <v>7010</v>
      </c>
      <c r="Q325" s="3" t="s">
        <v>7010</v>
      </c>
      <c r="R325" s="3" t="s">
        <v>7010</v>
      </c>
      <c r="S325" s="3" t="s">
        <v>7010</v>
      </c>
      <c r="T325" s="3" t="s">
        <v>7010</v>
      </c>
      <c r="U325" s="3" t="s">
        <v>7010</v>
      </c>
      <c r="V325" s="3" t="s">
        <v>7010</v>
      </c>
      <c r="W325" s="74" t="str">
        <f t="shared" si="21"/>
        <v>No</v>
      </c>
      <c r="Z325">
        <v>324</v>
      </c>
      <c r="AA325" s="55" t="s">
        <v>3591</v>
      </c>
      <c r="AC325">
        <f t="shared" si="20"/>
        <v>5</v>
      </c>
      <c r="AD325" s="30" t="s">
        <v>3592</v>
      </c>
      <c r="AF325" t="s">
        <v>7740</v>
      </c>
      <c r="AH325" s="3" t="s">
        <v>7015</v>
      </c>
      <c r="AI325" s="3" t="s">
        <v>7010</v>
      </c>
      <c r="AJ325" s="3" t="s">
        <v>7010</v>
      </c>
      <c r="AK325" s="3" t="s">
        <v>7015</v>
      </c>
      <c r="AL325" s="3" t="s">
        <v>7010</v>
      </c>
      <c r="AM325" s="3" t="s">
        <v>7010</v>
      </c>
      <c r="AN325" s="3" t="s">
        <v>7010</v>
      </c>
      <c r="AO325" s="3" t="s">
        <v>7010</v>
      </c>
      <c r="AP325" s="74" t="s">
        <v>7015</v>
      </c>
      <c r="AU325">
        <v>324</v>
      </c>
      <c r="AV325" t="s">
        <v>3593</v>
      </c>
      <c r="AW325" t="s">
        <v>2279</v>
      </c>
      <c r="AX325">
        <f t="shared" si="22"/>
        <v>8</v>
      </c>
      <c r="AY325" s="30" t="s">
        <v>3594</v>
      </c>
      <c r="BC325" s="3" t="s">
        <v>7010</v>
      </c>
      <c r="BD325" s="3" t="s">
        <v>7010</v>
      </c>
      <c r="BE325" s="3" t="s">
        <v>7010</v>
      </c>
      <c r="BF325" s="3" t="s">
        <v>7010</v>
      </c>
      <c r="BG325" s="3" t="s">
        <v>7010</v>
      </c>
      <c r="BH325" s="3" t="s">
        <v>7010</v>
      </c>
      <c r="BI325" s="3" t="s">
        <v>7010</v>
      </c>
      <c r="BJ325" s="3" t="s">
        <v>7010</v>
      </c>
      <c r="BK325" s="74" t="str">
        <f t="shared" si="23"/>
        <v>No</v>
      </c>
    </row>
    <row r="326" spans="6:63">
      <c r="G326">
        <v>325</v>
      </c>
      <c r="H326" s="7" t="s">
        <v>2109</v>
      </c>
      <c r="I326" t="s">
        <v>29</v>
      </c>
      <c r="J326">
        <f>LEN(H326)</f>
        <v>19</v>
      </c>
      <c r="K326" s="49" t="s">
        <v>6598</v>
      </c>
      <c r="O326" s="3" t="s">
        <v>7010</v>
      </c>
      <c r="P326" s="3" t="s">
        <v>7010</v>
      </c>
      <c r="Q326" s="3" t="s">
        <v>7010</v>
      </c>
      <c r="R326" s="3" t="s">
        <v>7010</v>
      </c>
      <c r="S326" s="3" t="s">
        <v>7010</v>
      </c>
      <c r="T326" s="3" t="s">
        <v>7010</v>
      </c>
      <c r="U326" s="3" t="s">
        <v>7010</v>
      </c>
      <c r="V326" s="3" t="s">
        <v>7010</v>
      </c>
      <c r="W326" s="74" t="str">
        <f t="shared" si="21"/>
        <v>No</v>
      </c>
      <c r="Z326">
        <v>325</v>
      </c>
      <c r="AA326" s="55" t="s">
        <v>3596</v>
      </c>
      <c r="AC326">
        <f t="shared" si="20"/>
        <v>10</v>
      </c>
      <c r="AD326" s="30" t="s">
        <v>3597</v>
      </c>
      <c r="AF326" t="s">
        <v>7741</v>
      </c>
      <c r="AH326" s="3" t="s">
        <v>7015</v>
      </c>
      <c r="AI326" s="3" t="s">
        <v>7010</v>
      </c>
      <c r="AJ326" s="3" t="s">
        <v>7010</v>
      </c>
      <c r="AK326" s="3" t="s">
        <v>7015</v>
      </c>
      <c r="AL326" s="3" t="s">
        <v>7010</v>
      </c>
      <c r="AM326" s="3" t="s">
        <v>7010</v>
      </c>
      <c r="AN326" s="3" t="s">
        <v>7010</v>
      </c>
      <c r="AO326" s="3" t="s">
        <v>7010</v>
      </c>
      <c r="AP326" s="74" t="s">
        <v>7015</v>
      </c>
      <c r="AU326">
        <v>325</v>
      </c>
      <c r="AV326" t="s">
        <v>3598</v>
      </c>
      <c r="AW326" t="s">
        <v>2279</v>
      </c>
      <c r="AX326">
        <f t="shared" si="22"/>
        <v>15</v>
      </c>
      <c r="AY326" s="31" t="s">
        <v>3599</v>
      </c>
      <c r="BC326" s="3" t="s">
        <v>7010</v>
      </c>
      <c r="BD326" s="3" t="s">
        <v>7010</v>
      </c>
      <c r="BE326" s="3" t="s">
        <v>7010</v>
      </c>
      <c r="BF326" s="3" t="s">
        <v>7010</v>
      </c>
      <c r="BG326" s="3" t="s">
        <v>7010</v>
      </c>
      <c r="BH326" s="3" t="s">
        <v>7010</v>
      </c>
      <c r="BI326" s="3" t="s">
        <v>7010</v>
      </c>
      <c r="BJ326" s="3" t="s">
        <v>7010</v>
      </c>
      <c r="BK326" s="74" t="str">
        <f t="shared" si="23"/>
        <v>No</v>
      </c>
    </row>
    <row r="327" spans="6:63">
      <c r="G327">
        <v>326</v>
      </c>
      <c r="H327" s="7" t="s">
        <v>539</v>
      </c>
      <c r="I327" t="s">
        <v>29</v>
      </c>
      <c r="J327">
        <f>LEN(H327)</f>
        <v>13</v>
      </c>
      <c r="K327" s="49" t="s">
        <v>3073</v>
      </c>
      <c r="O327" s="3" t="s">
        <v>7010</v>
      </c>
      <c r="P327" s="3" t="s">
        <v>7010</v>
      </c>
      <c r="Q327" s="3" t="s">
        <v>7010</v>
      </c>
      <c r="R327" s="3" t="s">
        <v>7010</v>
      </c>
      <c r="S327" s="3" t="s">
        <v>7010</v>
      </c>
      <c r="T327" s="3" t="s">
        <v>7010</v>
      </c>
      <c r="U327" s="3" t="s">
        <v>7010</v>
      </c>
      <c r="V327" s="3" t="s">
        <v>7010</v>
      </c>
      <c r="W327" s="74" t="str">
        <f t="shared" si="21"/>
        <v>No</v>
      </c>
      <c r="Z327">
        <v>326</v>
      </c>
      <c r="AA327" s="55" t="s">
        <v>3601</v>
      </c>
      <c r="AC327">
        <f t="shared" si="20"/>
        <v>8</v>
      </c>
      <c r="AD327" s="30" t="s">
        <v>3602</v>
      </c>
      <c r="AF327" s="54" t="s">
        <v>7742</v>
      </c>
      <c r="AH327" s="3" t="s">
        <v>7015</v>
      </c>
      <c r="AI327" s="3" t="s">
        <v>7010</v>
      </c>
      <c r="AJ327" s="3" t="s">
        <v>7010</v>
      </c>
      <c r="AK327" s="3" t="s">
        <v>7015</v>
      </c>
      <c r="AL327" s="3" t="s">
        <v>7010</v>
      </c>
      <c r="AM327" s="3" t="s">
        <v>7010</v>
      </c>
      <c r="AN327" s="3" t="s">
        <v>7010</v>
      </c>
      <c r="AO327" s="3" t="s">
        <v>7010</v>
      </c>
      <c r="AP327" s="74" t="s">
        <v>7015</v>
      </c>
      <c r="AU327">
        <v>326</v>
      </c>
      <c r="AV327" t="s">
        <v>3603</v>
      </c>
      <c r="AW327" t="s">
        <v>2279</v>
      </c>
      <c r="AX327">
        <f t="shared" si="22"/>
        <v>13</v>
      </c>
      <c r="AY327" s="30" t="s">
        <v>3604</v>
      </c>
      <c r="BC327" s="3" t="s">
        <v>7010</v>
      </c>
      <c r="BD327" s="3" t="s">
        <v>7010</v>
      </c>
      <c r="BE327" s="3" t="s">
        <v>7010</v>
      </c>
      <c r="BF327" s="3" t="s">
        <v>7010</v>
      </c>
      <c r="BG327" s="3" t="s">
        <v>7010</v>
      </c>
      <c r="BH327" s="3" t="s">
        <v>7010</v>
      </c>
      <c r="BI327" s="3" t="s">
        <v>7010</v>
      </c>
      <c r="BJ327" s="3" t="s">
        <v>7010</v>
      </c>
      <c r="BK327" s="74" t="str">
        <f t="shared" si="23"/>
        <v>No</v>
      </c>
    </row>
    <row r="328" spans="6:63">
      <c r="G328">
        <v>327</v>
      </c>
      <c r="H328" s="7" t="s">
        <v>2225</v>
      </c>
      <c r="I328" t="s">
        <v>29</v>
      </c>
      <c r="J328">
        <f>LEN(H328)</f>
        <v>10</v>
      </c>
      <c r="K328" s="49" t="s">
        <v>6884</v>
      </c>
      <c r="O328" s="3" t="s">
        <v>7010</v>
      </c>
      <c r="P328" s="3" t="s">
        <v>7010</v>
      </c>
      <c r="Q328" s="3" t="s">
        <v>7010</v>
      </c>
      <c r="R328" s="3" t="s">
        <v>7010</v>
      </c>
      <c r="S328" s="3" t="s">
        <v>7010</v>
      </c>
      <c r="T328" s="3" t="s">
        <v>7010</v>
      </c>
      <c r="U328" s="3" t="s">
        <v>7010</v>
      </c>
      <c r="V328" s="3" t="s">
        <v>7010</v>
      </c>
      <c r="W328" s="74" t="str">
        <f t="shared" si="21"/>
        <v>No</v>
      </c>
      <c r="Z328">
        <v>327</v>
      </c>
      <c r="AA328" s="55" t="s">
        <v>3606</v>
      </c>
      <c r="AC328">
        <f t="shared" si="20"/>
        <v>6</v>
      </c>
      <c r="AD328" s="30" t="s">
        <v>3607</v>
      </c>
      <c r="AF328" t="s">
        <v>7743</v>
      </c>
      <c r="AH328" s="3" t="s">
        <v>7015</v>
      </c>
      <c r="AI328" s="3" t="s">
        <v>7010</v>
      </c>
      <c r="AJ328" s="3" t="s">
        <v>7010</v>
      </c>
      <c r="AK328" s="3" t="s">
        <v>7015</v>
      </c>
      <c r="AL328" s="3" t="s">
        <v>7010</v>
      </c>
      <c r="AM328" s="3" t="s">
        <v>7010</v>
      </c>
      <c r="AN328" s="3" t="s">
        <v>7010</v>
      </c>
      <c r="AO328" s="3" t="s">
        <v>7010</v>
      </c>
      <c r="AP328" s="74" t="s">
        <v>7015</v>
      </c>
      <c r="AU328">
        <v>327</v>
      </c>
      <c r="AV328" t="s">
        <v>3608</v>
      </c>
      <c r="AW328" t="s">
        <v>2279</v>
      </c>
      <c r="AX328">
        <f t="shared" si="22"/>
        <v>8</v>
      </c>
      <c r="AY328" s="30" t="s">
        <v>3609</v>
      </c>
      <c r="BC328" s="3" t="s">
        <v>7010</v>
      </c>
      <c r="BD328" s="3" t="s">
        <v>7010</v>
      </c>
      <c r="BE328" s="3" t="s">
        <v>7010</v>
      </c>
      <c r="BF328" s="3" t="s">
        <v>7010</v>
      </c>
      <c r="BG328" s="3" t="s">
        <v>7010</v>
      </c>
      <c r="BH328" s="3" t="s">
        <v>7010</v>
      </c>
      <c r="BI328" s="3" t="s">
        <v>7010</v>
      </c>
      <c r="BJ328" s="3" t="s">
        <v>7010</v>
      </c>
      <c r="BK328" s="74" t="str">
        <f t="shared" si="23"/>
        <v>No</v>
      </c>
    </row>
    <row r="329" spans="6:63">
      <c r="G329">
        <v>328</v>
      </c>
      <c r="H329" s="7" t="s">
        <v>480</v>
      </c>
      <c r="I329" t="s">
        <v>29</v>
      </c>
      <c r="J329">
        <f>LEN(H329)</f>
        <v>10</v>
      </c>
      <c r="K329" s="49" t="s">
        <v>2837</v>
      </c>
      <c r="O329" s="3" t="s">
        <v>7010</v>
      </c>
      <c r="P329" s="3" t="s">
        <v>7010</v>
      </c>
      <c r="Q329" s="3" t="s">
        <v>7010</v>
      </c>
      <c r="R329" s="3" t="s">
        <v>7010</v>
      </c>
      <c r="S329" s="3" t="s">
        <v>7010</v>
      </c>
      <c r="T329" s="3" t="s">
        <v>7010</v>
      </c>
      <c r="U329" s="3" t="s">
        <v>7010</v>
      </c>
      <c r="V329" s="3" t="s">
        <v>7010</v>
      </c>
      <c r="W329" s="74" t="str">
        <f t="shared" si="21"/>
        <v>No</v>
      </c>
      <c r="Z329">
        <v>328</v>
      </c>
      <c r="AA329" s="55" t="s">
        <v>3611</v>
      </c>
      <c r="AC329">
        <f t="shared" si="20"/>
        <v>6</v>
      </c>
      <c r="AD329" s="30" t="s">
        <v>3612</v>
      </c>
      <c r="AF329" t="s">
        <v>7744</v>
      </c>
      <c r="AH329" s="3" t="s">
        <v>7015</v>
      </c>
      <c r="AI329" s="3" t="s">
        <v>7010</v>
      </c>
      <c r="AJ329" s="3" t="s">
        <v>7010</v>
      </c>
      <c r="AK329" s="3" t="s">
        <v>7015</v>
      </c>
      <c r="AL329" s="3" t="s">
        <v>7010</v>
      </c>
      <c r="AM329" s="3" t="s">
        <v>7010</v>
      </c>
      <c r="AN329" s="3" t="s">
        <v>7010</v>
      </c>
      <c r="AO329" s="3" t="s">
        <v>7010</v>
      </c>
      <c r="AP329" s="74" t="s">
        <v>7015</v>
      </c>
      <c r="AU329">
        <v>328</v>
      </c>
      <c r="AV329" t="s">
        <v>3613</v>
      </c>
      <c r="AW329" t="s">
        <v>2279</v>
      </c>
      <c r="AX329">
        <f t="shared" si="22"/>
        <v>9</v>
      </c>
      <c r="AY329" s="30" t="s">
        <v>3614</v>
      </c>
      <c r="BC329" s="3" t="s">
        <v>7010</v>
      </c>
      <c r="BD329" s="3" t="s">
        <v>7010</v>
      </c>
      <c r="BE329" s="3" t="s">
        <v>7015</v>
      </c>
      <c r="BF329" s="3" t="s">
        <v>7010</v>
      </c>
      <c r="BG329" s="3" t="s">
        <v>7010</v>
      </c>
      <c r="BH329" s="3" t="s">
        <v>7010</v>
      </c>
      <c r="BI329" s="3" t="s">
        <v>7010</v>
      </c>
      <c r="BJ329" s="3" t="s">
        <v>7010</v>
      </c>
      <c r="BK329" s="74" t="str">
        <f t="shared" si="23"/>
        <v>Yes</v>
      </c>
    </row>
    <row r="330" spans="6:63">
      <c r="G330">
        <v>329</v>
      </c>
      <c r="H330" s="7" t="s">
        <v>494</v>
      </c>
      <c r="I330" t="s">
        <v>29</v>
      </c>
      <c r="J330">
        <f>LEN(H330)</f>
        <v>17</v>
      </c>
      <c r="K330" s="49" t="s">
        <v>2893</v>
      </c>
      <c r="O330" s="3" t="s">
        <v>7010</v>
      </c>
      <c r="P330" s="3" t="s">
        <v>7010</v>
      </c>
      <c r="Q330" s="3" t="s">
        <v>7010</v>
      </c>
      <c r="R330" s="3" t="s">
        <v>7010</v>
      </c>
      <c r="S330" s="3" t="s">
        <v>7010</v>
      </c>
      <c r="T330" s="3" t="s">
        <v>7010</v>
      </c>
      <c r="U330" s="3" t="s">
        <v>7010</v>
      </c>
      <c r="V330" s="3" t="s">
        <v>7010</v>
      </c>
      <c r="W330" s="74" t="str">
        <f t="shared" si="21"/>
        <v>No</v>
      </c>
      <c r="Z330">
        <v>329</v>
      </c>
      <c r="AA330" s="55" t="s">
        <v>3616</v>
      </c>
      <c r="AC330">
        <f t="shared" si="20"/>
        <v>7</v>
      </c>
      <c r="AD330" s="30" t="s">
        <v>3617</v>
      </c>
      <c r="AF330" t="s">
        <v>7745</v>
      </c>
      <c r="AH330" s="3" t="s">
        <v>7015</v>
      </c>
      <c r="AI330" s="3" t="s">
        <v>7010</v>
      </c>
      <c r="AJ330" s="3" t="s">
        <v>7010</v>
      </c>
      <c r="AK330" s="3" t="s">
        <v>7015</v>
      </c>
      <c r="AL330" s="3" t="s">
        <v>7010</v>
      </c>
      <c r="AM330" s="3" t="s">
        <v>7010</v>
      </c>
      <c r="AN330" s="3" t="s">
        <v>7010</v>
      </c>
      <c r="AO330" s="3" t="s">
        <v>7010</v>
      </c>
      <c r="AP330" s="74" t="s">
        <v>7015</v>
      </c>
      <c r="AU330">
        <v>329</v>
      </c>
      <c r="AV330" t="s">
        <v>3618</v>
      </c>
      <c r="AW330" t="s">
        <v>2279</v>
      </c>
      <c r="AX330">
        <f t="shared" si="22"/>
        <v>9</v>
      </c>
      <c r="AY330" s="30" t="s">
        <v>3619</v>
      </c>
      <c r="BC330" s="3" t="s">
        <v>7010</v>
      </c>
      <c r="BD330" s="3" t="s">
        <v>7010</v>
      </c>
      <c r="BE330" s="3" t="s">
        <v>7010</v>
      </c>
      <c r="BF330" s="3" t="s">
        <v>7010</v>
      </c>
      <c r="BG330" s="3" t="s">
        <v>7010</v>
      </c>
      <c r="BH330" s="3" t="s">
        <v>7010</v>
      </c>
      <c r="BI330" s="3" t="s">
        <v>7010</v>
      </c>
      <c r="BJ330" s="3" t="s">
        <v>7010</v>
      </c>
      <c r="BK330" s="74" t="str">
        <f t="shared" si="23"/>
        <v>No</v>
      </c>
    </row>
    <row r="331" spans="6:63">
      <c r="G331">
        <v>330</v>
      </c>
      <c r="H331" s="7" t="s">
        <v>1050</v>
      </c>
      <c r="I331" t="s">
        <v>29</v>
      </c>
      <c r="J331">
        <f>LEN(H331)</f>
        <v>14</v>
      </c>
      <c r="K331" s="49" t="s">
        <v>3833</v>
      </c>
      <c r="O331" s="3" t="s">
        <v>7010</v>
      </c>
      <c r="P331" s="3" t="s">
        <v>7010</v>
      </c>
      <c r="Q331" s="3" t="s">
        <v>7010</v>
      </c>
      <c r="R331" s="3" t="s">
        <v>7010</v>
      </c>
      <c r="S331" s="3" t="s">
        <v>7010</v>
      </c>
      <c r="T331" s="3" t="s">
        <v>7015</v>
      </c>
      <c r="U331" s="3" t="s">
        <v>7010</v>
      </c>
      <c r="V331" s="3" t="s">
        <v>7010</v>
      </c>
      <c r="W331" s="74" t="str">
        <f t="shared" si="21"/>
        <v>Yes</v>
      </c>
      <c r="Z331">
        <v>330</v>
      </c>
      <c r="AA331" s="55" t="s">
        <v>3621</v>
      </c>
      <c r="AC331">
        <f t="shared" si="20"/>
        <v>6</v>
      </c>
      <c r="AD331" s="30" t="s">
        <v>3622</v>
      </c>
      <c r="AF331" t="s">
        <v>7746</v>
      </c>
      <c r="AH331" s="3" t="s">
        <v>7015</v>
      </c>
      <c r="AI331" s="3" t="s">
        <v>7010</v>
      </c>
      <c r="AJ331" s="3" t="s">
        <v>7010</v>
      </c>
      <c r="AK331" s="3" t="s">
        <v>7015</v>
      </c>
      <c r="AL331" s="3" t="s">
        <v>7010</v>
      </c>
      <c r="AM331" s="3" t="s">
        <v>7010</v>
      </c>
      <c r="AN331" s="3" t="s">
        <v>7010</v>
      </c>
      <c r="AO331" s="3" t="s">
        <v>7010</v>
      </c>
      <c r="AP331" s="74" t="s">
        <v>7015</v>
      </c>
      <c r="AU331">
        <v>330</v>
      </c>
      <c r="AV331" t="s">
        <v>3623</v>
      </c>
      <c r="AW331" t="s">
        <v>2279</v>
      </c>
      <c r="AX331">
        <f t="shared" si="22"/>
        <v>8</v>
      </c>
      <c r="AY331" s="30" t="s">
        <v>3624</v>
      </c>
      <c r="BC331" s="3" t="s">
        <v>7010</v>
      </c>
      <c r="BD331" s="3" t="s">
        <v>7010</v>
      </c>
      <c r="BE331" s="3" t="s">
        <v>7010</v>
      </c>
      <c r="BF331" s="3" t="s">
        <v>7010</v>
      </c>
      <c r="BG331" s="3" t="s">
        <v>7010</v>
      </c>
      <c r="BH331" s="3" t="s">
        <v>7010</v>
      </c>
      <c r="BI331" s="3" t="s">
        <v>7010</v>
      </c>
      <c r="BJ331" s="3" t="s">
        <v>7010</v>
      </c>
      <c r="BK331" s="74" t="str">
        <f t="shared" si="23"/>
        <v>No</v>
      </c>
    </row>
    <row r="332" spans="6:63">
      <c r="G332">
        <v>331</v>
      </c>
      <c r="H332" s="7" t="s">
        <v>1900</v>
      </c>
      <c r="I332" t="s">
        <v>29</v>
      </c>
      <c r="J332">
        <f>LEN(H332)</f>
        <v>13</v>
      </c>
      <c r="K332" s="49" t="s">
        <v>6054</v>
      </c>
      <c r="O332" s="3" t="s">
        <v>7010</v>
      </c>
      <c r="P332" s="3" t="s">
        <v>7010</v>
      </c>
      <c r="Q332" s="3" t="s">
        <v>7010</v>
      </c>
      <c r="R332" s="3" t="s">
        <v>7010</v>
      </c>
      <c r="S332" s="3" t="s">
        <v>7010</v>
      </c>
      <c r="T332" s="3" t="s">
        <v>7010</v>
      </c>
      <c r="U332" s="3" t="s">
        <v>7010</v>
      </c>
      <c r="V332" s="3" t="s">
        <v>7010</v>
      </c>
      <c r="W332" s="74" t="str">
        <f t="shared" si="21"/>
        <v>No</v>
      </c>
      <c r="Z332">
        <v>331</v>
      </c>
      <c r="AA332" s="55" t="s">
        <v>3626</v>
      </c>
      <c r="AC332">
        <f t="shared" si="20"/>
        <v>7</v>
      </c>
      <c r="AD332" s="30" t="s">
        <v>3627</v>
      </c>
      <c r="AF332" t="s">
        <v>7747</v>
      </c>
      <c r="AH332" s="3" t="s">
        <v>7015</v>
      </c>
      <c r="AI332" s="3" t="s">
        <v>7010</v>
      </c>
      <c r="AJ332" s="3" t="s">
        <v>7010</v>
      </c>
      <c r="AK332" s="3" t="s">
        <v>7015</v>
      </c>
      <c r="AL332" s="3" t="s">
        <v>7010</v>
      </c>
      <c r="AM332" s="3" t="s">
        <v>7010</v>
      </c>
      <c r="AN332" s="3" t="s">
        <v>7010</v>
      </c>
      <c r="AO332" s="3" t="s">
        <v>7010</v>
      </c>
      <c r="AP332" s="74" t="s">
        <v>7015</v>
      </c>
      <c r="AU332">
        <v>331</v>
      </c>
      <c r="AV332" t="s">
        <v>3628</v>
      </c>
      <c r="AW332" t="s">
        <v>2279</v>
      </c>
      <c r="AX332">
        <f t="shared" si="22"/>
        <v>8</v>
      </c>
      <c r="AY332" s="30" t="s">
        <v>3629</v>
      </c>
      <c r="BC332" s="3" t="s">
        <v>7010</v>
      </c>
      <c r="BD332" s="3" t="s">
        <v>7010</v>
      </c>
      <c r="BE332" s="3" t="s">
        <v>7010</v>
      </c>
      <c r="BF332" s="3" t="s">
        <v>7010</v>
      </c>
      <c r="BG332" s="3" t="s">
        <v>7010</v>
      </c>
      <c r="BH332" s="3" t="s">
        <v>7010</v>
      </c>
      <c r="BI332" s="3" t="s">
        <v>7010</v>
      </c>
      <c r="BJ332" s="3" t="s">
        <v>7010</v>
      </c>
      <c r="BK332" s="74" t="str">
        <f t="shared" si="23"/>
        <v>No</v>
      </c>
    </row>
    <row r="333" spans="6:63">
      <c r="G333">
        <v>332</v>
      </c>
      <c r="H333" s="7" t="s">
        <v>425</v>
      </c>
      <c r="I333" t="s">
        <v>29</v>
      </c>
      <c r="J333">
        <f>LEN(H333)</f>
        <v>9</v>
      </c>
      <c r="K333" s="49" t="s">
        <v>2617</v>
      </c>
      <c r="O333" s="3" t="s">
        <v>7010</v>
      </c>
      <c r="P333" s="3" t="s">
        <v>7010</v>
      </c>
      <c r="Q333" s="3" t="s">
        <v>7010</v>
      </c>
      <c r="R333" s="3" t="s">
        <v>7015</v>
      </c>
      <c r="S333" s="3" t="s">
        <v>7010</v>
      </c>
      <c r="T333" s="3" t="s">
        <v>7010</v>
      </c>
      <c r="U333" s="3" t="s">
        <v>7010</v>
      </c>
      <c r="V333" s="3" t="s">
        <v>7010</v>
      </c>
      <c r="W333" s="74" t="str">
        <f t="shared" si="21"/>
        <v>Yes</v>
      </c>
      <c r="Z333">
        <v>332</v>
      </c>
      <c r="AA333" s="55" t="s">
        <v>3631</v>
      </c>
      <c r="AC333">
        <f t="shared" si="20"/>
        <v>7</v>
      </c>
      <c r="AD333" s="30" t="s">
        <v>3632</v>
      </c>
      <c r="AF333" t="s">
        <v>7748</v>
      </c>
      <c r="AH333" s="3" t="s">
        <v>7015</v>
      </c>
      <c r="AI333" s="3" t="s">
        <v>7010</v>
      </c>
      <c r="AJ333" s="3" t="s">
        <v>7010</v>
      </c>
      <c r="AK333" s="3" t="s">
        <v>7015</v>
      </c>
      <c r="AL333" s="3" t="s">
        <v>7010</v>
      </c>
      <c r="AM333" s="3" t="s">
        <v>7010</v>
      </c>
      <c r="AN333" s="3" t="s">
        <v>7010</v>
      </c>
      <c r="AO333" s="3" t="s">
        <v>7010</v>
      </c>
      <c r="AP333" s="74" t="s">
        <v>7015</v>
      </c>
      <c r="AU333">
        <v>332</v>
      </c>
      <c r="AV333" t="s">
        <v>3633</v>
      </c>
      <c r="AW333" t="s">
        <v>2279</v>
      </c>
      <c r="AX333">
        <f t="shared" si="22"/>
        <v>8</v>
      </c>
      <c r="AY333" s="30" t="s">
        <v>3634</v>
      </c>
      <c r="BC333" s="3" t="s">
        <v>7010</v>
      </c>
      <c r="BD333" s="3" t="s">
        <v>7010</v>
      </c>
      <c r="BE333" s="3" t="s">
        <v>7010</v>
      </c>
      <c r="BF333" s="3" t="s">
        <v>7010</v>
      </c>
      <c r="BG333" s="3" t="s">
        <v>7010</v>
      </c>
      <c r="BH333" s="3" t="s">
        <v>7010</v>
      </c>
      <c r="BI333" s="3" t="s">
        <v>7010</v>
      </c>
      <c r="BJ333" s="3" t="s">
        <v>7010</v>
      </c>
      <c r="BK333" s="74" t="str">
        <f t="shared" si="23"/>
        <v>No</v>
      </c>
    </row>
    <row r="334" spans="6:63">
      <c r="G334">
        <v>333</v>
      </c>
      <c r="H334" s="7" t="s">
        <v>1979</v>
      </c>
      <c r="I334" t="s">
        <v>29</v>
      </c>
      <c r="J334">
        <f>LEN(H334)</f>
        <v>9</v>
      </c>
      <c r="K334" s="49" t="s">
        <v>6273</v>
      </c>
      <c r="O334" s="3" t="s">
        <v>7010</v>
      </c>
      <c r="P334" s="3" t="s">
        <v>7010</v>
      </c>
      <c r="Q334" s="3" t="s">
        <v>7010</v>
      </c>
      <c r="R334" s="3" t="s">
        <v>7010</v>
      </c>
      <c r="S334" s="3" t="s">
        <v>7010</v>
      </c>
      <c r="T334" s="3" t="s">
        <v>7010</v>
      </c>
      <c r="U334" s="3" t="s">
        <v>7010</v>
      </c>
      <c r="V334" s="3" t="s">
        <v>7010</v>
      </c>
      <c r="W334" s="74" t="str">
        <f t="shared" si="21"/>
        <v>No</v>
      </c>
      <c r="Z334">
        <v>333</v>
      </c>
      <c r="AA334" s="55">
        <v>696969</v>
      </c>
      <c r="AC334">
        <f t="shared" si="20"/>
        <v>6</v>
      </c>
      <c r="AD334" s="30" t="s">
        <v>3636</v>
      </c>
      <c r="AF334" t="s">
        <v>7749</v>
      </c>
      <c r="AH334" s="3" t="s">
        <v>7015</v>
      </c>
      <c r="AI334" s="3" t="s">
        <v>7010</v>
      </c>
      <c r="AJ334" s="3" t="s">
        <v>7010</v>
      </c>
      <c r="AK334" s="3" t="s">
        <v>7015</v>
      </c>
      <c r="AL334" s="3" t="s">
        <v>7010</v>
      </c>
      <c r="AM334" s="3" t="s">
        <v>7010</v>
      </c>
      <c r="AN334" s="3" t="s">
        <v>7010</v>
      </c>
      <c r="AO334" s="3" t="s">
        <v>7010</v>
      </c>
      <c r="AP334" s="74" t="s">
        <v>7015</v>
      </c>
      <c r="AU334">
        <v>333</v>
      </c>
      <c r="AV334" t="s">
        <v>3637</v>
      </c>
      <c r="AW334" t="s">
        <v>2279</v>
      </c>
      <c r="AX334">
        <f t="shared" si="22"/>
        <v>8</v>
      </c>
      <c r="AY334" s="30" t="s">
        <v>3638</v>
      </c>
      <c r="BC334" s="3" t="s">
        <v>7010</v>
      </c>
      <c r="BD334" s="3" t="s">
        <v>7010</v>
      </c>
      <c r="BE334" s="3" t="s">
        <v>7010</v>
      </c>
      <c r="BF334" s="3" t="s">
        <v>7010</v>
      </c>
      <c r="BG334" s="3" t="s">
        <v>7010</v>
      </c>
      <c r="BH334" s="3" t="s">
        <v>7010</v>
      </c>
      <c r="BI334" s="3" t="s">
        <v>7010</v>
      </c>
      <c r="BJ334" s="3" t="s">
        <v>7010</v>
      </c>
      <c r="BK334" s="74" t="str">
        <f t="shared" si="23"/>
        <v>No</v>
      </c>
    </row>
    <row r="335" spans="6:63">
      <c r="G335">
        <v>334</v>
      </c>
      <c r="H335" s="7" t="s">
        <v>452</v>
      </c>
      <c r="I335" t="s">
        <v>29</v>
      </c>
      <c r="J335">
        <f>LEN(H335)</f>
        <v>14</v>
      </c>
      <c r="K335" s="49" t="s">
        <v>2725</v>
      </c>
      <c r="O335" s="3" t="s">
        <v>7010</v>
      </c>
      <c r="P335" s="3" t="s">
        <v>7010</v>
      </c>
      <c r="Q335" s="3" t="s">
        <v>7010</v>
      </c>
      <c r="R335" s="3" t="s">
        <v>7010</v>
      </c>
      <c r="S335" s="3" t="s">
        <v>7010</v>
      </c>
      <c r="T335" s="3" t="s">
        <v>7010</v>
      </c>
      <c r="U335" s="3" t="s">
        <v>7010</v>
      </c>
      <c r="V335" s="3" t="s">
        <v>7010</v>
      </c>
      <c r="W335" s="74" t="str">
        <f t="shared" si="21"/>
        <v>No</v>
      </c>
      <c r="Z335">
        <v>334</v>
      </c>
      <c r="AA335" s="55" t="s">
        <v>3640</v>
      </c>
      <c r="AC335">
        <f t="shared" si="20"/>
        <v>6</v>
      </c>
      <c r="AD335" s="30" t="s">
        <v>3641</v>
      </c>
      <c r="AF335" t="s">
        <v>7750</v>
      </c>
      <c r="AH335" s="3" t="s">
        <v>7015</v>
      </c>
      <c r="AI335" s="3" t="s">
        <v>7010</v>
      </c>
      <c r="AJ335" s="3" t="s">
        <v>7010</v>
      </c>
      <c r="AK335" s="3" t="s">
        <v>7015</v>
      </c>
      <c r="AL335" s="3" t="s">
        <v>7010</v>
      </c>
      <c r="AM335" s="3" t="s">
        <v>7010</v>
      </c>
      <c r="AN335" s="3" t="s">
        <v>7010</v>
      </c>
      <c r="AO335" s="3" t="s">
        <v>7010</v>
      </c>
      <c r="AP335" s="74" t="s">
        <v>7015</v>
      </c>
      <c r="AU335">
        <v>334</v>
      </c>
      <c r="AV335" t="s">
        <v>3642</v>
      </c>
      <c r="AW335" t="s">
        <v>2279</v>
      </c>
      <c r="AX335">
        <f t="shared" si="22"/>
        <v>8</v>
      </c>
      <c r="AY335" s="30" t="s">
        <v>3643</v>
      </c>
      <c r="BC335" s="3" t="s">
        <v>7010</v>
      </c>
      <c r="BD335" s="3" t="s">
        <v>7010</v>
      </c>
      <c r="BE335" s="3" t="s">
        <v>7010</v>
      </c>
      <c r="BF335" s="3" t="s">
        <v>7010</v>
      </c>
      <c r="BG335" s="3" t="s">
        <v>7010</v>
      </c>
      <c r="BH335" s="3" t="s">
        <v>7010</v>
      </c>
      <c r="BI335" s="3" t="s">
        <v>7010</v>
      </c>
      <c r="BJ335" s="3" t="s">
        <v>7010</v>
      </c>
      <c r="BK335" s="74" t="str">
        <f t="shared" si="23"/>
        <v>No</v>
      </c>
    </row>
    <row r="336" spans="6:63">
      <c r="G336">
        <v>335</v>
      </c>
      <c r="H336" s="7" t="s">
        <v>1662</v>
      </c>
      <c r="I336" t="s">
        <v>29</v>
      </c>
      <c r="J336">
        <f>LEN(H336)</f>
        <v>12</v>
      </c>
      <c r="K336" s="49" t="s">
        <v>5385</v>
      </c>
      <c r="O336" s="3" t="s">
        <v>7010</v>
      </c>
      <c r="P336" s="3" t="s">
        <v>7010</v>
      </c>
      <c r="Q336" s="3" t="s">
        <v>7010</v>
      </c>
      <c r="R336" s="3" t="s">
        <v>7010</v>
      </c>
      <c r="S336" s="3" t="s">
        <v>7010</v>
      </c>
      <c r="T336" s="3" t="s">
        <v>7010</v>
      </c>
      <c r="U336" s="3" t="s">
        <v>7010</v>
      </c>
      <c r="V336" s="3" t="s">
        <v>7010</v>
      </c>
      <c r="W336" s="74" t="str">
        <f t="shared" si="21"/>
        <v>No</v>
      </c>
      <c r="Z336">
        <v>335</v>
      </c>
      <c r="AA336" s="55" t="s">
        <v>3645</v>
      </c>
      <c r="AC336">
        <f t="shared" si="20"/>
        <v>8</v>
      </c>
      <c r="AD336" s="30" t="s">
        <v>3646</v>
      </c>
      <c r="AF336" t="s">
        <v>7751</v>
      </c>
      <c r="AH336" s="3" t="s">
        <v>7015</v>
      </c>
      <c r="AI336" s="3" t="s">
        <v>7010</v>
      </c>
      <c r="AJ336" s="3" t="s">
        <v>7010</v>
      </c>
      <c r="AK336" s="3" t="s">
        <v>7015</v>
      </c>
      <c r="AL336" s="3" t="s">
        <v>7010</v>
      </c>
      <c r="AM336" s="3" t="s">
        <v>7010</v>
      </c>
      <c r="AN336" s="3" t="s">
        <v>7010</v>
      </c>
      <c r="AO336" s="3" t="s">
        <v>7010</v>
      </c>
      <c r="AP336" s="74" t="s">
        <v>7015</v>
      </c>
      <c r="AU336">
        <v>335</v>
      </c>
      <c r="AV336" t="s">
        <v>3647</v>
      </c>
      <c r="AW336" t="s">
        <v>2279</v>
      </c>
      <c r="AX336">
        <f t="shared" si="22"/>
        <v>10</v>
      </c>
      <c r="AY336" s="30" t="s">
        <v>3648</v>
      </c>
      <c r="BC336" s="3" t="s">
        <v>7010</v>
      </c>
      <c r="BD336" s="3" t="s">
        <v>7010</v>
      </c>
      <c r="BE336" s="3" t="s">
        <v>7015</v>
      </c>
      <c r="BF336" s="3" t="s">
        <v>7010</v>
      </c>
      <c r="BG336" s="3" t="s">
        <v>7010</v>
      </c>
      <c r="BH336" s="3" t="s">
        <v>7010</v>
      </c>
      <c r="BI336" s="3" t="s">
        <v>7010</v>
      </c>
      <c r="BJ336" s="3" t="s">
        <v>7010</v>
      </c>
      <c r="BK336" s="74" t="str">
        <f t="shared" si="23"/>
        <v>Yes</v>
      </c>
    </row>
    <row r="337" spans="7:63">
      <c r="G337">
        <v>336</v>
      </c>
      <c r="H337" s="7" t="s">
        <v>1570</v>
      </c>
      <c r="I337" t="s">
        <v>29</v>
      </c>
      <c r="J337">
        <f>LEN(H337)</f>
        <v>13</v>
      </c>
      <c r="K337" s="49" t="s">
        <v>5153</v>
      </c>
      <c r="O337" s="3" t="s">
        <v>7010</v>
      </c>
      <c r="P337" s="3" t="s">
        <v>7010</v>
      </c>
      <c r="Q337" s="3" t="s">
        <v>7010</v>
      </c>
      <c r="R337" s="3" t="s">
        <v>7010</v>
      </c>
      <c r="S337" s="3" t="s">
        <v>7010</v>
      </c>
      <c r="T337" s="3" t="s">
        <v>7010</v>
      </c>
      <c r="U337" s="3" t="s">
        <v>7010</v>
      </c>
      <c r="V337" s="3" t="s">
        <v>7010</v>
      </c>
      <c r="W337" s="74" t="str">
        <f t="shared" si="21"/>
        <v>No</v>
      </c>
      <c r="Z337">
        <v>336</v>
      </c>
      <c r="AA337" s="55" t="s">
        <v>3650</v>
      </c>
      <c r="AC337">
        <f t="shared" si="20"/>
        <v>6</v>
      </c>
      <c r="AD337" s="30" t="s">
        <v>3651</v>
      </c>
      <c r="AF337" t="s">
        <v>7752</v>
      </c>
      <c r="AH337" s="3" t="s">
        <v>7015</v>
      </c>
      <c r="AI337" s="3" t="s">
        <v>7010</v>
      </c>
      <c r="AJ337" s="3" t="s">
        <v>7010</v>
      </c>
      <c r="AK337" s="3" t="s">
        <v>7015</v>
      </c>
      <c r="AL337" s="3" t="s">
        <v>7010</v>
      </c>
      <c r="AM337" s="3" t="s">
        <v>7010</v>
      </c>
      <c r="AN337" s="3" t="s">
        <v>7010</v>
      </c>
      <c r="AO337" s="3" t="s">
        <v>7010</v>
      </c>
      <c r="AP337" s="74" t="s">
        <v>7015</v>
      </c>
      <c r="AU337">
        <v>336</v>
      </c>
      <c r="AV337" t="s">
        <v>3652</v>
      </c>
      <c r="AW337" t="s">
        <v>2279</v>
      </c>
      <c r="AX337">
        <f t="shared" si="22"/>
        <v>11</v>
      </c>
      <c r="AY337" s="30" t="s">
        <v>3653</v>
      </c>
      <c r="BC337" s="3" t="s">
        <v>7010</v>
      </c>
      <c r="BD337" s="3" t="s">
        <v>7010</v>
      </c>
      <c r="BE337" s="3" t="s">
        <v>7010</v>
      </c>
      <c r="BF337" s="3" t="s">
        <v>7010</v>
      </c>
      <c r="BG337" s="3" t="s">
        <v>7010</v>
      </c>
      <c r="BH337" s="3" t="s">
        <v>7010</v>
      </c>
      <c r="BI337" s="3" t="s">
        <v>7010</v>
      </c>
      <c r="BJ337" s="3" t="s">
        <v>7010</v>
      </c>
      <c r="BK337" s="74" t="str">
        <f t="shared" si="23"/>
        <v>No</v>
      </c>
    </row>
    <row r="338" spans="7:63">
      <c r="G338">
        <v>337</v>
      </c>
      <c r="H338" s="7" t="s">
        <v>1362</v>
      </c>
      <c r="I338" t="s">
        <v>29</v>
      </c>
      <c r="J338">
        <f>LEN(H338)</f>
        <v>9</v>
      </c>
      <c r="K338" s="49" t="s">
        <v>4619</v>
      </c>
      <c r="O338" s="3" t="s">
        <v>7010</v>
      </c>
      <c r="P338" s="3" t="s">
        <v>7010</v>
      </c>
      <c r="Q338" s="3" t="s">
        <v>7010</v>
      </c>
      <c r="R338" s="3" t="s">
        <v>7010</v>
      </c>
      <c r="S338" s="3" t="s">
        <v>7010</v>
      </c>
      <c r="T338" s="3" t="s">
        <v>7010</v>
      </c>
      <c r="U338" s="3" t="s">
        <v>7010</v>
      </c>
      <c r="V338" s="3" t="s">
        <v>7010</v>
      </c>
      <c r="W338" s="74" t="str">
        <f t="shared" si="21"/>
        <v>No</v>
      </c>
      <c r="Z338">
        <v>337</v>
      </c>
      <c r="AA338" s="55" t="s">
        <v>3655</v>
      </c>
      <c r="AC338">
        <f t="shared" si="20"/>
        <v>6</v>
      </c>
      <c r="AD338" s="30" t="s">
        <v>3656</v>
      </c>
      <c r="AF338" t="s">
        <v>7753</v>
      </c>
      <c r="AH338" s="3" t="s">
        <v>7015</v>
      </c>
      <c r="AI338" s="3" t="s">
        <v>7010</v>
      </c>
      <c r="AJ338" s="3" t="s">
        <v>7010</v>
      </c>
      <c r="AK338" s="3" t="s">
        <v>7015</v>
      </c>
      <c r="AL338" s="3" t="s">
        <v>7010</v>
      </c>
      <c r="AM338" s="3" t="s">
        <v>7010</v>
      </c>
      <c r="AN338" s="3" t="s">
        <v>7010</v>
      </c>
      <c r="AO338" s="3" t="s">
        <v>7010</v>
      </c>
      <c r="AP338" s="74" t="s">
        <v>7015</v>
      </c>
      <c r="AU338">
        <v>337</v>
      </c>
      <c r="AV338" t="s">
        <v>3657</v>
      </c>
      <c r="AW338" t="s">
        <v>2279</v>
      </c>
      <c r="AX338">
        <f t="shared" si="22"/>
        <v>8</v>
      </c>
      <c r="AY338" s="30" t="s">
        <v>3658</v>
      </c>
      <c r="BC338" s="3" t="s">
        <v>7010</v>
      </c>
      <c r="BD338" s="3" t="s">
        <v>7010</v>
      </c>
      <c r="BE338" s="3" t="s">
        <v>7010</v>
      </c>
      <c r="BF338" s="3" t="s">
        <v>7010</v>
      </c>
      <c r="BG338" s="3" t="s">
        <v>7010</v>
      </c>
      <c r="BH338" s="3" t="s">
        <v>7010</v>
      </c>
      <c r="BI338" s="3" t="s">
        <v>7010</v>
      </c>
      <c r="BJ338" s="3" t="s">
        <v>7010</v>
      </c>
      <c r="BK338" s="74" t="str">
        <f t="shared" si="23"/>
        <v>No</v>
      </c>
    </row>
    <row r="339" spans="7:63">
      <c r="G339">
        <v>338</v>
      </c>
      <c r="H339" s="7" t="s">
        <v>1234</v>
      </c>
      <c r="I339" t="s">
        <v>29</v>
      </c>
      <c r="J339">
        <f>LEN(H339)</f>
        <v>11</v>
      </c>
      <c r="K339" s="49" t="s">
        <v>4300</v>
      </c>
      <c r="O339" s="3" t="s">
        <v>7010</v>
      </c>
      <c r="P339" s="3" t="s">
        <v>7010</v>
      </c>
      <c r="Q339" s="3" t="s">
        <v>7010</v>
      </c>
      <c r="R339" s="3" t="s">
        <v>7010</v>
      </c>
      <c r="S339" s="3" t="s">
        <v>7010</v>
      </c>
      <c r="T339" s="3" t="s">
        <v>7010</v>
      </c>
      <c r="U339" s="3" t="s">
        <v>7010</v>
      </c>
      <c r="V339" s="3" t="s">
        <v>7010</v>
      </c>
      <c r="W339" s="74" t="str">
        <f t="shared" si="21"/>
        <v>No</v>
      </c>
      <c r="Z339">
        <v>338</v>
      </c>
      <c r="AA339" s="55" t="s">
        <v>3660</v>
      </c>
      <c r="AC339">
        <f t="shared" si="20"/>
        <v>6</v>
      </c>
      <c r="AD339" s="30" t="s">
        <v>3661</v>
      </c>
      <c r="AF339" t="s">
        <v>7754</v>
      </c>
      <c r="AH339" s="3" t="s">
        <v>7015</v>
      </c>
      <c r="AI339" s="3" t="s">
        <v>7010</v>
      </c>
      <c r="AJ339" s="3" t="s">
        <v>7010</v>
      </c>
      <c r="AK339" s="3" t="s">
        <v>7015</v>
      </c>
      <c r="AL339" s="3" t="s">
        <v>7010</v>
      </c>
      <c r="AM339" s="3" t="s">
        <v>7010</v>
      </c>
      <c r="AN339" s="3" t="s">
        <v>7010</v>
      </c>
      <c r="AO339" s="3" t="s">
        <v>7010</v>
      </c>
      <c r="AP339" s="74" t="s">
        <v>7015</v>
      </c>
      <c r="AU339">
        <v>338</v>
      </c>
      <c r="AV339" t="s">
        <v>3662</v>
      </c>
      <c r="AW339" t="s">
        <v>2279</v>
      </c>
      <c r="AX339">
        <f t="shared" si="22"/>
        <v>8</v>
      </c>
      <c r="AY339" s="30" t="s">
        <v>3663</v>
      </c>
      <c r="BC339" s="3" t="s">
        <v>7010</v>
      </c>
      <c r="BD339" s="3" t="s">
        <v>7010</v>
      </c>
      <c r="BE339" s="3" t="s">
        <v>7010</v>
      </c>
      <c r="BF339" s="3" t="s">
        <v>7010</v>
      </c>
      <c r="BG339" s="3" t="s">
        <v>7010</v>
      </c>
      <c r="BH339" s="3" t="s">
        <v>7010</v>
      </c>
      <c r="BI339" s="3" t="s">
        <v>7010</v>
      </c>
      <c r="BJ339" s="3" t="s">
        <v>7010</v>
      </c>
      <c r="BK339" s="74" t="str">
        <f t="shared" si="23"/>
        <v>No</v>
      </c>
    </row>
    <row r="340" spans="7:63">
      <c r="G340">
        <v>339</v>
      </c>
      <c r="H340" s="7" t="s">
        <v>2105</v>
      </c>
      <c r="I340" t="s">
        <v>29</v>
      </c>
      <c r="J340">
        <f>LEN(H340)</f>
        <v>13</v>
      </c>
      <c r="K340" s="49" t="s">
        <v>6588</v>
      </c>
      <c r="O340" s="3" t="s">
        <v>7010</v>
      </c>
      <c r="P340" s="3" t="s">
        <v>7010</v>
      </c>
      <c r="Q340" s="3" t="s">
        <v>7010</v>
      </c>
      <c r="R340" s="3" t="s">
        <v>7010</v>
      </c>
      <c r="S340" s="3" t="s">
        <v>7010</v>
      </c>
      <c r="T340" s="3" t="s">
        <v>7010</v>
      </c>
      <c r="U340" s="3" t="s">
        <v>7010</v>
      </c>
      <c r="V340" s="3" t="s">
        <v>7010</v>
      </c>
      <c r="W340" s="74" t="str">
        <f t="shared" si="21"/>
        <v>No</v>
      </c>
      <c r="Z340">
        <v>339</v>
      </c>
      <c r="AA340" s="55" t="s">
        <v>3665</v>
      </c>
      <c r="AC340">
        <f t="shared" si="20"/>
        <v>10</v>
      </c>
      <c r="AD340" s="30" t="s">
        <v>3666</v>
      </c>
      <c r="AF340" t="s">
        <v>7755</v>
      </c>
      <c r="AH340" s="3" t="s">
        <v>7015</v>
      </c>
      <c r="AI340" s="3" t="s">
        <v>7010</v>
      </c>
      <c r="AJ340" s="3" t="s">
        <v>7010</v>
      </c>
      <c r="AK340" s="3" t="s">
        <v>7015</v>
      </c>
      <c r="AL340" s="3" t="s">
        <v>7010</v>
      </c>
      <c r="AM340" s="3" t="s">
        <v>7010</v>
      </c>
      <c r="AN340" s="3" t="s">
        <v>7010</v>
      </c>
      <c r="AO340" s="3" t="s">
        <v>7010</v>
      </c>
      <c r="AP340" s="74" t="s">
        <v>7015</v>
      </c>
      <c r="AU340">
        <v>339</v>
      </c>
      <c r="AV340" t="s">
        <v>3667</v>
      </c>
      <c r="AW340" t="s">
        <v>2279</v>
      </c>
      <c r="AX340">
        <f t="shared" si="22"/>
        <v>8</v>
      </c>
      <c r="AY340" s="30" t="s">
        <v>3668</v>
      </c>
      <c r="BC340" s="3" t="s">
        <v>7015</v>
      </c>
      <c r="BD340" s="3" t="s">
        <v>7010</v>
      </c>
      <c r="BE340" s="3" t="s">
        <v>7015</v>
      </c>
      <c r="BF340" s="3" t="s">
        <v>7010</v>
      </c>
      <c r="BG340" s="3" t="s">
        <v>7010</v>
      </c>
      <c r="BH340" s="3" t="s">
        <v>7010</v>
      </c>
      <c r="BI340" s="3" t="s">
        <v>7010</v>
      </c>
      <c r="BJ340" s="3" t="s">
        <v>7010</v>
      </c>
      <c r="BK340" s="74" t="str">
        <f t="shared" si="23"/>
        <v>Yes</v>
      </c>
    </row>
    <row r="341" spans="7:63">
      <c r="G341">
        <v>340</v>
      </c>
      <c r="H341" s="7" t="s">
        <v>611</v>
      </c>
      <c r="I341" t="s">
        <v>29</v>
      </c>
      <c r="J341">
        <f>LEN(H341)</f>
        <v>13</v>
      </c>
      <c r="K341" s="49" t="s">
        <v>3361</v>
      </c>
      <c r="O341" s="3" t="s">
        <v>7010</v>
      </c>
      <c r="P341" s="3" t="s">
        <v>7010</v>
      </c>
      <c r="Q341" s="3" t="s">
        <v>7010</v>
      </c>
      <c r="R341" s="3" t="s">
        <v>7010</v>
      </c>
      <c r="S341" s="3" t="s">
        <v>7010</v>
      </c>
      <c r="T341" s="3" t="s">
        <v>7015</v>
      </c>
      <c r="U341" s="3" t="s">
        <v>7010</v>
      </c>
      <c r="V341" s="3" t="s">
        <v>7010</v>
      </c>
      <c r="W341" s="74" t="str">
        <f t="shared" si="21"/>
        <v>Yes</v>
      </c>
      <c r="Z341">
        <v>340</v>
      </c>
      <c r="AA341" s="55" t="s">
        <v>3670</v>
      </c>
      <c r="AC341">
        <f t="shared" si="20"/>
        <v>9</v>
      </c>
      <c r="AD341" s="30" t="s">
        <v>3671</v>
      </c>
      <c r="AF341" t="s">
        <v>7756</v>
      </c>
      <c r="AH341" s="3" t="s">
        <v>7015</v>
      </c>
      <c r="AI341" s="3" t="s">
        <v>7010</v>
      </c>
      <c r="AJ341" s="3" t="s">
        <v>7010</v>
      </c>
      <c r="AK341" s="3" t="s">
        <v>7015</v>
      </c>
      <c r="AL341" s="3" t="s">
        <v>7010</v>
      </c>
      <c r="AM341" s="3" t="s">
        <v>7010</v>
      </c>
      <c r="AN341" s="3" t="s">
        <v>7010</v>
      </c>
      <c r="AO341" s="3" t="s">
        <v>7010</v>
      </c>
      <c r="AP341" s="74" t="s">
        <v>7015</v>
      </c>
      <c r="AU341">
        <v>340</v>
      </c>
      <c r="AV341" t="s">
        <v>3672</v>
      </c>
      <c r="AW341" t="s">
        <v>2279</v>
      </c>
      <c r="AX341">
        <f t="shared" si="22"/>
        <v>13</v>
      </c>
      <c r="AY341" s="30" t="s">
        <v>3673</v>
      </c>
      <c r="BC341" s="3" t="s">
        <v>7010</v>
      </c>
      <c r="BD341" s="3" t="s">
        <v>7010</v>
      </c>
      <c r="BE341" s="3" t="s">
        <v>7010</v>
      </c>
      <c r="BF341" s="3" t="s">
        <v>7010</v>
      </c>
      <c r="BG341" s="3" t="s">
        <v>7010</v>
      </c>
      <c r="BH341" s="3" t="s">
        <v>7010</v>
      </c>
      <c r="BI341" s="3" t="s">
        <v>7010</v>
      </c>
      <c r="BJ341" s="3" t="s">
        <v>7010</v>
      </c>
      <c r="BK341" s="74" t="str">
        <f t="shared" si="23"/>
        <v>No</v>
      </c>
    </row>
    <row r="342" spans="7:63">
      <c r="G342">
        <v>341</v>
      </c>
      <c r="H342" s="7" t="s">
        <v>515</v>
      </c>
      <c r="I342" t="s">
        <v>29</v>
      </c>
      <c r="J342">
        <f>LEN(H342)</f>
        <v>11</v>
      </c>
      <c r="K342" s="49" t="s">
        <v>2977</v>
      </c>
      <c r="O342" s="3" t="s">
        <v>7010</v>
      </c>
      <c r="P342" s="3" t="s">
        <v>7010</v>
      </c>
      <c r="Q342" s="3" t="s">
        <v>7010</v>
      </c>
      <c r="R342" s="3" t="s">
        <v>7010</v>
      </c>
      <c r="S342" s="3" t="s">
        <v>7010</v>
      </c>
      <c r="T342" s="3" t="s">
        <v>7010</v>
      </c>
      <c r="U342" s="3" t="s">
        <v>7010</v>
      </c>
      <c r="V342" s="3" t="s">
        <v>7010</v>
      </c>
      <c r="W342" s="74" t="str">
        <f t="shared" si="21"/>
        <v>No</v>
      </c>
      <c r="Z342">
        <v>341</v>
      </c>
      <c r="AA342" s="55" t="s">
        <v>3675</v>
      </c>
      <c r="AC342">
        <f t="shared" si="20"/>
        <v>11</v>
      </c>
      <c r="AD342" s="30" t="s">
        <v>3676</v>
      </c>
      <c r="AF342" t="s">
        <v>7757</v>
      </c>
      <c r="AH342" s="3" t="s">
        <v>7015</v>
      </c>
      <c r="AI342" s="3" t="s">
        <v>7010</v>
      </c>
      <c r="AJ342" s="3" t="s">
        <v>7010</v>
      </c>
      <c r="AK342" s="3" t="s">
        <v>7015</v>
      </c>
      <c r="AL342" s="3" t="s">
        <v>7010</v>
      </c>
      <c r="AM342" s="3" t="s">
        <v>7010</v>
      </c>
      <c r="AN342" s="3" t="s">
        <v>7010</v>
      </c>
      <c r="AO342" s="3" t="s">
        <v>7010</v>
      </c>
      <c r="AP342" s="74" t="s">
        <v>7015</v>
      </c>
      <c r="AU342">
        <v>341</v>
      </c>
      <c r="AV342" t="s">
        <v>3677</v>
      </c>
      <c r="AW342" t="s">
        <v>2279</v>
      </c>
      <c r="AX342">
        <f t="shared" si="22"/>
        <v>17</v>
      </c>
      <c r="AY342" s="30" t="s">
        <v>3678</v>
      </c>
      <c r="BC342" s="3" t="s">
        <v>7010</v>
      </c>
      <c r="BD342" s="3" t="s">
        <v>7010</v>
      </c>
      <c r="BE342" s="3" t="s">
        <v>7010</v>
      </c>
      <c r="BF342" s="3" t="s">
        <v>7010</v>
      </c>
      <c r="BG342" s="3" t="s">
        <v>7010</v>
      </c>
      <c r="BH342" s="3" t="s">
        <v>7010</v>
      </c>
      <c r="BI342" s="3" t="s">
        <v>7010</v>
      </c>
      <c r="BJ342" s="3" t="s">
        <v>7010</v>
      </c>
      <c r="BK342" s="74" t="str">
        <f t="shared" si="23"/>
        <v>No</v>
      </c>
    </row>
    <row r="343" spans="7:63">
      <c r="G343">
        <v>342</v>
      </c>
      <c r="H343" s="7" t="s">
        <v>2033</v>
      </c>
      <c r="I343" t="s">
        <v>29</v>
      </c>
      <c r="J343">
        <f>LEN(H343)</f>
        <v>13</v>
      </c>
      <c r="K343" s="49" t="s">
        <v>6412</v>
      </c>
      <c r="O343" s="3" t="s">
        <v>7010</v>
      </c>
      <c r="P343" s="3" t="s">
        <v>7010</v>
      </c>
      <c r="Q343" s="3" t="s">
        <v>7010</v>
      </c>
      <c r="R343" s="3" t="s">
        <v>7010</v>
      </c>
      <c r="S343" s="3" t="s">
        <v>7010</v>
      </c>
      <c r="T343" s="3" t="s">
        <v>7010</v>
      </c>
      <c r="U343" s="3" t="s">
        <v>7010</v>
      </c>
      <c r="V343" s="3" t="s">
        <v>7010</v>
      </c>
      <c r="W343" s="74" t="str">
        <f t="shared" si="21"/>
        <v>No</v>
      </c>
      <c r="Z343">
        <v>342</v>
      </c>
      <c r="AA343" s="55" t="s">
        <v>3680</v>
      </c>
      <c r="AC343">
        <f t="shared" si="20"/>
        <v>8</v>
      </c>
      <c r="AD343" s="30" t="s">
        <v>3681</v>
      </c>
      <c r="AF343" t="s">
        <v>7758</v>
      </c>
      <c r="AH343" s="3" t="s">
        <v>7015</v>
      </c>
      <c r="AI343" s="3" t="s">
        <v>7010</v>
      </c>
      <c r="AJ343" s="3" t="s">
        <v>7010</v>
      </c>
      <c r="AK343" s="3" t="s">
        <v>7015</v>
      </c>
      <c r="AL343" s="3" t="s">
        <v>7010</v>
      </c>
      <c r="AM343" s="3" t="s">
        <v>7010</v>
      </c>
      <c r="AN343" s="3" t="s">
        <v>7010</v>
      </c>
      <c r="AO343" s="3" t="s">
        <v>7010</v>
      </c>
      <c r="AP343" s="74" t="s">
        <v>7015</v>
      </c>
      <c r="AU343">
        <v>342</v>
      </c>
      <c r="AV343" t="s">
        <v>3682</v>
      </c>
      <c r="AW343" t="s">
        <v>2279</v>
      </c>
      <c r="AX343">
        <f t="shared" si="22"/>
        <v>9</v>
      </c>
      <c r="AY343" s="30" t="s">
        <v>3683</v>
      </c>
      <c r="BC343" s="3" t="s">
        <v>7015</v>
      </c>
      <c r="BD343" s="3" t="s">
        <v>7010</v>
      </c>
      <c r="BE343" s="3" t="s">
        <v>7015</v>
      </c>
      <c r="BF343" s="3" t="s">
        <v>7010</v>
      </c>
      <c r="BG343" s="3" t="s">
        <v>7010</v>
      </c>
      <c r="BH343" s="3" t="s">
        <v>7010</v>
      </c>
      <c r="BI343" s="3" t="s">
        <v>7010</v>
      </c>
      <c r="BJ343" s="3" t="s">
        <v>7010</v>
      </c>
      <c r="BK343" s="74" t="str">
        <f t="shared" si="23"/>
        <v>Yes</v>
      </c>
    </row>
    <row r="344" spans="7:63">
      <c r="G344">
        <v>343</v>
      </c>
      <c r="H344" s="7" t="s">
        <v>1922</v>
      </c>
      <c r="I344" t="s">
        <v>29</v>
      </c>
      <c r="J344">
        <f>LEN(H344)</f>
        <v>10</v>
      </c>
      <c r="K344" s="49" t="s">
        <v>6113</v>
      </c>
      <c r="O344" s="3" t="s">
        <v>7010</v>
      </c>
      <c r="P344" s="3" t="s">
        <v>7010</v>
      </c>
      <c r="Q344" s="3" t="s">
        <v>7010</v>
      </c>
      <c r="R344" s="3" t="s">
        <v>7015</v>
      </c>
      <c r="S344" s="3" t="s">
        <v>7010</v>
      </c>
      <c r="T344" s="3" t="s">
        <v>7015</v>
      </c>
      <c r="U344" s="3" t="s">
        <v>7010</v>
      </c>
      <c r="V344" s="3" t="s">
        <v>7010</v>
      </c>
      <c r="W344" s="74" t="str">
        <f t="shared" si="21"/>
        <v>Yes</v>
      </c>
      <c r="Z344">
        <v>343</v>
      </c>
      <c r="AA344" s="55" t="s">
        <v>3685</v>
      </c>
      <c r="AC344">
        <f t="shared" si="20"/>
        <v>7</v>
      </c>
      <c r="AD344" s="30" t="s">
        <v>3686</v>
      </c>
      <c r="AF344" t="s">
        <v>7759</v>
      </c>
      <c r="AH344" s="3" t="s">
        <v>7015</v>
      </c>
      <c r="AI344" s="3" t="s">
        <v>7010</v>
      </c>
      <c r="AJ344" s="3" t="s">
        <v>7010</v>
      </c>
      <c r="AK344" s="3" t="s">
        <v>7015</v>
      </c>
      <c r="AL344" s="3" t="s">
        <v>7010</v>
      </c>
      <c r="AM344" s="3" t="s">
        <v>7010</v>
      </c>
      <c r="AN344" s="3" t="s">
        <v>7010</v>
      </c>
      <c r="AO344" s="3" t="s">
        <v>7010</v>
      </c>
      <c r="AP344" s="74" t="s">
        <v>7015</v>
      </c>
      <c r="AU344">
        <v>343</v>
      </c>
      <c r="AV344" t="s">
        <v>3687</v>
      </c>
      <c r="AW344" t="s">
        <v>2279</v>
      </c>
      <c r="AX344">
        <f t="shared" si="22"/>
        <v>8</v>
      </c>
      <c r="AY344" s="30" t="s">
        <v>3688</v>
      </c>
      <c r="BC344" s="3" t="s">
        <v>7010</v>
      </c>
      <c r="BD344" s="3" t="s">
        <v>7010</v>
      </c>
      <c r="BE344" s="3" t="s">
        <v>7010</v>
      </c>
      <c r="BF344" s="3" t="s">
        <v>7010</v>
      </c>
      <c r="BG344" s="3" t="s">
        <v>7010</v>
      </c>
      <c r="BH344" s="3" t="s">
        <v>7010</v>
      </c>
      <c r="BI344" s="3" t="s">
        <v>7010</v>
      </c>
      <c r="BJ344" s="3" t="s">
        <v>7010</v>
      </c>
      <c r="BK344" s="74" t="str">
        <f t="shared" si="23"/>
        <v>No</v>
      </c>
    </row>
    <row r="345" spans="7:63">
      <c r="G345">
        <v>344</v>
      </c>
      <c r="H345" s="7" t="s">
        <v>1991</v>
      </c>
      <c r="I345" t="s">
        <v>29</v>
      </c>
      <c r="J345">
        <f>LEN(H345)</f>
        <v>12</v>
      </c>
      <c r="K345" s="49" t="s">
        <v>6302</v>
      </c>
      <c r="O345" s="3" t="s">
        <v>7010</v>
      </c>
      <c r="P345" s="3" t="s">
        <v>7010</v>
      </c>
      <c r="Q345" s="3" t="s">
        <v>7010</v>
      </c>
      <c r="R345" s="3" t="s">
        <v>7010</v>
      </c>
      <c r="S345" s="3" t="s">
        <v>7010</v>
      </c>
      <c r="T345" s="3" t="s">
        <v>7010</v>
      </c>
      <c r="U345" s="3" t="s">
        <v>7010</v>
      </c>
      <c r="V345" s="3" t="s">
        <v>7010</v>
      </c>
      <c r="W345" s="74" t="str">
        <f t="shared" si="21"/>
        <v>No</v>
      </c>
      <c r="Z345">
        <v>344</v>
      </c>
      <c r="AA345" s="55" t="s">
        <v>3690</v>
      </c>
      <c r="AC345">
        <f t="shared" si="20"/>
        <v>7</v>
      </c>
      <c r="AD345" s="30" t="s">
        <v>3691</v>
      </c>
      <c r="AF345" t="s">
        <v>7760</v>
      </c>
      <c r="AH345" s="3" t="s">
        <v>7015</v>
      </c>
      <c r="AI345" s="3" t="s">
        <v>7010</v>
      </c>
      <c r="AJ345" s="3" t="s">
        <v>7010</v>
      </c>
      <c r="AK345" s="3" t="s">
        <v>7015</v>
      </c>
      <c r="AL345" s="3" t="s">
        <v>7010</v>
      </c>
      <c r="AM345" s="3" t="s">
        <v>7010</v>
      </c>
      <c r="AN345" s="3" t="s">
        <v>7010</v>
      </c>
      <c r="AO345" s="3" t="s">
        <v>7010</v>
      </c>
      <c r="AP345" s="74" t="s">
        <v>7015</v>
      </c>
      <c r="AU345">
        <v>344</v>
      </c>
      <c r="AV345" t="s">
        <v>3692</v>
      </c>
      <c r="AW345" t="s">
        <v>2279</v>
      </c>
      <c r="AX345">
        <f t="shared" si="22"/>
        <v>9</v>
      </c>
      <c r="AY345" s="30" t="s">
        <v>3693</v>
      </c>
      <c r="BC345" s="3" t="s">
        <v>7010</v>
      </c>
      <c r="BD345" s="3" t="s">
        <v>7010</v>
      </c>
      <c r="BE345" s="3" t="s">
        <v>7010</v>
      </c>
      <c r="BF345" s="3" t="s">
        <v>7010</v>
      </c>
      <c r="BG345" s="3" t="s">
        <v>7010</v>
      </c>
      <c r="BH345" s="3" t="s">
        <v>7010</v>
      </c>
      <c r="BI345" s="3" t="s">
        <v>7010</v>
      </c>
      <c r="BJ345" s="3" t="s">
        <v>7010</v>
      </c>
      <c r="BK345" s="74" t="str">
        <f t="shared" si="23"/>
        <v>No</v>
      </c>
    </row>
    <row r="346" spans="7:63">
      <c r="G346">
        <v>345</v>
      </c>
      <c r="H346" s="7" t="s">
        <v>2011</v>
      </c>
      <c r="I346" t="s">
        <v>29</v>
      </c>
      <c r="J346">
        <f>LEN(H346)</f>
        <v>16</v>
      </c>
      <c r="K346" s="49" t="s">
        <v>6356</v>
      </c>
      <c r="O346" s="3" t="s">
        <v>7010</v>
      </c>
      <c r="P346" s="3" t="s">
        <v>7010</v>
      </c>
      <c r="Q346" s="3" t="s">
        <v>7010</v>
      </c>
      <c r="R346" s="3" t="s">
        <v>7010</v>
      </c>
      <c r="S346" s="3" t="s">
        <v>7010</v>
      </c>
      <c r="T346" s="3" t="s">
        <v>7015</v>
      </c>
      <c r="U346" s="3" t="s">
        <v>7010</v>
      </c>
      <c r="V346" s="3" t="s">
        <v>7010</v>
      </c>
      <c r="W346" s="74" t="str">
        <f t="shared" si="21"/>
        <v>Yes</v>
      </c>
      <c r="Z346">
        <v>345</v>
      </c>
      <c r="AA346" s="55" t="s">
        <v>3695</v>
      </c>
      <c r="AC346">
        <f t="shared" si="20"/>
        <v>8</v>
      </c>
      <c r="AD346" s="30" t="s">
        <v>3696</v>
      </c>
      <c r="AF346" t="s">
        <v>7761</v>
      </c>
      <c r="AH346" s="3" t="s">
        <v>7015</v>
      </c>
      <c r="AI346" s="3" t="s">
        <v>7010</v>
      </c>
      <c r="AJ346" s="3" t="s">
        <v>7010</v>
      </c>
      <c r="AK346" s="3" t="s">
        <v>7015</v>
      </c>
      <c r="AL346" s="3" t="s">
        <v>7010</v>
      </c>
      <c r="AM346" s="3" t="s">
        <v>7010</v>
      </c>
      <c r="AN346" s="3" t="s">
        <v>7010</v>
      </c>
      <c r="AO346" s="3" t="s">
        <v>7010</v>
      </c>
      <c r="AP346" s="74" t="s">
        <v>7015</v>
      </c>
      <c r="AU346">
        <v>345</v>
      </c>
      <c r="AV346" t="s">
        <v>3697</v>
      </c>
      <c r="AW346" t="s">
        <v>2279</v>
      </c>
      <c r="AX346">
        <f t="shared" si="22"/>
        <v>9</v>
      </c>
      <c r="AY346" s="30" t="s">
        <v>3698</v>
      </c>
      <c r="BC346" s="3" t="s">
        <v>7010</v>
      </c>
      <c r="BD346" s="3" t="s">
        <v>7010</v>
      </c>
      <c r="BE346" s="3" t="s">
        <v>7010</v>
      </c>
      <c r="BF346" s="3" t="s">
        <v>7010</v>
      </c>
      <c r="BG346" s="3" t="s">
        <v>7010</v>
      </c>
      <c r="BH346" s="3" t="s">
        <v>7010</v>
      </c>
      <c r="BI346" s="3" t="s">
        <v>7010</v>
      </c>
      <c r="BJ346" s="3" t="s">
        <v>7010</v>
      </c>
      <c r="BK346" s="74" t="str">
        <f t="shared" si="23"/>
        <v>No</v>
      </c>
    </row>
    <row r="347" spans="7:63">
      <c r="G347">
        <v>346</v>
      </c>
      <c r="H347" s="7" t="s">
        <v>2021</v>
      </c>
      <c r="I347" t="s">
        <v>29</v>
      </c>
      <c r="J347">
        <f>LEN(H347)</f>
        <v>11</v>
      </c>
      <c r="K347" s="49" t="s">
        <v>6382</v>
      </c>
      <c r="O347" s="3" t="s">
        <v>7010</v>
      </c>
      <c r="P347" s="3" t="s">
        <v>7010</v>
      </c>
      <c r="Q347" s="3" t="s">
        <v>7010</v>
      </c>
      <c r="R347" s="3" t="s">
        <v>7010</v>
      </c>
      <c r="S347" s="3" t="s">
        <v>7010</v>
      </c>
      <c r="T347" s="3" t="s">
        <v>7010</v>
      </c>
      <c r="U347" s="3" t="s">
        <v>7010</v>
      </c>
      <c r="V347" s="3" t="s">
        <v>7010</v>
      </c>
      <c r="W347" s="74" t="str">
        <f t="shared" si="21"/>
        <v>No</v>
      </c>
      <c r="Z347">
        <v>346</v>
      </c>
      <c r="AA347" s="55" t="s">
        <v>3700</v>
      </c>
      <c r="AC347">
        <f t="shared" si="20"/>
        <v>7</v>
      </c>
      <c r="AD347" s="30" t="s">
        <v>3701</v>
      </c>
      <c r="AF347" t="s">
        <v>7762</v>
      </c>
      <c r="AH347" s="3" t="s">
        <v>7015</v>
      </c>
      <c r="AI347" s="3" t="s">
        <v>7010</v>
      </c>
      <c r="AJ347" s="3" t="s">
        <v>7010</v>
      </c>
      <c r="AK347" s="3" t="s">
        <v>7015</v>
      </c>
      <c r="AL347" s="3" t="s">
        <v>7010</v>
      </c>
      <c r="AM347" s="3" t="s">
        <v>7010</v>
      </c>
      <c r="AN347" s="3" t="s">
        <v>7010</v>
      </c>
      <c r="AO347" s="3" t="s">
        <v>7010</v>
      </c>
      <c r="AP347" s="74" t="s">
        <v>7015</v>
      </c>
      <c r="AU347">
        <v>346</v>
      </c>
      <c r="AV347" t="s">
        <v>3702</v>
      </c>
      <c r="AW347" t="s">
        <v>2279</v>
      </c>
      <c r="AX347">
        <f t="shared" si="22"/>
        <v>12</v>
      </c>
      <c r="AY347" s="30" t="s">
        <v>3703</v>
      </c>
      <c r="BC347" s="3" t="s">
        <v>7010</v>
      </c>
      <c r="BD347" s="3" t="s">
        <v>7010</v>
      </c>
      <c r="BE347" s="3" t="s">
        <v>7010</v>
      </c>
      <c r="BF347" s="3" t="s">
        <v>7010</v>
      </c>
      <c r="BG347" s="3" t="s">
        <v>7010</v>
      </c>
      <c r="BH347" s="3" t="s">
        <v>7010</v>
      </c>
      <c r="BI347" s="3" t="s">
        <v>7010</v>
      </c>
      <c r="BJ347" s="3" t="s">
        <v>7010</v>
      </c>
      <c r="BK347" s="74" t="str">
        <f t="shared" si="23"/>
        <v>No</v>
      </c>
    </row>
    <row r="348" spans="7:63">
      <c r="G348">
        <v>347</v>
      </c>
      <c r="H348" s="7" t="s">
        <v>1999</v>
      </c>
      <c r="I348" t="s">
        <v>29</v>
      </c>
      <c r="J348">
        <f>LEN(H348)</f>
        <v>12</v>
      </c>
      <c r="K348" s="49" t="s">
        <v>6322</v>
      </c>
      <c r="O348" s="3" t="s">
        <v>7010</v>
      </c>
      <c r="P348" s="3" t="s">
        <v>7010</v>
      </c>
      <c r="Q348" s="3" t="s">
        <v>7010</v>
      </c>
      <c r="R348" s="3" t="s">
        <v>7010</v>
      </c>
      <c r="S348" s="3" t="s">
        <v>7010</v>
      </c>
      <c r="T348" s="3" t="s">
        <v>7015</v>
      </c>
      <c r="U348" s="3" t="s">
        <v>7010</v>
      </c>
      <c r="V348" s="3" t="s">
        <v>7010</v>
      </c>
      <c r="W348" s="74" t="str">
        <f t="shared" si="21"/>
        <v>Yes</v>
      </c>
      <c r="Z348">
        <v>347</v>
      </c>
      <c r="AA348" s="55" t="s">
        <v>3705</v>
      </c>
      <c r="AC348">
        <f t="shared" si="20"/>
        <v>9</v>
      </c>
      <c r="AD348" s="31" t="s">
        <v>3706</v>
      </c>
      <c r="AF348" t="s">
        <v>7763</v>
      </c>
      <c r="AH348" s="3" t="s">
        <v>7015</v>
      </c>
      <c r="AI348" s="3" t="s">
        <v>7010</v>
      </c>
      <c r="AJ348" s="3" t="s">
        <v>7010</v>
      </c>
      <c r="AK348" s="3" t="s">
        <v>7015</v>
      </c>
      <c r="AL348" s="3" t="s">
        <v>7010</v>
      </c>
      <c r="AM348" s="3" t="s">
        <v>7010</v>
      </c>
      <c r="AN348" s="3" t="s">
        <v>7010</v>
      </c>
      <c r="AO348" s="3" t="s">
        <v>7010</v>
      </c>
      <c r="AP348" s="74" t="s">
        <v>7015</v>
      </c>
      <c r="AU348">
        <v>347</v>
      </c>
      <c r="AV348" t="s">
        <v>3707</v>
      </c>
      <c r="AW348" t="s">
        <v>2279</v>
      </c>
      <c r="AX348">
        <f t="shared" si="22"/>
        <v>8</v>
      </c>
      <c r="AY348" s="30" t="s">
        <v>3708</v>
      </c>
      <c r="BC348" s="3" t="s">
        <v>7010</v>
      </c>
      <c r="BD348" s="3" t="s">
        <v>7010</v>
      </c>
      <c r="BE348" s="3" t="s">
        <v>7010</v>
      </c>
      <c r="BF348" s="3" t="s">
        <v>7010</v>
      </c>
      <c r="BG348" s="3" t="s">
        <v>7010</v>
      </c>
      <c r="BH348" s="3" t="s">
        <v>7010</v>
      </c>
      <c r="BI348" s="3" t="s">
        <v>7010</v>
      </c>
      <c r="BJ348" s="3" t="s">
        <v>7010</v>
      </c>
      <c r="BK348" s="74" t="str">
        <f t="shared" si="23"/>
        <v>No</v>
      </c>
    </row>
    <row r="349" spans="7:63">
      <c r="G349">
        <v>348</v>
      </c>
      <c r="H349" s="7" t="s">
        <v>624</v>
      </c>
      <c r="I349" t="s">
        <v>29</v>
      </c>
      <c r="J349">
        <f>LEN(H349)</f>
        <v>14</v>
      </c>
      <c r="K349" s="49" t="s">
        <v>3413</v>
      </c>
      <c r="O349" s="3" t="s">
        <v>7010</v>
      </c>
      <c r="P349" s="3" t="s">
        <v>7010</v>
      </c>
      <c r="Q349" s="3" t="s">
        <v>7010</v>
      </c>
      <c r="R349" s="3" t="s">
        <v>7010</v>
      </c>
      <c r="S349" s="3" t="s">
        <v>7010</v>
      </c>
      <c r="T349" s="3" t="s">
        <v>7010</v>
      </c>
      <c r="U349" s="3" t="s">
        <v>7010</v>
      </c>
      <c r="V349" s="3" t="s">
        <v>7010</v>
      </c>
      <c r="W349" s="74" t="str">
        <f t="shared" si="21"/>
        <v>No</v>
      </c>
      <c r="Z349">
        <v>348</v>
      </c>
      <c r="AA349" s="55" t="s">
        <v>3710</v>
      </c>
      <c r="AC349">
        <f t="shared" si="20"/>
        <v>6</v>
      </c>
      <c r="AD349" s="30" t="s">
        <v>3711</v>
      </c>
      <c r="AF349" t="s">
        <v>7764</v>
      </c>
      <c r="AH349" s="3" t="s">
        <v>7015</v>
      </c>
      <c r="AI349" s="3" t="s">
        <v>7010</v>
      </c>
      <c r="AJ349" s="3" t="s">
        <v>7010</v>
      </c>
      <c r="AK349" s="3" t="s">
        <v>7015</v>
      </c>
      <c r="AL349" s="3" t="s">
        <v>7010</v>
      </c>
      <c r="AM349" s="3" t="s">
        <v>7010</v>
      </c>
      <c r="AN349" s="3" t="s">
        <v>7010</v>
      </c>
      <c r="AO349" s="3" t="s">
        <v>7010</v>
      </c>
      <c r="AP349" s="74" t="s">
        <v>7015</v>
      </c>
      <c r="AU349">
        <v>348</v>
      </c>
      <c r="AV349" t="s">
        <v>3712</v>
      </c>
      <c r="AW349" t="s">
        <v>2279</v>
      </c>
      <c r="AX349">
        <f t="shared" si="22"/>
        <v>9</v>
      </c>
      <c r="AY349" s="30" t="s">
        <v>3713</v>
      </c>
      <c r="BC349" s="3" t="s">
        <v>7010</v>
      </c>
      <c r="BD349" s="3" t="s">
        <v>7010</v>
      </c>
      <c r="BE349" s="3" t="s">
        <v>7010</v>
      </c>
      <c r="BF349" s="3" t="s">
        <v>7010</v>
      </c>
      <c r="BG349" s="3" t="s">
        <v>7010</v>
      </c>
      <c r="BH349" s="3" t="s">
        <v>7010</v>
      </c>
      <c r="BI349" s="3" t="s">
        <v>7010</v>
      </c>
      <c r="BJ349" s="3" t="s">
        <v>7010</v>
      </c>
      <c r="BK349" s="74" t="str">
        <f t="shared" si="23"/>
        <v>No</v>
      </c>
    </row>
    <row r="350" spans="7:63">
      <c r="G350">
        <v>349</v>
      </c>
      <c r="H350" s="7" t="s">
        <v>637</v>
      </c>
      <c r="I350" t="s">
        <v>29</v>
      </c>
      <c r="J350">
        <f>LEN(H350)</f>
        <v>15</v>
      </c>
      <c r="K350" s="49" t="s">
        <v>3465</v>
      </c>
      <c r="O350" s="3" t="s">
        <v>7010</v>
      </c>
      <c r="P350" s="3" t="s">
        <v>7010</v>
      </c>
      <c r="Q350" s="3" t="s">
        <v>7010</v>
      </c>
      <c r="R350" s="3" t="s">
        <v>7010</v>
      </c>
      <c r="S350" s="3" t="s">
        <v>7010</v>
      </c>
      <c r="T350" s="3" t="s">
        <v>7010</v>
      </c>
      <c r="U350" s="3" t="s">
        <v>7010</v>
      </c>
      <c r="V350" s="3" t="s">
        <v>7010</v>
      </c>
      <c r="W350" s="74" t="str">
        <f t="shared" si="21"/>
        <v>No</v>
      </c>
      <c r="Z350">
        <v>349</v>
      </c>
      <c r="AA350" s="55" t="s">
        <v>3715</v>
      </c>
      <c r="AC350">
        <f t="shared" si="20"/>
        <v>7</v>
      </c>
      <c r="AD350" s="30" t="s">
        <v>3716</v>
      </c>
      <c r="AF350" t="s">
        <v>7765</v>
      </c>
      <c r="AH350" s="3" t="s">
        <v>7015</v>
      </c>
      <c r="AI350" s="3" t="s">
        <v>7010</v>
      </c>
      <c r="AJ350" s="3" t="s">
        <v>7010</v>
      </c>
      <c r="AK350" s="3" t="s">
        <v>7015</v>
      </c>
      <c r="AL350" s="3" t="s">
        <v>7010</v>
      </c>
      <c r="AM350" s="3" t="s">
        <v>7010</v>
      </c>
      <c r="AN350" s="3" t="s">
        <v>7010</v>
      </c>
      <c r="AO350" s="3" t="s">
        <v>7010</v>
      </c>
      <c r="AP350" s="74" t="s">
        <v>7015</v>
      </c>
      <c r="AU350">
        <v>349</v>
      </c>
      <c r="AV350" t="s">
        <v>3717</v>
      </c>
      <c r="AW350" t="s">
        <v>2279</v>
      </c>
      <c r="AX350">
        <f t="shared" si="22"/>
        <v>9</v>
      </c>
      <c r="AY350" s="30" t="s">
        <v>3718</v>
      </c>
      <c r="BC350" s="3" t="s">
        <v>7010</v>
      </c>
      <c r="BD350" s="3" t="s">
        <v>7010</v>
      </c>
      <c r="BE350" s="3" t="s">
        <v>7010</v>
      </c>
      <c r="BF350" s="3" t="s">
        <v>7010</v>
      </c>
      <c r="BG350" s="3" t="s">
        <v>7010</v>
      </c>
      <c r="BH350" s="3" t="s">
        <v>7010</v>
      </c>
      <c r="BI350" s="3" t="s">
        <v>7010</v>
      </c>
      <c r="BJ350" s="3" t="s">
        <v>7010</v>
      </c>
      <c r="BK350" s="74" t="str">
        <f t="shared" si="23"/>
        <v>No</v>
      </c>
    </row>
    <row r="351" spans="7:63">
      <c r="G351">
        <v>350</v>
      </c>
      <c r="H351" s="7" t="s">
        <v>625</v>
      </c>
      <c r="I351" t="s">
        <v>29</v>
      </c>
      <c r="J351">
        <f>LEN(H351)</f>
        <v>16</v>
      </c>
      <c r="K351" s="49" t="s">
        <v>3417</v>
      </c>
      <c r="O351" s="3" t="s">
        <v>7010</v>
      </c>
      <c r="P351" s="3" t="s">
        <v>7010</v>
      </c>
      <c r="Q351" s="3" t="s">
        <v>7010</v>
      </c>
      <c r="R351" s="3" t="s">
        <v>7010</v>
      </c>
      <c r="S351" s="3" t="s">
        <v>7010</v>
      </c>
      <c r="T351" s="3" t="s">
        <v>7010</v>
      </c>
      <c r="U351" s="3" t="s">
        <v>7010</v>
      </c>
      <c r="V351" s="3" t="s">
        <v>7010</v>
      </c>
      <c r="W351" s="74" t="str">
        <f t="shared" si="21"/>
        <v>No</v>
      </c>
      <c r="Z351">
        <v>350</v>
      </c>
      <c r="AA351" s="55" t="s">
        <v>3720</v>
      </c>
      <c r="AC351">
        <f t="shared" si="20"/>
        <v>8</v>
      </c>
      <c r="AD351" s="30" t="s">
        <v>3721</v>
      </c>
      <c r="AF351" t="s">
        <v>7766</v>
      </c>
      <c r="AH351" s="3" t="s">
        <v>7015</v>
      </c>
      <c r="AI351" s="3" t="s">
        <v>7010</v>
      </c>
      <c r="AJ351" s="3" t="s">
        <v>7010</v>
      </c>
      <c r="AK351" s="3" t="s">
        <v>7015</v>
      </c>
      <c r="AL351" s="3" t="s">
        <v>7010</v>
      </c>
      <c r="AM351" s="3" t="s">
        <v>7010</v>
      </c>
      <c r="AN351" s="3" t="s">
        <v>7010</v>
      </c>
      <c r="AO351" s="3" t="s">
        <v>7010</v>
      </c>
      <c r="AP351" s="74" t="s">
        <v>7015</v>
      </c>
      <c r="AU351">
        <v>350</v>
      </c>
      <c r="AV351" t="s">
        <v>3722</v>
      </c>
      <c r="AW351" t="s">
        <v>2279</v>
      </c>
      <c r="AX351">
        <f t="shared" si="22"/>
        <v>9</v>
      </c>
      <c r="AY351" s="30" t="s">
        <v>3723</v>
      </c>
      <c r="BC351" s="3" t="s">
        <v>7015</v>
      </c>
      <c r="BD351" s="3" t="s">
        <v>7010</v>
      </c>
      <c r="BE351" s="3" t="s">
        <v>7015</v>
      </c>
      <c r="BF351" s="3" t="s">
        <v>7010</v>
      </c>
      <c r="BG351" s="3" t="s">
        <v>7010</v>
      </c>
      <c r="BH351" s="3" t="s">
        <v>7010</v>
      </c>
      <c r="BI351" s="3" t="s">
        <v>7010</v>
      </c>
      <c r="BJ351" s="3" t="s">
        <v>7010</v>
      </c>
      <c r="BK351" s="74" t="str">
        <f t="shared" si="23"/>
        <v>Yes</v>
      </c>
    </row>
    <row r="352" spans="7:63">
      <c r="G352">
        <v>351</v>
      </c>
      <c r="H352" s="7" t="s">
        <v>1024</v>
      </c>
      <c r="I352" t="s">
        <v>29</v>
      </c>
      <c r="J352">
        <f>LEN(H352)</f>
        <v>12</v>
      </c>
      <c r="K352" s="49" t="s">
        <v>3762</v>
      </c>
      <c r="O352" s="3" t="s">
        <v>7010</v>
      </c>
      <c r="P352" s="3" t="s">
        <v>7010</v>
      </c>
      <c r="Q352" s="3" t="s">
        <v>7010</v>
      </c>
      <c r="R352" s="3" t="s">
        <v>7010</v>
      </c>
      <c r="S352" s="3" t="s">
        <v>7010</v>
      </c>
      <c r="T352" s="3" t="s">
        <v>7010</v>
      </c>
      <c r="U352" s="3" t="s">
        <v>7010</v>
      </c>
      <c r="V352" s="3" t="s">
        <v>7010</v>
      </c>
      <c r="W352" s="74" t="str">
        <f t="shared" si="21"/>
        <v>No</v>
      </c>
      <c r="Z352">
        <v>351</v>
      </c>
      <c r="AA352" s="55" t="s">
        <v>3724</v>
      </c>
      <c r="AC352">
        <f t="shared" si="20"/>
        <v>6</v>
      </c>
      <c r="AD352" s="30" t="s">
        <v>3725</v>
      </c>
      <c r="AF352" s="54" t="s">
        <v>7767</v>
      </c>
      <c r="AH352" s="3" t="s">
        <v>7015</v>
      </c>
      <c r="AI352" s="3" t="s">
        <v>7010</v>
      </c>
      <c r="AJ352" s="3" t="s">
        <v>7010</v>
      </c>
      <c r="AK352" s="3" t="s">
        <v>7015</v>
      </c>
      <c r="AL352" s="3" t="s">
        <v>7010</v>
      </c>
      <c r="AM352" s="3" t="s">
        <v>7010</v>
      </c>
      <c r="AN352" s="3" t="s">
        <v>7010</v>
      </c>
      <c r="AO352" s="3" t="s">
        <v>7010</v>
      </c>
      <c r="AP352" s="74" t="s">
        <v>7015</v>
      </c>
      <c r="AU352">
        <v>351</v>
      </c>
      <c r="AV352" t="s">
        <v>3726</v>
      </c>
      <c r="AW352" t="s">
        <v>2279</v>
      </c>
      <c r="AX352">
        <f t="shared" si="22"/>
        <v>9</v>
      </c>
      <c r="AY352" s="30" t="s">
        <v>3727</v>
      </c>
      <c r="BC352" s="3" t="s">
        <v>7010</v>
      </c>
      <c r="BD352" s="3" t="s">
        <v>7010</v>
      </c>
      <c r="BE352" s="3" t="s">
        <v>7010</v>
      </c>
      <c r="BF352" s="3" t="s">
        <v>7010</v>
      </c>
      <c r="BG352" s="3" t="s">
        <v>7010</v>
      </c>
      <c r="BH352" s="3" t="s">
        <v>7010</v>
      </c>
      <c r="BI352" s="3" t="s">
        <v>7010</v>
      </c>
      <c r="BJ352" s="3" t="s">
        <v>7010</v>
      </c>
      <c r="BK352" s="74" t="str">
        <f t="shared" si="23"/>
        <v>No</v>
      </c>
    </row>
    <row r="353" spans="7:63">
      <c r="G353">
        <v>352</v>
      </c>
      <c r="H353" s="7" t="s">
        <v>484</v>
      </c>
      <c r="I353" t="s">
        <v>29</v>
      </c>
      <c r="J353">
        <f>LEN(H353)</f>
        <v>11</v>
      </c>
      <c r="K353" s="49" t="s">
        <v>2853</v>
      </c>
      <c r="O353" s="3" t="s">
        <v>7010</v>
      </c>
      <c r="P353" s="3" t="s">
        <v>7010</v>
      </c>
      <c r="Q353" s="3" t="s">
        <v>7010</v>
      </c>
      <c r="R353" s="3" t="s">
        <v>7010</v>
      </c>
      <c r="S353" s="3" t="s">
        <v>7010</v>
      </c>
      <c r="T353" s="3" t="s">
        <v>7010</v>
      </c>
      <c r="U353" s="3" t="s">
        <v>7010</v>
      </c>
      <c r="V353" s="3" t="s">
        <v>7010</v>
      </c>
      <c r="W353" s="74" t="str">
        <f t="shared" si="21"/>
        <v>No</v>
      </c>
      <c r="Z353">
        <v>352</v>
      </c>
      <c r="AA353" s="55" t="s">
        <v>3728</v>
      </c>
      <c r="AC353">
        <f t="shared" si="20"/>
        <v>7</v>
      </c>
      <c r="AD353" s="30" t="s">
        <v>3729</v>
      </c>
      <c r="AF353" t="s">
        <v>7768</v>
      </c>
      <c r="AH353" s="3" t="s">
        <v>7015</v>
      </c>
      <c r="AI353" s="3" t="s">
        <v>7010</v>
      </c>
      <c r="AJ353" s="3" t="s">
        <v>7010</v>
      </c>
      <c r="AK353" s="3" t="s">
        <v>7015</v>
      </c>
      <c r="AL353" s="3" t="s">
        <v>7010</v>
      </c>
      <c r="AM353" s="3" t="s">
        <v>7010</v>
      </c>
      <c r="AN353" s="3" t="s">
        <v>7010</v>
      </c>
      <c r="AO353" s="3" t="s">
        <v>7010</v>
      </c>
      <c r="AP353" s="74" t="s">
        <v>7015</v>
      </c>
      <c r="AU353">
        <v>352</v>
      </c>
      <c r="AV353" t="s">
        <v>3730</v>
      </c>
      <c r="AW353" t="s">
        <v>2279</v>
      </c>
      <c r="AX353">
        <f t="shared" si="22"/>
        <v>9</v>
      </c>
      <c r="AY353" s="30" t="s">
        <v>3731</v>
      </c>
      <c r="BC353" s="3" t="s">
        <v>7010</v>
      </c>
      <c r="BD353" s="3" t="s">
        <v>7010</v>
      </c>
      <c r="BE353" s="3" t="s">
        <v>7010</v>
      </c>
      <c r="BF353" s="3" t="s">
        <v>7010</v>
      </c>
      <c r="BG353" s="3" t="s">
        <v>7010</v>
      </c>
      <c r="BH353" s="3" t="s">
        <v>7010</v>
      </c>
      <c r="BI353" s="3" t="s">
        <v>7010</v>
      </c>
      <c r="BJ353" s="3" t="s">
        <v>7010</v>
      </c>
      <c r="BK353" s="74" t="str">
        <f t="shared" si="23"/>
        <v>No</v>
      </c>
    </row>
    <row r="354" spans="7:63">
      <c r="G354">
        <v>353</v>
      </c>
      <c r="H354" t="s">
        <v>6989</v>
      </c>
      <c r="I354" t="s">
        <v>29</v>
      </c>
      <c r="J354">
        <f>LEN(H354)</f>
        <v>13</v>
      </c>
      <c r="K354" s="49" t="s">
        <v>6991</v>
      </c>
      <c r="O354" s="3" t="s">
        <v>7010</v>
      </c>
      <c r="P354" s="3" t="s">
        <v>7010</v>
      </c>
      <c r="Q354" s="3" t="s">
        <v>7010</v>
      </c>
      <c r="R354" s="3" t="s">
        <v>7010</v>
      </c>
      <c r="S354" s="3" t="s">
        <v>7010</v>
      </c>
      <c r="T354" s="3" t="s">
        <v>7015</v>
      </c>
      <c r="U354" s="3" t="s">
        <v>7010</v>
      </c>
      <c r="V354" s="3" t="s">
        <v>7010</v>
      </c>
      <c r="W354" s="74" t="str">
        <f t="shared" si="21"/>
        <v>Yes</v>
      </c>
      <c r="Z354">
        <v>353</v>
      </c>
      <c r="AA354" s="55" t="s">
        <v>3733</v>
      </c>
      <c r="AC354">
        <f t="shared" si="20"/>
        <v>8</v>
      </c>
      <c r="AD354" s="30" t="s">
        <v>3734</v>
      </c>
      <c r="AF354" t="s">
        <v>7769</v>
      </c>
      <c r="AH354" s="3" t="s">
        <v>7015</v>
      </c>
      <c r="AI354" s="3" t="s">
        <v>7010</v>
      </c>
      <c r="AJ354" s="3" t="s">
        <v>7010</v>
      </c>
      <c r="AK354" s="3" t="s">
        <v>7015</v>
      </c>
      <c r="AL354" s="3" t="s">
        <v>7010</v>
      </c>
      <c r="AM354" s="3" t="s">
        <v>7010</v>
      </c>
      <c r="AN354" s="3" t="s">
        <v>7010</v>
      </c>
      <c r="AO354" s="3" t="s">
        <v>7010</v>
      </c>
      <c r="AP354" s="74" t="s">
        <v>7015</v>
      </c>
      <c r="AU354">
        <v>353</v>
      </c>
      <c r="AV354" t="s">
        <v>3735</v>
      </c>
      <c r="AW354" t="s">
        <v>2279</v>
      </c>
      <c r="AX354">
        <f t="shared" si="22"/>
        <v>8</v>
      </c>
      <c r="AY354" s="30" t="s">
        <v>3736</v>
      </c>
      <c r="BC354" s="3" t="s">
        <v>7015</v>
      </c>
      <c r="BD354" s="3" t="s">
        <v>7010</v>
      </c>
      <c r="BE354" s="3" t="s">
        <v>7015</v>
      </c>
      <c r="BF354" s="3" t="s">
        <v>7010</v>
      </c>
      <c r="BG354" s="3" t="s">
        <v>7010</v>
      </c>
      <c r="BH354" s="3" t="s">
        <v>7010</v>
      </c>
      <c r="BI354" s="3" t="s">
        <v>7010</v>
      </c>
      <c r="BJ354" s="3" t="s">
        <v>7010</v>
      </c>
      <c r="BK354" s="74" t="str">
        <f t="shared" si="23"/>
        <v>Yes</v>
      </c>
    </row>
    <row r="355" spans="7:63">
      <c r="G355">
        <v>354</v>
      </c>
      <c r="H355" s="7" t="s">
        <v>1546</v>
      </c>
      <c r="I355" t="s">
        <v>29</v>
      </c>
      <c r="J355">
        <f>LEN(H355)</f>
        <v>11</v>
      </c>
      <c r="K355" s="49" t="s">
        <v>5093</v>
      </c>
      <c r="O355" s="3" t="s">
        <v>7010</v>
      </c>
      <c r="P355" s="3" t="s">
        <v>7010</v>
      </c>
      <c r="Q355" s="3" t="s">
        <v>7010</v>
      </c>
      <c r="R355" s="3" t="s">
        <v>7010</v>
      </c>
      <c r="S355" s="3" t="s">
        <v>7010</v>
      </c>
      <c r="T355" s="3" t="s">
        <v>7010</v>
      </c>
      <c r="U355" s="3" t="s">
        <v>7010</v>
      </c>
      <c r="V355" s="3" t="s">
        <v>7010</v>
      </c>
      <c r="W355" s="74" t="str">
        <f t="shared" si="21"/>
        <v>No</v>
      </c>
      <c r="Z355">
        <v>354</v>
      </c>
      <c r="AA355" s="55" t="s">
        <v>3738</v>
      </c>
      <c r="AC355">
        <f t="shared" si="20"/>
        <v>9</v>
      </c>
      <c r="AD355" s="30" t="s">
        <v>3739</v>
      </c>
      <c r="AF355" t="s">
        <v>7770</v>
      </c>
      <c r="AH355" s="3" t="s">
        <v>7015</v>
      </c>
      <c r="AI355" s="3" t="s">
        <v>7010</v>
      </c>
      <c r="AJ355" s="3" t="s">
        <v>7010</v>
      </c>
      <c r="AK355" s="3" t="s">
        <v>7015</v>
      </c>
      <c r="AL355" s="3" t="s">
        <v>7010</v>
      </c>
      <c r="AM355" s="3" t="s">
        <v>7010</v>
      </c>
      <c r="AN355" s="3" t="s">
        <v>7010</v>
      </c>
      <c r="AO355" s="3" t="s">
        <v>7010</v>
      </c>
      <c r="AP355" s="74" t="s">
        <v>7015</v>
      </c>
      <c r="AU355">
        <v>354</v>
      </c>
      <c r="AV355" t="s">
        <v>3740</v>
      </c>
      <c r="AW355" t="s">
        <v>2279</v>
      </c>
      <c r="AX355">
        <f t="shared" si="22"/>
        <v>8</v>
      </c>
      <c r="AY355" s="30" t="s">
        <v>3741</v>
      </c>
      <c r="BC355" s="3" t="s">
        <v>7010</v>
      </c>
      <c r="BD355" s="3" t="s">
        <v>7010</v>
      </c>
      <c r="BE355" s="3" t="s">
        <v>7010</v>
      </c>
      <c r="BF355" s="3" t="s">
        <v>7010</v>
      </c>
      <c r="BG355" s="3" t="s">
        <v>7010</v>
      </c>
      <c r="BH355" s="3" t="s">
        <v>7010</v>
      </c>
      <c r="BI355" s="3" t="s">
        <v>7010</v>
      </c>
      <c r="BJ355" s="3" t="s">
        <v>7010</v>
      </c>
      <c r="BK355" s="74" t="str">
        <f t="shared" si="23"/>
        <v>No</v>
      </c>
    </row>
    <row r="356" spans="7:63">
      <c r="G356">
        <v>355</v>
      </c>
      <c r="H356" s="7" t="s">
        <v>1350</v>
      </c>
      <c r="I356" t="s">
        <v>29</v>
      </c>
      <c r="J356">
        <f>LEN(H356)</f>
        <v>9</v>
      </c>
      <c r="K356" s="49" t="s">
        <v>4590</v>
      </c>
      <c r="O356" s="3" t="s">
        <v>7010</v>
      </c>
      <c r="P356" s="3" t="s">
        <v>7010</v>
      </c>
      <c r="Q356" s="3" t="s">
        <v>7010</v>
      </c>
      <c r="R356" s="3" t="s">
        <v>7010</v>
      </c>
      <c r="S356" s="3" t="s">
        <v>7010</v>
      </c>
      <c r="T356" s="3" t="s">
        <v>7010</v>
      </c>
      <c r="U356" s="3" t="s">
        <v>7010</v>
      </c>
      <c r="V356" s="3" t="s">
        <v>7010</v>
      </c>
      <c r="W356" s="74" t="str">
        <f t="shared" si="21"/>
        <v>No</v>
      </c>
      <c r="Z356">
        <v>355</v>
      </c>
      <c r="AA356" s="55" t="s">
        <v>3743</v>
      </c>
      <c r="AC356">
        <f t="shared" si="20"/>
        <v>7</v>
      </c>
      <c r="AD356" s="30" t="s">
        <v>3744</v>
      </c>
      <c r="AF356" t="s">
        <v>7771</v>
      </c>
      <c r="AH356" s="3" t="s">
        <v>7015</v>
      </c>
      <c r="AI356" s="3" t="s">
        <v>7010</v>
      </c>
      <c r="AJ356" s="3" t="s">
        <v>7010</v>
      </c>
      <c r="AK356" s="3" t="s">
        <v>7015</v>
      </c>
      <c r="AL356" s="3" t="s">
        <v>7010</v>
      </c>
      <c r="AM356" s="3" t="s">
        <v>7010</v>
      </c>
      <c r="AN356" s="3" t="s">
        <v>7010</v>
      </c>
      <c r="AO356" s="3" t="s">
        <v>7010</v>
      </c>
      <c r="AP356" s="74" t="s">
        <v>7015</v>
      </c>
      <c r="AU356">
        <v>355</v>
      </c>
      <c r="AV356" t="s">
        <v>3745</v>
      </c>
      <c r="AW356" t="s">
        <v>2279</v>
      </c>
      <c r="AX356">
        <f t="shared" si="22"/>
        <v>8</v>
      </c>
      <c r="AY356" s="30" t="s">
        <v>3746</v>
      </c>
      <c r="BC356" s="3" t="s">
        <v>7010</v>
      </c>
      <c r="BD356" s="3" t="s">
        <v>7010</v>
      </c>
      <c r="BE356" s="3" t="s">
        <v>7010</v>
      </c>
      <c r="BF356" s="3" t="s">
        <v>7010</v>
      </c>
      <c r="BG356" s="3" t="s">
        <v>7010</v>
      </c>
      <c r="BH356" s="3" t="s">
        <v>7010</v>
      </c>
      <c r="BI356" s="3" t="s">
        <v>7010</v>
      </c>
      <c r="BJ356" s="3" t="s">
        <v>7010</v>
      </c>
      <c r="BK356" s="74" t="str">
        <f t="shared" si="23"/>
        <v>No</v>
      </c>
    </row>
    <row r="357" spans="7:63">
      <c r="G357">
        <v>356</v>
      </c>
      <c r="H357" s="7" t="s">
        <v>1620</v>
      </c>
      <c r="I357" t="s">
        <v>29</v>
      </c>
      <c r="J357">
        <f>LEN(H357)</f>
        <v>11</v>
      </c>
      <c r="K357" s="49" t="s">
        <v>5279</v>
      </c>
      <c r="O357" s="3" t="s">
        <v>7010</v>
      </c>
      <c r="P357" s="3" t="s">
        <v>7010</v>
      </c>
      <c r="Q357" s="3" t="s">
        <v>7010</v>
      </c>
      <c r="R357" s="3" t="s">
        <v>7010</v>
      </c>
      <c r="S357" s="3" t="s">
        <v>7010</v>
      </c>
      <c r="T357" s="3" t="s">
        <v>7010</v>
      </c>
      <c r="U357" s="3" t="s">
        <v>7010</v>
      </c>
      <c r="V357" s="3" t="s">
        <v>7010</v>
      </c>
      <c r="W357" s="74" t="str">
        <f t="shared" si="21"/>
        <v>No</v>
      </c>
      <c r="Z357">
        <v>356</v>
      </c>
      <c r="AA357" s="55" t="s">
        <v>3748</v>
      </c>
      <c r="AC357">
        <f t="shared" si="20"/>
        <v>7</v>
      </c>
      <c r="AD357" s="30" t="s">
        <v>3749</v>
      </c>
      <c r="AF357" t="s">
        <v>7772</v>
      </c>
      <c r="AH357" s="3" t="s">
        <v>7015</v>
      </c>
      <c r="AI357" s="3" t="s">
        <v>7010</v>
      </c>
      <c r="AJ357" s="3" t="s">
        <v>7010</v>
      </c>
      <c r="AK357" s="3" t="s">
        <v>7015</v>
      </c>
      <c r="AL357" s="3" t="s">
        <v>7010</v>
      </c>
      <c r="AM357" s="3" t="s">
        <v>7010</v>
      </c>
      <c r="AN357" s="3" t="s">
        <v>7010</v>
      </c>
      <c r="AO357" s="3" t="s">
        <v>7010</v>
      </c>
      <c r="AP357" s="74" t="s">
        <v>7015</v>
      </c>
      <c r="AU357">
        <v>356</v>
      </c>
      <c r="AV357" t="s">
        <v>3750</v>
      </c>
      <c r="AW357" t="s">
        <v>2279</v>
      </c>
      <c r="AX357">
        <f t="shared" si="22"/>
        <v>9</v>
      </c>
      <c r="AY357" s="30" t="s">
        <v>3751</v>
      </c>
      <c r="BC357" s="3" t="s">
        <v>7010</v>
      </c>
      <c r="BD357" s="3" t="s">
        <v>7010</v>
      </c>
      <c r="BE357" s="3" t="s">
        <v>7015</v>
      </c>
      <c r="BF357" s="3" t="s">
        <v>7010</v>
      </c>
      <c r="BG357" s="3" t="s">
        <v>7010</v>
      </c>
      <c r="BH357" s="3" t="s">
        <v>7010</v>
      </c>
      <c r="BI357" s="3" t="s">
        <v>7010</v>
      </c>
      <c r="BJ357" s="3" t="s">
        <v>7010</v>
      </c>
      <c r="BK357" s="74" t="str">
        <f t="shared" si="23"/>
        <v>Yes</v>
      </c>
    </row>
    <row r="358" spans="7:63">
      <c r="G358">
        <v>357</v>
      </c>
      <c r="H358" s="7" t="s">
        <v>1240</v>
      </c>
      <c r="I358" t="s">
        <v>29</v>
      </c>
      <c r="J358">
        <f>LEN(H358)</f>
        <v>9</v>
      </c>
      <c r="K358" s="49" t="s">
        <v>4315</v>
      </c>
      <c r="O358" s="3" t="s">
        <v>7010</v>
      </c>
      <c r="P358" s="3" t="s">
        <v>7010</v>
      </c>
      <c r="Q358" s="3" t="s">
        <v>7010</v>
      </c>
      <c r="R358" s="3" t="s">
        <v>7010</v>
      </c>
      <c r="S358" s="3" t="s">
        <v>7010</v>
      </c>
      <c r="T358" s="3" t="s">
        <v>7010</v>
      </c>
      <c r="U358" s="3" t="s">
        <v>7010</v>
      </c>
      <c r="V358" s="3" t="s">
        <v>7010</v>
      </c>
      <c r="W358" s="74" t="str">
        <f t="shared" si="21"/>
        <v>No</v>
      </c>
      <c r="Z358">
        <v>357</v>
      </c>
      <c r="AA358" s="55" t="s">
        <v>3753</v>
      </c>
      <c r="AC358">
        <f t="shared" si="20"/>
        <v>6</v>
      </c>
      <c r="AD358" s="30" t="s">
        <v>3754</v>
      </c>
      <c r="AF358" t="s">
        <v>7773</v>
      </c>
      <c r="AH358" s="3" t="s">
        <v>7015</v>
      </c>
      <c r="AI358" s="3" t="s">
        <v>7010</v>
      </c>
      <c r="AJ358" s="3" t="s">
        <v>7010</v>
      </c>
      <c r="AK358" s="3" t="s">
        <v>7015</v>
      </c>
      <c r="AL358" s="3" t="s">
        <v>7010</v>
      </c>
      <c r="AM358" s="3" t="s">
        <v>7010</v>
      </c>
      <c r="AN358" s="3" t="s">
        <v>7010</v>
      </c>
      <c r="AO358" s="3" t="s">
        <v>7010</v>
      </c>
      <c r="AP358" s="74" t="s">
        <v>7015</v>
      </c>
      <c r="AU358">
        <v>357</v>
      </c>
      <c r="AV358" t="s">
        <v>3755</v>
      </c>
      <c r="AW358" t="s">
        <v>2279</v>
      </c>
      <c r="AX358">
        <f t="shared" si="22"/>
        <v>15</v>
      </c>
      <c r="AY358" s="30" t="s">
        <v>3756</v>
      </c>
      <c r="BC358" s="3" t="s">
        <v>7015</v>
      </c>
      <c r="BD358" s="3" t="s">
        <v>7010</v>
      </c>
      <c r="BE358" s="3" t="s">
        <v>7010</v>
      </c>
      <c r="BF358" s="3" t="s">
        <v>7010</v>
      </c>
      <c r="BG358" s="3" t="s">
        <v>7010</v>
      </c>
      <c r="BH358" s="3" t="s">
        <v>7010</v>
      </c>
      <c r="BI358" s="3" t="s">
        <v>7010</v>
      </c>
      <c r="BJ358" s="3" t="s">
        <v>7010</v>
      </c>
      <c r="BK358" s="74" t="str">
        <f t="shared" si="23"/>
        <v>Yes</v>
      </c>
    </row>
    <row r="359" spans="7:63">
      <c r="G359">
        <v>358</v>
      </c>
      <c r="H359" s="7" t="s">
        <v>1937</v>
      </c>
      <c r="I359" t="s">
        <v>29</v>
      </c>
      <c r="J359">
        <f>LEN(H359)</f>
        <v>9</v>
      </c>
      <c r="K359" s="49" t="s">
        <v>6160</v>
      </c>
      <c r="O359" s="3" t="s">
        <v>7010</v>
      </c>
      <c r="P359" s="3" t="s">
        <v>7010</v>
      </c>
      <c r="Q359" s="3" t="s">
        <v>7010</v>
      </c>
      <c r="R359" s="3" t="s">
        <v>7010</v>
      </c>
      <c r="S359" s="3" t="s">
        <v>7010</v>
      </c>
      <c r="T359" s="3" t="s">
        <v>7015</v>
      </c>
      <c r="U359" s="3" t="s">
        <v>7010</v>
      </c>
      <c r="V359" s="3" t="s">
        <v>7010</v>
      </c>
      <c r="W359" s="74" t="str">
        <f t="shared" si="21"/>
        <v>Yes</v>
      </c>
      <c r="Z359">
        <v>358</v>
      </c>
      <c r="AA359" s="55" t="s">
        <v>3758</v>
      </c>
      <c r="AC359">
        <f t="shared" si="20"/>
        <v>8</v>
      </c>
      <c r="AD359" s="30" t="s">
        <v>3759</v>
      </c>
      <c r="AF359" t="s">
        <v>7774</v>
      </c>
      <c r="AH359" s="3" t="s">
        <v>7015</v>
      </c>
      <c r="AI359" s="3" t="s">
        <v>7010</v>
      </c>
      <c r="AJ359" s="3" t="s">
        <v>7010</v>
      </c>
      <c r="AK359" s="3" t="s">
        <v>7015</v>
      </c>
      <c r="AL359" s="3" t="s">
        <v>7010</v>
      </c>
      <c r="AM359" s="3" t="s">
        <v>7010</v>
      </c>
      <c r="AN359" s="3" t="s">
        <v>7010</v>
      </c>
      <c r="AO359" s="3" t="s">
        <v>7010</v>
      </c>
      <c r="AP359" s="74" t="s">
        <v>7015</v>
      </c>
      <c r="AU359">
        <v>358</v>
      </c>
      <c r="AV359" t="s">
        <v>3760</v>
      </c>
      <c r="AW359" t="s">
        <v>2279</v>
      </c>
      <c r="AX359">
        <f t="shared" si="22"/>
        <v>8</v>
      </c>
      <c r="AY359" s="30" t="s">
        <v>3761</v>
      </c>
      <c r="BC359" s="3" t="s">
        <v>7010</v>
      </c>
      <c r="BD359" s="3" t="s">
        <v>7010</v>
      </c>
      <c r="BE359" s="3" t="s">
        <v>7010</v>
      </c>
      <c r="BF359" s="3" t="s">
        <v>7010</v>
      </c>
      <c r="BG359" s="3" t="s">
        <v>7010</v>
      </c>
      <c r="BH359" s="3" t="s">
        <v>7010</v>
      </c>
      <c r="BI359" s="3" t="s">
        <v>7010</v>
      </c>
      <c r="BJ359" s="3" t="s">
        <v>7010</v>
      </c>
      <c r="BK359" s="74" t="str">
        <f t="shared" si="23"/>
        <v>No</v>
      </c>
    </row>
    <row r="360" spans="7:63">
      <c r="G360">
        <v>359</v>
      </c>
      <c r="H360" s="7" t="s">
        <v>1939</v>
      </c>
      <c r="I360" t="s">
        <v>29</v>
      </c>
      <c r="J360">
        <f>LEN(H360)</f>
        <v>7</v>
      </c>
      <c r="K360" s="49" t="s">
        <v>6165</v>
      </c>
      <c r="O360" s="3" t="s">
        <v>7010</v>
      </c>
      <c r="P360" s="3" t="s">
        <v>7010</v>
      </c>
      <c r="Q360" s="3" t="s">
        <v>7010</v>
      </c>
      <c r="R360" s="3" t="s">
        <v>7010</v>
      </c>
      <c r="S360" s="3" t="s">
        <v>7010</v>
      </c>
      <c r="T360" s="3" t="s">
        <v>7015</v>
      </c>
      <c r="U360" s="3" t="s">
        <v>7010</v>
      </c>
      <c r="V360" s="3" t="s">
        <v>7010</v>
      </c>
      <c r="W360" s="74" t="str">
        <f t="shared" si="21"/>
        <v>Yes</v>
      </c>
      <c r="Z360">
        <v>359</v>
      </c>
      <c r="AA360" s="55" t="s">
        <v>3763</v>
      </c>
      <c r="AC360">
        <f t="shared" si="20"/>
        <v>6</v>
      </c>
      <c r="AD360" s="30" t="s">
        <v>3764</v>
      </c>
      <c r="AF360" t="s">
        <v>7775</v>
      </c>
      <c r="AH360" s="3" t="s">
        <v>7015</v>
      </c>
      <c r="AI360" s="3" t="s">
        <v>7010</v>
      </c>
      <c r="AJ360" s="3" t="s">
        <v>7010</v>
      </c>
      <c r="AK360" s="3" t="s">
        <v>7015</v>
      </c>
      <c r="AL360" s="3" t="s">
        <v>7010</v>
      </c>
      <c r="AM360" s="3" t="s">
        <v>7010</v>
      </c>
      <c r="AN360" s="3" t="s">
        <v>7010</v>
      </c>
      <c r="AO360" s="3" t="s">
        <v>7010</v>
      </c>
      <c r="AP360" s="74" t="s">
        <v>7015</v>
      </c>
      <c r="AU360">
        <v>359</v>
      </c>
      <c r="AV360" t="s">
        <v>3765</v>
      </c>
      <c r="AW360" t="s">
        <v>2279</v>
      </c>
      <c r="AX360">
        <f t="shared" si="22"/>
        <v>9</v>
      </c>
      <c r="AY360" s="30" t="s">
        <v>3766</v>
      </c>
      <c r="BC360" s="3" t="s">
        <v>7015</v>
      </c>
      <c r="BD360" s="3" t="s">
        <v>7010</v>
      </c>
      <c r="BE360" s="3" t="s">
        <v>7015</v>
      </c>
      <c r="BF360" s="3" t="s">
        <v>7010</v>
      </c>
      <c r="BG360" s="3" t="s">
        <v>7010</v>
      </c>
      <c r="BH360" s="3" t="s">
        <v>7010</v>
      </c>
      <c r="BI360" s="3" t="s">
        <v>7010</v>
      </c>
      <c r="BJ360" s="3" t="s">
        <v>7010</v>
      </c>
      <c r="BK360" s="74" t="str">
        <f t="shared" si="23"/>
        <v>Yes</v>
      </c>
    </row>
    <row r="361" spans="7:63">
      <c r="G361">
        <v>360</v>
      </c>
      <c r="H361" s="7" t="s">
        <v>1987</v>
      </c>
      <c r="I361" t="s">
        <v>29</v>
      </c>
      <c r="J361">
        <f>LEN(H361)</f>
        <v>13</v>
      </c>
      <c r="K361" s="49" t="s">
        <v>6292</v>
      </c>
      <c r="O361" s="3" t="s">
        <v>7010</v>
      </c>
      <c r="P361" s="3" t="s">
        <v>7010</v>
      </c>
      <c r="Q361" s="3" t="s">
        <v>7010</v>
      </c>
      <c r="R361" s="3" t="s">
        <v>7015</v>
      </c>
      <c r="S361" s="3" t="s">
        <v>7010</v>
      </c>
      <c r="T361" s="3" t="s">
        <v>7015</v>
      </c>
      <c r="U361" s="3" t="s">
        <v>7010</v>
      </c>
      <c r="V361" s="3" t="s">
        <v>7010</v>
      </c>
      <c r="W361" s="74" t="str">
        <f t="shared" si="21"/>
        <v>Yes</v>
      </c>
      <c r="Z361">
        <v>360</v>
      </c>
      <c r="AA361" s="55" t="s">
        <v>3768</v>
      </c>
      <c r="AC361">
        <f t="shared" si="20"/>
        <v>7</v>
      </c>
      <c r="AD361" s="30" t="s">
        <v>3769</v>
      </c>
      <c r="AF361" s="54" t="s">
        <v>7776</v>
      </c>
      <c r="AH361" s="3" t="s">
        <v>7015</v>
      </c>
      <c r="AI361" s="3" t="s">
        <v>7010</v>
      </c>
      <c r="AJ361" s="3" t="s">
        <v>7010</v>
      </c>
      <c r="AK361" s="3" t="s">
        <v>7015</v>
      </c>
      <c r="AL361" s="3" t="s">
        <v>7010</v>
      </c>
      <c r="AM361" s="3" t="s">
        <v>7010</v>
      </c>
      <c r="AN361" s="3" t="s">
        <v>7010</v>
      </c>
      <c r="AO361" s="3" t="s">
        <v>7010</v>
      </c>
      <c r="AP361" s="74" t="s">
        <v>7015</v>
      </c>
      <c r="AU361">
        <v>360</v>
      </c>
      <c r="AV361" t="s">
        <v>3770</v>
      </c>
      <c r="AW361" t="s">
        <v>2279</v>
      </c>
      <c r="AX361">
        <f t="shared" si="22"/>
        <v>9</v>
      </c>
      <c r="AY361" s="30" t="s">
        <v>3771</v>
      </c>
      <c r="BC361" s="3" t="s">
        <v>7010</v>
      </c>
      <c r="BD361" s="3" t="s">
        <v>7010</v>
      </c>
      <c r="BE361" s="3" t="s">
        <v>7010</v>
      </c>
      <c r="BF361" s="3" t="s">
        <v>7010</v>
      </c>
      <c r="BG361" s="3" t="s">
        <v>7010</v>
      </c>
      <c r="BH361" s="3" t="s">
        <v>7010</v>
      </c>
      <c r="BI361" s="3" t="s">
        <v>7010</v>
      </c>
      <c r="BJ361" s="3" t="s">
        <v>7010</v>
      </c>
      <c r="BK361" s="74" t="str">
        <f t="shared" si="23"/>
        <v>No</v>
      </c>
    </row>
    <row r="362" spans="7:63">
      <c r="G362">
        <v>361</v>
      </c>
      <c r="H362" s="7" t="s">
        <v>1864</v>
      </c>
      <c r="I362" t="s">
        <v>29</v>
      </c>
      <c r="J362">
        <f>LEN(H362)</f>
        <v>13</v>
      </c>
      <c r="K362" s="49" t="s">
        <v>5966</v>
      </c>
      <c r="O362" s="3" t="s">
        <v>7010</v>
      </c>
      <c r="P362" s="3" t="s">
        <v>7010</v>
      </c>
      <c r="Q362" s="3" t="s">
        <v>7010</v>
      </c>
      <c r="R362" s="3" t="s">
        <v>7010</v>
      </c>
      <c r="S362" s="3" t="s">
        <v>7010</v>
      </c>
      <c r="T362" s="3" t="s">
        <v>7010</v>
      </c>
      <c r="U362" s="3" t="s">
        <v>7010</v>
      </c>
      <c r="V362" s="3" t="s">
        <v>7010</v>
      </c>
      <c r="W362" s="74" t="str">
        <f t="shared" si="21"/>
        <v>No</v>
      </c>
      <c r="Z362">
        <v>361</v>
      </c>
      <c r="AA362" s="55" t="s">
        <v>3773</v>
      </c>
      <c r="AC362">
        <f t="shared" si="20"/>
        <v>7</v>
      </c>
      <c r="AD362" s="30" t="s">
        <v>3774</v>
      </c>
      <c r="AF362" t="s">
        <v>7777</v>
      </c>
      <c r="AH362" s="3" t="s">
        <v>7015</v>
      </c>
      <c r="AI362" s="3" t="s">
        <v>7010</v>
      </c>
      <c r="AJ362" s="3" t="s">
        <v>7010</v>
      </c>
      <c r="AK362" s="3" t="s">
        <v>7015</v>
      </c>
      <c r="AL362" s="3" t="s">
        <v>7010</v>
      </c>
      <c r="AM362" s="3" t="s">
        <v>7010</v>
      </c>
      <c r="AN362" s="3" t="s">
        <v>7010</v>
      </c>
      <c r="AO362" s="3" t="s">
        <v>7010</v>
      </c>
      <c r="AP362" s="74" t="s">
        <v>7015</v>
      </c>
      <c r="AU362">
        <v>361</v>
      </c>
      <c r="AV362" t="s">
        <v>3775</v>
      </c>
      <c r="AW362" t="s">
        <v>2279</v>
      </c>
      <c r="AX362">
        <f t="shared" si="22"/>
        <v>9</v>
      </c>
      <c r="AY362" s="30" t="s">
        <v>3776</v>
      </c>
      <c r="BC362" s="3" t="s">
        <v>7010</v>
      </c>
      <c r="BD362" s="3" t="s">
        <v>7010</v>
      </c>
      <c r="BE362" s="3" t="s">
        <v>7010</v>
      </c>
      <c r="BF362" s="3" t="s">
        <v>7010</v>
      </c>
      <c r="BG362" s="3" t="s">
        <v>7010</v>
      </c>
      <c r="BH362" s="3" t="s">
        <v>7010</v>
      </c>
      <c r="BI362" s="3" t="s">
        <v>7010</v>
      </c>
      <c r="BJ362" s="3" t="s">
        <v>7010</v>
      </c>
      <c r="BK362" s="74" t="str">
        <f t="shared" si="23"/>
        <v>No</v>
      </c>
    </row>
    <row r="363" spans="7:63">
      <c r="G363">
        <v>362</v>
      </c>
      <c r="H363" s="7" t="s">
        <v>525</v>
      </c>
      <c r="I363" t="s">
        <v>29</v>
      </c>
      <c r="J363">
        <f>LEN(H363)</f>
        <v>14</v>
      </c>
      <c r="K363" s="49" t="s">
        <v>3017</v>
      </c>
      <c r="O363" s="3" t="s">
        <v>7010</v>
      </c>
      <c r="P363" s="3" t="s">
        <v>7010</v>
      </c>
      <c r="Q363" s="3" t="s">
        <v>7010</v>
      </c>
      <c r="R363" s="3" t="s">
        <v>7010</v>
      </c>
      <c r="S363" s="3" t="s">
        <v>7010</v>
      </c>
      <c r="T363" s="3" t="s">
        <v>7010</v>
      </c>
      <c r="U363" s="3" t="s">
        <v>7010</v>
      </c>
      <c r="V363" s="3" t="s">
        <v>7010</v>
      </c>
      <c r="W363" s="74" t="str">
        <f t="shared" si="21"/>
        <v>No</v>
      </c>
      <c r="Z363">
        <v>362</v>
      </c>
      <c r="AA363" s="55" t="s">
        <v>3778</v>
      </c>
      <c r="AC363">
        <f t="shared" si="20"/>
        <v>7</v>
      </c>
      <c r="AD363" s="30" t="s">
        <v>3779</v>
      </c>
      <c r="AF363" t="s">
        <v>7778</v>
      </c>
      <c r="AH363" s="3" t="s">
        <v>7015</v>
      </c>
      <c r="AI363" s="3" t="s">
        <v>7010</v>
      </c>
      <c r="AJ363" s="3" t="s">
        <v>7010</v>
      </c>
      <c r="AK363" s="3" t="s">
        <v>7015</v>
      </c>
      <c r="AL363" s="3" t="s">
        <v>7010</v>
      </c>
      <c r="AM363" s="3" t="s">
        <v>7010</v>
      </c>
      <c r="AN363" s="3" t="s">
        <v>7010</v>
      </c>
      <c r="AO363" s="3" t="s">
        <v>7010</v>
      </c>
      <c r="AP363" s="74" t="s">
        <v>7015</v>
      </c>
      <c r="AU363">
        <v>362</v>
      </c>
      <c r="AV363" t="s">
        <v>3780</v>
      </c>
      <c r="AW363" t="s">
        <v>2279</v>
      </c>
      <c r="AX363">
        <f t="shared" si="22"/>
        <v>14</v>
      </c>
      <c r="AY363" s="30" t="s">
        <v>3781</v>
      </c>
      <c r="BC363" s="3" t="s">
        <v>7010</v>
      </c>
      <c r="BD363" s="3" t="s">
        <v>7010</v>
      </c>
      <c r="BE363" s="3" t="s">
        <v>7010</v>
      </c>
      <c r="BF363" s="3" t="s">
        <v>7010</v>
      </c>
      <c r="BG363" s="3" t="s">
        <v>7010</v>
      </c>
      <c r="BH363" s="3" t="s">
        <v>7010</v>
      </c>
      <c r="BI363" s="3" t="s">
        <v>7010</v>
      </c>
      <c r="BJ363" s="3" t="s">
        <v>7010</v>
      </c>
      <c r="BK363" s="74" t="str">
        <f t="shared" si="23"/>
        <v>No</v>
      </c>
    </row>
    <row r="364" spans="7:63">
      <c r="G364">
        <v>363</v>
      </c>
      <c r="H364" s="7" t="s">
        <v>1874</v>
      </c>
      <c r="I364" t="s">
        <v>29</v>
      </c>
      <c r="J364">
        <f>LEN(H364)</f>
        <v>11</v>
      </c>
      <c r="K364" s="49" t="s">
        <v>5989</v>
      </c>
      <c r="O364" s="3" t="s">
        <v>7010</v>
      </c>
      <c r="P364" s="3" t="s">
        <v>7010</v>
      </c>
      <c r="Q364" s="3" t="s">
        <v>7010</v>
      </c>
      <c r="R364" s="3" t="s">
        <v>7015</v>
      </c>
      <c r="S364" s="3" t="s">
        <v>7010</v>
      </c>
      <c r="T364" s="3" t="s">
        <v>7015</v>
      </c>
      <c r="U364" s="3" t="s">
        <v>7010</v>
      </c>
      <c r="V364" s="3" t="s">
        <v>7010</v>
      </c>
      <c r="W364" s="74" t="str">
        <f t="shared" si="21"/>
        <v>Yes</v>
      </c>
      <c r="Z364">
        <v>363</v>
      </c>
      <c r="AA364" s="55" t="s">
        <v>3783</v>
      </c>
      <c r="AC364">
        <f t="shared" si="20"/>
        <v>6</v>
      </c>
      <c r="AD364" s="30" t="s">
        <v>3784</v>
      </c>
      <c r="AF364" t="s">
        <v>7779</v>
      </c>
      <c r="AH364" s="3" t="s">
        <v>7015</v>
      </c>
      <c r="AI364" s="3" t="s">
        <v>7010</v>
      </c>
      <c r="AJ364" s="3" t="s">
        <v>7010</v>
      </c>
      <c r="AK364" s="3" t="s">
        <v>7015</v>
      </c>
      <c r="AL364" s="3" t="s">
        <v>7010</v>
      </c>
      <c r="AM364" s="3" t="s">
        <v>7010</v>
      </c>
      <c r="AN364" s="3" t="s">
        <v>7010</v>
      </c>
      <c r="AO364" s="3" t="s">
        <v>7010</v>
      </c>
      <c r="AP364" s="74" t="s">
        <v>7015</v>
      </c>
      <c r="AU364">
        <v>363</v>
      </c>
      <c r="AV364" t="s">
        <v>3785</v>
      </c>
      <c r="AW364" t="s">
        <v>2279</v>
      </c>
      <c r="AX364">
        <f t="shared" si="22"/>
        <v>8</v>
      </c>
      <c r="AY364" s="30" t="s">
        <v>3786</v>
      </c>
      <c r="BC364" s="3" t="s">
        <v>7010</v>
      </c>
      <c r="BD364" s="3" t="s">
        <v>7010</v>
      </c>
      <c r="BE364" s="3" t="s">
        <v>7010</v>
      </c>
      <c r="BF364" s="3" t="s">
        <v>7010</v>
      </c>
      <c r="BG364" s="3" t="s">
        <v>7010</v>
      </c>
      <c r="BH364" s="3" t="s">
        <v>7010</v>
      </c>
      <c r="BI364" s="3" t="s">
        <v>7010</v>
      </c>
      <c r="BJ364" s="3" t="s">
        <v>7010</v>
      </c>
      <c r="BK364" s="74" t="str">
        <f t="shared" si="23"/>
        <v>No</v>
      </c>
    </row>
    <row r="365" spans="7:63">
      <c r="G365">
        <v>364</v>
      </c>
      <c r="H365" s="7" t="s">
        <v>1983</v>
      </c>
      <c r="I365" t="s">
        <v>29</v>
      </c>
      <c r="J365">
        <f>LEN(H365)</f>
        <v>9</v>
      </c>
      <c r="K365" s="49" t="s">
        <v>6282</v>
      </c>
      <c r="O365" s="3" t="s">
        <v>7010</v>
      </c>
      <c r="P365" s="3" t="s">
        <v>7010</v>
      </c>
      <c r="Q365" s="3" t="s">
        <v>7010</v>
      </c>
      <c r="R365" s="3" t="s">
        <v>7015</v>
      </c>
      <c r="S365" s="3" t="s">
        <v>7010</v>
      </c>
      <c r="T365" s="3" t="s">
        <v>7015</v>
      </c>
      <c r="U365" s="3" t="s">
        <v>7010</v>
      </c>
      <c r="V365" s="3" t="s">
        <v>7010</v>
      </c>
      <c r="W365" s="74" t="str">
        <f t="shared" si="21"/>
        <v>Yes</v>
      </c>
      <c r="Z365">
        <v>364</v>
      </c>
      <c r="AA365" s="55" t="s">
        <v>3788</v>
      </c>
      <c r="AC365">
        <f t="shared" si="20"/>
        <v>8</v>
      </c>
      <c r="AD365" s="30" t="s">
        <v>3789</v>
      </c>
      <c r="AF365" t="s">
        <v>7780</v>
      </c>
      <c r="AH365" s="3" t="s">
        <v>7015</v>
      </c>
      <c r="AI365" s="3" t="s">
        <v>7010</v>
      </c>
      <c r="AJ365" s="3" t="s">
        <v>7010</v>
      </c>
      <c r="AK365" s="3" t="s">
        <v>7015</v>
      </c>
      <c r="AL365" s="3" t="s">
        <v>7010</v>
      </c>
      <c r="AM365" s="3" t="s">
        <v>7010</v>
      </c>
      <c r="AN365" s="3" t="s">
        <v>7010</v>
      </c>
      <c r="AO365" s="3" t="s">
        <v>7010</v>
      </c>
      <c r="AP365" s="74" t="s">
        <v>7015</v>
      </c>
      <c r="AU365">
        <v>364</v>
      </c>
      <c r="AV365" t="s">
        <v>3790</v>
      </c>
      <c r="AW365" t="s">
        <v>2279</v>
      </c>
      <c r="AX365">
        <f t="shared" si="22"/>
        <v>9</v>
      </c>
      <c r="AY365" s="30" t="s">
        <v>3791</v>
      </c>
      <c r="BC365" s="3" t="s">
        <v>7010</v>
      </c>
      <c r="BD365" s="3" t="s">
        <v>7010</v>
      </c>
      <c r="BE365" s="3" t="s">
        <v>7015</v>
      </c>
      <c r="BF365" s="3" t="s">
        <v>7010</v>
      </c>
      <c r="BG365" s="3" t="s">
        <v>7010</v>
      </c>
      <c r="BH365" s="3" t="s">
        <v>7010</v>
      </c>
      <c r="BI365" s="3" t="s">
        <v>7010</v>
      </c>
      <c r="BJ365" s="3" t="s">
        <v>7010</v>
      </c>
      <c r="BK365" s="74" t="str">
        <f t="shared" si="23"/>
        <v>Yes</v>
      </c>
    </row>
    <row r="366" spans="7:63">
      <c r="G366">
        <v>365</v>
      </c>
      <c r="H366" s="7" t="s">
        <v>1854</v>
      </c>
      <c r="I366" t="s">
        <v>29</v>
      </c>
      <c r="J366">
        <f>LEN(H366)</f>
        <v>15</v>
      </c>
      <c r="K366" s="49" t="s">
        <v>5941</v>
      </c>
      <c r="O366" s="3" t="s">
        <v>7010</v>
      </c>
      <c r="P366" s="3" t="s">
        <v>7010</v>
      </c>
      <c r="Q366" s="3" t="s">
        <v>7010</v>
      </c>
      <c r="R366" s="3" t="s">
        <v>7010</v>
      </c>
      <c r="S366" s="3" t="s">
        <v>7010</v>
      </c>
      <c r="T366" s="3" t="s">
        <v>7010</v>
      </c>
      <c r="U366" s="3" t="s">
        <v>7010</v>
      </c>
      <c r="V366" s="3" t="s">
        <v>7010</v>
      </c>
      <c r="W366" s="74" t="str">
        <f t="shared" si="21"/>
        <v>No</v>
      </c>
      <c r="Z366">
        <v>365</v>
      </c>
      <c r="AA366" s="55" t="s">
        <v>3793</v>
      </c>
      <c r="AC366">
        <f t="shared" si="20"/>
        <v>8</v>
      </c>
      <c r="AD366" s="30" t="s">
        <v>3794</v>
      </c>
      <c r="AF366" t="s">
        <v>7781</v>
      </c>
      <c r="AH366" s="3" t="s">
        <v>7015</v>
      </c>
      <c r="AI366" s="3" t="s">
        <v>7010</v>
      </c>
      <c r="AJ366" s="3" t="s">
        <v>7010</v>
      </c>
      <c r="AK366" s="3" t="s">
        <v>7015</v>
      </c>
      <c r="AL366" s="3" t="s">
        <v>7010</v>
      </c>
      <c r="AM366" s="3" t="s">
        <v>7010</v>
      </c>
      <c r="AN366" s="3" t="s">
        <v>7010</v>
      </c>
      <c r="AO366" s="3" t="s">
        <v>7010</v>
      </c>
      <c r="AP366" s="74" t="s">
        <v>7015</v>
      </c>
      <c r="AU366">
        <v>365</v>
      </c>
      <c r="AV366" t="s">
        <v>3795</v>
      </c>
      <c r="AW366" t="s">
        <v>2279</v>
      </c>
      <c r="AX366">
        <f t="shared" si="22"/>
        <v>10</v>
      </c>
      <c r="AY366" s="30" t="s">
        <v>3796</v>
      </c>
      <c r="BC366" s="3" t="s">
        <v>7015</v>
      </c>
      <c r="BD366" s="3" t="s">
        <v>7010</v>
      </c>
      <c r="BE366" s="3" t="s">
        <v>7015</v>
      </c>
      <c r="BF366" s="3" t="s">
        <v>7010</v>
      </c>
      <c r="BG366" s="3" t="s">
        <v>7010</v>
      </c>
      <c r="BH366" s="3" t="s">
        <v>7010</v>
      </c>
      <c r="BI366" s="3" t="s">
        <v>7010</v>
      </c>
      <c r="BJ366" s="3" t="s">
        <v>7010</v>
      </c>
      <c r="BK366" s="74" t="str">
        <f t="shared" si="23"/>
        <v>Yes</v>
      </c>
    </row>
    <row r="367" spans="7:63">
      <c r="G367">
        <v>366</v>
      </c>
      <c r="H367" s="7" t="s">
        <v>6924</v>
      </c>
      <c r="I367" t="s">
        <v>29</v>
      </c>
      <c r="J367">
        <f>LEN(H367)</f>
        <v>12</v>
      </c>
      <c r="K367" s="49" t="s">
        <v>6925</v>
      </c>
      <c r="O367" s="3" t="s">
        <v>7010</v>
      </c>
      <c r="P367" s="3" t="s">
        <v>7010</v>
      </c>
      <c r="Q367" s="3" t="s">
        <v>7010</v>
      </c>
      <c r="R367" s="3" t="s">
        <v>7010</v>
      </c>
      <c r="S367" s="3" t="s">
        <v>7010</v>
      </c>
      <c r="T367" s="3" t="s">
        <v>7015</v>
      </c>
      <c r="U367" s="3" t="s">
        <v>7010</v>
      </c>
      <c r="V367" s="3" t="s">
        <v>7010</v>
      </c>
      <c r="W367" s="74" t="str">
        <f t="shared" si="21"/>
        <v>Yes</v>
      </c>
      <c r="Z367">
        <v>366</v>
      </c>
      <c r="AA367" s="55" t="s">
        <v>3797</v>
      </c>
      <c r="AC367">
        <f t="shared" si="20"/>
        <v>6</v>
      </c>
      <c r="AD367" s="30" t="s">
        <v>3798</v>
      </c>
      <c r="AF367" t="s">
        <v>7782</v>
      </c>
      <c r="AH367" s="3" t="s">
        <v>7015</v>
      </c>
      <c r="AI367" s="3" t="s">
        <v>7010</v>
      </c>
      <c r="AJ367" s="3" t="s">
        <v>7010</v>
      </c>
      <c r="AK367" s="3" t="s">
        <v>7015</v>
      </c>
      <c r="AL367" s="3" t="s">
        <v>7010</v>
      </c>
      <c r="AM367" s="3" t="s">
        <v>7010</v>
      </c>
      <c r="AN367" s="3" t="s">
        <v>7010</v>
      </c>
      <c r="AO367" s="3" t="s">
        <v>7010</v>
      </c>
      <c r="AP367" s="74" t="s">
        <v>7015</v>
      </c>
      <c r="AU367">
        <v>366</v>
      </c>
      <c r="AV367" t="s">
        <v>3799</v>
      </c>
      <c r="AW367" t="s">
        <v>2279</v>
      </c>
      <c r="AX367">
        <f t="shared" si="22"/>
        <v>8</v>
      </c>
      <c r="AY367" s="30" t="s">
        <v>3800</v>
      </c>
      <c r="BC367" s="3" t="s">
        <v>7010</v>
      </c>
      <c r="BD367" s="3" t="s">
        <v>7010</v>
      </c>
      <c r="BE367" s="3" t="s">
        <v>7010</v>
      </c>
      <c r="BF367" s="3" t="s">
        <v>7010</v>
      </c>
      <c r="BG367" s="3" t="s">
        <v>7010</v>
      </c>
      <c r="BH367" s="3" t="s">
        <v>7010</v>
      </c>
      <c r="BI367" s="3" t="s">
        <v>7010</v>
      </c>
      <c r="BJ367" s="3" t="s">
        <v>7010</v>
      </c>
      <c r="BK367" s="74" t="str">
        <f t="shared" si="23"/>
        <v>No</v>
      </c>
    </row>
    <row r="368" spans="7:63">
      <c r="G368">
        <v>367</v>
      </c>
      <c r="H368" s="7" t="s">
        <v>492</v>
      </c>
      <c r="I368" t="s">
        <v>29</v>
      </c>
      <c r="J368">
        <f>LEN(H368)</f>
        <v>14</v>
      </c>
      <c r="K368" s="49" t="s">
        <v>2885</v>
      </c>
      <c r="O368" s="3" t="s">
        <v>7010</v>
      </c>
      <c r="P368" s="3" t="s">
        <v>7010</v>
      </c>
      <c r="Q368" s="3" t="s">
        <v>7010</v>
      </c>
      <c r="R368" s="3" t="s">
        <v>7010</v>
      </c>
      <c r="S368" s="3" t="s">
        <v>7010</v>
      </c>
      <c r="T368" s="3" t="s">
        <v>7010</v>
      </c>
      <c r="U368" s="3" t="s">
        <v>7010</v>
      </c>
      <c r="V368" s="3" t="s">
        <v>7010</v>
      </c>
      <c r="W368" s="74" t="str">
        <f t="shared" si="21"/>
        <v>No</v>
      </c>
      <c r="Z368">
        <v>367</v>
      </c>
      <c r="AA368" s="55" t="s">
        <v>3801</v>
      </c>
      <c r="AC368">
        <f t="shared" si="20"/>
        <v>6</v>
      </c>
      <c r="AD368" s="30" t="s">
        <v>3802</v>
      </c>
      <c r="AF368" t="s">
        <v>7783</v>
      </c>
      <c r="AH368" s="3" t="s">
        <v>7015</v>
      </c>
      <c r="AI368" s="3" t="s">
        <v>7010</v>
      </c>
      <c r="AJ368" s="3" t="s">
        <v>7010</v>
      </c>
      <c r="AK368" s="3" t="s">
        <v>7015</v>
      </c>
      <c r="AL368" s="3" t="s">
        <v>7010</v>
      </c>
      <c r="AM368" s="3" t="s">
        <v>7010</v>
      </c>
      <c r="AN368" s="3" t="s">
        <v>7010</v>
      </c>
      <c r="AO368" s="3" t="s">
        <v>7010</v>
      </c>
      <c r="AP368" s="74" t="s">
        <v>7015</v>
      </c>
      <c r="AU368">
        <v>367</v>
      </c>
      <c r="AV368" t="s">
        <v>3803</v>
      </c>
      <c r="AW368" t="s">
        <v>2279</v>
      </c>
      <c r="AX368">
        <f t="shared" si="22"/>
        <v>11</v>
      </c>
      <c r="AY368" s="30" t="s">
        <v>3804</v>
      </c>
      <c r="BC368" s="3" t="s">
        <v>7010</v>
      </c>
      <c r="BD368" s="3" t="s">
        <v>7010</v>
      </c>
      <c r="BE368" s="3" t="s">
        <v>7010</v>
      </c>
      <c r="BF368" s="3" t="s">
        <v>7010</v>
      </c>
      <c r="BG368" s="3" t="s">
        <v>7010</v>
      </c>
      <c r="BH368" s="3" t="s">
        <v>7010</v>
      </c>
      <c r="BI368" s="3" t="s">
        <v>7010</v>
      </c>
      <c r="BJ368" s="3" t="s">
        <v>7010</v>
      </c>
      <c r="BK368" s="74" t="str">
        <f t="shared" si="23"/>
        <v>No</v>
      </c>
    </row>
    <row r="369" spans="7:63">
      <c r="G369">
        <v>368</v>
      </c>
      <c r="H369" s="7" t="s">
        <v>559</v>
      </c>
      <c r="I369" t="s">
        <v>29</v>
      </c>
      <c r="J369">
        <f>LEN(H369)</f>
        <v>12</v>
      </c>
      <c r="K369" s="49" t="s">
        <v>3153</v>
      </c>
      <c r="O369" s="3" t="s">
        <v>7010</v>
      </c>
      <c r="P369" s="3" t="s">
        <v>7010</v>
      </c>
      <c r="Q369" s="3" t="s">
        <v>7010</v>
      </c>
      <c r="R369" s="3" t="s">
        <v>7010</v>
      </c>
      <c r="S369" s="3" t="s">
        <v>7010</v>
      </c>
      <c r="T369" s="3" t="s">
        <v>7010</v>
      </c>
      <c r="U369" s="3" t="s">
        <v>7010</v>
      </c>
      <c r="V369" s="3" t="s">
        <v>7010</v>
      </c>
      <c r="W369" s="74" t="str">
        <f t="shared" si="21"/>
        <v>No</v>
      </c>
      <c r="Z369">
        <v>368</v>
      </c>
      <c r="AA369" s="55" t="s">
        <v>3806</v>
      </c>
      <c r="AC369">
        <f t="shared" si="20"/>
        <v>8</v>
      </c>
      <c r="AD369" s="30" t="s">
        <v>3807</v>
      </c>
      <c r="AF369" t="s">
        <v>7784</v>
      </c>
      <c r="AH369" s="3" t="s">
        <v>7015</v>
      </c>
      <c r="AI369" s="3" t="s">
        <v>7010</v>
      </c>
      <c r="AJ369" s="3" t="s">
        <v>7010</v>
      </c>
      <c r="AK369" s="3" t="s">
        <v>7015</v>
      </c>
      <c r="AL369" s="3" t="s">
        <v>7010</v>
      </c>
      <c r="AM369" s="3" t="s">
        <v>7010</v>
      </c>
      <c r="AN369" s="3" t="s">
        <v>7010</v>
      </c>
      <c r="AO369" s="3" t="s">
        <v>7010</v>
      </c>
      <c r="AP369" s="74" t="s">
        <v>7015</v>
      </c>
      <c r="AU369">
        <v>368</v>
      </c>
      <c r="AV369" t="s">
        <v>3808</v>
      </c>
      <c r="AW369" t="s">
        <v>2279</v>
      </c>
      <c r="AX369">
        <f t="shared" si="22"/>
        <v>10</v>
      </c>
      <c r="AY369" s="30" t="s">
        <v>3809</v>
      </c>
      <c r="BC369" s="3" t="s">
        <v>7010</v>
      </c>
      <c r="BD369" s="3" t="s">
        <v>7010</v>
      </c>
      <c r="BE369" s="3" t="s">
        <v>7015</v>
      </c>
      <c r="BF369" s="3" t="s">
        <v>7010</v>
      </c>
      <c r="BG369" s="3" t="s">
        <v>7010</v>
      </c>
      <c r="BH369" s="3" t="s">
        <v>7010</v>
      </c>
      <c r="BI369" s="3" t="s">
        <v>7010</v>
      </c>
      <c r="BJ369" s="3" t="s">
        <v>7010</v>
      </c>
      <c r="BK369" s="74" t="str">
        <f t="shared" si="23"/>
        <v>Yes</v>
      </c>
    </row>
    <row r="370" spans="7:63">
      <c r="G370">
        <v>369</v>
      </c>
      <c r="H370" s="7" t="s">
        <v>1500</v>
      </c>
      <c r="I370" t="s">
        <v>29</v>
      </c>
      <c r="J370">
        <f>LEN(H370)</f>
        <v>17</v>
      </c>
      <c r="K370" s="49" t="s">
        <v>4975</v>
      </c>
      <c r="O370" s="3" t="s">
        <v>7010</v>
      </c>
      <c r="P370" s="3" t="s">
        <v>7010</v>
      </c>
      <c r="Q370" s="3" t="s">
        <v>7010</v>
      </c>
      <c r="R370" s="3" t="s">
        <v>7010</v>
      </c>
      <c r="S370" s="3" t="s">
        <v>7010</v>
      </c>
      <c r="T370" s="3" t="s">
        <v>7010</v>
      </c>
      <c r="U370" s="3" t="s">
        <v>7015</v>
      </c>
      <c r="V370" s="3" t="s">
        <v>7010</v>
      </c>
      <c r="W370" s="74" t="str">
        <f t="shared" si="21"/>
        <v>Yes</v>
      </c>
      <c r="Z370">
        <v>369</v>
      </c>
      <c r="AA370" s="55">
        <v>131313</v>
      </c>
      <c r="AC370">
        <f t="shared" si="20"/>
        <v>6</v>
      </c>
      <c r="AD370" s="30" t="s">
        <v>3811</v>
      </c>
      <c r="AF370" t="s">
        <v>7785</v>
      </c>
      <c r="AH370" s="3" t="s">
        <v>7015</v>
      </c>
      <c r="AI370" s="3" t="s">
        <v>7010</v>
      </c>
      <c r="AJ370" s="3" t="s">
        <v>7010</v>
      </c>
      <c r="AK370" s="3" t="s">
        <v>7015</v>
      </c>
      <c r="AL370" s="3" t="s">
        <v>7010</v>
      </c>
      <c r="AM370" s="3" t="s">
        <v>7010</v>
      </c>
      <c r="AN370" s="3" t="s">
        <v>7010</v>
      </c>
      <c r="AO370" s="3" t="s">
        <v>7010</v>
      </c>
      <c r="AP370" s="74" t="s">
        <v>7015</v>
      </c>
      <c r="AU370">
        <v>369</v>
      </c>
      <c r="AV370" t="s">
        <v>3812</v>
      </c>
      <c r="AW370" t="s">
        <v>2279</v>
      </c>
      <c r="AX370">
        <f t="shared" si="22"/>
        <v>9</v>
      </c>
      <c r="AY370" s="30" t="s">
        <v>3813</v>
      </c>
      <c r="BC370" s="3" t="s">
        <v>7010</v>
      </c>
      <c r="BD370" s="3" t="s">
        <v>7010</v>
      </c>
      <c r="BE370" s="3" t="s">
        <v>7010</v>
      </c>
      <c r="BF370" s="3" t="s">
        <v>7010</v>
      </c>
      <c r="BG370" s="3" t="s">
        <v>7010</v>
      </c>
      <c r="BH370" s="3" t="s">
        <v>7010</v>
      </c>
      <c r="BI370" s="3" t="s">
        <v>7010</v>
      </c>
      <c r="BJ370" s="3" t="s">
        <v>7010</v>
      </c>
      <c r="BK370" s="74" t="str">
        <f t="shared" si="23"/>
        <v>No</v>
      </c>
    </row>
    <row r="371" spans="7:63">
      <c r="G371">
        <v>370</v>
      </c>
      <c r="H371" s="7" t="s">
        <v>1204</v>
      </c>
      <c r="I371" t="s">
        <v>29</v>
      </c>
      <c r="J371">
        <f>LEN(H371)</f>
        <v>14</v>
      </c>
      <c r="K371" s="49" t="s">
        <v>4226</v>
      </c>
      <c r="O371" s="3" t="s">
        <v>7010</v>
      </c>
      <c r="P371" s="3" t="s">
        <v>7010</v>
      </c>
      <c r="Q371" s="3" t="s">
        <v>7010</v>
      </c>
      <c r="R371" s="3" t="s">
        <v>7010</v>
      </c>
      <c r="S371" s="3" t="s">
        <v>7010</v>
      </c>
      <c r="T371" s="3" t="s">
        <v>7010</v>
      </c>
      <c r="U371" s="3" t="s">
        <v>7010</v>
      </c>
      <c r="V371" s="3" t="s">
        <v>7010</v>
      </c>
      <c r="W371" s="74" t="str">
        <f t="shared" si="21"/>
        <v>No</v>
      </c>
      <c r="Z371">
        <v>370</v>
      </c>
      <c r="AA371" s="55" t="s">
        <v>3815</v>
      </c>
      <c r="AC371">
        <f t="shared" si="20"/>
        <v>7</v>
      </c>
      <c r="AD371" s="30" t="s">
        <v>3816</v>
      </c>
      <c r="AF371" t="s">
        <v>7786</v>
      </c>
      <c r="AH371" s="3" t="s">
        <v>7015</v>
      </c>
      <c r="AI371" s="3" t="s">
        <v>7010</v>
      </c>
      <c r="AJ371" s="3" t="s">
        <v>7010</v>
      </c>
      <c r="AK371" s="3" t="s">
        <v>7015</v>
      </c>
      <c r="AL371" s="3" t="s">
        <v>7010</v>
      </c>
      <c r="AM371" s="3" t="s">
        <v>7010</v>
      </c>
      <c r="AN371" s="3" t="s">
        <v>7010</v>
      </c>
      <c r="AO371" s="3" t="s">
        <v>7010</v>
      </c>
      <c r="AP371" s="74" t="s">
        <v>7015</v>
      </c>
      <c r="AU371">
        <v>370</v>
      </c>
      <c r="AV371" t="s">
        <v>3817</v>
      </c>
      <c r="AW371" t="s">
        <v>2279</v>
      </c>
      <c r="AX371">
        <f t="shared" si="22"/>
        <v>8</v>
      </c>
      <c r="AY371" s="30" t="s">
        <v>3818</v>
      </c>
      <c r="BC371" s="3" t="s">
        <v>7010</v>
      </c>
      <c r="BD371" s="3" t="s">
        <v>7010</v>
      </c>
      <c r="BE371" s="3" t="s">
        <v>7010</v>
      </c>
      <c r="BF371" s="3" t="s">
        <v>7010</v>
      </c>
      <c r="BG371" s="3" t="s">
        <v>7010</v>
      </c>
      <c r="BH371" s="3" t="s">
        <v>7010</v>
      </c>
      <c r="BI371" s="3" t="s">
        <v>7010</v>
      </c>
      <c r="BJ371" s="3" t="s">
        <v>7010</v>
      </c>
      <c r="BK371" s="74" t="str">
        <f t="shared" si="23"/>
        <v>No</v>
      </c>
    </row>
    <row r="372" spans="7:63">
      <c r="G372">
        <v>371</v>
      </c>
      <c r="H372" s="7" t="s">
        <v>1404</v>
      </c>
      <c r="I372" t="s">
        <v>29</v>
      </c>
      <c r="J372">
        <f>LEN(H372)</f>
        <v>15</v>
      </c>
      <c r="K372" s="49" t="s">
        <v>4730</v>
      </c>
      <c r="O372" s="3" t="s">
        <v>7010</v>
      </c>
      <c r="P372" s="3" t="s">
        <v>7010</v>
      </c>
      <c r="Q372" s="3" t="s">
        <v>7010</v>
      </c>
      <c r="R372" s="3" t="s">
        <v>7010</v>
      </c>
      <c r="S372" s="3" t="s">
        <v>7010</v>
      </c>
      <c r="T372" s="3" t="s">
        <v>7010</v>
      </c>
      <c r="U372" s="3" t="s">
        <v>7010</v>
      </c>
      <c r="V372" s="3" t="s">
        <v>7010</v>
      </c>
      <c r="W372" s="74" t="str">
        <f t="shared" si="21"/>
        <v>No</v>
      </c>
      <c r="Z372">
        <v>371</v>
      </c>
      <c r="AA372" s="55" t="s">
        <v>3820</v>
      </c>
      <c r="AC372">
        <f t="shared" si="20"/>
        <v>6</v>
      </c>
      <c r="AD372" s="30" t="s">
        <v>3821</v>
      </c>
      <c r="AF372" t="s">
        <v>7787</v>
      </c>
      <c r="AH372" s="3" t="s">
        <v>7015</v>
      </c>
      <c r="AI372" s="3" t="s">
        <v>7010</v>
      </c>
      <c r="AJ372" s="3" t="s">
        <v>7010</v>
      </c>
      <c r="AK372" s="3" t="s">
        <v>7015</v>
      </c>
      <c r="AL372" s="3" t="s">
        <v>7010</v>
      </c>
      <c r="AM372" s="3" t="s">
        <v>7010</v>
      </c>
      <c r="AN372" s="3" t="s">
        <v>7010</v>
      </c>
      <c r="AO372" s="3" t="s">
        <v>7010</v>
      </c>
      <c r="AP372" s="74" t="s">
        <v>7015</v>
      </c>
      <c r="AU372">
        <v>371</v>
      </c>
      <c r="AV372" t="s">
        <v>3822</v>
      </c>
      <c r="AW372" t="s">
        <v>2279</v>
      </c>
      <c r="AX372">
        <f t="shared" si="22"/>
        <v>8</v>
      </c>
      <c r="AY372" s="30" t="s">
        <v>3823</v>
      </c>
      <c r="BC372" s="3" t="s">
        <v>7015</v>
      </c>
      <c r="BD372" s="3" t="s">
        <v>7010</v>
      </c>
      <c r="BE372" s="3" t="s">
        <v>7015</v>
      </c>
      <c r="BF372" s="3" t="s">
        <v>7010</v>
      </c>
      <c r="BG372" s="3" t="s">
        <v>7010</v>
      </c>
      <c r="BH372" s="3" t="s">
        <v>7010</v>
      </c>
      <c r="BI372" s="3" t="s">
        <v>7010</v>
      </c>
      <c r="BJ372" s="3" t="s">
        <v>7010</v>
      </c>
      <c r="BK372" s="74" t="str">
        <f t="shared" si="23"/>
        <v>Yes</v>
      </c>
    </row>
    <row r="373" spans="7:63">
      <c r="G373">
        <v>372</v>
      </c>
      <c r="H373" s="7" t="s">
        <v>1286</v>
      </c>
      <c r="I373" t="s">
        <v>29</v>
      </c>
      <c r="J373">
        <f>LEN(H373)</f>
        <v>15</v>
      </c>
      <c r="K373" s="49" t="s">
        <v>4431</v>
      </c>
      <c r="O373" s="3" t="s">
        <v>7010</v>
      </c>
      <c r="P373" s="3" t="s">
        <v>7010</v>
      </c>
      <c r="Q373" s="3" t="s">
        <v>7010</v>
      </c>
      <c r="R373" s="3" t="s">
        <v>7010</v>
      </c>
      <c r="S373" s="3" t="s">
        <v>7010</v>
      </c>
      <c r="T373" s="3" t="s">
        <v>7010</v>
      </c>
      <c r="U373" s="3" t="s">
        <v>7010</v>
      </c>
      <c r="V373" s="3" t="s">
        <v>7010</v>
      </c>
      <c r="W373" s="74" t="str">
        <f t="shared" si="21"/>
        <v>No</v>
      </c>
      <c r="Z373">
        <v>372</v>
      </c>
      <c r="AA373" s="55">
        <v>333333</v>
      </c>
      <c r="AC373">
        <f t="shared" si="20"/>
        <v>6</v>
      </c>
      <c r="AD373" s="30" t="s">
        <v>3825</v>
      </c>
      <c r="AF373" t="s">
        <v>7788</v>
      </c>
      <c r="AH373" s="3" t="s">
        <v>7015</v>
      </c>
      <c r="AI373" s="3" t="s">
        <v>7010</v>
      </c>
      <c r="AJ373" s="3" t="s">
        <v>7010</v>
      </c>
      <c r="AK373" s="3" t="s">
        <v>7015</v>
      </c>
      <c r="AL373" s="3" t="s">
        <v>7010</v>
      </c>
      <c r="AM373" s="3" t="s">
        <v>7010</v>
      </c>
      <c r="AN373" s="3" t="s">
        <v>7010</v>
      </c>
      <c r="AO373" s="3" t="s">
        <v>7010</v>
      </c>
      <c r="AP373" s="74" t="s">
        <v>7015</v>
      </c>
      <c r="AU373">
        <v>372</v>
      </c>
      <c r="AV373" t="s">
        <v>3826</v>
      </c>
      <c r="AW373" t="s">
        <v>2279</v>
      </c>
      <c r="AX373">
        <f t="shared" si="22"/>
        <v>8</v>
      </c>
      <c r="AY373" s="30" t="s">
        <v>3827</v>
      </c>
      <c r="BC373" s="3" t="s">
        <v>7010</v>
      </c>
      <c r="BD373" s="3" t="s">
        <v>7010</v>
      </c>
      <c r="BE373" s="3" t="s">
        <v>7010</v>
      </c>
      <c r="BF373" s="3" t="s">
        <v>7010</v>
      </c>
      <c r="BG373" s="3" t="s">
        <v>7010</v>
      </c>
      <c r="BH373" s="3" t="s">
        <v>7010</v>
      </c>
      <c r="BI373" s="3" t="s">
        <v>7010</v>
      </c>
      <c r="BJ373" s="3" t="s">
        <v>7010</v>
      </c>
      <c r="BK373" s="74" t="str">
        <f t="shared" si="23"/>
        <v>No</v>
      </c>
    </row>
    <row r="374" spans="7:63">
      <c r="G374">
        <v>373</v>
      </c>
      <c r="H374" s="7" t="s">
        <v>540</v>
      </c>
      <c r="I374" t="s">
        <v>29</v>
      </c>
      <c r="J374">
        <f>LEN(H374)</f>
        <v>14</v>
      </c>
      <c r="K374" s="49" t="s">
        <v>3077</v>
      </c>
      <c r="O374" s="3" t="s">
        <v>7010</v>
      </c>
      <c r="P374" s="3" t="s">
        <v>7010</v>
      </c>
      <c r="Q374" s="3" t="s">
        <v>7010</v>
      </c>
      <c r="R374" s="3" t="s">
        <v>7010</v>
      </c>
      <c r="S374" s="3" t="s">
        <v>7010</v>
      </c>
      <c r="T374" s="3" t="s">
        <v>7010</v>
      </c>
      <c r="U374" s="3" t="s">
        <v>7015</v>
      </c>
      <c r="V374" s="3" t="s">
        <v>7010</v>
      </c>
      <c r="W374" s="74" t="str">
        <f t="shared" si="21"/>
        <v>Yes</v>
      </c>
      <c r="Z374">
        <v>373</v>
      </c>
      <c r="AA374" s="55" t="s">
        <v>3829</v>
      </c>
      <c r="AC374">
        <f t="shared" si="20"/>
        <v>6</v>
      </c>
      <c r="AD374" s="30" t="s">
        <v>3830</v>
      </c>
      <c r="AF374" t="s">
        <v>7789</v>
      </c>
      <c r="AH374" s="3" t="s">
        <v>7015</v>
      </c>
      <c r="AI374" s="3" t="s">
        <v>7010</v>
      </c>
      <c r="AJ374" s="3" t="s">
        <v>7010</v>
      </c>
      <c r="AK374" s="3" t="s">
        <v>7015</v>
      </c>
      <c r="AL374" s="3" t="s">
        <v>7010</v>
      </c>
      <c r="AM374" s="3" t="s">
        <v>7010</v>
      </c>
      <c r="AN374" s="3" t="s">
        <v>7010</v>
      </c>
      <c r="AO374" s="3" t="s">
        <v>7010</v>
      </c>
      <c r="AP374" s="74" t="s">
        <v>7015</v>
      </c>
      <c r="AU374">
        <v>373</v>
      </c>
      <c r="AV374" t="s">
        <v>3831</v>
      </c>
      <c r="AW374" t="s">
        <v>2279</v>
      </c>
      <c r="AX374">
        <f t="shared" si="22"/>
        <v>8</v>
      </c>
      <c r="AY374" s="30" t="s">
        <v>3832</v>
      </c>
      <c r="BC374" s="3" t="s">
        <v>7010</v>
      </c>
      <c r="BD374" s="3" t="s">
        <v>7010</v>
      </c>
      <c r="BE374" s="3" t="s">
        <v>7010</v>
      </c>
      <c r="BF374" s="3" t="s">
        <v>7010</v>
      </c>
      <c r="BG374" s="3" t="s">
        <v>7010</v>
      </c>
      <c r="BH374" s="3" t="s">
        <v>7010</v>
      </c>
      <c r="BI374" s="3" t="s">
        <v>7010</v>
      </c>
      <c r="BJ374" s="3" t="s">
        <v>7010</v>
      </c>
      <c r="BK374" s="74" t="str">
        <f t="shared" si="23"/>
        <v>No</v>
      </c>
    </row>
    <row r="375" spans="7:63">
      <c r="G375">
        <v>374</v>
      </c>
      <c r="H375" s="7" t="s">
        <v>615</v>
      </c>
      <c r="I375" t="s">
        <v>29</v>
      </c>
      <c r="J375">
        <f>LEN(H375)</f>
        <v>17</v>
      </c>
      <c r="K375" s="49" t="s">
        <v>3377</v>
      </c>
      <c r="O375" s="3" t="s">
        <v>7010</v>
      </c>
      <c r="P375" s="3" t="s">
        <v>7010</v>
      </c>
      <c r="Q375" s="3" t="s">
        <v>7010</v>
      </c>
      <c r="R375" s="3" t="s">
        <v>7010</v>
      </c>
      <c r="S375" s="3" t="s">
        <v>7010</v>
      </c>
      <c r="T375" s="3" t="s">
        <v>7010</v>
      </c>
      <c r="U375" s="3" t="s">
        <v>7010</v>
      </c>
      <c r="V375" s="3" t="s">
        <v>7010</v>
      </c>
      <c r="W375" s="74" t="str">
        <f t="shared" si="21"/>
        <v>No</v>
      </c>
      <c r="Z375">
        <v>374</v>
      </c>
      <c r="AA375" s="55" t="s">
        <v>3834</v>
      </c>
      <c r="AC375">
        <f t="shared" si="20"/>
        <v>6</v>
      </c>
      <c r="AD375" s="30" t="s">
        <v>3835</v>
      </c>
      <c r="AF375" t="s">
        <v>7790</v>
      </c>
      <c r="AH375" s="3" t="s">
        <v>7015</v>
      </c>
      <c r="AI375" s="3" t="s">
        <v>7010</v>
      </c>
      <c r="AJ375" s="3" t="s">
        <v>7010</v>
      </c>
      <c r="AK375" s="3" t="s">
        <v>7015</v>
      </c>
      <c r="AL375" s="3" t="s">
        <v>7010</v>
      </c>
      <c r="AM375" s="3" t="s">
        <v>7010</v>
      </c>
      <c r="AN375" s="3" t="s">
        <v>7010</v>
      </c>
      <c r="AO375" s="3" t="s">
        <v>7010</v>
      </c>
      <c r="AP375" s="74" t="s">
        <v>7015</v>
      </c>
      <c r="AU375">
        <v>374</v>
      </c>
      <c r="AV375" t="s">
        <v>3836</v>
      </c>
      <c r="AW375" t="s">
        <v>2279</v>
      </c>
      <c r="AX375">
        <f t="shared" si="22"/>
        <v>8</v>
      </c>
      <c r="AY375" s="30" t="s">
        <v>3837</v>
      </c>
      <c r="BC375" s="3" t="s">
        <v>7015</v>
      </c>
      <c r="BD375" s="3" t="s">
        <v>7010</v>
      </c>
      <c r="BE375" s="3" t="s">
        <v>7015</v>
      </c>
      <c r="BF375" s="3" t="s">
        <v>7010</v>
      </c>
      <c r="BG375" s="3" t="s">
        <v>7010</v>
      </c>
      <c r="BH375" s="3" t="s">
        <v>7010</v>
      </c>
      <c r="BI375" s="3" t="s">
        <v>7010</v>
      </c>
      <c r="BJ375" s="3" t="s">
        <v>7010</v>
      </c>
      <c r="BK375" s="74" t="str">
        <f t="shared" si="23"/>
        <v>Yes</v>
      </c>
    </row>
    <row r="376" spans="7:63">
      <c r="G376">
        <v>375</v>
      </c>
      <c r="H376" s="7" t="s">
        <v>446</v>
      </c>
      <c r="I376" t="s">
        <v>29</v>
      </c>
      <c r="J376">
        <f>LEN(H376)</f>
        <v>11</v>
      </c>
      <c r="K376" s="49" t="s">
        <v>2701</v>
      </c>
      <c r="O376" s="3" t="s">
        <v>7010</v>
      </c>
      <c r="P376" s="3" t="s">
        <v>7010</v>
      </c>
      <c r="Q376" s="3" t="s">
        <v>7010</v>
      </c>
      <c r="R376" s="3" t="s">
        <v>7010</v>
      </c>
      <c r="S376" s="3" t="s">
        <v>7010</v>
      </c>
      <c r="T376" s="3" t="s">
        <v>7015</v>
      </c>
      <c r="U376" s="3" t="s">
        <v>7010</v>
      </c>
      <c r="V376" s="3" t="s">
        <v>7010</v>
      </c>
      <c r="W376" s="74" t="str">
        <f t="shared" si="21"/>
        <v>Yes</v>
      </c>
      <c r="Z376">
        <v>375</v>
      </c>
      <c r="AA376" s="55" t="s">
        <v>3839</v>
      </c>
      <c r="AC376">
        <f t="shared" si="20"/>
        <v>6</v>
      </c>
      <c r="AD376" s="30" t="s">
        <v>3840</v>
      </c>
      <c r="AF376" t="s">
        <v>7791</v>
      </c>
      <c r="AH376" s="3" t="s">
        <v>7015</v>
      </c>
      <c r="AI376" s="3" t="s">
        <v>7010</v>
      </c>
      <c r="AJ376" s="3" t="s">
        <v>7010</v>
      </c>
      <c r="AK376" s="3" t="s">
        <v>7015</v>
      </c>
      <c r="AL376" s="3" t="s">
        <v>7010</v>
      </c>
      <c r="AM376" s="3" t="s">
        <v>7010</v>
      </c>
      <c r="AN376" s="3" t="s">
        <v>7010</v>
      </c>
      <c r="AO376" s="3" t="s">
        <v>7010</v>
      </c>
      <c r="AP376" s="74" t="s">
        <v>7015</v>
      </c>
      <c r="AU376">
        <v>375</v>
      </c>
      <c r="AV376" t="s">
        <v>3841</v>
      </c>
      <c r="AW376" t="s">
        <v>2279</v>
      </c>
      <c r="AX376">
        <f t="shared" si="22"/>
        <v>8</v>
      </c>
      <c r="AY376" s="30" t="s">
        <v>3842</v>
      </c>
      <c r="BC376" s="3" t="s">
        <v>7010</v>
      </c>
      <c r="BD376" s="3" t="s">
        <v>7010</v>
      </c>
      <c r="BE376" s="3" t="s">
        <v>7010</v>
      </c>
      <c r="BF376" s="3" t="s">
        <v>7010</v>
      </c>
      <c r="BG376" s="3" t="s">
        <v>7010</v>
      </c>
      <c r="BH376" s="3" t="s">
        <v>7010</v>
      </c>
      <c r="BI376" s="3" t="s">
        <v>7010</v>
      </c>
      <c r="BJ376" s="3" t="s">
        <v>7010</v>
      </c>
      <c r="BK376" s="74" t="str">
        <f t="shared" si="23"/>
        <v>No</v>
      </c>
    </row>
    <row r="377" spans="7:63">
      <c r="G377">
        <v>376</v>
      </c>
      <c r="H377" s="7" t="s">
        <v>1016</v>
      </c>
      <c r="I377" t="s">
        <v>29</v>
      </c>
      <c r="J377">
        <f>LEN(H377)</f>
        <v>11</v>
      </c>
      <c r="K377" s="49" t="s">
        <v>3742</v>
      </c>
      <c r="O377" s="3" t="s">
        <v>7010</v>
      </c>
      <c r="P377" s="3" t="s">
        <v>7010</v>
      </c>
      <c r="Q377" s="3" t="s">
        <v>7010</v>
      </c>
      <c r="R377" s="3" t="s">
        <v>7010</v>
      </c>
      <c r="S377" s="3" t="s">
        <v>7010</v>
      </c>
      <c r="T377" s="3" t="s">
        <v>7010</v>
      </c>
      <c r="U377" s="3" t="s">
        <v>7010</v>
      </c>
      <c r="V377" s="3" t="s">
        <v>7010</v>
      </c>
      <c r="W377" s="74" t="str">
        <f t="shared" si="21"/>
        <v>No</v>
      </c>
      <c r="Z377">
        <v>376</v>
      </c>
      <c r="AA377" s="55" t="s">
        <v>3844</v>
      </c>
      <c r="AC377">
        <f t="shared" si="20"/>
        <v>6</v>
      </c>
      <c r="AD377" s="30" t="s">
        <v>3845</v>
      </c>
      <c r="AF377" t="s">
        <v>7792</v>
      </c>
      <c r="AH377" s="3" t="s">
        <v>7015</v>
      </c>
      <c r="AI377" s="3" t="s">
        <v>7010</v>
      </c>
      <c r="AJ377" s="3" t="s">
        <v>7010</v>
      </c>
      <c r="AK377" s="3" t="s">
        <v>7015</v>
      </c>
      <c r="AL377" s="3" t="s">
        <v>7010</v>
      </c>
      <c r="AM377" s="3" t="s">
        <v>7010</v>
      </c>
      <c r="AN377" s="3" t="s">
        <v>7010</v>
      </c>
      <c r="AO377" s="3" t="s">
        <v>7010</v>
      </c>
      <c r="AP377" s="74" t="s">
        <v>7015</v>
      </c>
      <c r="AU377">
        <v>376</v>
      </c>
      <c r="AV377" t="s">
        <v>3846</v>
      </c>
      <c r="AW377" t="s">
        <v>2279</v>
      </c>
      <c r="AX377">
        <f t="shared" si="22"/>
        <v>9</v>
      </c>
      <c r="AY377" s="31" t="s">
        <v>3847</v>
      </c>
      <c r="BC377" s="3" t="s">
        <v>7010</v>
      </c>
      <c r="BD377" s="3" t="s">
        <v>7010</v>
      </c>
      <c r="BE377" s="3" t="s">
        <v>7010</v>
      </c>
      <c r="BF377" s="3" t="s">
        <v>7010</v>
      </c>
      <c r="BG377" s="3" t="s">
        <v>7010</v>
      </c>
      <c r="BH377" s="3" t="s">
        <v>7010</v>
      </c>
      <c r="BI377" s="3" t="s">
        <v>7010</v>
      </c>
      <c r="BJ377" s="3" t="s">
        <v>7010</v>
      </c>
      <c r="BK377" s="74" t="str">
        <f t="shared" si="23"/>
        <v>No</v>
      </c>
    </row>
    <row r="378" spans="7:63">
      <c r="G378">
        <v>377</v>
      </c>
      <c r="H378" s="7" t="s">
        <v>533</v>
      </c>
      <c r="I378" t="s">
        <v>29</v>
      </c>
      <c r="J378">
        <f>LEN(H378)</f>
        <v>9</v>
      </c>
      <c r="K378" s="49" t="s">
        <v>3049</v>
      </c>
      <c r="O378" s="3" t="s">
        <v>7010</v>
      </c>
      <c r="P378" s="3" t="s">
        <v>7010</v>
      </c>
      <c r="Q378" s="3" t="s">
        <v>7010</v>
      </c>
      <c r="R378" s="3" t="s">
        <v>7010</v>
      </c>
      <c r="S378" s="3" t="s">
        <v>7010</v>
      </c>
      <c r="T378" s="3" t="s">
        <v>7010</v>
      </c>
      <c r="U378" s="3" t="s">
        <v>7010</v>
      </c>
      <c r="V378" s="3" t="s">
        <v>7010</v>
      </c>
      <c r="W378" s="74" t="str">
        <f t="shared" si="21"/>
        <v>No</v>
      </c>
      <c r="Z378">
        <v>377</v>
      </c>
      <c r="AA378" s="55" t="s">
        <v>3849</v>
      </c>
      <c r="AC378">
        <f t="shared" si="20"/>
        <v>7</v>
      </c>
      <c r="AD378" s="30" t="s">
        <v>3850</v>
      </c>
      <c r="AF378" t="s">
        <v>7793</v>
      </c>
      <c r="AH378" s="3" t="s">
        <v>7015</v>
      </c>
      <c r="AI378" s="3" t="s">
        <v>7010</v>
      </c>
      <c r="AJ378" s="3" t="s">
        <v>7010</v>
      </c>
      <c r="AK378" s="3" t="s">
        <v>7015</v>
      </c>
      <c r="AL378" s="3" t="s">
        <v>7010</v>
      </c>
      <c r="AM378" s="3" t="s">
        <v>7010</v>
      </c>
      <c r="AN378" s="3" t="s">
        <v>7010</v>
      </c>
      <c r="AO378" s="3" t="s">
        <v>7010</v>
      </c>
      <c r="AP378" s="74" t="s">
        <v>7015</v>
      </c>
      <c r="AU378">
        <v>377</v>
      </c>
      <c r="AV378" t="s">
        <v>3851</v>
      </c>
      <c r="AW378" t="s">
        <v>2279</v>
      </c>
      <c r="AX378">
        <f t="shared" si="22"/>
        <v>9</v>
      </c>
      <c r="AY378" s="30" t="s">
        <v>3852</v>
      </c>
      <c r="BC378" s="3" t="s">
        <v>7010</v>
      </c>
      <c r="BD378" s="3" t="s">
        <v>7010</v>
      </c>
      <c r="BE378" s="3" t="s">
        <v>7010</v>
      </c>
      <c r="BF378" s="3" t="s">
        <v>7010</v>
      </c>
      <c r="BG378" s="3" t="s">
        <v>7010</v>
      </c>
      <c r="BH378" s="3" t="s">
        <v>7010</v>
      </c>
      <c r="BI378" s="3" t="s">
        <v>7010</v>
      </c>
      <c r="BJ378" s="3" t="s">
        <v>7010</v>
      </c>
      <c r="BK378" s="74" t="str">
        <f t="shared" si="23"/>
        <v>No</v>
      </c>
    </row>
    <row r="379" spans="7:63">
      <c r="G379">
        <v>378</v>
      </c>
      <c r="H379" s="7" t="s">
        <v>520</v>
      </c>
      <c r="I379" t="s">
        <v>29</v>
      </c>
      <c r="J379">
        <f>LEN(H379)</f>
        <v>9</v>
      </c>
      <c r="K379" s="49" t="s">
        <v>2997</v>
      </c>
      <c r="O379" s="3" t="s">
        <v>7010</v>
      </c>
      <c r="P379" s="3" t="s">
        <v>7010</v>
      </c>
      <c r="Q379" s="3" t="s">
        <v>7010</v>
      </c>
      <c r="R379" s="3" t="s">
        <v>7015</v>
      </c>
      <c r="S379" s="3" t="s">
        <v>7010</v>
      </c>
      <c r="T379" s="3" t="s">
        <v>7010</v>
      </c>
      <c r="U379" s="3" t="s">
        <v>7010</v>
      </c>
      <c r="V379" s="3" t="s">
        <v>7010</v>
      </c>
      <c r="W379" s="74" t="str">
        <f t="shared" si="21"/>
        <v>Yes</v>
      </c>
      <c r="Z379">
        <v>378</v>
      </c>
      <c r="AA379" s="55" t="s">
        <v>3854</v>
      </c>
      <c r="AC379">
        <f t="shared" si="20"/>
        <v>9</v>
      </c>
      <c r="AD379" s="30" t="s">
        <v>3855</v>
      </c>
      <c r="AF379" t="s">
        <v>7794</v>
      </c>
      <c r="AH379" s="3" t="s">
        <v>7015</v>
      </c>
      <c r="AI379" s="3" t="s">
        <v>7010</v>
      </c>
      <c r="AJ379" s="3" t="s">
        <v>7010</v>
      </c>
      <c r="AK379" s="3" t="s">
        <v>7015</v>
      </c>
      <c r="AL379" s="3" t="s">
        <v>7010</v>
      </c>
      <c r="AM379" s="3" t="s">
        <v>7010</v>
      </c>
      <c r="AN379" s="3" t="s">
        <v>7010</v>
      </c>
      <c r="AO379" s="3" t="s">
        <v>7010</v>
      </c>
      <c r="AP379" s="74" t="s">
        <v>7015</v>
      </c>
      <c r="AU379">
        <v>378</v>
      </c>
      <c r="AV379" t="s">
        <v>3856</v>
      </c>
      <c r="AW379" t="s">
        <v>2279</v>
      </c>
      <c r="AX379">
        <f t="shared" si="22"/>
        <v>11</v>
      </c>
      <c r="AY379" s="30" t="s">
        <v>3857</v>
      </c>
      <c r="BC379" s="3" t="s">
        <v>7010</v>
      </c>
      <c r="BD379" s="3" t="s">
        <v>7010</v>
      </c>
      <c r="BE379" s="3" t="s">
        <v>7015</v>
      </c>
      <c r="BF379" s="3" t="s">
        <v>7010</v>
      </c>
      <c r="BG379" s="3" t="s">
        <v>7010</v>
      </c>
      <c r="BH379" s="3" t="s">
        <v>7010</v>
      </c>
      <c r="BI379" s="3" t="s">
        <v>7010</v>
      </c>
      <c r="BJ379" s="3" t="s">
        <v>7010</v>
      </c>
      <c r="BK379" s="74" t="str">
        <f t="shared" si="23"/>
        <v>Yes</v>
      </c>
    </row>
    <row r="380" spans="7:63">
      <c r="G380">
        <v>379</v>
      </c>
      <c r="H380" s="7" t="s">
        <v>419</v>
      </c>
      <c r="I380" t="s">
        <v>29</v>
      </c>
      <c r="J380">
        <f>LEN(H380)</f>
        <v>14</v>
      </c>
      <c r="K380" s="49" t="s">
        <v>2593</v>
      </c>
      <c r="O380" s="3" t="s">
        <v>7010</v>
      </c>
      <c r="P380" s="3" t="s">
        <v>7010</v>
      </c>
      <c r="Q380" s="3" t="s">
        <v>7010</v>
      </c>
      <c r="R380" s="3" t="s">
        <v>7010</v>
      </c>
      <c r="S380" s="3" t="s">
        <v>7010</v>
      </c>
      <c r="T380" s="3" t="s">
        <v>7015</v>
      </c>
      <c r="U380" s="3" t="s">
        <v>7010</v>
      </c>
      <c r="V380" s="3" t="s">
        <v>7010</v>
      </c>
      <c r="W380" s="74" t="str">
        <f t="shared" si="21"/>
        <v>Yes</v>
      </c>
      <c r="Z380">
        <v>379</v>
      </c>
      <c r="AA380" s="55" t="s">
        <v>3859</v>
      </c>
      <c r="AC380">
        <f t="shared" si="20"/>
        <v>6</v>
      </c>
      <c r="AD380" s="30" t="s">
        <v>3860</v>
      </c>
      <c r="AF380" t="s">
        <v>7795</v>
      </c>
      <c r="AH380" s="3" t="s">
        <v>7015</v>
      </c>
      <c r="AI380" s="3" t="s">
        <v>7010</v>
      </c>
      <c r="AJ380" s="3" t="s">
        <v>7010</v>
      </c>
      <c r="AK380" s="3" t="s">
        <v>7015</v>
      </c>
      <c r="AL380" s="3" t="s">
        <v>7010</v>
      </c>
      <c r="AM380" s="3" t="s">
        <v>7010</v>
      </c>
      <c r="AN380" s="3" t="s">
        <v>7010</v>
      </c>
      <c r="AO380" s="3" t="s">
        <v>7010</v>
      </c>
      <c r="AP380" s="74" t="s">
        <v>7015</v>
      </c>
      <c r="AU380">
        <v>379</v>
      </c>
      <c r="AV380" t="s">
        <v>3861</v>
      </c>
      <c r="AW380" t="s">
        <v>2279</v>
      </c>
      <c r="AX380">
        <f t="shared" si="22"/>
        <v>9</v>
      </c>
      <c r="AY380" s="30" t="s">
        <v>3862</v>
      </c>
      <c r="BC380" s="3" t="s">
        <v>7010</v>
      </c>
      <c r="BD380" s="3" t="s">
        <v>7010</v>
      </c>
      <c r="BE380" s="3" t="s">
        <v>7010</v>
      </c>
      <c r="BF380" s="3" t="s">
        <v>7010</v>
      </c>
      <c r="BG380" s="3" t="s">
        <v>7010</v>
      </c>
      <c r="BH380" s="3" t="s">
        <v>7010</v>
      </c>
      <c r="BI380" s="3" t="s">
        <v>7010</v>
      </c>
      <c r="BJ380" s="3" t="s">
        <v>7010</v>
      </c>
      <c r="BK380" s="74" t="str">
        <f t="shared" si="23"/>
        <v>No</v>
      </c>
    </row>
    <row r="381" spans="7:63">
      <c r="G381">
        <v>380</v>
      </c>
      <c r="H381" s="7" t="s">
        <v>401</v>
      </c>
      <c r="I381" t="s">
        <v>29</v>
      </c>
      <c r="J381">
        <f>LEN(H381)</f>
        <v>13</v>
      </c>
      <c r="K381" s="49" t="s">
        <v>2521</v>
      </c>
      <c r="O381" s="3" t="s">
        <v>7010</v>
      </c>
      <c r="P381" s="3" t="s">
        <v>7010</v>
      </c>
      <c r="Q381" s="3" t="s">
        <v>7010</v>
      </c>
      <c r="R381" s="3" t="s">
        <v>7010</v>
      </c>
      <c r="S381" s="3" t="s">
        <v>7010</v>
      </c>
      <c r="T381" s="3" t="s">
        <v>7015</v>
      </c>
      <c r="U381" s="3" t="s">
        <v>7010</v>
      </c>
      <c r="V381" s="3" t="s">
        <v>7010</v>
      </c>
      <c r="W381" s="74" t="str">
        <f t="shared" si="21"/>
        <v>Yes</v>
      </c>
      <c r="Z381">
        <v>380</v>
      </c>
      <c r="AA381" s="55" t="s">
        <v>3864</v>
      </c>
      <c r="AC381">
        <f t="shared" si="20"/>
        <v>6</v>
      </c>
      <c r="AD381" s="30" t="s">
        <v>3865</v>
      </c>
      <c r="AF381" t="s">
        <v>7796</v>
      </c>
      <c r="AH381" s="3" t="s">
        <v>7015</v>
      </c>
      <c r="AI381" s="3" t="s">
        <v>7010</v>
      </c>
      <c r="AJ381" s="3" t="s">
        <v>7010</v>
      </c>
      <c r="AK381" s="3" t="s">
        <v>7015</v>
      </c>
      <c r="AL381" s="3" t="s">
        <v>7010</v>
      </c>
      <c r="AM381" s="3" t="s">
        <v>7010</v>
      </c>
      <c r="AN381" s="3" t="s">
        <v>7010</v>
      </c>
      <c r="AO381" s="3" t="s">
        <v>7010</v>
      </c>
      <c r="AP381" s="74" t="s">
        <v>7015</v>
      </c>
      <c r="AU381">
        <v>380</v>
      </c>
      <c r="AV381" t="s">
        <v>3866</v>
      </c>
      <c r="AW381" t="s">
        <v>2279</v>
      </c>
      <c r="AX381">
        <f t="shared" si="22"/>
        <v>8</v>
      </c>
      <c r="AY381" s="30" t="s">
        <v>3867</v>
      </c>
      <c r="BC381" s="3" t="s">
        <v>7010</v>
      </c>
      <c r="BD381" s="3" t="s">
        <v>7010</v>
      </c>
      <c r="BE381" s="3" t="s">
        <v>7010</v>
      </c>
      <c r="BF381" s="3" t="s">
        <v>7010</v>
      </c>
      <c r="BG381" s="3" t="s">
        <v>7010</v>
      </c>
      <c r="BH381" s="3" t="s">
        <v>7010</v>
      </c>
      <c r="BI381" s="3" t="s">
        <v>7010</v>
      </c>
      <c r="BJ381" s="3" t="s">
        <v>7010</v>
      </c>
      <c r="BK381" s="74" t="str">
        <f t="shared" si="23"/>
        <v>No</v>
      </c>
    </row>
    <row r="382" spans="7:63">
      <c r="G382">
        <v>381</v>
      </c>
      <c r="H382" s="7" t="s">
        <v>555</v>
      </c>
      <c r="I382" t="s">
        <v>29</v>
      </c>
      <c r="J382">
        <f>LEN(H382)</f>
        <v>9</v>
      </c>
      <c r="K382" s="49" t="s">
        <v>3137</v>
      </c>
      <c r="O382" s="3" t="s">
        <v>7010</v>
      </c>
      <c r="P382" s="3" t="s">
        <v>7010</v>
      </c>
      <c r="Q382" s="3" t="s">
        <v>7010</v>
      </c>
      <c r="R382" s="3" t="s">
        <v>7010</v>
      </c>
      <c r="S382" s="3" t="s">
        <v>7010</v>
      </c>
      <c r="T382" s="3" t="s">
        <v>7010</v>
      </c>
      <c r="U382" s="3" t="s">
        <v>7010</v>
      </c>
      <c r="V382" s="3" t="s">
        <v>7010</v>
      </c>
      <c r="W382" s="74" t="str">
        <f t="shared" si="21"/>
        <v>No</v>
      </c>
      <c r="Z382">
        <v>381</v>
      </c>
      <c r="AA382" s="55" t="s">
        <v>3869</v>
      </c>
      <c r="AC382">
        <f t="shared" si="20"/>
        <v>8</v>
      </c>
      <c r="AD382" s="30" t="s">
        <v>3870</v>
      </c>
      <c r="AF382" t="s">
        <v>7797</v>
      </c>
      <c r="AH382" s="3" t="s">
        <v>7015</v>
      </c>
      <c r="AI382" s="3" t="s">
        <v>7010</v>
      </c>
      <c r="AJ382" s="3" t="s">
        <v>7010</v>
      </c>
      <c r="AK382" s="3" t="s">
        <v>7015</v>
      </c>
      <c r="AL382" s="3" t="s">
        <v>7010</v>
      </c>
      <c r="AM382" s="3" t="s">
        <v>7010</v>
      </c>
      <c r="AN382" s="3" t="s">
        <v>7010</v>
      </c>
      <c r="AO382" s="3" t="s">
        <v>7010</v>
      </c>
      <c r="AP382" s="74" t="s">
        <v>7015</v>
      </c>
      <c r="AU382">
        <v>381</v>
      </c>
      <c r="AV382" t="s">
        <v>3871</v>
      </c>
      <c r="AW382" t="s">
        <v>2279</v>
      </c>
      <c r="AX382">
        <f t="shared" si="22"/>
        <v>8</v>
      </c>
      <c r="AY382" s="30" t="s">
        <v>3872</v>
      </c>
      <c r="BC382" s="3" t="s">
        <v>7015</v>
      </c>
      <c r="BD382" s="3" t="s">
        <v>7010</v>
      </c>
      <c r="BE382" s="3" t="s">
        <v>7015</v>
      </c>
      <c r="BF382" s="3" t="s">
        <v>7010</v>
      </c>
      <c r="BG382" s="3" t="s">
        <v>7010</v>
      </c>
      <c r="BH382" s="3" t="s">
        <v>7010</v>
      </c>
      <c r="BI382" s="3" t="s">
        <v>7010</v>
      </c>
      <c r="BJ382" s="3" t="s">
        <v>7010</v>
      </c>
      <c r="BK382" s="74" t="str">
        <f t="shared" si="23"/>
        <v>Yes</v>
      </c>
    </row>
    <row r="383" spans="7:63">
      <c r="G383">
        <v>382</v>
      </c>
      <c r="H383" s="7" t="s">
        <v>2183</v>
      </c>
      <c r="I383" t="s">
        <v>29</v>
      </c>
      <c r="J383">
        <f>LEN(H383)</f>
        <v>13</v>
      </c>
      <c r="K383" s="49" t="s">
        <v>6782</v>
      </c>
      <c r="O383" s="3" t="s">
        <v>7010</v>
      </c>
      <c r="P383" s="3" t="s">
        <v>7010</v>
      </c>
      <c r="Q383" s="3" t="s">
        <v>7010</v>
      </c>
      <c r="R383" s="3" t="s">
        <v>7010</v>
      </c>
      <c r="S383" s="3" t="s">
        <v>7010</v>
      </c>
      <c r="T383" s="3" t="s">
        <v>7010</v>
      </c>
      <c r="U383" s="3" t="s">
        <v>7010</v>
      </c>
      <c r="V383" s="3" t="s">
        <v>7010</v>
      </c>
      <c r="W383" s="74" t="str">
        <f t="shared" si="21"/>
        <v>No</v>
      </c>
      <c r="Z383">
        <v>382</v>
      </c>
      <c r="AA383" s="55" t="s">
        <v>3874</v>
      </c>
      <c r="AC383">
        <f t="shared" si="20"/>
        <v>8</v>
      </c>
      <c r="AD383" s="30" t="s">
        <v>3875</v>
      </c>
      <c r="AF383" t="s">
        <v>7798</v>
      </c>
      <c r="AH383" s="3" t="s">
        <v>7015</v>
      </c>
      <c r="AI383" s="3" t="s">
        <v>7010</v>
      </c>
      <c r="AJ383" s="3" t="s">
        <v>7010</v>
      </c>
      <c r="AK383" s="3" t="s">
        <v>7015</v>
      </c>
      <c r="AL383" s="3" t="s">
        <v>7010</v>
      </c>
      <c r="AM383" s="3" t="s">
        <v>7010</v>
      </c>
      <c r="AN383" s="3" t="s">
        <v>7010</v>
      </c>
      <c r="AO383" s="3" t="s">
        <v>7010</v>
      </c>
      <c r="AP383" s="74" t="s">
        <v>7015</v>
      </c>
      <c r="AU383">
        <v>382</v>
      </c>
      <c r="AV383" t="s">
        <v>3876</v>
      </c>
      <c r="AW383" t="s">
        <v>2279</v>
      </c>
      <c r="AX383">
        <f t="shared" si="22"/>
        <v>8</v>
      </c>
      <c r="AY383" s="30" t="s">
        <v>3877</v>
      </c>
      <c r="BC383" s="3" t="s">
        <v>7010</v>
      </c>
      <c r="BD383" s="3" t="s">
        <v>7010</v>
      </c>
      <c r="BE383" s="3" t="s">
        <v>7010</v>
      </c>
      <c r="BF383" s="3" t="s">
        <v>7010</v>
      </c>
      <c r="BG383" s="3" t="s">
        <v>7010</v>
      </c>
      <c r="BH383" s="3" t="s">
        <v>7010</v>
      </c>
      <c r="BI383" s="3" t="s">
        <v>7010</v>
      </c>
      <c r="BJ383" s="3" t="s">
        <v>7010</v>
      </c>
      <c r="BK383" s="74" t="str">
        <f t="shared" si="23"/>
        <v>No</v>
      </c>
    </row>
    <row r="384" spans="7:63">
      <c r="G384">
        <v>383</v>
      </c>
      <c r="H384" s="7" t="s">
        <v>565</v>
      </c>
      <c r="I384" t="s">
        <v>29</v>
      </c>
      <c r="J384">
        <f>LEN(H384)</f>
        <v>17</v>
      </c>
      <c r="K384" s="49" t="s">
        <v>3177</v>
      </c>
      <c r="O384" s="3" t="s">
        <v>7010</v>
      </c>
      <c r="P384" s="3" t="s">
        <v>7010</v>
      </c>
      <c r="Q384" s="3" t="s">
        <v>7010</v>
      </c>
      <c r="R384" s="3" t="s">
        <v>7010</v>
      </c>
      <c r="S384" s="3" t="s">
        <v>7010</v>
      </c>
      <c r="T384" s="3" t="s">
        <v>7010</v>
      </c>
      <c r="U384" s="3" t="s">
        <v>7010</v>
      </c>
      <c r="V384" s="3" t="s">
        <v>7010</v>
      </c>
      <c r="W384" s="74" t="str">
        <f t="shared" si="21"/>
        <v>No</v>
      </c>
      <c r="Z384">
        <v>383</v>
      </c>
      <c r="AA384" s="55" t="s">
        <v>3878</v>
      </c>
      <c r="AC384">
        <f t="shared" si="20"/>
        <v>7</v>
      </c>
      <c r="AD384" s="31" t="s">
        <v>3879</v>
      </c>
      <c r="AF384" t="s">
        <v>7799</v>
      </c>
      <c r="AH384" s="3" t="s">
        <v>7015</v>
      </c>
      <c r="AI384" s="3" t="s">
        <v>7010</v>
      </c>
      <c r="AJ384" s="3" t="s">
        <v>7010</v>
      </c>
      <c r="AK384" s="3" t="s">
        <v>7015</v>
      </c>
      <c r="AL384" s="3" t="s">
        <v>7010</v>
      </c>
      <c r="AM384" s="3" t="s">
        <v>7010</v>
      </c>
      <c r="AN384" s="3" t="s">
        <v>7010</v>
      </c>
      <c r="AO384" s="3" t="s">
        <v>7010</v>
      </c>
      <c r="AP384" s="74" t="s">
        <v>7015</v>
      </c>
      <c r="AU384">
        <v>383</v>
      </c>
      <c r="AV384" t="s">
        <v>3880</v>
      </c>
      <c r="AW384" t="s">
        <v>2279</v>
      </c>
      <c r="AX384">
        <f t="shared" si="22"/>
        <v>8</v>
      </c>
      <c r="AY384" s="30" t="s">
        <v>3881</v>
      </c>
      <c r="BC384" s="3" t="s">
        <v>7010</v>
      </c>
      <c r="BD384" s="3" t="s">
        <v>7010</v>
      </c>
      <c r="BE384" s="3" t="s">
        <v>7010</v>
      </c>
      <c r="BF384" s="3" t="s">
        <v>7010</v>
      </c>
      <c r="BG384" s="3" t="s">
        <v>7010</v>
      </c>
      <c r="BH384" s="3" t="s">
        <v>7010</v>
      </c>
      <c r="BI384" s="3" t="s">
        <v>7010</v>
      </c>
      <c r="BJ384" s="3" t="s">
        <v>7010</v>
      </c>
      <c r="BK384" s="74" t="str">
        <f t="shared" si="23"/>
        <v>No</v>
      </c>
    </row>
    <row r="385" spans="7:63">
      <c r="G385">
        <v>384</v>
      </c>
      <c r="H385" s="7" t="s">
        <v>1973</v>
      </c>
      <c r="I385" t="s">
        <v>29</v>
      </c>
      <c r="J385">
        <f>LEN(H385)</f>
        <v>12</v>
      </c>
      <c r="K385" s="49" t="s">
        <v>6258</v>
      </c>
      <c r="O385" s="3" t="s">
        <v>7010</v>
      </c>
      <c r="P385" s="3" t="s">
        <v>7010</v>
      </c>
      <c r="Q385" s="3" t="s">
        <v>7010</v>
      </c>
      <c r="R385" s="3" t="s">
        <v>7010</v>
      </c>
      <c r="S385" s="3" t="s">
        <v>7010</v>
      </c>
      <c r="T385" s="3" t="s">
        <v>7015</v>
      </c>
      <c r="U385" s="3" t="s">
        <v>7010</v>
      </c>
      <c r="V385" s="3" t="s">
        <v>7010</v>
      </c>
      <c r="W385" s="74" t="str">
        <f t="shared" si="21"/>
        <v>Yes</v>
      </c>
      <c r="Z385">
        <v>384</v>
      </c>
      <c r="AA385" s="55" t="s">
        <v>3883</v>
      </c>
      <c r="AC385">
        <f t="shared" si="20"/>
        <v>8</v>
      </c>
      <c r="AD385" s="30" t="s">
        <v>3884</v>
      </c>
      <c r="AF385" t="s">
        <v>7800</v>
      </c>
      <c r="AH385" s="3" t="s">
        <v>7015</v>
      </c>
      <c r="AI385" s="3" t="s">
        <v>7010</v>
      </c>
      <c r="AJ385" s="3" t="s">
        <v>7010</v>
      </c>
      <c r="AK385" s="3" t="s">
        <v>7015</v>
      </c>
      <c r="AL385" s="3" t="s">
        <v>7010</v>
      </c>
      <c r="AM385" s="3" t="s">
        <v>7010</v>
      </c>
      <c r="AN385" s="3" t="s">
        <v>7010</v>
      </c>
      <c r="AO385" s="3" t="s">
        <v>7010</v>
      </c>
      <c r="AP385" s="74" t="s">
        <v>7015</v>
      </c>
      <c r="AU385">
        <v>384</v>
      </c>
      <c r="AV385" t="s">
        <v>3885</v>
      </c>
      <c r="AW385" t="s">
        <v>2279</v>
      </c>
      <c r="AX385">
        <f t="shared" si="22"/>
        <v>8</v>
      </c>
      <c r="AY385" s="30" t="s">
        <v>3886</v>
      </c>
      <c r="BC385" s="3" t="s">
        <v>7010</v>
      </c>
      <c r="BD385" s="3" t="s">
        <v>7010</v>
      </c>
      <c r="BE385" s="3" t="s">
        <v>7010</v>
      </c>
      <c r="BF385" s="3" t="s">
        <v>7010</v>
      </c>
      <c r="BG385" s="3" t="s">
        <v>7010</v>
      </c>
      <c r="BH385" s="3" t="s">
        <v>7010</v>
      </c>
      <c r="BI385" s="3" t="s">
        <v>7010</v>
      </c>
      <c r="BJ385" s="3" t="s">
        <v>7010</v>
      </c>
      <c r="BK385" s="74" t="str">
        <f t="shared" si="23"/>
        <v>No</v>
      </c>
    </row>
    <row r="386" spans="7:63">
      <c r="G386">
        <v>385</v>
      </c>
      <c r="H386" s="7" t="s">
        <v>1866</v>
      </c>
      <c r="I386" t="s">
        <v>29</v>
      </c>
      <c r="J386">
        <f>LEN(H386)</f>
        <v>13</v>
      </c>
      <c r="K386" s="49" t="s">
        <v>5971</v>
      </c>
      <c r="O386" s="3" t="s">
        <v>7010</v>
      </c>
      <c r="P386" s="3" t="s">
        <v>7010</v>
      </c>
      <c r="Q386" s="3" t="s">
        <v>7010</v>
      </c>
      <c r="R386" s="3" t="s">
        <v>7010</v>
      </c>
      <c r="S386" s="3" t="s">
        <v>7010</v>
      </c>
      <c r="T386" s="3" t="s">
        <v>7015</v>
      </c>
      <c r="U386" s="3" t="s">
        <v>7010</v>
      </c>
      <c r="V386" s="3" t="s">
        <v>7010</v>
      </c>
      <c r="W386" s="74" t="str">
        <f t="shared" si="21"/>
        <v>Yes</v>
      </c>
      <c r="Z386">
        <v>385</v>
      </c>
      <c r="AA386" s="55" t="s">
        <v>3888</v>
      </c>
      <c r="AC386">
        <f t="shared" ref="AC386:AC449" si="24">LEN(AA386)</f>
        <v>7</v>
      </c>
      <c r="AD386" s="30" t="s">
        <v>3889</v>
      </c>
      <c r="AF386" t="s">
        <v>7801</v>
      </c>
      <c r="AH386" s="3" t="s">
        <v>7015</v>
      </c>
      <c r="AI386" s="3" t="s">
        <v>7010</v>
      </c>
      <c r="AJ386" s="3" t="s">
        <v>7010</v>
      </c>
      <c r="AK386" s="3" t="s">
        <v>7015</v>
      </c>
      <c r="AL386" s="3" t="s">
        <v>7010</v>
      </c>
      <c r="AM386" s="3" t="s">
        <v>7010</v>
      </c>
      <c r="AN386" s="3" t="s">
        <v>7010</v>
      </c>
      <c r="AO386" s="3" t="s">
        <v>7010</v>
      </c>
      <c r="AP386" s="74" t="s">
        <v>7015</v>
      </c>
      <c r="AU386">
        <v>385</v>
      </c>
      <c r="AV386" t="s">
        <v>3890</v>
      </c>
      <c r="AW386" t="s">
        <v>2279</v>
      </c>
      <c r="AX386">
        <f t="shared" si="22"/>
        <v>9</v>
      </c>
      <c r="AY386" s="30" t="s">
        <v>3891</v>
      </c>
      <c r="BC386" s="3" t="s">
        <v>7010</v>
      </c>
      <c r="BD386" s="3" t="s">
        <v>7010</v>
      </c>
      <c r="BE386" s="3" t="s">
        <v>7015</v>
      </c>
      <c r="BF386" s="3" t="s">
        <v>7010</v>
      </c>
      <c r="BG386" s="3" t="s">
        <v>7010</v>
      </c>
      <c r="BH386" s="3" t="s">
        <v>7010</v>
      </c>
      <c r="BI386" s="3" t="s">
        <v>7010</v>
      </c>
      <c r="BJ386" s="3" t="s">
        <v>7010</v>
      </c>
      <c r="BK386" s="74" t="str">
        <f t="shared" si="23"/>
        <v>Yes</v>
      </c>
    </row>
    <row r="387" spans="7:63">
      <c r="G387">
        <v>386</v>
      </c>
      <c r="H387" s="7" t="s">
        <v>2037</v>
      </c>
      <c r="I387" t="s">
        <v>29</v>
      </c>
      <c r="J387">
        <f>LEN(H387)</f>
        <v>12</v>
      </c>
      <c r="K387" s="49" t="s">
        <v>6422</v>
      </c>
      <c r="O387" s="3" t="s">
        <v>7010</v>
      </c>
      <c r="P387" s="3" t="s">
        <v>7010</v>
      </c>
      <c r="Q387" s="3" t="s">
        <v>7010</v>
      </c>
      <c r="R387" s="3" t="s">
        <v>7015</v>
      </c>
      <c r="S387" s="3" t="s">
        <v>7010</v>
      </c>
      <c r="T387" s="3" t="s">
        <v>7015</v>
      </c>
      <c r="U387" s="3" t="s">
        <v>7010</v>
      </c>
      <c r="V387" s="3" t="s">
        <v>7010</v>
      </c>
      <c r="W387" s="74" t="str">
        <f t="shared" ref="W387:W450" si="25">IF(COUNTIF(O387:V387, "Yes") &gt; 0, "Yes", "No")</f>
        <v>Yes</v>
      </c>
      <c r="Z387">
        <v>386</v>
      </c>
      <c r="AA387" s="55" t="s">
        <v>3893</v>
      </c>
      <c r="AC387">
        <f t="shared" si="24"/>
        <v>7</v>
      </c>
      <c r="AD387" s="30" t="s">
        <v>3894</v>
      </c>
      <c r="AF387" t="s">
        <v>7802</v>
      </c>
      <c r="AH387" s="3" t="s">
        <v>7015</v>
      </c>
      <c r="AI387" s="3" t="s">
        <v>7010</v>
      </c>
      <c r="AJ387" s="3" t="s">
        <v>7010</v>
      </c>
      <c r="AK387" s="3" t="s">
        <v>7015</v>
      </c>
      <c r="AL387" s="3" t="s">
        <v>7010</v>
      </c>
      <c r="AM387" s="3" t="s">
        <v>7010</v>
      </c>
      <c r="AN387" s="3" t="s">
        <v>7010</v>
      </c>
      <c r="AO387" s="3" t="s">
        <v>7010</v>
      </c>
      <c r="AP387" s="74" t="s">
        <v>7015</v>
      </c>
      <c r="AU387">
        <v>386</v>
      </c>
      <c r="AV387" t="s">
        <v>3895</v>
      </c>
      <c r="AW387" t="s">
        <v>2279</v>
      </c>
      <c r="AX387">
        <f t="shared" ref="AX387:AX450" si="26">LEN(AV387)</f>
        <v>8</v>
      </c>
      <c r="AY387" s="30" t="s">
        <v>3896</v>
      </c>
      <c r="BC387" s="3" t="s">
        <v>7010</v>
      </c>
      <c r="BD387" s="3" t="s">
        <v>7010</v>
      </c>
      <c r="BE387" s="3" t="s">
        <v>7010</v>
      </c>
      <c r="BF387" s="3" t="s">
        <v>7010</v>
      </c>
      <c r="BG387" s="3" t="s">
        <v>7010</v>
      </c>
      <c r="BH387" s="3" t="s">
        <v>7010</v>
      </c>
      <c r="BI387" s="3" t="s">
        <v>7010</v>
      </c>
      <c r="BJ387" s="3" t="s">
        <v>7010</v>
      </c>
      <c r="BK387" s="74" t="str">
        <f t="shared" ref="BK387:BK450" si="27">IF(COUNTIF(BC387:BJ387, "Yes") &gt; 0, "Yes", "No")</f>
        <v>No</v>
      </c>
    </row>
    <row r="388" spans="7:63">
      <c r="G388">
        <v>387</v>
      </c>
      <c r="H388" s="7" t="s">
        <v>603</v>
      </c>
      <c r="I388" t="s">
        <v>29</v>
      </c>
      <c r="J388">
        <f>LEN(H388)</f>
        <v>19</v>
      </c>
      <c r="K388" s="49" t="s">
        <v>7803</v>
      </c>
      <c r="O388" s="3" t="s">
        <v>7010</v>
      </c>
      <c r="P388" s="3" t="s">
        <v>7010</v>
      </c>
      <c r="Q388" s="3" t="s">
        <v>7010</v>
      </c>
      <c r="R388" s="3" t="s">
        <v>7010</v>
      </c>
      <c r="S388" s="3" t="s">
        <v>7010</v>
      </c>
      <c r="T388" s="3" t="s">
        <v>7015</v>
      </c>
      <c r="U388" s="3" t="s">
        <v>7010</v>
      </c>
      <c r="V388" s="3" t="s">
        <v>7010</v>
      </c>
      <c r="W388" s="74" t="str">
        <f t="shared" si="25"/>
        <v>Yes</v>
      </c>
      <c r="Z388">
        <v>387</v>
      </c>
      <c r="AA388" s="55" t="s">
        <v>3898</v>
      </c>
      <c r="AC388">
        <f t="shared" si="24"/>
        <v>4</v>
      </c>
      <c r="AD388" s="30" t="s">
        <v>3899</v>
      </c>
      <c r="AF388" t="s">
        <v>7804</v>
      </c>
      <c r="AH388" s="3" t="s">
        <v>7015</v>
      </c>
      <c r="AI388" s="3" t="s">
        <v>7010</v>
      </c>
      <c r="AJ388" s="3" t="s">
        <v>7010</v>
      </c>
      <c r="AK388" s="3" t="s">
        <v>7015</v>
      </c>
      <c r="AL388" s="3" t="s">
        <v>7010</v>
      </c>
      <c r="AM388" s="3" t="s">
        <v>7010</v>
      </c>
      <c r="AN388" s="3" t="s">
        <v>7010</v>
      </c>
      <c r="AO388" s="3" t="s">
        <v>7010</v>
      </c>
      <c r="AP388" s="74" t="s">
        <v>7015</v>
      </c>
      <c r="AU388">
        <v>387</v>
      </c>
      <c r="AV388" t="s">
        <v>3900</v>
      </c>
      <c r="AW388" t="s">
        <v>2279</v>
      </c>
      <c r="AX388">
        <f t="shared" si="26"/>
        <v>8</v>
      </c>
      <c r="AY388" s="30" t="s">
        <v>3901</v>
      </c>
      <c r="BC388" s="3" t="s">
        <v>7015</v>
      </c>
      <c r="BD388" s="3" t="s">
        <v>7010</v>
      </c>
      <c r="BE388" s="3" t="s">
        <v>7015</v>
      </c>
      <c r="BF388" s="3" t="s">
        <v>7010</v>
      </c>
      <c r="BG388" s="3" t="s">
        <v>7010</v>
      </c>
      <c r="BH388" s="3" t="s">
        <v>7010</v>
      </c>
      <c r="BI388" s="3" t="s">
        <v>7010</v>
      </c>
      <c r="BJ388" s="3" t="s">
        <v>7010</v>
      </c>
      <c r="BK388" s="74" t="str">
        <f t="shared" si="27"/>
        <v>Yes</v>
      </c>
    </row>
    <row r="389" spans="7:63">
      <c r="G389">
        <v>388</v>
      </c>
      <c r="H389" s="7" t="s">
        <v>1930</v>
      </c>
      <c r="I389" t="s">
        <v>29</v>
      </c>
      <c r="J389">
        <f>LEN(H389)</f>
        <v>10</v>
      </c>
      <c r="K389" s="49" t="s">
        <v>6133</v>
      </c>
      <c r="O389" s="3" t="s">
        <v>7010</v>
      </c>
      <c r="P389" s="3" t="s">
        <v>7010</v>
      </c>
      <c r="Q389" s="3" t="s">
        <v>7010</v>
      </c>
      <c r="R389" s="3" t="s">
        <v>7010</v>
      </c>
      <c r="S389" s="3" t="s">
        <v>7010</v>
      </c>
      <c r="T389" s="3" t="s">
        <v>7015</v>
      </c>
      <c r="U389" s="3" t="s">
        <v>7010</v>
      </c>
      <c r="V389" s="3" t="s">
        <v>7010</v>
      </c>
      <c r="W389" s="74" t="str">
        <f t="shared" si="25"/>
        <v>Yes</v>
      </c>
      <c r="Z389">
        <v>388</v>
      </c>
      <c r="AA389" s="55" t="s">
        <v>3903</v>
      </c>
      <c r="AC389">
        <f t="shared" si="24"/>
        <v>6</v>
      </c>
      <c r="AD389" s="30" t="s">
        <v>3904</v>
      </c>
      <c r="AF389" t="s">
        <v>7805</v>
      </c>
      <c r="AH389" s="3" t="s">
        <v>7015</v>
      </c>
      <c r="AI389" s="3" t="s">
        <v>7010</v>
      </c>
      <c r="AJ389" s="3" t="s">
        <v>7010</v>
      </c>
      <c r="AK389" s="3" t="s">
        <v>7015</v>
      </c>
      <c r="AL389" s="3" t="s">
        <v>7010</v>
      </c>
      <c r="AM389" s="3" t="s">
        <v>7010</v>
      </c>
      <c r="AN389" s="3" t="s">
        <v>7010</v>
      </c>
      <c r="AO389" s="3" t="s">
        <v>7010</v>
      </c>
      <c r="AP389" s="74" t="s">
        <v>7015</v>
      </c>
      <c r="AU389">
        <v>388</v>
      </c>
      <c r="AV389" t="s">
        <v>3905</v>
      </c>
      <c r="AW389" t="s">
        <v>2279</v>
      </c>
      <c r="AX389">
        <f t="shared" si="26"/>
        <v>8</v>
      </c>
      <c r="AY389" s="30" t="s">
        <v>3906</v>
      </c>
      <c r="BC389" s="3" t="s">
        <v>7010</v>
      </c>
      <c r="BD389" s="3" t="s">
        <v>7010</v>
      </c>
      <c r="BE389" s="3" t="s">
        <v>7015</v>
      </c>
      <c r="BF389" s="3" t="s">
        <v>7010</v>
      </c>
      <c r="BG389" s="3" t="s">
        <v>7010</v>
      </c>
      <c r="BH389" s="3" t="s">
        <v>7010</v>
      </c>
      <c r="BI389" s="3" t="s">
        <v>7010</v>
      </c>
      <c r="BJ389" s="3" t="s">
        <v>7010</v>
      </c>
      <c r="BK389" s="74" t="str">
        <f t="shared" si="27"/>
        <v>Yes</v>
      </c>
    </row>
    <row r="390" spans="7:63">
      <c r="G390">
        <v>389</v>
      </c>
      <c r="H390" s="7" t="s">
        <v>1961</v>
      </c>
      <c r="I390" t="s">
        <v>29</v>
      </c>
      <c r="J390">
        <f>LEN(H390)</f>
        <v>10</v>
      </c>
      <c r="K390" s="49" t="s">
        <v>6220</v>
      </c>
      <c r="O390" s="3" t="s">
        <v>7010</v>
      </c>
      <c r="P390" s="3" t="s">
        <v>7010</v>
      </c>
      <c r="Q390" s="3" t="s">
        <v>7010</v>
      </c>
      <c r="R390" s="3" t="s">
        <v>7010</v>
      </c>
      <c r="S390" s="3" t="s">
        <v>7010</v>
      </c>
      <c r="T390" s="3" t="s">
        <v>7015</v>
      </c>
      <c r="U390" s="3" t="s">
        <v>7010</v>
      </c>
      <c r="V390" s="3" t="s">
        <v>7010</v>
      </c>
      <c r="W390" s="74" t="str">
        <f t="shared" si="25"/>
        <v>Yes</v>
      </c>
      <c r="Z390">
        <v>389</v>
      </c>
      <c r="AA390" s="55" t="s">
        <v>3908</v>
      </c>
      <c r="AC390">
        <f t="shared" si="24"/>
        <v>9</v>
      </c>
      <c r="AD390" s="30" t="s">
        <v>3909</v>
      </c>
      <c r="AF390" t="s">
        <v>7806</v>
      </c>
      <c r="AH390" s="3" t="s">
        <v>7015</v>
      </c>
      <c r="AI390" s="3" t="s">
        <v>7010</v>
      </c>
      <c r="AJ390" s="3" t="s">
        <v>7010</v>
      </c>
      <c r="AK390" s="3" t="s">
        <v>7015</v>
      </c>
      <c r="AL390" s="3" t="s">
        <v>7010</v>
      </c>
      <c r="AM390" s="3" t="s">
        <v>7010</v>
      </c>
      <c r="AN390" s="3" t="s">
        <v>7010</v>
      </c>
      <c r="AO390" s="3" t="s">
        <v>7010</v>
      </c>
      <c r="AP390" s="74" t="s">
        <v>7015</v>
      </c>
      <c r="AU390">
        <v>389</v>
      </c>
      <c r="AV390" t="s">
        <v>3910</v>
      </c>
      <c r="AW390" t="s">
        <v>2279</v>
      </c>
      <c r="AX390">
        <f t="shared" si="26"/>
        <v>8</v>
      </c>
      <c r="AY390" s="30" t="s">
        <v>3911</v>
      </c>
      <c r="BC390" s="3" t="s">
        <v>7010</v>
      </c>
      <c r="BD390" s="3" t="s">
        <v>7010</v>
      </c>
      <c r="BE390" s="3" t="s">
        <v>7010</v>
      </c>
      <c r="BF390" s="3" t="s">
        <v>7010</v>
      </c>
      <c r="BG390" s="3" t="s">
        <v>7010</v>
      </c>
      <c r="BH390" s="3" t="s">
        <v>7010</v>
      </c>
      <c r="BI390" s="3" t="s">
        <v>7010</v>
      </c>
      <c r="BJ390" s="3" t="s">
        <v>7010</v>
      </c>
      <c r="BK390" s="74" t="str">
        <f t="shared" si="27"/>
        <v>No</v>
      </c>
    </row>
    <row r="391" spans="7:63">
      <c r="G391">
        <v>390</v>
      </c>
      <c r="H391" s="7" t="s">
        <v>2007</v>
      </c>
      <c r="I391" t="s">
        <v>29</v>
      </c>
      <c r="J391">
        <f>LEN(H391)</f>
        <v>18</v>
      </c>
      <c r="K391" s="49" t="s">
        <v>6342</v>
      </c>
      <c r="O391" s="3" t="s">
        <v>7010</v>
      </c>
      <c r="P391" s="3" t="s">
        <v>7010</v>
      </c>
      <c r="Q391" s="3" t="s">
        <v>7010</v>
      </c>
      <c r="R391" s="3" t="s">
        <v>7010</v>
      </c>
      <c r="S391" s="3" t="s">
        <v>7010</v>
      </c>
      <c r="T391" s="3" t="s">
        <v>7010</v>
      </c>
      <c r="U391" s="3" t="s">
        <v>7010</v>
      </c>
      <c r="V391" s="3" t="s">
        <v>7010</v>
      </c>
      <c r="W391" s="74" t="str">
        <f t="shared" si="25"/>
        <v>No</v>
      </c>
      <c r="Z391">
        <v>390</v>
      </c>
      <c r="AA391" s="55" t="s">
        <v>3913</v>
      </c>
      <c r="AC391">
        <f t="shared" si="24"/>
        <v>6</v>
      </c>
      <c r="AD391" s="30" t="s">
        <v>3914</v>
      </c>
      <c r="AF391" t="s">
        <v>7807</v>
      </c>
      <c r="AH391" s="3" t="s">
        <v>7015</v>
      </c>
      <c r="AI391" s="3" t="s">
        <v>7010</v>
      </c>
      <c r="AJ391" s="3" t="s">
        <v>7010</v>
      </c>
      <c r="AK391" s="3" t="s">
        <v>7015</v>
      </c>
      <c r="AL391" s="3" t="s">
        <v>7010</v>
      </c>
      <c r="AM391" s="3" t="s">
        <v>7010</v>
      </c>
      <c r="AN391" s="3" t="s">
        <v>7010</v>
      </c>
      <c r="AO391" s="3" t="s">
        <v>7010</v>
      </c>
      <c r="AP391" s="74" t="s">
        <v>7015</v>
      </c>
      <c r="AU391">
        <v>390</v>
      </c>
      <c r="AV391" t="s">
        <v>3915</v>
      </c>
      <c r="AW391" t="s">
        <v>2279</v>
      </c>
      <c r="AX391">
        <f t="shared" si="26"/>
        <v>11</v>
      </c>
      <c r="AY391" s="30" t="s">
        <v>3916</v>
      </c>
      <c r="BC391" s="3" t="s">
        <v>7010</v>
      </c>
      <c r="BD391" s="3" t="s">
        <v>7010</v>
      </c>
      <c r="BE391" s="3" t="s">
        <v>7010</v>
      </c>
      <c r="BF391" s="3" t="s">
        <v>7010</v>
      </c>
      <c r="BG391" s="3" t="s">
        <v>7010</v>
      </c>
      <c r="BH391" s="3" t="s">
        <v>7010</v>
      </c>
      <c r="BI391" s="3" t="s">
        <v>7010</v>
      </c>
      <c r="BJ391" s="3" t="s">
        <v>7010</v>
      </c>
      <c r="BK391" s="74" t="str">
        <f t="shared" si="27"/>
        <v>No</v>
      </c>
    </row>
    <row r="392" spans="7:63">
      <c r="G392">
        <v>391</v>
      </c>
      <c r="H392" s="7" t="s">
        <v>422</v>
      </c>
      <c r="I392" t="s">
        <v>29</v>
      </c>
      <c r="J392">
        <f>LEN(H392)</f>
        <v>13</v>
      </c>
      <c r="K392" s="49" t="s">
        <v>2605</v>
      </c>
      <c r="O392" s="3" t="s">
        <v>7010</v>
      </c>
      <c r="P392" s="3" t="s">
        <v>7010</v>
      </c>
      <c r="Q392" s="3" t="s">
        <v>7010</v>
      </c>
      <c r="R392" s="3" t="s">
        <v>7015</v>
      </c>
      <c r="S392" s="3" t="s">
        <v>7010</v>
      </c>
      <c r="T392" s="3" t="s">
        <v>7015</v>
      </c>
      <c r="U392" s="3" t="s">
        <v>7010</v>
      </c>
      <c r="V392" s="3" t="s">
        <v>7010</v>
      </c>
      <c r="W392" s="74" t="str">
        <f t="shared" si="25"/>
        <v>Yes</v>
      </c>
      <c r="Z392">
        <v>391</v>
      </c>
      <c r="AA392" s="55" t="s">
        <v>3918</v>
      </c>
      <c r="AC392">
        <f t="shared" si="24"/>
        <v>8</v>
      </c>
      <c r="AD392" s="30" t="s">
        <v>3919</v>
      </c>
      <c r="AF392" t="s">
        <v>7808</v>
      </c>
      <c r="AH392" s="3" t="s">
        <v>7015</v>
      </c>
      <c r="AI392" s="3" t="s">
        <v>7010</v>
      </c>
      <c r="AJ392" s="3" t="s">
        <v>7010</v>
      </c>
      <c r="AK392" s="3" t="s">
        <v>7015</v>
      </c>
      <c r="AL392" s="3" t="s">
        <v>7010</v>
      </c>
      <c r="AM392" s="3" t="s">
        <v>7010</v>
      </c>
      <c r="AN392" s="3" t="s">
        <v>7010</v>
      </c>
      <c r="AO392" s="3" t="s">
        <v>7010</v>
      </c>
      <c r="AP392" s="74" t="s">
        <v>7015</v>
      </c>
      <c r="AU392">
        <v>391</v>
      </c>
      <c r="AV392" t="s">
        <v>3920</v>
      </c>
      <c r="AW392" t="s">
        <v>2279</v>
      </c>
      <c r="AX392">
        <f t="shared" si="26"/>
        <v>8</v>
      </c>
      <c r="AY392" s="30" t="s">
        <v>3921</v>
      </c>
      <c r="BC392" s="3" t="s">
        <v>7010</v>
      </c>
      <c r="BD392" s="3" t="s">
        <v>7010</v>
      </c>
      <c r="BE392" s="3" t="s">
        <v>7015</v>
      </c>
      <c r="BF392" s="3" t="s">
        <v>7010</v>
      </c>
      <c r="BG392" s="3" t="s">
        <v>7010</v>
      </c>
      <c r="BH392" s="3" t="s">
        <v>7010</v>
      </c>
      <c r="BI392" s="3" t="s">
        <v>7010</v>
      </c>
      <c r="BJ392" s="3" t="s">
        <v>7010</v>
      </c>
      <c r="BK392" s="74" t="str">
        <f t="shared" si="27"/>
        <v>Yes</v>
      </c>
    </row>
    <row r="393" spans="7:63">
      <c r="G393">
        <v>392</v>
      </c>
      <c r="H393" s="7" t="s">
        <v>1941</v>
      </c>
      <c r="I393" t="s">
        <v>29</v>
      </c>
      <c r="J393">
        <f>LEN(H393)</f>
        <v>12</v>
      </c>
      <c r="K393" s="49" t="s">
        <v>6170</v>
      </c>
      <c r="O393" s="3" t="s">
        <v>7010</v>
      </c>
      <c r="P393" s="3" t="s">
        <v>7010</v>
      </c>
      <c r="Q393" s="3" t="s">
        <v>7010</v>
      </c>
      <c r="R393" s="3" t="s">
        <v>7015</v>
      </c>
      <c r="S393" s="3" t="s">
        <v>7010</v>
      </c>
      <c r="T393" s="3" t="s">
        <v>7015</v>
      </c>
      <c r="U393" s="3" t="s">
        <v>7010</v>
      </c>
      <c r="V393" s="3" t="s">
        <v>7010</v>
      </c>
      <c r="W393" s="74" t="str">
        <f t="shared" si="25"/>
        <v>Yes</v>
      </c>
      <c r="Z393">
        <v>392</v>
      </c>
      <c r="AA393" s="55" t="s">
        <v>3923</v>
      </c>
      <c r="AC393">
        <f t="shared" si="24"/>
        <v>8</v>
      </c>
      <c r="AD393" s="30" t="s">
        <v>3924</v>
      </c>
      <c r="AF393" t="s">
        <v>7809</v>
      </c>
      <c r="AH393" s="3" t="s">
        <v>7015</v>
      </c>
      <c r="AI393" s="3" t="s">
        <v>7010</v>
      </c>
      <c r="AJ393" s="3" t="s">
        <v>7010</v>
      </c>
      <c r="AK393" s="3" t="s">
        <v>7015</v>
      </c>
      <c r="AL393" s="3" t="s">
        <v>7010</v>
      </c>
      <c r="AM393" s="3" t="s">
        <v>7010</v>
      </c>
      <c r="AN393" s="3" t="s">
        <v>7010</v>
      </c>
      <c r="AO393" s="3" t="s">
        <v>7010</v>
      </c>
      <c r="AP393" s="74" t="s">
        <v>7015</v>
      </c>
      <c r="AU393">
        <v>392</v>
      </c>
      <c r="AV393" t="s">
        <v>3925</v>
      </c>
      <c r="AW393" t="s">
        <v>2279</v>
      </c>
      <c r="AX393">
        <f t="shared" si="26"/>
        <v>8</v>
      </c>
      <c r="AY393" s="30" t="s">
        <v>3926</v>
      </c>
      <c r="BC393" s="3" t="s">
        <v>7010</v>
      </c>
      <c r="BD393" s="3" t="s">
        <v>7010</v>
      </c>
      <c r="BE393" s="3" t="s">
        <v>7010</v>
      </c>
      <c r="BF393" s="3" t="s">
        <v>7010</v>
      </c>
      <c r="BG393" s="3" t="s">
        <v>7010</v>
      </c>
      <c r="BH393" s="3" t="s">
        <v>7010</v>
      </c>
      <c r="BI393" s="3" t="s">
        <v>7010</v>
      </c>
      <c r="BJ393" s="3" t="s">
        <v>7010</v>
      </c>
      <c r="BK393" s="74" t="str">
        <f t="shared" si="27"/>
        <v>No</v>
      </c>
    </row>
    <row r="394" spans="7:63">
      <c r="G394">
        <v>393</v>
      </c>
      <c r="H394" s="7" t="s">
        <v>1924</v>
      </c>
      <c r="I394" t="s">
        <v>29</v>
      </c>
      <c r="J394">
        <f>LEN(H394)</f>
        <v>15</v>
      </c>
      <c r="K394" s="49" t="s">
        <v>6118</v>
      </c>
      <c r="O394" s="3" t="s">
        <v>7010</v>
      </c>
      <c r="P394" s="3" t="s">
        <v>7010</v>
      </c>
      <c r="Q394" s="3" t="s">
        <v>7010</v>
      </c>
      <c r="R394" s="3" t="s">
        <v>7015</v>
      </c>
      <c r="S394" s="3" t="s">
        <v>7010</v>
      </c>
      <c r="T394" s="3" t="s">
        <v>7015</v>
      </c>
      <c r="U394" s="3" t="s">
        <v>7010</v>
      </c>
      <c r="V394" s="3" t="s">
        <v>7010</v>
      </c>
      <c r="W394" s="74" t="str">
        <f t="shared" si="25"/>
        <v>Yes</v>
      </c>
      <c r="Z394">
        <v>393</v>
      </c>
      <c r="AA394" s="55" t="s">
        <v>3928</v>
      </c>
      <c r="AC394">
        <f t="shared" si="24"/>
        <v>7</v>
      </c>
      <c r="AD394" s="30" t="s">
        <v>3929</v>
      </c>
      <c r="AF394" t="s">
        <v>7810</v>
      </c>
      <c r="AH394" s="3" t="s">
        <v>7015</v>
      </c>
      <c r="AI394" s="3" t="s">
        <v>7010</v>
      </c>
      <c r="AJ394" s="3" t="s">
        <v>7010</v>
      </c>
      <c r="AK394" s="3" t="s">
        <v>7015</v>
      </c>
      <c r="AL394" s="3" t="s">
        <v>7010</v>
      </c>
      <c r="AM394" s="3" t="s">
        <v>7010</v>
      </c>
      <c r="AN394" s="3" t="s">
        <v>7010</v>
      </c>
      <c r="AO394" s="3" t="s">
        <v>7010</v>
      </c>
      <c r="AP394" s="74" t="s">
        <v>7015</v>
      </c>
      <c r="AU394">
        <v>393</v>
      </c>
      <c r="AV394" t="s">
        <v>3930</v>
      </c>
      <c r="AW394" t="s">
        <v>2279</v>
      </c>
      <c r="AX394">
        <f t="shared" si="26"/>
        <v>8</v>
      </c>
      <c r="AY394" s="30" t="s">
        <v>3931</v>
      </c>
      <c r="BC394" s="3" t="s">
        <v>7010</v>
      </c>
      <c r="BD394" s="3" t="s">
        <v>7010</v>
      </c>
      <c r="BE394" s="3" t="s">
        <v>7010</v>
      </c>
      <c r="BF394" s="3" t="s">
        <v>7010</v>
      </c>
      <c r="BG394" s="3" t="s">
        <v>7010</v>
      </c>
      <c r="BH394" s="3" t="s">
        <v>7010</v>
      </c>
      <c r="BI394" s="3" t="s">
        <v>7010</v>
      </c>
      <c r="BJ394" s="3" t="s">
        <v>7010</v>
      </c>
      <c r="BK394" s="74" t="str">
        <f t="shared" si="27"/>
        <v>No</v>
      </c>
    </row>
    <row r="395" spans="7:63">
      <c r="G395">
        <v>394</v>
      </c>
      <c r="H395" s="7" t="s">
        <v>1888</v>
      </c>
      <c r="I395" t="s">
        <v>29</v>
      </c>
      <c r="J395">
        <f>LEN(H395)</f>
        <v>11</v>
      </c>
      <c r="K395" s="49" t="s">
        <v>6024</v>
      </c>
      <c r="O395" s="3" t="s">
        <v>7010</v>
      </c>
      <c r="P395" s="3" t="s">
        <v>7010</v>
      </c>
      <c r="Q395" s="3" t="s">
        <v>7010</v>
      </c>
      <c r="R395" s="3" t="s">
        <v>7010</v>
      </c>
      <c r="S395" s="3" t="s">
        <v>7010</v>
      </c>
      <c r="T395" s="3" t="s">
        <v>7010</v>
      </c>
      <c r="U395" s="3" t="s">
        <v>7010</v>
      </c>
      <c r="V395" s="3" t="s">
        <v>7010</v>
      </c>
      <c r="W395" s="74" t="str">
        <f t="shared" si="25"/>
        <v>No</v>
      </c>
      <c r="Z395">
        <v>394</v>
      </c>
      <c r="AA395" s="55" t="s">
        <v>3933</v>
      </c>
      <c r="AC395">
        <f t="shared" si="24"/>
        <v>6</v>
      </c>
      <c r="AD395" s="30" t="s">
        <v>3934</v>
      </c>
      <c r="AF395" t="s">
        <v>7811</v>
      </c>
      <c r="AH395" s="3" t="s">
        <v>7015</v>
      </c>
      <c r="AI395" s="3" t="s">
        <v>7010</v>
      </c>
      <c r="AJ395" s="3" t="s">
        <v>7010</v>
      </c>
      <c r="AK395" s="3" t="s">
        <v>7015</v>
      </c>
      <c r="AL395" s="3" t="s">
        <v>7010</v>
      </c>
      <c r="AM395" s="3" t="s">
        <v>7010</v>
      </c>
      <c r="AN395" s="3" t="s">
        <v>7010</v>
      </c>
      <c r="AO395" s="3" t="s">
        <v>7010</v>
      </c>
      <c r="AP395" s="74" t="s">
        <v>7015</v>
      </c>
      <c r="AU395">
        <v>394</v>
      </c>
      <c r="AV395" t="s">
        <v>3935</v>
      </c>
      <c r="AW395" t="s">
        <v>2279</v>
      </c>
      <c r="AX395">
        <f t="shared" si="26"/>
        <v>9</v>
      </c>
      <c r="AY395" s="30" t="s">
        <v>3936</v>
      </c>
      <c r="BC395" s="3" t="s">
        <v>7010</v>
      </c>
      <c r="BD395" s="3" t="s">
        <v>7010</v>
      </c>
      <c r="BE395" s="3" t="s">
        <v>7015</v>
      </c>
      <c r="BF395" s="3" t="s">
        <v>7010</v>
      </c>
      <c r="BG395" s="3" t="s">
        <v>7010</v>
      </c>
      <c r="BH395" s="3" t="s">
        <v>7010</v>
      </c>
      <c r="BI395" s="3" t="s">
        <v>7010</v>
      </c>
      <c r="BJ395" s="3" t="s">
        <v>7010</v>
      </c>
      <c r="BK395" s="74" t="str">
        <f t="shared" si="27"/>
        <v>Yes</v>
      </c>
    </row>
    <row r="396" spans="7:63">
      <c r="G396">
        <v>395</v>
      </c>
      <c r="H396" s="7" t="s">
        <v>450</v>
      </c>
      <c r="I396" t="s">
        <v>29</v>
      </c>
      <c r="J396">
        <f>LEN(H396)</f>
        <v>12</v>
      </c>
      <c r="K396" s="49" t="s">
        <v>2717</v>
      </c>
      <c r="O396" s="3" t="s">
        <v>7010</v>
      </c>
      <c r="P396" s="3" t="s">
        <v>7010</v>
      </c>
      <c r="Q396" s="3" t="s">
        <v>7010</v>
      </c>
      <c r="R396" s="3" t="s">
        <v>7010</v>
      </c>
      <c r="S396" s="3" t="s">
        <v>7010</v>
      </c>
      <c r="T396" s="3" t="s">
        <v>7015</v>
      </c>
      <c r="U396" s="3" t="s">
        <v>7010</v>
      </c>
      <c r="V396" s="3" t="s">
        <v>7010</v>
      </c>
      <c r="W396" s="74" t="str">
        <f t="shared" si="25"/>
        <v>Yes</v>
      </c>
      <c r="Z396">
        <v>395</v>
      </c>
      <c r="AA396" s="55" t="s">
        <v>3938</v>
      </c>
      <c r="AC396">
        <f t="shared" si="24"/>
        <v>6</v>
      </c>
      <c r="AD396" s="30" t="s">
        <v>3939</v>
      </c>
      <c r="AF396" t="s">
        <v>7812</v>
      </c>
      <c r="AH396" s="3" t="s">
        <v>7015</v>
      </c>
      <c r="AI396" s="3" t="s">
        <v>7010</v>
      </c>
      <c r="AJ396" s="3" t="s">
        <v>7010</v>
      </c>
      <c r="AK396" s="3" t="s">
        <v>7015</v>
      </c>
      <c r="AL396" s="3" t="s">
        <v>7010</v>
      </c>
      <c r="AM396" s="3" t="s">
        <v>7010</v>
      </c>
      <c r="AN396" s="3" t="s">
        <v>7010</v>
      </c>
      <c r="AO396" s="3" t="s">
        <v>7010</v>
      </c>
      <c r="AP396" s="74" t="s">
        <v>7015</v>
      </c>
      <c r="AU396">
        <v>395</v>
      </c>
      <c r="AV396" t="s">
        <v>3940</v>
      </c>
      <c r="AW396" t="s">
        <v>2279</v>
      </c>
      <c r="AX396">
        <f t="shared" si="26"/>
        <v>9</v>
      </c>
      <c r="AY396" s="30" t="s">
        <v>3941</v>
      </c>
      <c r="BC396" s="3" t="s">
        <v>7010</v>
      </c>
      <c r="BD396" s="3" t="s">
        <v>7010</v>
      </c>
      <c r="BE396" s="3" t="s">
        <v>7010</v>
      </c>
      <c r="BF396" s="3" t="s">
        <v>7010</v>
      </c>
      <c r="BG396" s="3" t="s">
        <v>7010</v>
      </c>
      <c r="BH396" s="3" t="s">
        <v>7010</v>
      </c>
      <c r="BI396" s="3" t="s">
        <v>7010</v>
      </c>
      <c r="BJ396" s="3" t="s">
        <v>7010</v>
      </c>
      <c r="BK396" s="74" t="str">
        <f t="shared" si="27"/>
        <v>No</v>
      </c>
    </row>
    <row r="397" spans="7:63">
      <c r="G397">
        <v>396</v>
      </c>
      <c r="H397" s="7" t="s">
        <v>2089</v>
      </c>
      <c r="I397" t="s">
        <v>29</v>
      </c>
      <c r="J397">
        <f>LEN(H397)</f>
        <v>10</v>
      </c>
      <c r="K397" s="49" t="s">
        <v>6548</v>
      </c>
      <c r="O397" s="3" t="s">
        <v>7010</v>
      </c>
      <c r="P397" s="3" t="s">
        <v>7010</v>
      </c>
      <c r="Q397" s="3" t="s">
        <v>7010</v>
      </c>
      <c r="R397" s="3" t="s">
        <v>7010</v>
      </c>
      <c r="S397" s="3" t="s">
        <v>7010</v>
      </c>
      <c r="T397" s="3" t="s">
        <v>7015</v>
      </c>
      <c r="U397" s="3" t="s">
        <v>7010</v>
      </c>
      <c r="V397" s="3" t="s">
        <v>7010</v>
      </c>
      <c r="W397" s="74" t="str">
        <f t="shared" si="25"/>
        <v>Yes</v>
      </c>
      <c r="Z397">
        <v>396</v>
      </c>
      <c r="AA397" s="55" t="s">
        <v>3943</v>
      </c>
      <c r="AC397">
        <f t="shared" si="24"/>
        <v>7</v>
      </c>
      <c r="AD397" s="30" t="s">
        <v>3944</v>
      </c>
      <c r="AF397" t="s">
        <v>7813</v>
      </c>
      <c r="AH397" s="3" t="s">
        <v>7015</v>
      </c>
      <c r="AI397" s="3" t="s">
        <v>7010</v>
      </c>
      <c r="AJ397" s="3" t="s">
        <v>7010</v>
      </c>
      <c r="AK397" s="3" t="s">
        <v>7015</v>
      </c>
      <c r="AL397" s="3" t="s">
        <v>7010</v>
      </c>
      <c r="AM397" s="3" t="s">
        <v>7010</v>
      </c>
      <c r="AN397" s="3" t="s">
        <v>7010</v>
      </c>
      <c r="AO397" s="3" t="s">
        <v>7010</v>
      </c>
      <c r="AP397" s="74" t="s">
        <v>7015</v>
      </c>
      <c r="AU397">
        <v>396</v>
      </c>
      <c r="AV397" t="s">
        <v>3945</v>
      </c>
      <c r="AW397" t="s">
        <v>2279</v>
      </c>
      <c r="AX397">
        <f t="shared" si="26"/>
        <v>8</v>
      </c>
      <c r="AY397" s="30" t="s">
        <v>3946</v>
      </c>
      <c r="BC397" s="3" t="s">
        <v>7010</v>
      </c>
      <c r="BD397" s="3" t="s">
        <v>7010</v>
      </c>
      <c r="BE397" s="3" t="s">
        <v>7010</v>
      </c>
      <c r="BF397" s="3" t="s">
        <v>7010</v>
      </c>
      <c r="BG397" s="3" t="s">
        <v>7010</v>
      </c>
      <c r="BH397" s="3" t="s">
        <v>7010</v>
      </c>
      <c r="BI397" s="3" t="s">
        <v>7010</v>
      </c>
      <c r="BJ397" s="3" t="s">
        <v>7010</v>
      </c>
      <c r="BK397" s="74" t="str">
        <f t="shared" si="27"/>
        <v>No</v>
      </c>
    </row>
    <row r="398" spans="7:63">
      <c r="G398">
        <v>397</v>
      </c>
      <c r="H398" s="7" t="s">
        <v>1032</v>
      </c>
      <c r="I398" t="s">
        <v>29</v>
      </c>
      <c r="J398">
        <f>LEN(H398)</f>
        <v>17</v>
      </c>
      <c r="K398" s="49" t="s">
        <v>3782</v>
      </c>
      <c r="O398" s="3" t="s">
        <v>7010</v>
      </c>
      <c r="P398" s="3" t="s">
        <v>7010</v>
      </c>
      <c r="Q398" s="3" t="s">
        <v>7010</v>
      </c>
      <c r="R398" s="3" t="s">
        <v>7010</v>
      </c>
      <c r="S398" s="3" t="s">
        <v>7010</v>
      </c>
      <c r="T398" s="3" t="s">
        <v>7010</v>
      </c>
      <c r="U398" s="3" t="s">
        <v>7010</v>
      </c>
      <c r="V398" s="3" t="s">
        <v>7010</v>
      </c>
      <c r="W398" s="74" t="str">
        <f t="shared" si="25"/>
        <v>No</v>
      </c>
      <c r="Z398">
        <v>397</v>
      </c>
      <c r="AA398" s="55" t="s">
        <v>3948</v>
      </c>
      <c r="AC398">
        <f t="shared" si="24"/>
        <v>6</v>
      </c>
      <c r="AD398" s="30" t="s">
        <v>3949</v>
      </c>
      <c r="AF398" t="s">
        <v>7814</v>
      </c>
      <c r="AH398" s="3" t="s">
        <v>7015</v>
      </c>
      <c r="AI398" s="3" t="s">
        <v>7010</v>
      </c>
      <c r="AJ398" s="3" t="s">
        <v>7010</v>
      </c>
      <c r="AK398" s="3" t="s">
        <v>7015</v>
      </c>
      <c r="AL398" s="3" t="s">
        <v>7010</v>
      </c>
      <c r="AM398" s="3" t="s">
        <v>7010</v>
      </c>
      <c r="AN398" s="3" t="s">
        <v>7010</v>
      </c>
      <c r="AO398" s="3" t="s">
        <v>7010</v>
      </c>
      <c r="AP398" s="74" t="s">
        <v>7015</v>
      </c>
      <c r="AU398">
        <v>397</v>
      </c>
      <c r="AV398" t="s">
        <v>3950</v>
      </c>
      <c r="AW398" t="s">
        <v>2279</v>
      </c>
      <c r="AX398">
        <f t="shared" si="26"/>
        <v>14</v>
      </c>
      <c r="AY398" s="30" t="s">
        <v>3951</v>
      </c>
      <c r="BC398" s="3" t="s">
        <v>7010</v>
      </c>
      <c r="BD398" s="3" t="s">
        <v>7010</v>
      </c>
      <c r="BE398" s="3" t="s">
        <v>7010</v>
      </c>
      <c r="BF398" s="3" t="s">
        <v>7010</v>
      </c>
      <c r="BG398" s="3" t="s">
        <v>7010</v>
      </c>
      <c r="BH398" s="3" t="s">
        <v>7010</v>
      </c>
      <c r="BI398" s="3" t="s">
        <v>7010</v>
      </c>
      <c r="BJ398" s="3" t="s">
        <v>7010</v>
      </c>
      <c r="BK398" s="74" t="str">
        <f t="shared" si="27"/>
        <v>No</v>
      </c>
    </row>
    <row r="399" spans="7:63">
      <c r="G399">
        <v>398</v>
      </c>
      <c r="H399" s="7" t="s">
        <v>1955</v>
      </c>
      <c r="I399" t="s">
        <v>29</v>
      </c>
      <c r="J399">
        <f>LEN(H399)</f>
        <v>11</v>
      </c>
      <c r="K399" s="49" t="s">
        <v>6205</v>
      </c>
      <c r="O399" s="3" t="s">
        <v>7010</v>
      </c>
      <c r="P399" s="3" t="s">
        <v>7010</v>
      </c>
      <c r="Q399" s="3" t="s">
        <v>7010</v>
      </c>
      <c r="R399" s="3" t="s">
        <v>7015</v>
      </c>
      <c r="S399" s="3" t="s">
        <v>7010</v>
      </c>
      <c r="T399" s="3" t="s">
        <v>7010</v>
      </c>
      <c r="U399" s="3" t="s">
        <v>7010</v>
      </c>
      <c r="V399" s="3" t="s">
        <v>7010</v>
      </c>
      <c r="W399" s="74" t="str">
        <f t="shared" si="25"/>
        <v>Yes</v>
      </c>
      <c r="Z399">
        <v>398</v>
      </c>
      <c r="AA399" s="55" t="s">
        <v>3953</v>
      </c>
      <c r="AC399">
        <f t="shared" si="24"/>
        <v>7</v>
      </c>
      <c r="AD399" s="30" t="s">
        <v>3954</v>
      </c>
      <c r="AF399" t="s">
        <v>7815</v>
      </c>
      <c r="AH399" s="3" t="s">
        <v>7015</v>
      </c>
      <c r="AI399" s="3" t="s">
        <v>7010</v>
      </c>
      <c r="AJ399" s="3" t="s">
        <v>7010</v>
      </c>
      <c r="AK399" s="3" t="s">
        <v>7015</v>
      </c>
      <c r="AL399" s="3" t="s">
        <v>7010</v>
      </c>
      <c r="AM399" s="3" t="s">
        <v>7010</v>
      </c>
      <c r="AN399" s="3" t="s">
        <v>7010</v>
      </c>
      <c r="AO399" s="3" t="s">
        <v>7010</v>
      </c>
      <c r="AP399" s="74" t="s">
        <v>7015</v>
      </c>
      <c r="AU399">
        <v>398</v>
      </c>
      <c r="AV399" t="s">
        <v>3955</v>
      </c>
      <c r="AW399" t="s">
        <v>2279</v>
      </c>
      <c r="AX399">
        <f t="shared" si="26"/>
        <v>8</v>
      </c>
      <c r="AY399" s="30" t="s">
        <v>3956</v>
      </c>
      <c r="BC399" s="3" t="s">
        <v>7010</v>
      </c>
      <c r="BD399" s="3" t="s">
        <v>7010</v>
      </c>
      <c r="BE399" s="3" t="s">
        <v>7015</v>
      </c>
      <c r="BF399" s="3" t="s">
        <v>7010</v>
      </c>
      <c r="BG399" s="3" t="s">
        <v>7010</v>
      </c>
      <c r="BH399" s="3" t="s">
        <v>7010</v>
      </c>
      <c r="BI399" s="3" t="s">
        <v>7010</v>
      </c>
      <c r="BJ399" s="3" t="s">
        <v>7010</v>
      </c>
      <c r="BK399" s="74" t="str">
        <f t="shared" si="27"/>
        <v>Yes</v>
      </c>
    </row>
    <row r="400" spans="7:63">
      <c r="G400">
        <v>399</v>
      </c>
      <c r="H400" s="7" t="s">
        <v>1068</v>
      </c>
      <c r="I400" t="s">
        <v>29</v>
      </c>
      <c r="J400">
        <f>LEN(H400)</f>
        <v>13</v>
      </c>
      <c r="K400" s="49" t="s">
        <v>3882</v>
      </c>
      <c r="O400" s="3" t="s">
        <v>7010</v>
      </c>
      <c r="P400" s="3" t="s">
        <v>7010</v>
      </c>
      <c r="Q400" s="3" t="s">
        <v>7010</v>
      </c>
      <c r="R400" s="3" t="s">
        <v>7010</v>
      </c>
      <c r="S400" s="3" t="s">
        <v>7010</v>
      </c>
      <c r="T400" s="3" t="s">
        <v>7015</v>
      </c>
      <c r="U400" s="3" t="s">
        <v>7010</v>
      </c>
      <c r="V400" s="3" t="s">
        <v>7010</v>
      </c>
      <c r="W400" s="74" t="str">
        <f t="shared" si="25"/>
        <v>Yes</v>
      </c>
      <c r="Z400">
        <v>399</v>
      </c>
      <c r="AA400" s="55" t="s">
        <v>3958</v>
      </c>
      <c r="AC400">
        <f t="shared" si="24"/>
        <v>6</v>
      </c>
      <c r="AD400" s="30" t="s">
        <v>3959</v>
      </c>
      <c r="AF400" t="s">
        <v>7816</v>
      </c>
      <c r="AH400" s="3" t="s">
        <v>7015</v>
      </c>
      <c r="AI400" s="3" t="s">
        <v>7010</v>
      </c>
      <c r="AJ400" s="3" t="s">
        <v>7010</v>
      </c>
      <c r="AK400" s="3" t="s">
        <v>7015</v>
      </c>
      <c r="AL400" s="3" t="s">
        <v>7010</v>
      </c>
      <c r="AM400" s="3" t="s">
        <v>7010</v>
      </c>
      <c r="AN400" s="3" t="s">
        <v>7010</v>
      </c>
      <c r="AO400" s="3" t="s">
        <v>7010</v>
      </c>
      <c r="AP400" s="74" t="s">
        <v>7015</v>
      </c>
      <c r="AU400">
        <v>399</v>
      </c>
      <c r="AV400" t="s">
        <v>3960</v>
      </c>
      <c r="AW400" t="s">
        <v>2279</v>
      </c>
      <c r="AX400">
        <f t="shared" si="26"/>
        <v>8</v>
      </c>
      <c r="AY400" s="30" t="s">
        <v>3961</v>
      </c>
      <c r="BC400" s="3" t="s">
        <v>7010</v>
      </c>
      <c r="BD400" s="3" t="s">
        <v>7010</v>
      </c>
      <c r="BE400" s="3" t="s">
        <v>7010</v>
      </c>
      <c r="BF400" s="3" t="s">
        <v>7010</v>
      </c>
      <c r="BG400" s="3" t="s">
        <v>7010</v>
      </c>
      <c r="BH400" s="3" t="s">
        <v>7010</v>
      </c>
      <c r="BI400" s="3" t="s">
        <v>7010</v>
      </c>
      <c r="BJ400" s="3" t="s">
        <v>7010</v>
      </c>
      <c r="BK400" s="74" t="str">
        <f t="shared" si="27"/>
        <v>No</v>
      </c>
    </row>
    <row r="401" spans="7:63">
      <c r="G401">
        <v>400</v>
      </c>
      <c r="H401" s="7" t="s">
        <v>468</v>
      </c>
      <c r="I401" t="s">
        <v>29</v>
      </c>
      <c r="J401">
        <f>LEN(H401)</f>
        <v>17</v>
      </c>
      <c r="K401" s="49" t="s">
        <v>2789</v>
      </c>
      <c r="O401" s="3" t="s">
        <v>7010</v>
      </c>
      <c r="P401" s="3" t="s">
        <v>7010</v>
      </c>
      <c r="Q401" s="3" t="s">
        <v>7010</v>
      </c>
      <c r="R401" s="3" t="s">
        <v>7010</v>
      </c>
      <c r="S401" s="3" t="s">
        <v>7010</v>
      </c>
      <c r="T401" s="3" t="s">
        <v>7015</v>
      </c>
      <c r="U401" s="3" t="s">
        <v>7010</v>
      </c>
      <c r="V401" s="3" t="s">
        <v>7010</v>
      </c>
      <c r="W401" s="74" t="str">
        <f t="shared" si="25"/>
        <v>Yes</v>
      </c>
      <c r="Z401">
        <v>400</v>
      </c>
      <c r="AA401" s="55" t="s">
        <v>3963</v>
      </c>
      <c r="AC401">
        <f t="shared" si="24"/>
        <v>8</v>
      </c>
      <c r="AD401" s="30" t="s">
        <v>3964</v>
      </c>
      <c r="AF401" t="s">
        <v>7817</v>
      </c>
      <c r="AH401" s="3" t="s">
        <v>7015</v>
      </c>
      <c r="AI401" s="3" t="s">
        <v>7010</v>
      </c>
      <c r="AJ401" s="3" t="s">
        <v>7010</v>
      </c>
      <c r="AK401" s="3" t="s">
        <v>7015</v>
      </c>
      <c r="AL401" s="3" t="s">
        <v>7010</v>
      </c>
      <c r="AM401" s="3" t="s">
        <v>7010</v>
      </c>
      <c r="AN401" s="3" t="s">
        <v>7010</v>
      </c>
      <c r="AO401" s="3" t="s">
        <v>7010</v>
      </c>
      <c r="AP401" s="74" t="s">
        <v>7015</v>
      </c>
      <c r="AU401">
        <v>400</v>
      </c>
      <c r="AV401" t="s">
        <v>3965</v>
      </c>
      <c r="AW401" t="s">
        <v>2279</v>
      </c>
      <c r="AX401">
        <f t="shared" si="26"/>
        <v>10</v>
      </c>
      <c r="AY401" s="30" t="s">
        <v>3966</v>
      </c>
      <c r="BC401" s="3" t="s">
        <v>7010</v>
      </c>
      <c r="BD401" s="3" t="s">
        <v>7010</v>
      </c>
      <c r="BE401" s="3" t="s">
        <v>7010</v>
      </c>
      <c r="BF401" s="3" t="s">
        <v>7010</v>
      </c>
      <c r="BG401" s="3" t="s">
        <v>7010</v>
      </c>
      <c r="BH401" s="3" t="s">
        <v>7010</v>
      </c>
      <c r="BI401" s="3" t="s">
        <v>7010</v>
      </c>
      <c r="BJ401" s="3" t="s">
        <v>7010</v>
      </c>
      <c r="BK401" s="74" t="str">
        <f t="shared" si="27"/>
        <v>No</v>
      </c>
    </row>
    <row r="402" spans="7:63">
      <c r="G402">
        <v>401</v>
      </c>
      <c r="H402" s="7" t="s">
        <v>474</v>
      </c>
      <c r="I402" t="s">
        <v>29</v>
      </c>
      <c r="J402">
        <f>LEN(H402)</f>
        <v>15</v>
      </c>
      <c r="K402" s="49" t="s">
        <v>2813</v>
      </c>
      <c r="O402" s="3" t="s">
        <v>7010</v>
      </c>
      <c r="P402" s="3" t="s">
        <v>7010</v>
      </c>
      <c r="Q402" s="3" t="s">
        <v>7010</v>
      </c>
      <c r="R402" s="3" t="s">
        <v>7010</v>
      </c>
      <c r="S402" s="3" t="s">
        <v>7010</v>
      </c>
      <c r="T402" s="3" t="s">
        <v>7010</v>
      </c>
      <c r="U402" s="3" t="s">
        <v>7010</v>
      </c>
      <c r="V402" s="3" t="s">
        <v>7010</v>
      </c>
      <c r="W402" s="74" t="str">
        <f t="shared" si="25"/>
        <v>No</v>
      </c>
      <c r="Z402">
        <v>401</v>
      </c>
      <c r="AA402" s="55" t="s">
        <v>3968</v>
      </c>
      <c r="AC402">
        <f t="shared" si="24"/>
        <v>7</v>
      </c>
      <c r="AD402" s="30" t="s">
        <v>3969</v>
      </c>
      <c r="AF402" t="s">
        <v>7818</v>
      </c>
      <c r="AH402" s="3" t="s">
        <v>7015</v>
      </c>
      <c r="AI402" s="3" t="s">
        <v>7010</v>
      </c>
      <c r="AJ402" s="3" t="s">
        <v>7010</v>
      </c>
      <c r="AK402" s="3" t="s">
        <v>7015</v>
      </c>
      <c r="AL402" s="3" t="s">
        <v>7010</v>
      </c>
      <c r="AM402" s="3" t="s">
        <v>7010</v>
      </c>
      <c r="AN402" s="3" t="s">
        <v>7010</v>
      </c>
      <c r="AO402" s="3" t="s">
        <v>7010</v>
      </c>
      <c r="AP402" s="74" t="s">
        <v>7015</v>
      </c>
      <c r="AU402">
        <v>401</v>
      </c>
      <c r="AV402" t="s">
        <v>3970</v>
      </c>
      <c r="AW402" t="s">
        <v>2279</v>
      </c>
      <c r="AX402">
        <f t="shared" si="26"/>
        <v>33</v>
      </c>
      <c r="AY402" s="30" t="s">
        <v>3971</v>
      </c>
      <c r="BC402" s="3" t="s">
        <v>7010</v>
      </c>
      <c r="BD402" s="3" t="s">
        <v>7010</v>
      </c>
      <c r="BE402" s="3" t="s">
        <v>7010</v>
      </c>
      <c r="BF402" s="3" t="s">
        <v>7010</v>
      </c>
      <c r="BG402" s="3" t="s">
        <v>7010</v>
      </c>
      <c r="BH402" s="3" t="s">
        <v>7010</v>
      </c>
      <c r="BI402" s="3" t="s">
        <v>7010</v>
      </c>
      <c r="BJ402" s="3" t="s">
        <v>7010</v>
      </c>
      <c r="BK402" s="74" t="str">
        <f t="shared" si="27"/>
        <v>No</v>
      </c>
    </row>
    <row r="403" spans="7:63">
      <c r="G403">
        <v>402</v>
      </c>
      <c r="H403" s="7" t="s">
        <v>467</v>
      </c>
      <c r="I403" t="s">
        <v>29</v>
      </c>
      <c r="J403">
        <f>LEN(H403)</f>
        <v>14</v>
      </c>
      <c r="K403" s="49" t="s">
        <v>2785</v>
      </c>
      <c r="O403" s="3" t="s">
        <v>7010</v>
      </c>
      <c r="P403" s="3" t="s">
        <v>7010</v>
      </c>
      <c r="Q403" s="3" t="s">
        <v>7010</v>
      </c>
      <c r="R403" s="3" t="s">
        <v>7010</v>
      </c>
      <c r="S403" s="3" t="s">
        <v>7010</v>
      </c>
      <c r="T403" s="3" t="s">
        <v>7015</v>
      </c>
      <c r="U403" s="3" t="s">
        <v>7010</v>
      </c>
      <c r="V403" s="3" t="s">
        <v>7010</v>
      </c>
      <c r="W403" s="74" t="str">
        <f t="shared" si="25"/>
        <v>Yes</v>
      </c>
      <c r="Z403">
        <v>402</v>
      </c>
      <c r="AA403" s="55" t="s">
        <v>3973</v>
      </c>
      <c r="AC403">
        <f t="shared" si="24"/>
        <v>6</v>
      </c>
      <c r="AD403" s="30" t="s">
        <v>3974</v>
      </c>
      <c r="AF403" t="s">
        <v>7819</v>
      </c>
      <c r="AH403" s="3" t="s">
        <v>7015</v>
      </c>
      <c r="AI403" s="3" t="s">
        <v>7010</v>
      </c>
      <c r="AJ403" s="3" t="s">
        <v>7010</v>
      </c>
      <c r="AK403" s="3" t="s">
        <v>7015</v>
      </c>
      <c r="AL403" s="3" t="s">
        <v>7010</v>
      </c>
      <c r="AM403" s="3" t="s">
        <v>7010</v>
      </c>
      <c r="AN403" s="3" t="s">
        <v>7010</v>
      </c>
      <c r="AO403" s="3" t="s">
        <v>7010</v>
      </c>
      <c r="AP403" s="74" t="s">
        <v>7015</v>
      </c>
      <c r="AU403">
        <v>402</v>
      </c>
      <c r="AV403" t="s">
        <v>3975</v>
      </c>
      <c r="AW403" t="s">
        <v>2279</v>
      </c>
      <c r="AX403">
        <f t="shared" si="26"/>
        <v>12</v>
      </c>
      <c r="AY403" s="30" t="s">
        <v>3976</v>
      </c>
      <c r="BC403" s="3" t="s">
        <v>7010</v>
      </c>
      <c r="BD403" s="3" t="s">
        <v>7010</v>
      </c>
      <c r="BE403" s="3" t="s">
        <v>7010</v>
      </c>
      <c r="BF403" s="3" t="s">
        <v>7010</v>
      </c>
      <c r="BG403" s="3" t="s">
        <v>7010</v>
      </c>
      <c r="BH403" s="3" t="s">
        <v>7010</v>
      </c>
      <c r="BI403" s="3" t="s">
        <v>7010</v>
      </c>
      <c r="BJ403" s="3" t="s">
        <v>7010</v>
      </c>
      <c r="BK403" s="74" t="str">
        <f t="shared" si="27"/>
        <v>No</v>
      </c>
    </row>
    <row r="404" spans="7:63">
      <c r="G404">
        <v>403</v>
      </c>
      <c r="H404" s="7" t="s">
        <v>512</v>
      </c>
      <c r="I404" t="s">
        <v>29</v>
      </c>
      <c r="J404">
        <f>LEN(H404)</f>
        <v>11</v>
      </c>
      <c r="K404" s="49" t="s">
        <v>2965</v>
      </c>
      <c r="O404" s="3" t="s">
        <v>7010</v>
      </c>
      <c r="P404" s="3" t="s">
        <v>7010</v>
      </c>
      <c r="Q404" s="3" t="s">
        <v>7010</v>
      </c>
      <c r="R404" s="3" t="s">
        <v>7010</v>
      </c>
      <c r="S404" s="3" t="s">
        <v>7010</v>
      </c>
      <c r="T404" s="3" t="s">
        <v>7015</v>
      </c>
      <c r="U404" s="3" t="s">
        <v>7010</v>
      </c>
      <c r="V404" s="3" t="s">
        <v>7010</v>
      </c>
      <c r="W404" s="74" t="str">
        <f t="shared" si="25"/>
        <v>Yes</v>
      </c>
      <c r="Z404">
        <v>403</v>
      </c>
      <c r="AA404" s="55" t="s">
        <v>3978</v>
      </c>
      <c r="AC404">
        <f t="shared" si="24"/>
        <v>6</v>
      </c>
      <c r="AD404" s="30" t="s">
        <v>3979</v>
      </c>
      <c r="AF404" t="s">
        <v>7820</v>
      </c>
      <c r="AH404" s="3" t="s">
        <v>7015</v>
      </c>
      <c r="AI404" s="3" t="s">
        <v>7010</v>
      </c>
      <c r="AJ404" s="3" t="s">
        <v>7010</v>
      </c>
      <c r="AK404" s="3" t="s">
        <v>7015</v>
      </c>
      <c r="AL404" s="3" t="s">
        <v>7010</v>
      </c>
      <c r="AM404" s="3" t="s">
        <v>7010</v>
      </c>
      <c r="AN404" s="3" t="s">
        <v>7010</v>
      </c>
      <c r="AO404" s="3" t="s">
        <v>7010</v>
      </c>
      <c r="AP404" s="74" t="s">
        <v>7015</v>
      </c>
      <c r="AU404">
        <v>403</v>
      </c>
      <c r="AV404" t="s">
        <v>3980</v>
      </c>
      <c r="AW404" t="s">
        <v>2279</v>
      </c>
      <c r="AX404">
        <f t="shared" si="26"/>
        <v>9</v>
      </c>
      <c r="AY404" s="30" t="s">
        <v>3981</v>
      </c>
      <c r="BC404" s="3" t="s">
        <v>7010</v>
      </c>
      <c r="BD404" s="3" t="s">
        <v>7010</v>
      </c>
      <c r="BE404" s="3" t="s">
        <v>7015</v>
      </c>
      <c r="BF404" s="3" t="s">
        <v>7010</v>
      </c>
      <c r="BG404" s="3" t="s">
        <v>7010</v>
      </c>
      <c r="BH404" s="3" t="s">
        <v>7010</v>
      </c>
      <c r="BI404" s="3" t="s">
        <v>7010</v>
      </c>
      <c r="BJ404" s="3" t="s">
        <v>7010</v>
      </c>
      <c r="BK404" s="74" t="str">
        <f t="shared" si="27"/>
        <v>Yes</v>
      </c>
    </row>
    <row r="405" spans="7:63">
      <c r="G405">
        <v>404</v>
      </c>
      <c r="H405" s="7" t="s">
        <v>1466</v>
      </c>
      <c r="I405" t="s">
        <v>29</v>
      </c>
      <c r="J405">
        <f>LEN(H405)</f>
        <v>10</v>
      </c>
      <c r="K405" s="49" t="s">
        <v>4890</v>
      </c>
      <c r="O405" s="3" t="s">
        <v>7010</v>
      </c>
      <c r="P405" s="3" t="s">
        <v>7010</v>
      </c>
      <c r="Q405" s="3" t="s">
        <v>7010</v>
      </c>
      <c r="R405" s="3" t="s">
        <v>7010</v>
      </c>
      <c r="S405" s="3" t="s">
        <v>7010</v>
      </c>
      <c r="T405" s="3" t="s">
        <v>7010</v>
      </c>
      <c r="U405" s="3" t="s">
        <v>7010</v>
      </c>
      <c r="V405" s="3" t="s">
        <v>7010</v>
      </c>
      <c r="W405" s="74" t="str">
        <f t="shared" si="25"/>
        <v>No</v>
      </c>
      <c r="Z405">
        <v>404</v>
      </c>
      <c r="AA405" s="55" t="s">
        <v>3983</v>
      </c>
      <c r="AC405">
        <f t="shared" si="24"/>
        <v>6</v>
      </c>
      <c r="AD405" s="30" t="s">
        <v>3984</v>
      </c>
      <c r="AF405" t="s">
        <v>7821</v>
      </c>
      <c r="AH405" s="3" t="s">
        <v>7015</v>
      </c>
      <c r="AI405" s="3" t="s">
        <v>7010</v>
      </c>
      <c r="AJ405" s="3" t="s">
        <v>7010</v>
      </c>
      <c r="AK405" s="3" t="s">
        <v>7015</v>
      </c>
      <c r="AL405" s="3" t="s">
        <v>7010</v>
      </c>
      <c r="AM405" s="3" t="s">
        <v>7010</v>
      </c>
      <c r="AN405" s="3" t="s">
        <v>7010</v>
      </c>
      <c r="AO405" s="3" t="s">
        <v>7010</v>
      </c>
      <c r="AP405" s="74" t="s">
        <v>7015</v>
      </c>
      <c r="AU405">
        <v>404</v>
      </c>
      <c r="AV405" t="s">
        <v>3985</v>
      </c>
      <c r="AW405" t="s">
        <v>2279</v>
      </c>
      <c r="AX405">
        <f t="shared" si="26"/>
        <v>9</v>
      </c>
      <c r="AY405" s="30" t="s">
        <v>3986</v>
      </c>
      <c r="BC405" s="3" t="s">
        <v>7010</v>
      </c>
      <c r="BD405" s="3" t="s">
        <v>7010</v>
      </c>
      <c r="BE405" s="3" t="s">
        <v>7010</v>
      </c>
      <c r="BF405" s="3" t="s">
        <v>7010</v>
      </c>
      <c r="BG405" s="3" t="s">
        <v>7010</v>
      </c>
      <c r="BH405" s="3" t="s">
        <v>7010</v>
      </c>
      <c r="BI405" s="3" t="s">
        <v>7010</v>
      </c>
      <c r="BJ405" s="3" t="s">
        <v>7010</v>
      </c>
      <c r="BK405" s="74" t="str">
        <f t="shared" si="27"/>
        <v>No</v>
      </c>
    </row>
    <row r="406" spans="7:63">
      <c r="G406">
        <v>405</v>
      </c>
      <c r="H406" s="7" t="s">
        <v>1328</v>
      </c>
      <c r="I406" t="s">
        <v>29</v>
      </c>
      <c r="J406">
        <f>LEN(H406)</f>
        <v>11</v>
      </c>
      <c r="K406" s="49" t="s">
        <v>4535</v>
      </c>
      <c r="O406" s="3" t="s">
        <v>7010</v>
      </c>
      <c r="P406" s="3" t="s">
        <v>7010</v>
      </c>
      <c r="Q406" s="3" t="s">
        <v>7010</v>
      </c>
      <c r="R406" s="3" t="s">
        <v>7010</v>
      </c>
      <c r="S406" s="3" t="s">
        <v>7010</v>
      </c>
      <c r="T406" s="3" t="s">
        <v>7010</v>
      </c>
      <c r="U406" s="3" t="s">
        <v>7010</v>
      </c>
      <c r="V406" s="3" t="s">
        <v>7010</v>
      </c>
      <c r="W406" s="74" t="str">
        <f t="shared" si="25"/>
        <v>No</v>
      </c>
      <c r="Z406">
        <v>405</v>
      </c>
      <c r="AA406" s="55" t="s">
        <v>3988</v>
      </c>
      <c r="AC406">
        <f t="shared" si="24"/>
        <v>6</v>
      </c>
      <c r="AD406" s="30" t="s">
        <v>3989</v>
      </c>
      <c r="AF406" t="s">
        <v>7822</v>
      </c>
      <c r="AH406" s="3" t="s">
        <v>7015</v>
      </c>
      <c r="AI406" s="3" t="s">
        <v>7010</v>
      </c>
      <c r="AJ406" s="3" t="s">
        <v>7010</v>
      </c>
      <c r="AK406" s="3" t="s">
        <v>7015</v>
      </c>
      <c r="AL406" s="3" t="s">
        <v>7010</v>
      </c>
      <c r="AM406" s="3" t="s">
        <v>7010</v>
      </c>
      <c r="AN406" s="3" t="s">
        <v>7010</v>
      </c>
      <c r="AO406" s="3" t="s">
        <v>7010</v>
      </c>
      <c r="AP406" s="74" t="s">
        <v>7015</v>
      </c>
      <c r="AU406">
        <v>405</v>
      </c>
      <c r="AV406" t="s">
        <v>3990</v>
      </c>
      <c r="AW406" t="s">
        <v>2279</v>
      </c>
      <c r="AX406">
        <f t="shared" si="26"/>
        <v>9</v>
      </c>
      <c r="AY406" s="30" t="s">
        <v>3991</v>
      </c>
      <c r="BC406" s="3" t="s">
        <v>7010</v>
      </c>
      <c r="BD406" s="3" t="s">
        <v>7010</v>
      </c>
      <c r="BE406" s="3" t="s">
        <v>7015</v>
      </c>
      <c r="BF406" s="3" t="s">
        <v>7010</v>
      </c>
      <c r="BG406" s="3" t="s">
        <v>7010</v>
      </c>
      <c r="BH406" s="3" t="s">
        <v>7010</v>
      </c>
      <c r="BI406" s="3" t="s">
        <v>7010</v>
      </c>
      <c r="BJ406" s="3" t="s">
        <v>7010</v>
      </c>
      <c r="BK406" s="74" t="str">
        <f t="shared" si="27"/>
        <v>Yes</v>
      </c>
    </row>
    <row r="407" spans="7:63">
      <c r="G407">
        <v>406</v>
      </c>
      <c r="H407" s="7" t="s">
        <v>1522</v>
      </c>
      <c r="I407" t="s">
        <v>29</v>
      </c>
      <c r="J407">
        <f>LEN(H407)</f>
        <v>16</v>
      </c>
      <c r="K407" s="49" t="s">
        <v>5031</v>
      </c>
      <c r="O407" s="3" t="s">
        <v>7010</v>
      </c>
      <c r="P407" s="3" t="s">
        <v>7010</v>
      </c>
      <c r="Q407" s="3" t="s">
        <v>7010</v>
      </c>
      <c r="R407" s="3" t="s">
        <v>7010</v>
      </c>
      <c r="S407" s="3" t="s">
        <v>7010</v>
      </c>
      <c r="T407" s="3" t="s">
        <v>7010</v>
      </c>
      <c r="U407" s="3" t="s">
        <v>7010</v>
      </c>
      <c r="V407" s="3" t="s">
        <v>7010</v>
      </c>
      <c r="W407" s="74" t="str">
        <f t="shared" si="25"/>
        <v>No</v>
      </c>
      <c r="Z407">
        <v>406</v>
      </c>
      <c r="AA407" s="55" t="s">
        <v>3993</v>
      </c>
      <c r="AC407">
        <f t="shared" si="24"/>
        <v>9</v>
      </c>
      <c r="AD407" s="30" t="s">
        <v>3994</v>
      </c>
      <c r="AF407" t="s">
        <v>7823</v>
      </c>
      <c r="AH407" s="3" t="s">
        <v>7015</v>
      </c>
      <c r="AI407" s="3" t="s">
        <v>7010</v>
      </c>
      <c r="AJ407" s="3" t="s">
        <v>7010</v>
      </c>
      <c r="AK407" s="3" t="s">
        <v>7015</v>
      </c>
      <c r="AL407" s="3" t="s">
        <v>7010</v>
      </c>
      <c r="AM407" s="3" t="s">
        <v>7010</v>
      </c>
      <c r="AN407" s="3" t="s">
        <v>7010</v>
      </c>
      <c r="AO407" s="3" t="s">
        <v>7010</v>
      </c>
      <c r="AP407" s="74" t="s">
        <v>7015</v>
      </c>
      <c r="AU407">
        <v>406</v>
      </c>
      <c r="AV407" t="s">
        <v>3995</v>
      </c>
      <c r="AW407" t="s">
        <v>2279</v>
      </c>
      <c r="AX407">
        <f t="shared" si="26"/>
        <v>8</v>
      </c>
      <c r="AY407" s="30" t="s">
        <v>3996</v>
      </c>
      <c r="BC407" s="3" t="s">
        <v>7010</v>
      </c>
      <c r="BD407" s="3" t="s">
        <v>7010</v>
      </c>
      <c r="BE407" s="3" t="s">
        <v>7010</v>
      </c>
      <c r="BF407" s="3" t="s">
        <v>7010</v>
      </c>
      <c r="BG407" s="3" t="s">
        <v>7010</v>
      </c>
      <c r="BH407" s="3" t="s">
        <v>7010</v>
      </c>
      <c r="BI407" s="3" t="s">
        <v>7010</v>
      </c>
      <c r="BJ407" s="3" t="s">
        <v>7010</v>
      </c>
      <c r="BK407" s="74" t="str">
        <f t="shared" si="27"/>
        <v>No</v>
      </c>
    </row>
    <row r="408" spans="7:63">
      <c r="G408">
        <v>407</v>
      </c>
      <c r="H408" s="7" t="s">
        <v>1648</v>
      </c>
      <c r="I408" t="s">
        <v>29</v>
      </c>
      <c r="J408">
        <f>LEN(H408)</f>
        <v>13</v>
      </c>
      <c r="K408" s="49" t="s">
        <v>5351</v>
      </c>
      <c r="O408" s="3" t="s">
        <v>7010</v>
      </c>
      <c r="P408" s="3" t="s">
        <v>7010</v>
      </c>
      <c r="Q408" s="3" t="s">
        <v>7010</v>
      </c>
      <c r="R408" s="3" t="s">
        <v>7010</v>
      </c>
      <c r="S408" s="3" t="s">
        <v>7010</v>
      </c>
      <c r="T408" s="3" t="s">
        <v>7010</v>
      </c>
      <c r="U408" s="3" t="s">
        <v>7010</v>
      </c>
      <c r="V408" s="3" t="s">
        <v>7010</v>
      </c>
      <c r="W408" s="74" t="str">
        <f t="shared" si="25"/>
        <v>No</v>
      </c>
      <c r="Z408">
        <v>407</v>
      </c>
      <c r="AA408" s="55" t="s">
        <v>3998</v>
      </c>
      <c r="AC408">
        <f t="shared" si="24"/>
        <v>9</v>
      </c>
      <c r="AD408" s="30" t="s">
        <v>3999</v>
      </c>
      <c r="AF408" t="s">
        <v>7824</v>
      </c>
      <c r="AH408" s="3" t="s">
        <v>7015</v>
      </c>
      <c r="AI408" s="3" t="s">
        <v>7010</v>
      </c>
      <c r="AJ408" s="3" t="s">
        <v>7010</v>
      </c>
      <c r="AK408" s="3" t="s">
        <v>7015</v>
      </c>
      <c r="AL408" s="3" t="s">
        <v>7010</v>
      </c>
      <c r="AM408" s="3" t="s">
        <v>7010</v>
      </c>
      <c r="AN408" s="3" t="s">
        <v>7010</v>
      </c>
      <c r="AO408" s="3" t="s">
        <v>7010</v>
      </c>
      <c r="AP408" s="74" t="s">
        <v>7015</v>
      </c>
      <c r="AU408">
        <v>407</v>
      </c>
      <c r="AV408" t="s">
        <v>4000</v>
      </c>
      <c r="AW408" t="s">
        <v>2279</v>
      </c>
      <c r="AX408">
        <f t="shared" si="26"/>
        <v>13</v>
      </c>
      <c r="AY408" s="30" t="s">
        <v>4001</v>
      </c>
      <c r="BC408" s="3" t="s">
        <v>7010</v>
      </c>
      <c r="BD408" s="3" t="s">
        <v>7010</v>
      </c>
      <c r="BE408" s="3" t="s">
        <v>7010</v>
      </c>
      <c r="BF408" s="3" t="s">
        <v>7010</v>
      </c>
      <c r="BG408" s="3" t="s">
        <v>7010</v>
      </c>
      <c r="BH408" s="3" t="s">
        <v>7010</v>
      </c>
      <c r="BI408" s="3" t="s">
        <v>7010</v>
      </c>
      <c r="BJ408" s="3" t="s">
        <v>7010</v>
      </c>
      <c r="BK408" s="74" t="str">
        <f t="shared" si="27"/>
        <v>No</v>
      </c>
    </row>
    <row r="409" spans="7:63">
      <c r="G409">
        <v>408</v>
      </c>
      <c r="H409" s="7" t="s">
        <v>1884</v>
      </c>
      <c r="I409" t="s">
        <v>29</v>
      </c>
      <c r="J409">
        <f>LEN(H409)</f>
        <v>9</v>
      </c>
      <c r="K409" s="49" t="s">
        <v>6014</v>
      </c>
      <c r="O409" s="3" t="s">
        <v>7010</v>
      </c>
      <c r="P409" s="3" t="s">
        <v>7010</v>
      </c>
      <c r="Q409" s="3" t="s">
        <v>7010</v>
      </c>
      <c r="R409" s="3" t="s">
        <v>7010</v>
      </c>
      <c r="S409" s="3" t="s">
        <v>7010</v>
      </c>
      <c r="T409" s="3" t="s">
        <v>7015</v>
      </c>
      <c r="U409" s="3" t="s">
        <v>7010</v>
      </c>
      <c r="V409" s="3" t="s">
        <v>7010</v>
      </c>
      <c r="W409" s="74" t="str">
        <f t="shared" si="25"/>
        <v>Yes</v>
      </c>
      <c r="Z409">
        <v>408</v>
      </c>
      <c r="AA409" s="55" t="s">
        <v>4003</v>
      </c>
      <c r="AC409">
        <f t="shared" si="24"/>
        <v>6</v>
      </c>
      <c r="AD409" s="30" t="s">
        <v>4004</v>
      </c>
      <c r="AF409" t="s">
        <v>7825</v>
      </c>
      <c r="AH409" s="3" t="s">
        <v>7015</v>
      </c>
      <c r="AI409" s="3" t="s">
        <v>7010</v>
      </c>
      <c r="AJ409" s="3" t="s">
        <v>7010</v>
      </c>
      <c r="AK409" s="3" t="s">
        <v>7015</v>
      </c>
      <c r="AL409" s="3" t="s">
        <v>7010</v>
      </c>
      <c r="AM409" s="3" t="s">
        <v>7010</v>
      </c>
      <c r="AN409" s="3" t="s">
        <v>7010</v>
      </c>
      <c r="AO409" s="3" t="s">
        <v>7010</v>
      </c>
      <c r="AP409" s="74" t="s">
        <v>7015</v>
      </c>
      <c r="AU409">
        <v>408</v>
      </c>
      <c r="AV409" t="s">
        <v>4005</v>
      </c>
      <c r="AW409" t="s">
        <v>2279</v>
      </c>
      <c r="AX409">
        <f t="shared" si="26"/>
        <v>9</v>
      </c>
      <c r="AY409" s="30" t="s">
        <v>4006</v>
      </c>
      <c r="BC409" s="3" t="s">
        <v>7010</v>
      </c>
      <c r="BD409" s="3" t="s">
        <v>7010</v>
      </c>
      <c r="BE409" s="3" t="s">
        <v>7010</v>
      </c>
      <c r="BF409" s="3" t="s">
        <v>7010</v>
      </c>
      <c r="BG409" s="3" t="s">
        <v>7010</v>
      </c>
      <c r="BH409" s="3" t="s">
        <v>7010</v>
      </c>
      <c r="BI409" s="3" t="s">
        <v>7010</v>
      </c>
      <c r="BJ409" s="3" t="s">
        <v>7010</v>
      </c>
      <c r="BK409" s="74" t="str">
        <f t="shared" si="27"/>
        <v>No</v>
      </c>
    </row>
    <row r="410" spans="7:63">
      <c r="G410">
        <v>409</v>
      </c>
      <c r="H410" s="7" t="s">
        <v>472</v>
      </c>
      <c r="I410" t="s">
        <v>29</v>
      </c>
      <c r="J410">
        <f>LEN(H410)</f>
        <v>11</v>
      </c>
      <c r="K410" s="49" t="s">
        <v>2805</v>
      </c>
      <c r="O410" s="3" t="s">
        <v>7010</v>
      </c>
      <c r="P410" s="3" t="s">
        <v>7010</v>
      </c>
      <c r="Q410" s="3" t="s">
        <v>7010</v>
      </c>
      <c r="R410" s="3" t="s">
        <v>7015</v>
      </c>
      <c r="S410" s="3" t="s">
        <v>7010</v>
      </c>
      <c r="T410" s="3" t="s">
        <v>7015</v>
      </c>
      <c r="U410" s="3" t="s">
        <v>7010</v>
      </c>
      <c r="V410" s="3" t="s">
        <v>7010</v>
      </c>
      <c r="W410" s="74" t="str">
        <f t="shared" si="25"/>
        <v>Yes</v>
      </c>
      <c r="Z410">
        <v>409</v>
      </c>
      <c r="AA410" s="55" t="s">
        <v>4008</v>
      </c>
      <c r="AC410">
        <f t="shared" si="24"/>
        <v>7</v>
      </c>
      <c r="AD410" s="30" t="s">
        <v>4009</v>
      </c>
      <c r="AF410" t="s">
        <v>7826</v>
      </c>
      <c r="AH410" s="3" t="s">
        <v>7015</v>
      </c>
      <c r="AI410" s="3" t="s">
        <v>7010</v>
      </c>
      <c r="AJ410" s="3" t="s">
        <v>7010</v>
      </c>
      <c r="AK410" s="3" t="s">
        <v>7015</v>
      </c>
      <c r="AL410" s="3" t="s">
        <v>7010</v>
      </c>
      <c r="AM410" s="3" t="s">
        <v>7010</v>
      </c>
      <c r="AN410" s="3" t="s">
        <v>7010</v>
      </c>
      <c r="AO410" s="3" t="s">
        <v>7010</v>
      </c>
      <c r="AP410" s="74" t="s">
        <v>7015</v>
      </c>
      <c r="AU410">
        <v>409</v>
      </c>
      <c r="AV410" t="s">
        <v>4010</v>
      </c>
      <c r="AW410" t="s">
        <v>2279</v>
      </c>
      <c r="AX410">
        <f t="shared" si="26"/>
        <v>10</v>
      </c>
      <c r="AY410" s="30" t="s">
        <v>4011</v>
      </c>
      <c r="BC410" s="3" t="s">
        <v>7010</v>
      </c>
      <c r="BD410" s="3" t="s">
        <v>7010</v>
      </c>
      <c r="BE410" s="3" t="s">
        <v>7015</v>
      </c>
      <c r="BF410" s="3" t="s">
        <v>7010</v>
      </c>
      <c r="BG410" s="3" t="s">
        <v>7010</v>
      </c>
      <c r="BH410" s="3" t="s">
        <v>7010</v>
      </c>
      <c r="BI410" s="3" t="s">
        <v>7010</v>
      </c>
      <c r="BJ410" s="3" t="s">
        <v>7010</v>
      </c>
      <c r="BK410" s="74" t="str">
        <f t="shared" si="27"/>
        <v>Yes</v>
      </c>
    </row>
    <row r="411" spans="7:63">
      <c r="G411">
        <v>410</v>
      </c>
      <c r="H411" s="7" t="s">
        <v>505</v>
      </c>
      <c r="I411" t="s">
        <v>29</v>
      </c>
      <c r="J411">
        <f>LEN(H411)</f>
        <v>12</v>
      </c>
      <c r="K411" s="49" t="s">
        <v>2937</v>
      </c>
      <c r="O411" s="3" t="s">
        <v>7010</v>
      </c>
      <c r="P411" s="3" t="s">
        <v>7010</v>
      </c>
      <c r="Q411" s="3" t="s">
        <v>7010</v>
      </c>
      <c r="R411" s="3" t="s">
        <v>7010</v>
      </c>
      <c r="S411" s="3" t="s">
        <v>7010</v>
      </c>
      <c r="T411" s="3" t="s">
        <v>7015</v>
      </c>
      <c r="U411" s="3" t="s">
        <v>7010</v>
      </c>
      <c r="V411" s="3" t="s">
        <v>7010</v>
      </c>
      <c r="W411" s="74" t="str">
        <f t="shared" si="25"/>
        <v>Yes</v>
      </c>
      <c r="Z411">
        <v>410</v>
      </c>
      <c r="AA411" s="55" t="s">
        <v>4013</v>
      </c>
      <c r="AC411">
        <f t="shared" si="24"/>
        <v>5</v>
      </c>
      <c r="AD411" s="30" t="s">
        <v>4014</v>
      </c>
      <c r="AF411" t="s">
        <v>7827</v>
      </c>
      <c r="AH411" s="3" t="s">
        <v>7015</v>
      </c>
      <c r="AI411" s="3" t="s">
        <v>7010</v>
      </c>
      <c r="AJ411" s="3" t="s">
        <v>7010</v>
      </c>
      <c r="AK411" s="3" t="s">
        <v>7015</v>
      </c>
      <c r="AL411" s="3" t="s">
        <v>7010</v>
      </c>
      <c r="AM411" s="3" t="s">
        <v>7010</v>
      </c>
      <c r="AN411" s="3" t="s">
        <v>7010</v>
      </c>
      <c r="AO411" s="3" t="s">
        <v>7010</v>
      </c>
      <c r="AP411" s="74" t="s">
        <v>7015</v>
      </c>
      <c r="AU411">
        <v>410</v>
      </c>
      <c r="AV411" t="s">
        <v>4015</v>
      </c>
      <c r="AW411" t="s">
        <v>2279</v>
      </c>
      <c r="AX411">
        <f t="shared" si="26"/>
        <v>9</v>
      </c>
      <c r="AY411" s="30" t="s">
        <v>4016</v>
      </c>
      <c r="BC411" s="3" t="s">
        <v>7010</v>
      </c>
      <c r="BD411" s="3" t="s">
        <v>7010</v>
      </c>
      <c r="BE411" s="3" t="s">
        <v>7015</v>
      </c>
      <c r="BF411" s="3" t="s">
        <v>7010</v>
      </c>
      <c r="BG411" s="3" t="s">
        <v>7010</v>
      </c>
      <c r="BH411" s="3" t="s">
        <v>7010</v>
      </c>
      <c r="BI411" s="3" t="s">
        <v>7010</v>
      </c>
      <c r="BJ411" s="3" t="s">
        <v>7010</v>
      </c>
      <c r="BK411" s="74" t="str">
        <f t="shared" si="27"/>
        <v>Yes</v>
      </c>
    </row>
    <row r="412" spans="7:63">
      <c r="G412">
        <v>411</v>
      </c>
      <c r="H412" s="7" t="s">
        <v>420</v>
      </c>
      <c r="I412" t="s">
        <v>29</v>
      </c>
      <c r="J412">
        <f>LEN(H412)</f>
        <v>14</v>
      </c>
      <c r="K412" s="49" t="s">
        <v>2597</v>
      </c>
      <c r="O412" s="3" t="s">
        <v>7010</v>
      </c>
      <c r="P412" s="3" t="s">
        <v>7010</v>
      </c>
      <c r="Q412" s="3" t="s">
        <v>7010</v>
      </c>
      <c r="R412" s="3" t="s">
        <v>7015</v>
      </c>
      <c r="S412" s="3" t="s">
        <v>7010</v>
      </c>
      <c r="T412" s="3" t="s">
        <v>7015</v>
      </c>
      <c r="U412" s="3" t="s">
        <v>7010</v>
      </c>
      <c r="V412" s="3" t="s">
        <v>7010</v>
      </c>
      <c r="W412" s="74" t="str">
        <f t="shared" si="25"/>
        <v>Yes</v>
      </c>
      <c r="Z412">
        <v>411</v>
      </c>
      <c r="AA412" s="55" t="s">
        <v>4018</v>
      </c>
      <c r="AC412">
        <f t="shared" si="24"/>
        <v>7</v>
      </c>
      <c r="AD412" s="30" t="s">
        <v>4019</v>
      </c>
      <c r="AF412" t="s">
        <v>7828</v>
      </c>
      <c r="AH412" s="3" t="s">
        <v>7015</v>
      </c>
      <c r="AI412" s="3" t="s">
        <v>7010</v>
      </c>
      <c r="AJ412" s="3" t="s">
        <v>7010</v>
      </c>
      <c r="AK412" s="3" t="s">
        <v>7015</v>
      </c>
      <c r="AL412" s="3" t="s">
        <v>7010</v>
      </c>
      <c r="AM412" s="3" t="s">
        <v>7010</v>
      </c>
      <c r="AN412" s="3" t="s">
        <v>7010</v>
      </c>
      <c r="AO412" s="3" t="s">
        <v>7010</v>
      </c>
      <c r="AP412" s="74" t="s">
        <v>7015</v>
      </c>
      <c r="AU412">
        <v>411</v>
      </c>
      <c r="AV412" t="s">
        <v>4020</v>
      </c>
      <c r="AW412" t="s">
        <v>2279</v>
      </c>
      <c r="AX412">
        <f t="shared" si="26"/>
        <v>8</v>
      </c>
      <c r="AY412" s="30" t="s">
        <v>4021</v>
      </c>
      <c r="BC412" s="3" t="s">
        <v>7010</v>
      </c>
      <c r="BD412" s="3" t="s">
        <v>7010</v>
      </c>
      <c r="BE412" s="3" t="s">
        <v>7010</v>
      </c>
      <c r="BF412" s="3" t="s">
        <v>7010</v>
      </c>
      <c r="BG412" s="3" t="s">
        <v>7010</v>
      </c>
      <c r="BH412" s="3" t="s">
        <v>7010</v>
      </c>
      <c r="BI412" s="3" t="s">
        <v>7010</v>
      </c>
      <c r="BJ412" s="3" t="s">
        <v>7010</v>
      </c>
      <c r="BK412" s="74" t="str">
        <f t="shared" si="27"/>
        <v>No</v>
      </c>
    </row>
    <row r="413" spans="7:63">
      <c r="G413">
        <v>412</v>
      </c>
      <c r="H413" s="7" t="s">
        <v>1044</v>
      </c>
      <c r="I413" t="s">
        <v>29</v>
      </c>
      <c r="J413">
        <f>LEN(H413)</f>
        <v>12</v>
      </c>
      <c r="K413" s="49" t="s">
        <v>3819</v>
      </c>
      <c r="O413" s="3" t="s">
        <v>7010</v>
      </c>
      <c r="P413" s="3" t="s">
        <v>7010</v>
      </c>
      <c r="Q413" s="3" t="s">
        <v>7010</v>
      </c>
      <c r="R413" s="3" t="s">
        <v>7010</v>
      </c>
      <c r="S413" s="3" t="s">
        <v>7010</v>
      </c>
      <c r="T413" s="3" t="s">
        <v>7015</v>
      </c>
      <c r="U413" s="3" t="s">
        <v>7010</v>
      </c>
      <c r="V413" s="3" t="s">
        <v>7010</v>
      </c>
      <c r="W413" s="74" t="str">
        <f t="shared" si="25"/>
        <v>Yes</v>
      </c>
      <c r="Z413">
        <v>412</v>
      </c>
      <c r="AA413" s="55" t="s">
        <v>4023</v>
      </c>
      <c r="AC413">
        <f t="shared" si="24"/>
        <v>8</v>
      </c>
      <c r="AD413" s="30" t="s">
        <v>4024</v>
      </c>
      <c r="AF413" t="s">
        <v>7829</v>
      </c>
      <c r="AH413" s="3" t="s">
        <v>7015</v>
      </c>
      <c r="AI413" s="3" t="s">
        <v>7010</v>
      </c>
      <c r="AJ413" s="3" t="s">
        <v>7010</v>
      </c>
      <c r="AK413" s="3" t="s">
        <v>7015</v>
      </c>
      <c r="AL413" s="3" t="s">
        <v>7010</v>
      </c>
      <c r="AM413" s="3" t="s">
        <v>7010</v>
      </c>
      <c r="AN413" s="3" t="s">
        <v>7010</v>
      </c>
      <c r="AO413" s="3" t="s">
        <v>7010</v>
      </c>
      <c r="AP413" s="74" t="s">
        <v>7015</v>
      </c>
      <c r="AU413">
        <v>412</v>
      </c>
      <c r="AV413" t="s">
        <v>4025</v>
      </c>
      <c r="AW413" t="s">
        <v>2279</v>
      </c>
      <c r="AX413">
        <f t="shared" si="26"/>
        <v>10</v>
      </c>
      <c r="AY413" s="30" t="s">
        <v>4026</v>
      </c>
      <c r="BC413" s="3" t="s">
        <v>7010</v>
      </c>
      <c r="BD413" s="3" t="s">
        <v>7010</v>
      </c>
      <c r="BE413" s="3" t="s">
        <v>7010</v>
      </c>
      <c r="BF413" s="3" t="s">
        <v>7010</v>
      </c>
      <c r="BG413" s="3" t="s">
        <v>7010</v>
      </c>
      <c r="BH413" s="3" t="s">
        <v>7010</v>
      </c>
      <c r="BI413" s="3" t="s">
        <v>7010</v>
      </c>
      <c r="BJ413" s="3" t="s">
        <v>7010</v>
      </c>
      <c r="BK413" s="74" t="str">
        <f t="shared" si="27"/>
        <v>No</v>
      </c>
    </row>
    <row r="414" spans="7:63">
      <c r="G414">
        <v>413</v>
      </c>
      <c r="H414" s="7" t="s">
        <v>2167</v>
      </c>
      <c r="I414" t="s">
        <v>29</v>
      </c>
      <c r="J414">
        <f>LEN(H414)</f>
        <v>16</v>
      </c>
      <c r="K414" s="49" t="s">
        <v>6742</v>
      </c>
      <c r="O414" s="3" t="s">
        <v>7010</v>
      </c>
      <c r="P414" s="3" t="s">
        <v>7010</v>
      </c>
      <c r="Q414" s="3" t="s">
        <v>7010</v>
      </c>
      <c r="R414" s="3" t="s">
        <v>7010</v>
      </c>
      <c r="S414" s="3" t="s">
        <v>7010</v>
      </c>
      <c r="T414" s="3" t="s">
        <v>7015</v>
      </c>
      <c r="U414" s="3" t="s">
        <v>7010</v>
      </c>
      <c r="V414" s="3" t="s">
        <v>7010</v>
      </c>
      <c r="W414" s="74" t="str">
        <f t="shared" si="25"/>
        <v>Yes</v>
      </c>
      <c r="Z414">
        <v>413</v>
      </c>
      <c r="AA414" s="55" t="s">
        <v>4028</v>
      </c>
      <c r="AC414">
        <f t="shared" si="24"/>
        <v>6</v>
      </c>
      <c r="AD414" s="30" t="s">
        <v>4029</v>
      </c>
      <c r="AF414" t="s">
        <v>7830</v>
      </c>
      <c r="AH414" s="3" t="s">
        <v>7015</v>
      </c>
      <c r="AI414" s="3" t="s">
        <v>7010</v>
      </c>
      <c r="AJ414" s="3" t="s">
        <v>7010</v>
      </c>
      <c r="AK414" s="3" t="s">
        <v>7015</v>
      </c>
      <c r="AL414" s="3" t="s">
        <v>7010</v>
      </c>
      <c r="AM414" s="3" t="s">
        <v>7010</v>
      </c>
      <c r="AN414" s="3" t="s">
        <v>7010</v>
      </c>
      <c r="AO414" s="3" t="s">
        <v>7010</v>
      </c>
      <c r="AP414" s="74" t="s">
        <v>7015</v>
      </c>
      <c r="AU414">
        <v>413</v>
      </c>
      <c r="AV414" t="s">
        <v>4030</v>
      </c>
      <c r="AW414" t="s">
        <v>2279</v>
      </c>
      <c r="AX414">
        <f t="shared" si="26"/>
        <v>8</v>
      </c>
      <c r="AY414" s="30" t="s">
        <v>4031</v>
      </c>
      <c r="BC414" s="3" t="s">
        <v>7010</v>
      </c>
      <c r="BD414" s="3" t="s">
        <v>7010</v>
      </c>
      <c r="BE414" s="3" t="s">
        <v>7010</v>
      </c>
      <c r="BF414" s="3" t="s">
        <v>7010</v>
      </c>
      <c r="BG414" s="3" t="s">
        <v>7010</v>
      </c>
      <c r="BH414" s="3" t="s">
        <v>7010</v>
      </c>
      <c r="BI414" s="3" t="s">
        <v>7010</v>
      </c>
      <c r="BJ414" s="3" t="s">
        <v>7010</v>
      </c>
      <c r="BK414" s="74" t="str">
        <f t="shared" si="27"/>
        <v>No</v>
      </c>
    </row>
    <row r="415" spans="7:63">
      <c r="G415">
        <v>414</v>
      </c>
      <c r="H415" s="7" t="s">
        <v>1862</v>
      </c>
      <c r="I415" t="s">
        <v>29</v>
      </c>
      <c r="J415">
        <f>LEN(H415)</f>
        <v>14</v>
      </c>
      <c r="K415" s="49" t="s">
        <v>5961</v>
      </c>
      <c r="O415" s="3" t="s">
        <v>7010</v>
      </c>
      <c r="P415" s="3" t="s">
        <v>7010</v>
      </c>
      <c r="Q415" s="3" t="s">
        <v>7010</v>
      </c>
      <c r="R415" s="3" t="s">
        <v>7010</v>
      </c>
      <c r="S415" s="3" t="s">
        <v>7010</v>
      </c>
      <c r="T415" s="3" t="s">
        <v>7010</v>
      </c>
      <c r="U415" s="3" t="s">
        <v>7010</v>
      </c>
      <c r="V415" s="3" t="s">
        <v>7010</v>
      </c>
      <c r="W415" s="74" t="str">
        <f t="shared" si="25"/>
        <v>No</v>
      </c>
      <c r="Z415">
        <v>414</v>
      </c>
      <c r="AA415" s="55">
        <v>88888888</v>
      </c>
      <c r="AC415">
        <f t="shared" si="24"/>
        <v>8</v>
      </c>
      <c r="AD415" s="30" t="s">
        <v>4033</v>
      </c>
      <c r="AF415" t="s">
        <v>7831</v>
      </c>
      <c r="AH415" s="3" t="s">
        <v>7015</v>
      </c>
      <c r="AI415" s="3" t="s">
        <v>7010</v>
      </c>
      <c r="AJ415" s="3" t="s">
        <v>7010</v>
      </c>
      <c r="AK415" s="3" t="s">
        <v>7015</v>
      </c>
      <c r="AL415" s="3" t="s">
        <v>7010</v>
      </c>
      <c r="AM415" s="3" t="s">
        <v>7010</v>
      </c>
      <c r="AN415" s="3" t="s">
        <v>7010</v>
      </c>
      <c r="AO415" s="3" t="s">
        <v>7010</v>
      </c>
      <c r="AP415" s="74" t="s">
        <v>7015</v>
      </c>
      <c r="AU415">
        <v>414</v>
      </c>
      <c r="AV415" t="s">
        <v>4034</v>
      </c>
      <c r="AW415" t="s">
        <v>2279</v>
      </c>
      <c r="AX415">
        <f t="shared" si="26"/>
        <v>12</v>
      </c>
      <c r="AY415" s="30" t="s">
        <v>4035</v>
      </c>
      <c r="BC415" s="3" t="s">
        <v>7010</v>
      </c>
      <c r="BD415" s="3" t="s">
        <v>7010</v>
      </c>
      <c r="BE415" s="3" t="s">
        <v>7010</v>
      </c>
      <c r="BF415" s="3" t="s">
        <v>7010</v>
      </c>
      <c r="BG415" s="3" t="s">
        <v>7010</v>
      </c>
      <c r="BH415" s="3" t="s">
        <v>7010</v>
      </c>
      <c r="BI415" s="3" t="s">
        <v>7010</v>
      </c>
      <c r="BJ415" s="3" t="s">
        <v>7010</v>
      </c>
      <c r="BK415" s="74" t="str">
        <f t="shared" si="27"/>
        <v>No</v>
      </c>
    </row>
    <row r="416" spans="7:63">
      <c r="G416">
        <v>415</v>
      </c>
      <c r="H416" s="7" t="s">
        <v>1486</v>
      </c>
      <c r="I416" t="s">
        <v>29</v>
      </c>
      <c r="J416">
        <f>LEN(H416)</f>
        <v>10</v>
      </c>
      <c r="K416" s="49" t="s">
        <v>4939</v>
      </c>
      <c r="O416" s="3" t="s">
        <v>7010</v>
      </c>
      <c r="P416" s="3" t="s">
        <v>7010</v>
      </c>
      <c r="Q416" s="3" t="s">
        <v>7010</v>
      </c>
      <c r="R416" s="3" t="s">
        <v>7010</v>
      </c>
      <c r="S416" s="3" t="s">
        <v>7010</v>
      </c>
      <c r="T416" s="3" t="s">
        <v>7010</v>
      </c>
      <c r="U416" s="3" t="s">
        <v>7010</v>
      </c>
      <c r="V416" s="3" t="s">
        <v>7010</v>
      </c>
      <c r="W416" s="74" t="str">
        <f t="shared" si="25"/>
        <v>No</v>
      </c>
      <c r="Z416">
        <v>415</v>
      </c>
      <c r="AA416" s="55">
        <v>5201314</v>
      </c>
      <c r="AC416">
        <f t="shared" si="24"/>
        <v>7</v>
      </c>
      <c r="AD416" s="30" t="s">
        <v>4037</v>
      </c>
      <c r="AF416" t="s">
        <v>7832</v>
      </c>
      <c r="AH416" s="3" t="s">
        <v>7015</v>
      </c>
      <c r="AI416" s="3" t="s">
        <v>7010</v>
      </c>
      <c r="AJ416" s="3" t="s">
        <v>7010</v>
      </c>
      <c r="AK416" s="3" t="s">
        <v>7015</v>
      </c>
      <c r="AL416" s="3" t="s">
        <v>7010</v>
      </c>
      <c r="AM416" s="3" t="s">
        <v>7010</v>
      </c>
      <c r="AN416" s="3" t="s">
        <v>7010</v>
      </c>
      <c r="AO416" s="3" t="s">
        <v>7010</v>
      </c>
      <c r="AP416" s="74" t="s">
        <v>7015</v>
      </c>
      <c r="AU416">
        <v>415</v>
      </c>
      <c r="AV416" t="s">
        <v>4038</v>
      </c>
      <c r="AW416" t="s">
        <v>2279</v>
      </c>
      <c r="AX416">
        <f t="shared" si="26"/>
        <v>10</v>
      </c>
      <c r="AY416" s="30" t="s">
        <v>4039</v>
      </c>
      <c r="BC416" s="3" t="s">
        <v>7010</v>
      </c>
      <c r="BD416" s="3" t="s">
        <v>7010</v>
      </c>
      <c r="BE416" s="3" t="s">
        <v>7010</v>
      </c>
      <c r="BF416" s="3" t="s">
        <v>7010</v>
      </c>
      <c r="BG416" s="3" t="s">
        <v>7010</v>
      </c>
      <c r="BH416" s="3" t="s">
        <v>7010</v>
      </c>
      <c r="BI416" s="3" t="s">
        <v>7010</v>
      </c>
      <c r="BJ416" s="3" t="s">
        <v>7010</v>
      </c>
      <c r="BK416" s="74" t="str">
        <f t="shared" si="27"/>
        <v>No</v>
      </c>
    </row>
    <row r="417" spans="7:63">
      <c r="G417">
        <v>416</v>
      </c>
      <c r="H417" s="7" t="s">
        <v>1584</v>
      </c>
      <c r="I417" t="s">
        <v>29</v>
      </c>
      <c r="J417">
        <f>LEN(H417)</f>
        <v>13</v>
      </c>
      <c r="K417" s="49" t="s">
        <v>5188</v>
      </c>
      <c r="O417" s="3" t="s">
        <v>7010</v>
      </c>
      <c r="P417" s="3" t="s">
        <v>7010</v>
      </c>
      <c r="Q417" s="3" t="s">
        <v>7010</v>
      </c>
      <c r="R417" s="3" t="s">
        <v>7010</v>
      </c>
      <c r="S417" s="3" t="s">
        <v>7010</v>
      </c>
      <c r="T417" s="3" t="s">
        <v>7010</v>
      </c>
      <c r="U417" s="3" t="s">
        <v>7015</v>
      </c>
      <c r="V417" s="3" t="s">
        <v>7010</v>
      </c>
      <c r="W417" s="74" t="str">
        <f t="shared" si="25"/>
        <v>Yes</v>
      </c>
      <c r="Z417">
        <v>416</v>
      </c>
      <c r="AA417" s="55" t="s">
        <v>4041</v>
      </c>
      <c r="AC417">
        <f t="shared" si="24"/>
        <v>6</v>
      </c>
      <c r="AD417" s="30" t="s">
        <v>4042</v>
      </c>
      <c r="AF417" t="s">
        <v>7833</v>
      </c>
      <c r="AH417" s="3" t="s">
        <v>7015</v>
      </c>
      <c r="AI417" s="3" t="s">
        <v>7010</v>
      </c>
      <c r="AJ417" s="3" t="s">
        <v>7010</v>
      </c>
      <c r="AK417" s="3" t="s">
        <v>7015</v>
      </c>
      <c r="AL417" s="3" t="s">
        <v>7010</v>
      </c>
      <c r="AM417" s="3" t="s">
        <v>7010</v>
      </c>
      <c r="AN417" s="3" t="s">
        <v>7010</v>
      </c>
      <c r="AO417" s="3" t="s">
        <v>7010</v>
      </c>
      <c r="AP417" s="74" t="s">
        <v>7015</v>
      </c>
      <c r="AU417">
        <v>416</v>
      </c>
      <c r="AV417" t="s">
        <v>4043</v>
      </c>
      <c r="AW417" t="s">
        <v>2279</v>
      </c>
      <c r="AX417">
        <f t="shared" si="26"/>
        <v>8</v>
      </c>
      <c r="AY417" s="30" t="s">
        <v>4044</v>
      </c>
      <c r="BC417" s="3" t="s">
        <v>7010</v>
      </c>
      <c r="BD417" s="3" t="s">
        <v>7010</v>
      </c>
      <c r="BE417" s="3" t="s">
        <v>7010</v>
      </c>
      <c r="BF417" s="3" t="s">
        <v>7010</v>
      </c>
      <c r="BG417" s="3" t="s">
        <v>7010</v>
      </c>
      <c r="BH417" s="3" t="s">
        <v>7010</v>
      </c>
      <c r="BI417" s="3" t="s">
        <v>7010</v>
      </c>
      <c r="BJ417" s="3" t="s">
        <v>7010</v>
      </c>
      <c r="BK417" s="74" t="str">
        <f t="shared" si="27"/>
        <v>No</v>
      </c>
    </row>
    <row r="418" spans="7:63">
      <c r="G418">
        <v>417</v>
      </c>
      <c r="H418" s="7" t="s">
        <v>1680</v>
      </c>
      <c r="I418" t="s">
        <v>29</v>
      </c>
      <c r="J418">
        <f>LEN(H418)</f>
        <v>14</v>
      </c>
      <c r="K418" s="49" t="s">
        <v>5430</v>
      </c>
      <c r="O418" s="3" t="s">
        <v>7010</v>
      </c>
      <c r="P418" s="3" t="s">
        <v>7010</v>
      </c>
      <c r="Q418" s="3" t="s">
        <v>7010</v>
      </c>
      <c r="R418" s="3" t="s">
        <v>7010</v>
      </c>
      <c r="S418" s="3" t="s">
        <v>7010</v>
      </c>
      <c r="T418" s="3" t="s">
        <v>7010</v>
      </c>
      <c r="U418" s="3" t="s">
        <v>7015</v>
      </c>
      <c r="V418" s="3" t="s">
        <v>7010</v>
      </c>
      <c r="W418" s="74" t="str">
        <f t="shared" si="25"/>
        <v>Yes</v>
      </c>
      <c r="Z418">
        <v>417</v>
      </c>
      <c r="AA418" s="55" t="s">
        <v>4046</v>
      </c>
      <c r="AC418">
        <f t="shared" si="24"/>
        <v>7</v>
      </c>
      <c r="AD418" s="30" t="s">
        <v>4047</v>
      </c>
      <c r="AF418" t="s">
        <v>7834</v>
      </c>
      <c r="AH418" s="3" t="s">
        <v>7015</v>
      </c>
      <c r="AI418" s="3" t="s">
        <v>7010</v>
      </c>
      <c r="AJ418" s="3" t="s">
        <v>7010</v>
      </c>
      <c r="AK418" s="3" t="s">
        <v>7015</v>
      </c>
      <c r="AL418" s="3" t="s">
        <v>7010</v>
      </c>
      <c r="AM418" s="3" t="s">
        <v>7010</v>
      </c>
      <c r="AN418" s="3" t="s">
        <v>7010</v>
      </c>
      <c r="AO418" s="3" t="s">
        <v>7010</v>
      </c>
      <c r="AP418" s="74" t="s">
        <v>7015</v>
      </c>
      <c r="AU418">
        <v>417</v>
      </c>
      <c r="AV418" t="s">
        <v>4048</v>
      </c>
      <c r="AW418" t="s">
        <v>2279</v>
      </c>
      <c r="AX418">
        <f t="shared" si="26"/>
        <v>9</v>
      </c>
      <c r="AY418" s="30" t="s">
        <v>4049</v>
      </c>
      <c r="BC418" s="3" t="s">
        <v>7010</v>
      </c>
      <c r="BD418" s="3" t="s">
        <v>7010</v>
      </c>
      <c r="BE418" s="3" t="s">
        <v>7010</v>
      </c>
      <c r="BF418" s="3" t="s">
        <v>7010</v>
      </c>
      <c r="BG418" s="3" t="s">
        <v>7010</v>
      </c>
      <c r="BH418" s="3" t="s">
        <v>7010</v>
      </c>
      <c r="BI418" s="3" t="s">
        <v>7010</v>
      </c>
      <c r="BJ418" s="3" t="s">
        <v>7010</v>
      </c>
      <c r="BK418" s="74" t="str">
        <f t="shared" si="27"/>
        <v>No</v>
      </c>
    </row>
    <row r="419" spans="7:63">
      <c r="G419">
        <v>418</v>
      </c>
      <c r="H419" s="7" t="s">
        <v>1436</v>
      </c>
      <c r="I419" t="s">
        <v>29</v>
      </c>
      <c r="J419">
        <f>LEN(H419)</f>
        <v>10</v>
      </c>
      <c r="K419" s="49" t="s">
        <v>4815</v>
      </c>
      <c r="O419" s="3" t="s">
        <v>7010</v>
      </c>
      <c r="P419" s="3" t="s">
        <v>7010</v>
      </c>
      <c r="Q419" s="3" t="s">
        <v>7010</v>
      </c>
      <c r="R419" s="3" t="s">
        <v>7010</v>
      </c>
      <c r="S419" s="3" t="s">
        <v>7010</v>
      </c>
      <c r="T419" s="3" t="s">
        <v>7010</v>
      </c>
      <c r="U419" s="3" t="s">
        <v>7010</v>
      </c>
      <c r="V419" s="3" t="s">
        <v>7010</v>
      </c>
      <c r="W419" s="74" t="str">
        <f t="shared" si="25"/>
        <v>No</v>
      </c>
      <c r="Z419">
        <v>418</v>
      </c>
      <c r="AA419" s="55" t="s">
        <v>4051</v>
      </c>
      <c r="AC419">
        <f t="shared" si="24"/>
        <v>6</v>
      </c>
      <c r="AD419" s="30" t="s">
        <v>4052</v>
      </c>
      <c r="AF419" t="s">
        <v>7835</v>
      </c>
      <c r="AH419" s="3" t="s">
        <v>7015</v>
      </c>
      <c r="AI419" s="3" t="s">
        <v>7010</v>
      </c>
      <c r="AJ419" s="3" t="s">
        <v>7010</v>
      </c>
      <c r="AK419" s="3" t="s">
        <v>7015</v>
      </c>
      <c r="AL419" s="3" t="s">
        <v>7010</v>
      </c>
      <c r="AM419" s="3" t="s">
        <v>7010</v>
      </c>
      <c r="AN419" s="3" t="s">
        <v>7010</v>
      </c>
      <c r="AO419" s="3" t="s">
        <v>7010</v>
      </c>
      <c r="AP419" s="74" t="s">
        <v>7015</v>
      </c>
      <c r="AU419">
        <v>418</v>
      </c>
      <c r="AV419" t="s">
        <v>4053</v>
      </c>
      <c r="AW419" t="s">
        <v>2279</v>
      </c>
      <c r="AX419">
        <f t="shared" si="26"/>
        <v>15</v>
      </c>
      <c r="AY419" s="30" t="s">
        <v>4054</v>
      </c>
      <c r="BC419" s="3" t="s">
        <v>7010</v>
      </c>
      <c r="BD419" s="3" t="s">
        <v>7010</v>
      </c>
      <c r="BE419" s="3" t="s">
        <v>7010</v>
      </c>
      <c r="BF419" s="3" t="s">
        <v>7010</v>
      </c>
      <c r="BG419" s="3" t="s">
        <v>7010</v>
      </c>
      <c r="BH419" s="3" t="s">
        <v>7010</v>
      </c>
      <c r="BI419" s="3" t="s">
        <v>7010</v>
      </c>
      <c r="BJ419" s="3" t="s">
        <v>7010</v>
      </c>
      <c r="BK419" s="74" t="str">
        <f t="shared" si="27"/>
        <v>No</v>
      </c>
    </row>
    <row r="420" spans="7:63">
      <c r="G420">
        <v>419</v>
      </c>
      <c r="H420" s="7" t="s">
        <v>1268</v>
      </c>
      <c r="I420" t="s">
        <v>29</v>
      </c>
      <c r="J420">
        <f>LEN(H420)</f>
        <v>10</v>
      </c>
      <c r="K420" s="49" t="s">
        <v>4385</v>
      </c>
      <c r="O420" s="3" t="s">
        <v>7010</v>
      </c>
      <c r="P420" s="3" t="s">
        <v>7010</v>
      </c>
      <c r="Q420" s="3" t="s">
        <v>7010</v>
      </c>
      <c r="R420" s="3" t="s">
        <v>7010</v>
      </c>
      <c r="S420" s="3" t="s">
        <v>7010</v>
      </c>
      <c r="T420" s="3" t="s">
        <v>7010</v>
      </c>
      <c r="U420" s="3" t="s">
        <v>7010</v>
      </c>
      <c r="V420" s="3" t="s">
        <v>7010</v>
      </c>
      <c r="W420" s="74" t="str">
        <f t="shared" si="25"/>
        <v>No</v>
      </c>
      <c r="Z420">
        <v>419</v>
      </c>
      <c r="AA420" s="55" t="s">
        <v>4056</v>
      </c>
      <c r="AC420">
        <f t="shared" si="24"/>
        <v>6</v>
      </c>
      <c r="AD420" s="30" t="s">
        <v>4057</v>
      </c>
      <c r="AF420" t="s">
        <v>7836</v>
      </c>
      <c r="AH420" s="3" t="s">
        <v>7015</v>
      </c>
      <c r="AI420" s="3" t="s">
        <v>7010</v>
      </c>
      <c r="AJ420" s="3" t="s">
        <v>7010</v>
      </c>
      <c r="AK420" s="3" t="s">
        <v>7015</v>
      </c>
      <c r="AL420" s="3" t="s">
        <v>7010</v>
      </c>
      <c r="AM420" s="3" t="s">
        <v>7010</v>
      </c>
      <c r="AN420" s="3" t="s">
        <v>7010</v>
      </c>
      <c r="AO420" s="3" t="s">
        <v>7010</v>
      </c>
      <c r="AP420" s="74" t="s">
        <v>7015</v>
      </c>
      <c r="AU420">
        <v>419</v>
      </c>
      <c r="AV420" t="s">
        <v>4058</v>
      </c>
      <c r="AW420" t="s">
        <v>2279</v>
      </c>
      <c r="AX420">
        <f t="shared" si="26"/>
        <v>9</v>
      </c>
      <c r="AY420" s="30" t="s">
        <v>4059</v>
      </c>
      <c r="BC420" s="3" t="s">
        <v>7010</v>
      </c>
      <c r="BD420" s="3" t="s">
        <v>7010</v>
      </c>
      <c r="BE420" s="3" t="s">
        <v>7015</v>
      </c>
      <c r="BF420" s="3" t="s">
        <v>7010</v>
      </c>
      <c r="BG420" s="3" t="s">
        <v>7010</v>
      </c>
      <c r="BH420" s="3" t="s">
        <v>7010</v>
      </c>
      <c r="BI420" s="3" t="s">
        <v>7010</v>
      </c>
      <c r="BJ420" s="3" t="s">
        <v>7010</v>
      </c>
      <c r="BK420" s="74" t="str">
        <f t="shared" si="27"/>
        <v>Yes</v>
      </c>
    </row>
    <row r="421" spans="7:63">
      <c r="G421">
        <v>420</v>
      </c>
      <c r="H421" s="7" t="s">
        <v>1372</v>
      </c>
      <c r="I421" t="s">
        <v>29</v>
      </c>
      <c r="J421">
        <f>LEN(H421)</f>
        <v>12</v>
      </c>
      <c r="K421" s="49" t="s">
        <v>4647</v>
      </c>
      <c r="O421" s="3" t="s">
        <v>7010</v>
      </c>
      <c r="P421" s="3" t="s">
        <v>7010</v>
      </c>
      <c r="Q421" s="3" t="s">
        <v>7010</v>
      </c>
      <c r="R421" s="3" t="s">
        <v>7010</v>
      </c>
      <c r="S421" s="3" t="s">
        <v>7010</v>
      </c>
      <c r="T421" s="3" t="s">
        <v>7010</v>
      </c>
      <c r="U421" s="3" t="s">
        <v>7010</v>
      </c>
      <c r="V421" s="3" t="s">
        <v>7010</v>
      </c>
      <c r="W421" s="74" t="str">
        <f t="shared" si="25"/>
        <v>No</v>
      </c>
      <c r="Z421">
        <v>420</v>
      </c>
      <c r="AA421" s="55" t="s">
        <v>4061</v>
      </c>
      <c r="AC421">
        <f t="shared" si="24"/>
        <v>6</v>
      </c>
      <c r="AD421" s="30" t="s">
        <v>4062</v>
      </c>
      <c r="AF421" t="s">
        <v>7837</v>
      </c>
      <c r="AH421" s="3" t="s">
        <v>7015</v>
      </c>
      <c r="AI421" s="3" t="s">
        <v>7010</v>
      </c>
      <c r="AJ421" s="3" t="s">
        <v>7010</v>
      </c>
      <c r="AK421" s="3" t="s">
        <v>7015</v>
      </c>
      <c r="AL421" s="3" t="s">
        <v>7010</v>
      </c>
      <c r="AM421" s="3" t="s">
        <v>7010</v>
      </c>
      <c r="AN421" s="3" t="s">
        <v>7010</v>
      </c>
      <c r="AO421" s="3" t="s">
        <v>7010</v>
      </c>
      <c r="AP421" s="74" t="s">
        <v>7015</v>
      </c>
      <c r="AU421">
        <v>420</v>
      </c>
      <c r="AV421" t="s">
        <v>4063</v>
      </c>
      <c r="AW421" t="s">
        <v>2279</v>
      </c>
      <c r="AX421">
        <f t="shared" si="26"/>
        <v>11</v>
      </c>
      <c r="AY421" s="30" t="s">
        <v>4064</v>
      </c>
      <c r="BC421" s="3" t="s">
        <v>7010</v>
      </c>
      <c r="BD421" s="3" t="s">
        <v>7010</v>
      </c>
      <c r="BE421" s="3" t="s">
        <v>7010</v>
      </c>
      <c r="BF421" s="3" t="s">
        <v>7010</v>
      </c>
      <c r="BG421" s="3" t="s">
        <v>7010</v>
      </c>
      <c r="BH421" s="3" t="s">
        <v>7010</v>
      </c>
      <c r="BI421" s="3" t="s">
        <v>7010</v>
      </c>
      <c r="BJ421" s="3" t="s">
        <v>7010</v>
      </c>
      <c r="BK421" s="74" t="str">
        <f t="shared" si="27"/>
        <v>No</v>
      </c>
    </row>
    <row r="422" spans="7:63">
      <c r="G422">
        <v>421</v>
      </c>
      <c r="H422" s="7" t="s">
        <v>489</v>
      </c>
      <c r="I422" t="s">
        <v>29</v>
      </c>
      <c r="J422">
        <f>LEN(H422)</f>
        <v>9</v>
      </c>
      <c r="K422" s="49" t="s">
        <v>2873</v>
      </c>
      <c r="O422" s="3" t="s">
        <v>7010</v>
      </c>
      <c r="P422" s="3" t="s">
        <v>7010</v>
      </c>
      <c r="Q422" s="3" t="s">
        <v>7010</v>
      </c>
      <c r="R422" s="3" t="s">
        <v>7010</v>
      </c>
      <c r="S422" s="3" t="s">
        <v>7010</v>
      </c>
      <c r="T422" s="3" t="s">
        <v>7015</v>
      </c>
      <c r="U422" s="3" t="s">
        <v>7010</v>
      </c>
      <c r="V422" s="3" t="s">
        <v>7010</v>
      </c>
      <c r="W422" s="74" t="str">
        <f t="shared" si="25"/>
        <v>Yes</v>
      </c>
      <c r="Z422">
        <v>421</v>
      </c>
      <c r="AA422" s="55">
        <v>246810</v>
      </c>
      <c r="AC422">
        <f t="shared" si="24"/>
        <v>6</v>
      </c>
      <c r="AD422" s="30" t="s">
        <v>4066</v>
      </c>
      <c r="AF422" t="s">
        <v>7838</v>
      </c>
      <c r="AH422" s="3" t="s">
        <v>7015</v>
      </c>
      <c r="AI422" s="3" t="s">
        <v>7010</v>
      </c>
      <c r="AJ422" s="3" t="s">
        <v>7010</v>
      </c>
      <c r="AK422" s="3" t="s">
        <v>7015</v>
      </c>
      <c r="AL422" s="3" t="s">
        <v>7010</v>
      </c>
      <c r="AM422" s="3" t="s">
        <v>7010</v>
      </c>
      <c r="AN422" s="3" t="s">
        <v>7010</v>
      </c>
      <c r="AO422" s="3" t="s">
        <v>7010</v>
      </c>
      <c r="AP422" s="74" t="s">
        <v>7015</v>
      </c>
      <c r="AU422">
        <v>421</v>
      </c>
      <c r="AV422" t="s">
        <v>4067</v>
      </c>
      <c r="AW422" t="s">
        <v>2279</v>
      </c>
      <c r="AX422">
        <f t="shared" si="26"/>
        <v>10</v>
      </c>
      <c r="AY422" s="30" t="s">
        <v>4068</v>
      </c>
      <c r="BC422" s="3" t="s">
        <v>7010</v>
      </c>
      <c r="BD422" s="3" t="s">
        <v>7010</v>
      </c>
      <c r="BE422" s="3" t="s">
        <v>7010</v>
      </c>
      <c r="BF422" s="3" t="s">
        <v>7010</v>
      </c>
      <c r="BG422" s="3" t="s">
        <v>7010</v>
      </c>
      <c r="BH422" s="3" t="s">
        <v>7010</v>
      </c>
      <c r="BI422" s="3" t="s">
        <v>7010</v>
      </c>
      <c r="BJ422" s="3" t="s">
        <v>7010</v>
      </c>
      <c r="BK422" s="74" t="str">
        <f t="shared" si="27"/>
        <v>No</v>
      </c>
    </row>
    <row r="423" spans="7:63">
      <c r="G423">
        <v>422</v>
      </c>
      <c r="H423" s="7" t="s">
        <v>394</v>
      </c>
      <c r="I423" t="s">
        <v>29</v>
      </c>
      <c r="J423">
        <f>LEN(H423)</f>
        <v>11</v>
      </c>
      <c r="K423" s="49" t="s">
        <v>2493</v>
      </c>
      <c r="O423" s="3" t="s">
        <v>7010</v>
      </c>
      <c r="P423" s="3" t="s">
        <v>7010</v>
      </c>
      <c r="Q423" s="3" t="s">
        <v>7010</v>
      </c>
      <c r="R423" s="3" t="s">
        <v>7010</v>
      </c>
      <c r="S423" s="3" t="s">
        <v>7010</v>
      </c>
      <c r="T423" s="3" t="s">
        <v>7010</v>
      </c>
      <c r="U423" s="3" t="s">
        <v>7010</v>
      </c>
      <c r="V423" s="3" t="s">
        <v>7010</v>
      </c>
      <c r="W423" s="74" t="str">
        <f t="shared" si="25"/>
        <v>No</v>
      </c>
      <c r="Z423">
        <v>422</v>
      </c>
      <c r="AA423" s="55" t="s">
        <v>4070</v>
      </c>
      <c r="AC423">
        <f t="shared" si="24"/>
        <v>10</v>
      </c>
      <c r="AD423" s="30" t="s">
        <v>4071</v>
      </c>
      <c r="AF423" t="s">
        <v>7839</v>
      </c>
      <c r="AH423" s="3" t="s">
        <v>7015</v>
      </c>
      <c r="AI423" s="3" t="s">
        <v>7010</v>
      </c>
      <c r="AJ423" s="3" t="s">
        <v>7010</v>
      </c>
      <c r="AK423" s="3" t="s">
        <v>7015</v>
      </c>
      <c r="AL423" s="3" t="s">
        <v>7010</v>
      </c>
      <c r="AM423" s="3" t="s">
        <v>7010</v>
      </c>
      <c r="AN423" s="3" t="s">
        <v>7010</v>
      </c>
      <c r="AO423" s="3" t="s">
        <v>7010</v>
      </c>
      <c r="AP423" s="74" t="s">
        <v>7015</v>
      </c>
      <c r="AU423">
        <v>422</v>
      </c>
      <c r="AV423" t="s">
        <v>4072</v>
      </c>
      <c r="AW423" t="s">
        <v>2279</v>
      </c>
      <c r="AX423">
        <f t="shared" si="26"/>
        <v>8</v>
      </c>
      <c r="AY423" s="30" t="s">
        <v>4073</v>
      </c>
      <c r="BC423" s="3" t="s">
        <v>7015</v>
      </c>
      <c r="BD423" s="3" t="s">
        <v>7010</v>
      </c>
      <c r="BE423" s="3" t="s">
        <v>7015</v>
      </c>
      <c r="BF423" s="3" t="s">
        <v>7010</v>
      </c>
      <c r="BG423" s="3" t="s">
        <v>7010</v>
      </c>
      <c r="BH423" s="3" t="s">
        <v>7010</v>
      </c>
      <c r="BI423" s="3" t="s">
        <v>7010</v>
      </c>
      <c r="BJ423" s="3" t="s">
        <v>7010</v>
      </c>
      <c r="BK423" s="74" t="str">
        <f t="shared" si="27"/>
        <v>Yes</v>
      </c>
    </row>
    <row r="424" spans="7:63">
      <c r="G424">
        <v>423</v>
      </c>
      <c r="H424" s="7" t="s">
        <v>621</v>
      </c>
      <c r="I424" t="s">
        <v>29</v>
      </c>
      <c r="J424">
        <f>LEN(H424)</f>
        <v>18</v>
      </c>
      <c r="K424" s="49" t="s">
        <v>3401</v>
      </c>
      <c r="O424" s="3" t="s">
        <v>7010</v>
      </c>
      <c r="P424" s="3" t="s">
        <v>7010</v>
      </c>
      <c r="Q424" s="3" t="s">
        <v>7010</v>
      </c>
      <c r="R424" s="3" t="s">
        <v>7010</v>
      </c>
      <c r="S424" s="3" t="s">
        <v>7010</v>
      </c>
      <c r="T424" s="3" t="s">
        <v>7010</v>
      </c>
      <c r="U424" s="3" t="s">
        <v>7010</v>
      </c>
      <c r="V424" s="3" t="s">
        <v>7010</v>
      </c>
      <c r="W424" s="74" t="str">
        <f t="shared" si="25"/>
        <v>No</v>
      </c>
      <c r="Z424">
        <v>423</v>
      </c>
      <c r="AA424" s="55" t="s">
        <v>4075</v>
      </c>
      <c r="AC424">
        <f t="shared" si="24"/>
        <v>6</v>
      </c>
      <c r="AD424" s="30" t="s">
        <v>4076</v>
      </c>
      <c r="AF424" t="s">
        <v>7840</v>
      </c>
      <c r="AH424" s="3" t="s">
        <v>7015</v>
      </c>
      <c r="AI424" s="3" t="s">
        <v>7010</v>
      </c>
      <c r="AJ424" s="3" t="s">
        <v>7010</v>
      </c>
      <c r="AK424" s="3" t="s">
        <v>7015</v>
      </c>
      <c r="AL424" s="3" t="s">
        <v>7010</v>
      </c>
      <c r="AM424" s="3" t="s">
        <v>7010</v>
      </c>
      <c r="AN424" s="3" t="s">
        <v>7010</v>
      </c>
      <c r="AO424" s="3" t="s">
        <v>7010</v>
      </c>
      <c r="AP424" s="74" t="s">
        <v>7015</v>
      </c>
      <c r="AU424">
        <v>423</v>
      </c>
      <c r="AV424" t="s">
        <v>4077</v>
      </c>
      <c r="AW424" t="s">
        <v>2279</v>
      </c>
      <c r="AX424">
        <f t="shared" si="26"/>
        <v>8</v>
      </c>
      <c r="AY424" s="30" t="s">
        <v>4078</v>
      </c>
      <c r="BC424" s="3" t="s">
        <v>7010</v>
      </c>
      <c r="BD424" s="3" t="s">
        <v>7010</v>
      </c>
      <c r="BE424" s="3" t="s">
        <v>7015</v>
      </c>
      <c r="BF424" s="3" t="s">
        <v>7010</v>
      </c>
      <c r="BG424" s="3" t="s">
        <v>7010</v>
      </c>
      <c r="BH424" s="3" t="s">
        <v>7010</v>
      </c>
      <c r="BI424" s="3" t="s">
        <v>7010</v>
      </c>
      <c r="BJ424" s="3" t="s">
        <v>7010</v>
      </c>
      <c r="BK424" s="74" t="str">
        <f t="shared" si="27"/>
        <v>Yes</v>
      </c>
    </row>
    <row r="425" spans="7:63">
      <c r="G425">
        <v>424</v>
      </c>
      <c r="H425" s="7" t="s">
        <v>620</v>
      </c>
      <c r="I425" t="s">
        <v>29</v>
      </c>
      <c r="J425">
        <f>LEN(H425)</f>
        <v>16</v>
      </c>
      <c r="K425" s="49" t="s">
        <v>3397</v>
      </c>
      <c r="O425" s="3" t="s">
        <v>7010</v>
      </c>
      <c r="P425" s="3" t="s">
        <v>7010</v>
      </c>
      <c r="Q425" s="3" t="s">
        <v>7010</v>
      </c>
      <c r="R425" s="3" t="s">
        <v>7010</v>
      </c>
      <c r="S425" s="3" t="s">
        <v>7010</v>
      </c>
      <c r="T425" s="3" t="s">
        <v>7010</v>
      </c>
      <c r="U425" s="3" t="s">
        <v>7010</v>
      </c>
      <c r="V425" s="3" t="s">
        <v>7010</v>
      </c>
      <c r="W425" s="74" t="str">
        <f t="shared" si="25"/>
        <v>No</v>
      </c>
      <c r="Z425">
        <v>424</v>
      </c>
      <c r="AA425" s="55" t="s">
        <v>4080</v>
      </c>
      <c r="AC425">
        <f t="shared" si="24"/>
        <v>7</v>
      </c>
      <c r="AD425" s="30" t="s">
        <v>4081</v>
      </c>
      <c r="AF425" s="54" t="s">
        <v>7841</v>
      </c>
      <c r="AH425" s="3" t="s">
        <v>7015</v>
      </c>
      <c r="AI425" s="3" t="s">
        <v>7010</v>
      </c>
      <c r="AJ425" s="3" t="s">
        <v>7010</v>
      </c>
      <c r="AK425" s="3" t="s">
        <v>7015</v>
      </c>
      <c r="AL425" s="3" t="s">
        <v>7010</v>
      </c>
      <c r="AM425" s="3" t="s">
        <v>7010</v>
      </c>
      <c r="AN425" s="3" t="s">
        <v>7010</v>
      </c>
      <c r="AO425" s="3" t="s">
        <v>7010</v>
      </c>
      <c r="AP425" s="74" t="s">
        <v>7015</v>
      </c>
      <c r="AU425">
        <v>424</v>
      </c>
      <c r="AV425" t="s">
        <v>4082</v>
      </c>
      <c r="AW425" t="s">
        <v>2279</v>
      </c>
      <c r="AX425">
        <f t="shared" si="26"/>
        <v>9</v>
      </c>
      <c r="AY425" s="30" t="s">
        <v>4083</v>
      </c>
      <c r="BC425" s="3" t="s">
        <v>7010</v>
      </c>
      <c r="BD425" s="3" t="s">
        <v>7010</v>
      </c>
      <c r="BE425" s="3" t="s">
        <v>7010</v>
      </c>
      <c r="BF425" s="3" t="s">
        <v>7010</v>
      </c>
      <c r="BG425" s="3" t="s">
        <v>7010</v>
      </c>
      <c r="BH425" s="3" t="s">
        <v>7010</v>
      </c>
      <c r="BI425" s="3" t="s">
        <v>7010</v>
      </c>
      <c r="BJ425" s="3" t="s">
        <v>7010</v>
      </c>
      <c r="BK425" s="74" t="str">
        <f t="shared" si="27"/>
        <v>No</v>
      </c>
    </row>
    <row r="426" spans="7:63">
      <c r="G426">
        <v>425</v>
      </c>
      <c r="H426" s="7" t="s">
        <v>639</v>
      </c>
      <c r="I426" t="s">
        <v>29</v>
      </c>
      <c r="J426">
        <f>LEN(H426)</f>
        <v>15</v>
      </c>
      <c r="K426" s="49" t="s">
        <v>3473</v>
      </c>
      <c r="O426" s="3" t="s">
        <v>7010</v>
      </c>
      <c r="P426" s="3" t="s">
        <v>7010</v>
      </c>
      <c r="Q426" s="3" t="s">
        <v>7010</v>
      </c>
      <c r="R426" s="3" t="s">
        <v>7010</v>
      </c>
      <c r="S426" s="3" t="s">
        <v>7010</v>
      </c>
      <c r="T426" s="3" t="s">
        <v>7010</v>
      </c>
      <c r="U426" s="3" t="s">
        <v>7010</v>
      </c>
      <c r="V426" s="3" t="s">
        <v>7010</v>
      </c>
      <c r="W426" s="74" t="str">
        <f t="shared" si="25"/>
        <v>No</v>
      </c>
      <c r="Z426">
        <v>425</v>
      </c>
      <c r="AA426" s="55" t="s">
        <v>4085</v>
      </c>
      <c r="AC426">
        <f t="shared" si="24"/>
        <v>5</v>
      </c>
      <c r="AD426" s="30" t="s">
        <v>4086</v>
      </c>
      <c r="AF426" s="54" t="s">
        <v>7842</v>
      </c>
      <c r="AH426" s="3" t="s">
        <v>7015</v>
      </c>
      <c r="AI426" s="3" t="s">
        <v>7010</v>
      </c>
      <c r="AJ426" s="3" t="s">
        <v>7010</v>
      </c>
      <c r="AK426" s="3" t="s">
        <v>7015</v>
      </c>
      <c r="AL426" s="3" t="s">
        <v>7010</v>
      </c>
      <c r="AM426" s="3" t="s">
        <v>7010</v>
      </c>
      <c r="AN426" s="3" t="s">
        <v>7010</v>
      </c>
      <c r="AO426" s="3" t="s">
        <v>7010</v>
      </c>
      <c r="AP426" s="74" t="s">
        <v>7015</v>
      </c>
      <c r="AU426">
        <v>425</v>
      </c>
      <c r="AV426" t="s">
        <v>4087</v>
      </c>
      <c r="AW426" t="s">
        <v>2279</v>
      </c>
      <c r="AX426">
        <f t="shared" si="26"/>
        <v>8</v>
      </c>
      <c r="AY426" s="30" t="s">
        <v>4088</v>
      </c>
      <c r="BC426" s="3" t="s">
        <v>7010</v>
      </c>
      <c r="BD426" s="3" t="s">
        <v>7010</v>
      </c>
      <c r="BE426" s="3" t="s">
        <v>7010</v>
      </c>
      <c r="BF426" s="3" t="s">
        <v>7010</v>
      </c>
      <c r="BG426" s="3" t="s">
        <v>7010</v>
      </c>
      <c r="BH426" s="3" t="s">
        <v>7010</v>
      </c>
      <c r="BI426" s="3" t="s">
        <v>7010</v>
      </c>
      <c r="BJ426" s="3" t="s">
        <v>7010</v>
      </c>
      <c r="BK426" s="74" t="str">
        <f t="shared" si="27"/>
        <v>No</v>
      </c>
    </row>
    <row r="427" spans="7:63">
      <c r="G427">
        <v>426</v>
      </c>
      <c r="H427" s="7" t="s">
        <v>1975</v>
      </c>
      <c r="I427" t="s">
        <v>29</v>
      </c>
      <c r="J427">
        <f>LEN(H427)</f>
        <v>19</v>
      </c>
      <c r="K427" s="49" t="s">
        <v>6263</v>
      </c>
      <c r="O427" s="3" t="s">
        <v>7010</v>
      </c>
      <c r="P427" s="3" t="s">
        <v>7010</v>
      </c>
      <c r="Q427" s="3" t="s">
        <v>7010</v>
      </c>
      <c r="R427" s="3" t="s">
        <v>7010</v>
      </c>
      <c r="S427" s="3" t="s">
        <v>7010</v>
      </c>
      <c r="T427" s="3" t="s">
        <v>7015</v>
      </c>
      <c r="U427" s="3" t="s">
        <v>7010</v>
      </c>
      <c r="V427" s="3" t="s">
        <v>7010</v>
      </c>
      <c r="W427" s="74" t="str">
        <f t="shared" si="25"/>
        <v>Yes</v>
      </c>
      <c r="Z427">
        <v>426</v>
      </c>
      <c r="AA427" s="55" t="s">
        <v>4090</v>
      </c>
      <c r="AC427">
        <f t="shared" si="24"/>
        <v>7</v>
      </c>
      <c r="AD427" s="30" t="s">
        <v>4091</v>
      </c>
      <c r="AF427" t="s">
        <v>7843</v>
      </c>
      <c r="AH427" s="3" t="s">
        <v>7015</v>
      </c>
      <c r="AI427" s="3" t="s">
        <v>7010</v>
      </c>
      <c r="AJ427" s="3" t="s">
        <v>7010</v>
      </c>
      <c r="AK427" s="3" t="s">
        <v>7015</v>
      </c>
      <c r="AL427" s="3" t="s">
        <v>7010</v>
      </c>
      <c r="AM427" s="3" t="s">
        <v>7010</v>
      </c>
      <c r="AN427" s="3" t="s">
        <v>7010</v>
      </c>
      <c r="AO427" s="3" t="s">
        <v>7010</v>
      </c>
      <c r="AP427" s="74" t="s">
        <v>7015</v>
      </c>
      <c r="AU427">
        <v>426</v>
      </c>
      <c r="AV427" t="s">
        <v>4092</v>
      </c>
      <c r="AW427" t="s">
        <v>2279</v>
      </c>
      <c r="AX427">
        <f t="shared" si="26"/>
        <v>10</v>
      </c>
      <c r="AY427" s="30" t="s">
        <v>4093</v>
      </c>
      <c r="BC427" s="3" t="s">
        <v>7010</v>
      </c>
      <c r="BD427" s="3" t="s">
        <v>7010</v>
      </c>
      <c r="BE427" s="3" t="s">
        <v>7010</v>
      </c>
      <c r="BF427" s="3" t="s">
        <v>7010</v>
      </c>
      <c r="BG427" s="3" t="s">
        <v>7010</v>
      </c>
      <c r="BH427" s="3" t="s">
        <v>7010</v>
      </c>
      <c r="BI427" s="3" t="s">
        <v>7010</v>
      </c>
      <c r="BJ427" s="3" t="s">
        <v>7010</v>
      </c>
      <c r="BK427" s="74" t="str">
        <f t="shared" si="27"/>
        <v>No</v>
      </c>
    </row>
    <row r="428" spans="7:63">
      <c r="G428">
        <v>427</v>
      </c>
      <c r="H428" s="7" t="s">
        <v>2093</v>
      </c>
      <c r="I428" t="s">
        <v>29</v>
      </c>
      <c r="J428">
        <f>LEN(H428)</f>
        <v>11</v>
      </c>
      <c r="K428" s="49" t="s">
        <v>6558</v>
      </c>
      <c r="O428" s="3" t="s">
        <v>7010</v>
      </c>
      <c r="P428" s="3" t="s">
        <v>7010</v>
      </c>
      <c r="Q428" s="3" t="s">
        <v>7010</v>
      </c>
      <c r="R428" s="3" t="s">
        <v>7010</v>
      </c>
      <c r="S428" s="3" t="s">
        <v>7010</v>
      </c>
      <c r="T428" s="3" t="s">
        <v>7010</v>
      </c>
      <c r="U428" s="3" t="s">
        <v>7010</v>
      </c>
      <c r="V428" s="3" t="s">
        <v>7010</v>
      </c>
      <c r="W428" s="74" t="str">
        <f t="shared" si="25"/>
        <v>No</v>
      </c>
      <c r="Z428">
        <v>427</v>
      </c>
      <c r="AA428" s="55" t="s">
        <v>4095</v>
      </c>
      <c r="AC428">
        <f t="shared" si="24"/>
        <v>7</v>
      </c>
      <c r="AD428" s="30" t="s">
        <v>4096</v>
      </c>
      <c r="AF428" t="s">
        <v>7844</v>
      </c>
      <c r="AH428" s="3" t="s">
        <v>7015</v>
      </c>
      <c r="AI428" s="3" t="s">
        <v>7010</v>
      </c>
      <c r="AJ428" s="3" t="s">
        <v>7010</v>
      </c>
      <c r="AK428" s="3" t="s">
        <v>7015</v>
      </c>
      <c r="AL428" s="3" t="s">
        <v>7010</v>
      </c>
      <c r="AM428" s="3" t="s">
        <v>7010</v>
      </c>
      <c r="AN428" s="3" t="s">
        <v>7010</v>
      </c>
      <c r="AO428" s="3" t="s">
        <v>7010</v>
      </c>
      <c r="AP428" s="74" t="s">
        <v>7015</v>
      </c>
      <c r="AU428">
        <v>427</v>
      </c>
      <c r="AV428" t="s">
        <v>4097</v>
      </c>
      <c r="AW428" t="s">
        <v>2279</v>
      </c>
      <c r="AX428">
        <f t="shared" si="26"/>
        <v>16</v>
      </c>
      <c r="AY428" s="30" t="s">
        <v>4098</v>
      </c>
      <c r="BC428" s="3" t="s">
        <v>7010</v>
      </c>
      <c r="BD428" s="3" t="s">
        <v>7010</v>
      </c>
      <c r="BE428" s="3" t="s">
        <v>7010</v>
      </c>
      <c r="BF428" s="3" t="s">
        <v>7010</v>
      </c>
      <c r="BG428" s="3" t="s">
        <v>7010</v>
      </c>
      <c r="BH428" s="3" t="s">
        <v>7010</v>
      </c>
      <c r="BI428" s="3" t="s">
        <v>7010</v>
      </c>
      <c r="BJ428" s="3" t="s">
        <v>7010</v>
      </c>
      <c r="BK428" s="74" t="str">
        <f t="shared" si="27"/>
        <v>No</v>
      </c>
    </row>
    <row r="429" spans="7:63">
      <c r="G429">
        <v>428</v>
      </c>
      <c r="H429" s="7" t="s">
        <v>536</v>
      </c>
      <c r="I429" t="s">
        <v>29</v>
      </c>
      <c r="J429">
        <f>LEN(H429)</f>
        <v>8</v>
      </c>
      <c r="K429" s="49" t="s">
        <v>3061</v>
      </c>
      <c r="O429" s="3" t="s">
        <v>7010</v>
      </c>
      <c r="P429" s="3" t="s">
        <v>7010</v>
      </c>
      <c r="Q429" s="3" t="s">
        <v>7010</v>
      </c>
      <c r="R429" s="3" t="s">
        <v>7010</v>
      </c>
      <c r="S429" s="3" t="s">
        <v>7010</v>
      </c>
      <c r="T429" s="3" t="s">
        <v>7015</v>
      </c>
      <c r="U429" s="3" t="s">
        <v>7010</v>
      </c>
      <c r="V429" s="3" t="s">
        <v>7010</v>
      </c>
      <c r="W429" s="74" t="str">
        <f t="shared" si="25"/>
        <v>Yes</v>
      </c>
      <c r="Z429">
        <v>428</v>
      </c>
      <c r="AA429" s="55" t="s">
        <v>4100</v>
      </c>
      <c r="AC429">
        <f t="shared" si="24"/>
        <v>7</v>
      </c>
      <c r="AD429" s="30" t="s">
        <v>4101</v>
      </c>
      <c r="AF429" t="s">
        <v>7845</v>
      </c>
      <c r="AH429" s="3" t="s">
        <v>7015</v>
      </c>
      <c r="AI429" s="3" t="s">
        <v>7010</v>
      </c>
      <c r="AJ429" s="3" t="s">
        <v>7010</v>
      </c>
      <c r="AK429" s="3" t="s">
        <v>7015</v>
      </c>
      <c r="AL429" s="3" t="s">
        <v>7010</v>
      </c>
      <c r="AM429" s="3" t="s">
        <v>7010</v>
      </c>
      <c r="AN429" s="3" t="s">
        <v>7010</v>
      </c>
      <c r="AO429" s="3" t="s">
        <v>7010</v>
      </c>
      <c r="AP429" s="74" t="s">
        <v>7015</v>
      </c>
      <c r="AU429">
        <v>428</v>
      </c>
      <c r="AV429" t="s">
        <v>4102</v>
      </c>
      <c r="AW429" t="s">
        <v>2279</v>
      </c>
      <c r="AX429">
        <f t="shared" si="26"/>
        <v>8</v>
      </c>
      <c r="AY429" s="30" t="s">
        <v>4103</v>
      </c>
      <c r="BC429" s="3" t="s">
        <v>7010</v>
      </c>
      <c r="BD429" s="3" t="s">
        <v>7010</v>
      </c>
      <c r="BE429" s="3" t="s">
        <v>7010</v>
      </c>
      <c r="BF429" s="3" t="s">
        <v>7010</v>
      </c>
      <c r="BG429" s="3" t="s">
        <v>7010</v>
      </c>
      <c r="BH429" s="3" t="s">
        <v>7010</v>
      </c>
      <c r="BI429" s="3" t="s">
        <v>7010</v>
      </c>
      <c r="BJ429" s="3" t="s">
        <v>7010</v>
      </c>
      <c r="BK429" s="74" t="str">
        <f t="shared" si="27"/>
        <v>No</v>
      </c>
    </row>
    <row r="430" spans="7:63">
      <c r="G430">
        <v>429</v>
      </c>
      <c r="H430" s="7" t="s">
        <v>528</v>
      </c>
      <c r="I430" t="s">
        <v>29</v>
      </c>
      <c r="J430">
        <f>LEN(H430)</f>
        <v>13</v>
      </c>
      <c r="K430" s="49" t="s">
        <v>3029</v>
      </c>
      <c r="O430" s="3" t="s">
        <v>7010</v>
      </c>
      <c r="P430" s="3" t="s">
        <v>7010</v>
      </c>
      <c r="Q430" s="3" t="s">
        <v>7010</v>
      </c>
      <c r="R430" s="3" t="s">
        <v>7010</v>
      </c>
      <c r="S430" s="3" t="s">
        <v>7010</v>
      </c>
      <c r="T430" s="3" t="s">
        <v>7010</v>
      </c>
      <c r="U430" s="3" t="s">
        <v>7010</v>
      </c>
      <c r="V430" s="3" t="s">
        <v>7010</v>
      </c>
      <c r="W430" s="74" t="str">
        <f t="shared" si="25"/>
        <v>No</v>
      </c>
      <c r="Z430">
        <v>429</v>
      </c>
      <c r="AA430" s="55" t="s">
        <v>4105</v>
      </c>
      <c r="AC430">
        <f t="shared" si="24"/>
        <v>7</v>
      </c>
      <c r="AD430" s="30" t="s">
        <v>4106</v>
      </c>
      <c r="AF430" t="s">
        <v>7846</v>
      </c>
      <c r="AH430" s="3" t="s">
        <v>7015</v>
      </c>
      <c r="AI430" s="3" t="s">
        <v>7010</v>
      </c>
      <c r="AJ430" s="3" t="s">
        <v>7010</v>
      </c>
      <c r="AK430" s="3" t="s">
        <v>7015</v>
      </c>
      <c r="AL430" s="3" t="s">
        <v>7010</v>
      </c>
      <c r="AM430" s="3" t="s">
        <v>7010</v>
      </c>
      <c r="AN430" s="3" t="s">
        <v>7010</v>
      </c>
      <c r="AO430" s="3" t="s">
        <v>7010</v>
      </c>
      <c r="AP430" s="74" t="s">
        <v>7015</v>
      </c>
      <c r="AU430">
        <v>429</v>
      </c>
      <c r="AV430" t="s">
        <v>4107</v>
      </c>
      <c r="AW430" t="s">
        <v>2279</v>
      </c>
      <c r="AX430">
        <f t="shared" si="26"/>
        <v>8</v>
      </c>
      <c r="AY430" s="30" t="s">
        <v>4108</v>
      </c>
      <c r="BC430" s="3" t="s">
        <v>7010</v>
      </c>
      <c r="BD430" s="3" t="s">
        <v>7010</v>
      </c>
      <c r="BE430" s="3" t="s">
        <v>7010</v>
      </c>
      <c r="BF430" s="3" t="s">
        <v>7010</v>
      </c>
      <c r="BG430" s="3" t="s">
        <v>7010</v>
      </c>
      <c r="BH430" s="3" t="s">
        <v>7010</v>
      </c>
      <c r="BI430" s="3" t="s">
        <v>7010</v>
      </c>
      <c r="BJ430" s="3" t="s">
        <v>7010</v>
      </c>
      <c r="BK430" s="74" t="str">
        <f t="shared" si="27"/>
        <v>No</v>
      </c>
    </row>
    <row r="431" spans="7:63">
      <c r="G431">
        <v>430</v>
      </c>
      <c r="H431" s="7" t="s">
        <v>529</v>
      </c>
      <c r="I431" t="s">
        <v>29</v>
      </c>
      <c r="J431">
        <f>LEN(H431)</f>
        <v>7</v>
      </c>
      <c r="K431" s="49" t="s">
        <v>3033</v>
      </c>
      <c r="O431" s="3" t="s">
        <v>7010</v>
      </c>
      <c r="P431" s="3" t="s">
        <v>7010</v>
      </c>
      <c r="Q431" s="3" t="s">
        <v>7010</v>
      </c>
      <c r="R431" s="3" t="s">
        <v>7015</v>
      </c>
      <c r="S431" s="3" t="s">
        <v>7010</v>
      </c>
      <c r="T431" s="3" t="s">
        <v>7015</v>
      </c>
      <c r="U431" s="3" t="s">
        <v>7010</v>
      </c>
      <c r="V431" s="3" t="s">
        <v>7010</v>
      </c>
      <c r="W431" s="74" t="str">
        <f t="shared" si="25"/>
        <v>Yes</v>
      </c>
      <c r="Z431">
        <v>430</v>
      </c>
      <c r="AA431" s="55" t="s">
        <v>4110</v>
      </c>
      <c r="AC431">
        <f t="shared" si="24"/>
        <v>6</v>
      </c>
      <c r="AD431" s="30" t="s">
        <v>4111</v>
      </c>
      <c r="AF431" t="s">
        <v>7847</v>
      </c>
      <c r="AH431" s="3" t="s">
        <v>7015</v>
      </c>
      <c r="AI431" s="3" t="s">
        <v>7010</v>
      </c>
      <c r="AJ431" s="3" t="s">
        <v>7010</v>
      </c>
      <c r="AK431" s="3" t="s">
        <v>7015</v>
      </c>
      <c r="AL431" s="3" t="s">
        <v>7010</v>
      </c>
      <c r="AM431" s="3" t="s">
        <v>7010</v>
      </c>
      <c r="AN431" s="3" t="s">
        <v>7010</v>
      </c>
      <c r="AO431" s="3" t="s">
        <v>7010</v>
      </c>
      <c r="AP431" s="74" t="s">
        <v>7015</v>
      </c>
      <c r="AU431">
        <v>430</v>
      </c>
      <c r="AV431" t="s">
        <v>4112</v>
      </c>
      <c r="AW431" t="s">
        <v>2279</v>
      </c>
      <c r="AX431">
        <f t="shared" si="26"/>
        <v>13</v>
      </c>
      <c r="AY431" s="30" t="s">
        <v>4113</v>
      </c>
      <c r="BC431" s="3" t="s">
        <v>7010</v>
      </c>
      <c r="BD431" s="3" t="s">
        <v>7010</v>
      </c>
      <c r="BE431" s="3" t="s">
        <v>7010</v>
      </c>
      <c r="BF431" s="3" t="s">
        <v>7010</v>
      </c>
      <c r="BG431" s="3" t="s">
        <v>7010</v>
      </c>
      <c r="BH431" s="3" t="s">
        <v>7010</v>
      </c>
      <c r="BI431" s="3" t="s">
        <v>7010</v>
      </c>
      <c r="BJ431" s="3" t="s">
        <v>7010</v>
      </c>
      <c r="BK431" s="74" t="str">
        <f t="shared" si="27"/>
        <v>No</v>
      </c>
    </row>
    <row r="432" spans="7:63">
      <c r="G432">
        <v>431</v>
      </c>
      <c r="H432" s="7" t="s">
        <v>2123</v>
      </c>
      <c r="I432" t="s">
        <v>29</v>
      </c>
      <c r="J432">
        <f>LEN(H432)</f>
        <v>14</v>
      </c>
      <c r="K432" s="49" t="s">
        <v>6633</v>
      </c>
      <c r="O432" s="3" t="s">
        <v>7010</v>
      </c>
      <c r="P432" s="3" t="s">
        <v>7010</v>
      </c>
      <c r="Q432" s="3" t="s">
        <v>7010</v>
      </c>
      <c r="R432" s="3" t="s">
        <v>7010</v>
      </c>
      <c r="S432" s="3" t="s">
        <v>7010</v>
      </c>
      <c r="T432" s="3" t="s">
        <v>7015</v>
      </c>
      <c r="U432" s="3" t="s">
        <v>7010</v>
      </c>
      <c r="V432" s="3" t="s">
        <v>7010</v>
      </c>
      <c r="W432" s="74" t="str">
        <f t="shared" si="25"/>
        <v>Yes</v>
      </c>
      <c r="Z432">
        <v>431</v>
      </c>
      <c r="AA432" s="55" t="s">
        <v>4115</v>
      </c>
      <c r="AC432">
        <f t="shared" si="24"/>
        <v>5</v>
      </c>
      <c r="AD432" s="30" t="s">
        <v>4116</v>
      </c>
      <c r="AF432" t="s">
        <v>7848</v>
      </c>
      <c r="AH432" s="3" t="s">
        <v>7015</v>
      </c>
      <c r="AI432" s="3" t="s">
        <v>7010</v>
      </c>
      <c r="AJ432" s="3" t="s">
        <v>7010</v>
      </c>
      <c r="AK432" s="3" t="s">
        <v>7015</v>
      </c>
      <c r="AL432" s="3" t="s">
        <v>7010</v>
      </c>
      <c r="AM432" s="3" t="s">
        <v>7010</v>
      </c>
      <c r="AN432" s="3" t="s">
        <v>7010</v>
      </c>
      <c r="AO432" s="3" t="s">
        <v>7010</v>
      </c>
      <c r="AP432" s="74" t="s">
        <v>7015</v>
      </c>
      <c r="AU432">
        <v>431</v>
      </c>
      <c r="AV432" t="s">
        <v>4117</v>
      </c>
      <c r="AW432" t="s">
        <v>2279</v>
      </c>
      <c r="AX432">
        <f t="shared" si="26"/>
        <v>8</v>
      </c>
      <c r="AY432" s="30" t="s">
        <v>4118</v>
      </c>
      <c r="BC432" s="3" t="s">
        <v>7010</v>
      </c>
      <c r="BD432" s="3" t="s">
        <v>7010</v>
      </c>
      <c r="BE432" s="3" t="s">
        <v>7010</v>
      </c>
      <c r="BF432" s="3" t="s">
        <v>7010</v>
      </c>
      <c r="BG432" s="3" t="s">
        <v>7010</v>
      </c>
      <c r="BH432" s="3" t="s">
        <v>7010</v>
      </c>
      <c r="BI432" s="3" t="s">
        <v>7010</v>
      </c>
      <c r="BJ432" s="3" t="s">
        <v>7010</v>
      </c>
      <c r="BK432" s="74" t="str">
        <f t="shared" si="27"/>
        <v>No</v>
      </c>
    </row>
    <row r="433" spans="7:63">
      <c r="G433">
        <v>432</v>
      </c>
      <c r="H433" s="7" t="s">
        <v>478</v>
      </c>
      <c r="I433" t="s">
        <v>29</v>
      </c>
      <c r="J433">
        <f>LEN(H433)</f>
        <v>18</v>
      </c>
      <c r="K433" s="49" t="s">
        <v>2829</v>
      </c>
      <c r="O433" s="3" t="s">
        <v>7010</v>
      </c>
      <c r="P433" s="3" t="s">
        <v>7010</v>
      </c>
      <c r="Q433" s="3" t="s">
        <v>7010</v>
      </c>
      <c r="R433" s="3" t="s">
        <v>7010</v>
      </c>
      <c r="S433" s="3" t="s">
        <v>7010</v>
      </c>
      <c r="T433" s="3" t="s">
        <v>7010</v>
      </c>
      <c r="U433" s="3" t="s">
        <v>7010</v>
      </c>
      <c r="V433" s="3" t="s">
        <v>7010</v>
      </c>
      <c r="W433" s="74" t="str">
        <f t="shared" si="25"/>
        <v>No</v>
      </c>
      <c r="Z433">
        <v>432</v>
      </c>
      <c r="AA433" s="55" t="s">
        <v>4120</v>
      </c>
      <c r="AC433">
        <f t="shared" si="24"/>
        <v>7</v>
      </c>
      <c r="AD433" s="30" t="s">
        <v>4121</v>
      </c>
      <c r="AF433" t="s">
        <v>7849</v>
      </c>
      <c r="AH433" s="3" t="s">
        <v>7015</v>
      </c>
      <c r="AI433" s="3" t="s">
        <v>7010</v>
      </c>
      <c r="AJ433" s="3" t="s">
        <v>7010</v>
      </c>
      <c r="AK433" s="3" t="s">
        <v>7015</v>
      </c>
      <c r="AL433" s="3" t="s">
        <v>7010</v>
      </c>
      <c r="AM433" s="3" t="s">
        <v>7010</v>
      </c>
      <c r="AN433" s="3" t="s">
        <v>7010</v>
      </c>
      <c r="AO433" s="3" t="s">
        <v>7010</v>
      </c>
      <c r="AP433" s="74" t="s">
        <v>7015</v>
      </c>
      <c r="AU433">
        <v>432</v>
      </c>
      <c r="AV433" t="s">
        <v>4122</v>
      </c>
      <c r="AW433" t="s">
        <v>2279</v>
      </c>
      <c r="AX433">
        <f t="shared" si="26"/>
        <v>12</v>
      </c>
      <c r="AY433" s="30" t="s">
        <v>4123</v>
      </c>
      <c r="BC433" s="3" t="s">
        <v>7010</v>
      </c>
      <c r="BD433" s="3" t="s">
        <v>7010</v>
      </c>
      <c r="BE433" s="3" t="s">
        <v>7010</v>
      </c>
      <c r="BF433" s="3" t="s">
        <v>7010</v>
      </c>
      <c r="BG433" s="3" t="s">
        <v>7010</v>
      </c>
      <c r="BH433" s="3" t="s">
        <v>7010</v>
      </c>
      <c r="BI433" s="3" t="s">
        <v>7010</v>
      </c>
      <c r="BJ433" s="3" t="s">
        <v>7010</v>
      </c>
      <c r="BK433" s="74" t="str">
        <f t="shared" si="27"/>
        <v>No</v>
      </c>
    </row>
    <row r="434" spans="7:63">
      <c r="G434">
        <v>433</v>
      </c>
      <c r="H434" s="7" t="s">
        <v>2219</v>
      </c>
      <c r="I434" t="s">
        <v>29</v>
      </c>
      <c r="J434">
        <f>LEN(H434)</f>
        <v>13</v>
      </c>
      <c r="K434" s="49" t="s">
        <v>6869</v>
      </c>
      <c r="O434" s="3" t="s">
        <v>7010</v>
      </c>
      <c r="P434" s="3" t="s">
        <v>7010</v>
      </c>
      <c r="Q434" s="3" t="s">
        <v>7010</v>
      </c>
      <c r="R434" s="3" t="s">
        <v>7010</v>
      </c>
      <c r="S434" s="3" t="s">
        <v>7010</v>
      </c>
      <c r="T434" s="3" t="s">
        <v>7015</v>
      </c>
      <c r="U434" s="3" t="s">
        <v>7010</v>
      </c>
      <c r="V434" s="3" t="s">
        <v>7010</v>
      </c>
      <c r="W434" s="74" t="str">
        <f t="shared" si="25"/>
        <v>Yes</v>
      </c>
      <c r="Z434">
        <v>433</v>
      </c>
      <c r="AA434" s="55">
        <v>12345678910</v>
      </c>
      <c r="AC434">
        <f t="shared" si="24"/>
        <v>11</v>
      </c>
      <c r="AD434" s="30" t="s">
        <v>4125</v>
      </c>
      <c r="AF434" t="s">
        <v>7850</v>
      </c>
      <c r="AH434" s="3" t="s">
        <v>7015</v>
      </c>
      <c r="AI434" s="3" t="s">
        <v>7010</v>
      </c>
      <c r="AJ434" s="3" t="s">
        <v>7010</v>
      </c>
      <c r="AK434" s="3" t="s">
        <v>7015</v>
      </c>
      <c r="AL434" s="3" t="s">
        <v>7010</v>
      </c>
      <c r="AM434" s="3" t="s">
        <v>7010</v>
      </c>
      <c r="AN434" s="3" t="s">
        <v>7010</v>
      </c>
      <c r="AO434" s="3" t="s">
        <v>7010</v>
      </c>
      <c r="AP434" s="74" t="s">
        <v>7015</v>
      </c>
      <c r="AU434">
        <v>433</v>
      </c>
      <c r="AV434" t="s">
        <v>4126</v>
      </c>
      <c r="AW434" t="s">
        <v>2279</v>
      </c>
      <c r="AX434">
        <f t="shared" si="26"/>
        <v>9</v>
      </c>
      <c r="AY434" s="30" t="s">
        <v>4127</v>
      </c>
      <c r="BC434" s="3" t="s">
        <v>7010</v>
      </c>
      <c r="BD434" s="3" t="s">
        <v>7010</v>
      </c>
      <c r="BE434" s="3" t="s">
        <v>7010</v>
      </c>
      <c r="BF434" s="3" t="s">
        <v>7010</v>
      </c>
      <c r="BG434" s="3" t="s">
        <v>7010</v>
      </c>
      <c r="BH434" s="3" t="s">
        <v>7010</v>
      </c>
      <c r="BI434" s="3" t="s">
        <v>7010</v>
      </c>
      <c r="BJ434" s="3" t="s">
        <v>7010</v>
      </c>
      <c r="BK434" s="74" t="str">
        <f t="shared" si="27"/>
        <v>No</v>
      </c>
    </row>
    <row r="435" spans="7:63">
      <c r="G435">
        <v>434</v>
      </c>
      <c r="H435" s="7" t="s">
        <v>2063</v>
      </c>
      <c r="I435" t="s">
        <v>29</v>
      </c>
      <c r="J435">
        <f>LEN(H435)</f>
        <v>13</v>
      </c>
      <c r="K435" s="49" t="s">
        <v>6485</v>
      </c>
      <c r="O435" s="3" t="s">
        <v>7010</v>
      </c>
      <c r="P435" s="3" t="s">
        <v>7010</v>
      </c>
      <c r="Q435" s="3" t="s">
        <v>7010</v>
      </c>
      <c r="R435" s="3" t="s">
        <v>7010</v>
      </c>
      <c r="S435" s="3" t="s">
        <v>7010</v>
      </c>
      <c r="T435" s="3" t="s">
        <v>7015</v>
      </c>
      <c r="U435" s="3" t="s">
        <v>7010</v>
      </c>
      <c r="V435" s="3" t="s">
        <v>7010</v>
      </c>
      <c r="W435" s="74" t="str">
        <f t="shared" si="25"/>
        <v>Yes</v>
      </c>
      <c r="Z435">
        <v>434</v>
      </c>
      <c r="AA435" s="55" t="s">
        <v>4129</v>
      </c>
      <c r="AC435">
        <f t="shared" si="24"/>
        <v>8</v>
      </c>
      <c r="AD435" s="30" t="s">
        <v>4130</v>
      </c>
      <c r="AF435" t="s">
        <v>7851</v>
      </c>
      <c r="AH435" s="3" t="s">
        <v>7015</v>
      </c>
      <c r="AI435" s="3" t="s">
        <v>7010</v>
      </c>
      <c r="AJ435" s="3" t="s">
        <v>7010</v>
      </c>
      <c r="AK435" s="3" t="s">
        <v>7015</v>
      </c>
      <c r="AL435" s="3" t="s">
        <v>7010</v>
      </c>
      <c r="AM435" s="3" t="s">
        <v>7010</v>
      </c>
      <c r="AN435" s="3" t="s">
        <v>7010</v>
      </c>
      <c r="AO435" s="3" t="s">
        <v>7010</v>
      </c>
      <c r="AP435" s="74" t="s">
        <v>7015</v>
      </c>
      <c r="AU435">
        <v>434</v>
      </c>
      <c r="AV435" t="s">
        <v>4131</v>
      </c>
      <c r="AW435" t="s">
        <v>2279</v>
      </c>
      <c r="AX435">
        <f t="shared" si="26"/>
        <v>9</v>
      </c>
      <c r="AY435" s="30" t="s">
        <v>4132</v>
      </c>
      <c r="BC435" s="3" t="s">
        <v>7010</v>
      </c>
      <c r="BD435" s="3" t="s">
        <v>7010</v>
      </c>
      <c r="BE435" s="3" t="s">
        <v>7010</v>
      </c>
      <c r="BF435" s="3" t="s">
        <v>7010</v>
      </c>
      <c r="BG435" s="3" t="s">
        <v>7010</v>
      </c>
      <c r="BH435" s="3" t="s">
        <v>7010</v>
      </c>
      <c r="BI435" s="3" t="s">
        <v>7010</v>
      </c>
      <c r="BJ435" s="3" t="s">
        <v>7010</v>
      </c>
      <c r="BK435" s="74" t="str">
        <f t="shared" si="27"/>
        <v>No</v>
      </c>
    </row>
    <row r="436" spans="7:63">
      <c r="G436">
        <v>435</v>
      </c>
      <c r="H436" s="7" t="s">
        <v>1606</v>
      </c>
      <c r="I436" t="s">
        <v>29</v>
      </c>
      <c r="J436">
        <f>LEN(H436)</f>
        <v>12</v>
      </c>
      <c r="K436" s="49" t="s">
        <v>5243</v>
      </c>
      <c r="O436" s="3" t="s">
        <v>7010</v>
      </c>
      <c r="P436" s="3" t="s">
        <v>7010</v>
      </c>
      <c r="Q436" s="3" t="s">
        <v>7010</v>
      </c>
      <c r="R436" s="3" t="s">
        <v>7010</v>
      </c>
      <c r="S436" s="3" t="s">
        <v>7010</v>
      </c>
      <c r="T436" s="3" t="s">
        <v>7010</v>
      </c>
      <c r="U436" s="3" t="s">
        <v>7010</v>
      </c>
      <c r="V436" s="3" t="s">
        <v>7010</v>
      </c>
      <c r="W436" s="74" t="str">
        <f t="shared" si="25"/>
        <v>No</v>
      </c>
      <c r="Z436">
        <v>435</v>
      </c>
      <c r="AA436" s="55" t="s">
        <v>4134</v>
      </c>
      <c r="AC436">
        <f t="shared" si="24"/>
        <v>6</v>
      </c>
      <c r="AD436" s="30" t="s">
        <v>4135</v>
      </c>
      <c r="AF436" t="s">
        <v>7852</v>
      </c>
      <c r="AH436" s="3" t="s">
        <v>7015</v>
      </c>
      <c r="AI436" s="3" t="s">
        <v>7010</v>
      </c>
      <c r="AJ436" s="3" t="s">
        <v>7010</v>
      </c>
      <c r="AK436" s="3" t="s">
        <v>7015</v>
      </c>
      <c r="AL436" s="3" t="s">
        <v>7010</v>
      </c>
      <c r="AM436" s="3" t="s">
        <v>7010</v>
      </c>
      <c r="AN436" s="3" t="s">
        <v>7010</v>
      </c>
      <c r="AO436" s="3" t="s">
        <v>7010</v>
      </c>
      <c r="AP436" s="74" t="s">
        <v>7015</v>
      </c>
      <c r="AU436">
        <v>435</v>
      </c>
      <c r="AV436" t="s">
        <v>4136</v>
      </c>
      <c r="AW436" t="s">
        <v>2279</v>
      </c>
      <c r="AX436">
        <f t="shared" si="26"/>
        <v>8</v>
      </c>
      <c r="AY436" s="30" t="s">
        <v>4137</v>
      </c>
      <c r="BC436" s="3" t="s">
        <v>7010</v>
      </c>
      <c r="BD436" s="3" t="s">
        <v>7010</v>
      </c>
      <c r="BE436" s="3" t="s">
        <v>7010</v>
      </c>
      <c r="BF436" s="3" t="s">
        <v>7010</v>
      </c>
      <c r="BG436" s="3" t="s">
        <v>7010</v>
      </c>
      <c r="BH436" s="3" t="s">
        <v>7010</v>
      </c>
      <c r="BI436" s="3" t="s">
        <v>7010</v>
      </c>
      <c r="BJ436" s="3" t="s">
        <v>7010</v>
      </c>
      <c r="BK436" s="74" t="str">
        <f t="shared" si="27"/>
        <v>No</v>
      </c>
    </row>
    <row r="437" spans="7:63">
      <c r="G437">
        <v>436</v>
      </c>
      <c r="H437" s="7" t="s">
        <v>1382</v>
      </c>
      <c r="I437" t="s">
        <v>29</v>
      </c>
      <c r="J437">
        <f>LEN(H437)</f>
        <v>14</v>
      </c>
      <c r="K437" s="49" t="s">
        <v>4676</v>
      </c>
      <c r="O437" s="3" t="s">
        <v>7010</v>
      </c>
      <c r="P437" s="3" t="s">
        <v>7010</v>
      </c>
      <c r="Q437" s="3" t="s">
        <v>7010</v>
      </c>
      <c r="R437" s="3" t="s">
        <v>7010</v>
      </c>
      <c r="S437" s="3" t="s">
        <v>7010</v>
      </c>
      <c r="T437" s="3" t="s">
        <v>7010</v>
      </c>
      <c r="U437" s="3" t="s">
        <v>7010</v>
      </c>
      <c r="V437" s="3" t="s">
        <v>7010</v>
      </c>
      <c r="W437" s="74" t="str">
        <f t="shared" si="25"/>
        <v>No</v>
      </c>
      <c r="Z437">
        <v>436</v>
      </c>
      <c r="AA437" s="55" t="s">
        <v>4139</v>
      </c>
      <c r="AC437">
        <f t="shared" si="24"/>
        <v>7</v>
      </c>
      <c r="AD437" s="30" t="s">
        <v>4140</v>
      </c>
      <c r="AF437" t="s">
        <v>7853</v>
      </c>
      <c r="AH437" s="3" t="s">
        <v>7015</v>
      </c>
      <c r="AI437" s="3" t="s">
        <v>7010</v>
      </c>
      <c r="AJ437" s="3" t="s">
        <v>7010</v>
      </c>
      <c r="AK437" s="3" t="s">
        <v>7015</v>
      </c>
      <c r="AL437" s="3" t="s">
        <v>7010</v>
      </c>
      <c r="AM437" s="3" t="s">
        <v>7010</v>
      </c>
      <c r="AN437" s="3" t="s">
        <v>7010</v>
      </c>
      <c r="AO437" s="3" t="s">
        <v>7010</v>
      </c>
      <c r="AP437" s="74" t="s">
        <v>7015</v>
      </c>
      <c r="AU437">
        <v>436</v>
      </c>
      <c r="AV437" t="s">
        <v>4141</v>
      </c>
      <c r="AW437" t="s">
        <v>2279</v>
      </c>
      <c r="AX437">
        <f t="shared" si="26"/>
        <v>8</v>
      </c>
      <c r="AY437" s="30" t="s">
        <v>4142</v>
      </c>
      <c r="BC437" s="3" t="s">
        <v>7010</v>
      </c>
      <c r="BD437" s="3" t="s">
        <v>7010</v>
      </c>
      <c r="BE437" s="3" t="s">
        <v>7010</v>
      </c>
      <c r="BF437" s="3" t="s">
        <v>7010</v>
      </c>
      <c r="BG437" s="3" t="s">
        <v>7010</v>
      </c>
      <c r="BH437" s="3" t="s">
        <v>7010</v>
      </c>
      <c r="BI437" s="3" t="s">
        <v>7010</v>
      </c>
      <c r="BJ437" s="3" t="s">
        <v>7010</v>
      </c>
      <c r="BK437" s="74" t="str">
        <f t="shared" si="27"/>
        <v>No</v>
      </c>
    </row>
    <row r="438" spans="7:63">
      <c r="G438">
        <v>437</v>
      </c>
      <c r="H438" s="7" t="s">
        <v>1666</v>
      </c>
      <c r="I438" t="s">
        <v>29</v>
      </c>
      <c r="J438">
        <f>LEN(H438)</f>
        <v>16</v>
      </c>
      <c r="K438" s="49" t="s">
        <v>5395</v>
      </c>
      <c r="O438" s="3" t="s">
        <v>7010</v>
      </c>
      <c r="P438" s="3" t="s">
        <v>7010</v>
      </c>
      <c r="Q438" s="3" t="s">
        <v>7010</v>
      </c>
      <c r="R438" s="3" t="s">
        <v>7010</v>
      </c>
      <c r="S438" s="3" t="s">
        <v>7010</v>
      </c>
      <c r="T438" s="3" t="s">
        <v>7010</v>
      </c>
      <c r="U438" s="3" t="s">
        <v>7015</v>
      </c>
      <c r="V438" s="3" t="s">
        <v>7010</v>
      </c>
      <c r="W438" s="74" t="str">
        <f t="shared" si="25"/>
        <v>Yes</v>
      </c>
      <c r="Z438">
        <v>437</v>
      </c>
      <c r="AA438" s="55" t="s">
        <v>4143</v>
      </c>
      <c r="AC438">
        <f t="shared" si="24"/>
        <v>6</v>
      </c>
      <c r="AD438" s="30" t="s">
        <v>4144</v>
      </c>
      <c r="AF438" t="s">
        <v>7854</v>
      </c>
      <c r="AH438" s="3" t="s">
        <v>7015</v>
      </c>
      <c r="AI438" s="3" t="s">
        <v>7010</v>
      </c>
      <c r="AJ438" s="3" t="s">
        <v>7010</v>
      </c>
      <c r="AK438" s="3" t="s">
        <v>7015</v>
      </c>
      <c r="AL438" s="3" t="s">
        <v>7010</v>
      </c>
      <c r="AM438" s="3" t="s">
        <v>7010</v>
      </c>
      <c r="AN438" s="3" t="s">
        <v>7010</v>
      </c>
      <c r="AO438" s="3" t="s">
        <v>7010</v>
      </c>
      <c r="AP438" s="74" t="s">
        <v>7015</v>
      </c>
      <c r="AU438">
        <v>437</v>
      </c>
      <c r="AV438" t="s">
        <v>4145</v>
      </c>
      <c r="AW438" t="s">
        <v>2279</v>
      </c>
      <c r="AX438">
        <f t="shared" si="26"/>
        <v>8</v>
      </c>
      <c r="AY438" s="30" t="s">
        <v>4146</v>
      </c>
      <c r="BC438" s="3" t="s">
        <v>7010</v>
      </c>
      <c r="BD438" s="3" t="s">
        <v>7010</v>
      </c>
      <c r="BE438" s="3" t="s">
        <v>7010</v>
      </c>
      <c r="BF438" s="3" t="s">
        <v>7010</v>
      </c>
      <c r="BG438" s="3" t="s">
        <v>7010</v>
      </c>
      <c r="BH438" s="3" t="s">
        <v>7010</v>
      </c>
      <c r="BI438" s="3" t="s">
        <v>7010</v>
      </c>
      <c r="BJ438" s="3" t="s">
        <v>7010</v>
      </c>
      <c r="BK438" s="74" t="str">
        <f t="shared" si="27"/>
        <v>No</v>
      </c>
    </row>
    <row r="439" spans="7:63">
      <c r="G439">
        <v>438</v>
      </c>
      <c r="H439" s="7" t="s">
        <v>1560</v>
      </c>
      <c r="I439" t="s">
        <v>29</v>
      </c>
      <c r="J439">
        <f>LEN(H439)</f>
        <v>15</v>
      </c>
      <c r="K439" s="49" t="s">
        <v>5128</v>
      </c>
      <c r="O439" s="3" t="s">
        <v>7010</v>
      </c>
      <c r="P439" s="3" t="s">
        <v>7010</v>
      </c>
      <c r="Q439" s="3" t="s">
        <v>7010</v>
      </c>
      <c r="R439" s="3" t="s">
        <v>7010</v>
      </c>
      <c r="S439" s="3" t="s">
        <v>7010</v>
      </c>
      <c r="T439" s="3" t="s">
        <v>7010</v>
      </c>
      <c r="U439" s="3" t="s">
        <v>7015</v>
      </c>
      <c r="V439" s="3" t="s">
        <v>7010</v>
      </c>
      <c r="W439" s="74" t="str">
        <f t="shared" si="25"/>
        <v>Yes</v>
      </c>
      <c r="Z439">
        <v>438</v>
      </c>
      <c r="AA439" s="55" t="s">
        <v>4148</v>
      </c>
      <c r="AC439">
        <f t="shared" si="24"/>
        <v>8</v>
      </c>
      <c r="AD439" s="30" t="s">
        <v>4149</v>
      </c>
      <c r="AF439" t="s">
        <v>7855</v>
      </c>
      <c r="AH439" s="3" t="s">
        <v>7015</v>
      </c>
      <c r="AI439" s="3" t="s">
        <v>7010</v>
      </c>
      <c r="AJ439" s="3" t="s">
        <v>7010</v>
      </c>
      <c r="AK439" s="3" t="s">
        <v>7015</v>
      </c>
      <c r="AL439" s="3" t="s">
        <v>7010</v>
      </c>
      <c r="AM439" s="3" t="s">
        <v>7010</v>
      </c>
      <c r="AN439" s="3" t="s">
        <v>7010</v>
      </c>
      <c r="AO439" s="3" t="s">
        <v>7010</v>
      </c>
      <c r="AP439" s="74" t="s">
        <v>7015</v>
      </c>
      <c r="AU439">
        <v>438</v>
      </c>
      <c r="AV439" t="s">
        <v>4150</v>
      </c>
      <c r="AW439" t="s">
        <v>2279</v>
      </c>
      <c r="AX439">
        <f t="shared" si="26"/>
        <v>9</v>
      </c>
      <c r="AY439" s="30" t="s">
        <v>4151</v>
      </c>
      <c r="BC439" s="3" t="s">
        <v>7010</v>
      </c>
      <c r="BD439" s="3" t="s">
        <v>7010</v>
      </c>
      <c r="BE439" s="3" t="s">
        <v>7015</v>
      </c>
      <c r="BF439" s="3" t="s">
        <v>7010</v>
      </c>
      <c r="BG439" s="3" t="s">
        <v>7010</v>
      </c>
      <c r="BH439" s="3" t="s">
        <v>7010</v>
      </c>
      <c r="BI439" s="3" t="s">
        <v>7010</v>
      </c>
      <c r="BJ439" s="3" t="s">
        <v>7010</v>
      </c>
      <c r="BK439" s="74" t="str">
        <f t="shared" si="27"/>
        <v>Yes</v>
      </c>
    </row>
    <row r="440" spans="7:63">
      <c r="G440">
        <v>439</v>
      </c>
      <c r="H440" s="7" t="s">
        <v>541</v>
      </c>
      <c r="I440" t="s">
        <v>29</v>
      </c>
      <c r="J440">
        <f>LEN(H440)</f>
        <v>12</v>
      </c>
      <c r="K440" s="49" t="s">
        <v>3081</v>
      </c>
      <c r="O440" s="3" t="s">
        <v>7010</v>
      </c>
      <c r="P440" s="3" t="s">
        <v>7010</v>
      </c>
      <c r="Q440" s="3" t="s">
        <v>7010</v>
      </c>
      <c r="R440" s="3" t="s">
        <v>7010</v>
      </c>
      <c r="S440" s="3" t="s">
        <v>7010</v>
      </c>
      <c r="T440" s="3" t="s">
        <v>7010</v>
      </c>
      <c r="U440" s="3" t="s">
        <v>7010</v>
      </c>
      <c r="V440" s="3" t="s">
        <v>7010</v>
      </c>
      <c r="W440" s="74" t="str">
        <f t="shared" si="25"/>
        <v>No</v>
      </c>
      <c r="Z440">
        <v>439</v>
      </c>
      <c r="AA440" s="55">
        <v>232323</v>
      </c>
      <c r="AC440">
        <f t="shared" si="24"/>
        <v>6</v>
      </c>
      <c r="AD440" s="30" t="s">
        <v>4153</v>
      </c>
      <c r="AF440" t="s">
        <v>7856</v>
      </c>
      <c r="AH440" s="3" t="s">
        <v>7015</v>
      </c>
      <c r="AI440" s="3" t="s">
        <v>7010</v>
      </c>
      <c r="AJ440" s="3" t="s">
        <v>7010</v>
      </c>
      <c r="AK440" s="3" t="s">
        <v>7015</v>
      </c>
      <c r="AL440" s="3" t="s">
        <v>7010</v>
      </c>
      <c r="AM440" s="3" t="s">
        <v>7010</v>
      </c>
      <c r="AN440" s="3" t="s">
        <v>7010</v>
      </c>
      <c r="AO440" s="3" t="s">
        <v>7010</v>
      </c>
      <c r="AP440" s="74" t="s">
        <v>7015</v>
      </c>
      <c r="AU440">
        <v>439</v>
      </c>
      <c r="AV440" t="s">
        <v>4154</v>
      </c>
      <c r="AW440" t="s">
        <v>2279</v>
      </c>
      <c r="AX440">
        <f t="shared" si="26"/>
        <v>8</v>
      </c>
      <c r="AY440" s="30" t="s">
        <v>4155</v>
      </c>
      <c r="BC440" s="3" t="s">
        <v>7015</v>
      </c>
      <c r="BD440" s="3" t="s">
        <v>7010</v>
      </c>
      <c r="BE440" s="3" t="s">
        <v>7015</v>
      </c>
      <c r="BF440" s="3" t="s">
        <v>7010</v>
      </c>
      <c r="BG440" s="3" t="s">
        <v>7010</v>
      </c>
      <c r="BH440" s="3" t="s">
        <v>7010</v>
      </c>
      <c r="BI440" s="3" t="s">
        <v>7010</v>
      </c>
      <c r="BJ440" s="3" t="s">
        <v>7010</v>
      </c>
      <c r="BK440" s="74" t="str">
        <f t="shared" si="27"/>
        <v>Yes</v>
      </c>
    </row>
    <row r="441" spans="7:63">
      <c r="G441">
        <v>440</v>
      </c>
      <c r="H441" s="7" t="s">
        <v>1224</v>
      </c>
      <c r="I441" t="s">
        <v>29</v>
      </c>
      <c r="J441">
        <f>LEN(H441)</f>
        <v>15</v>
      </c>
      <c r="K441" s="49" t="s">
        <v>4275</v>
      </c>
      <c r="O441" s="3" t="s">
        <v>7010</v>
      </c>
      <c r="P441" s="3" t="s">
        <v>7010</v>
      </c>
      <c r="Q441" s="3" t="s">
        <v>7010</v>
      </c>
      <c r="R441" s="3" t="s">
        <v>7010</v>
      </c>
      <c r="S441" s="3" t="s">
        <v>7010</v>
      </c>
      <c r="T441" s="3" t="s">
        <v>7010</v>
      </c>
      <c r="U441" s="3" t="s">
        <v>7010</v>
      </c>
      <c r="V441" s="3" t="s">
        <v>7010</v>
      </c>
      <c r="W441" s="74" t="str">
        <f t="shared" si="25"/>
        <v>No</v>
      </c>
      <c r="Z441">
        <v>440</v>
      </c>
      <c r="AA441" s="55" t="s">
        <v>4157</v>
      </c>
      <c r="AC441">
        <f t="shared" si="24"/>
        <v>6</v>
      </c>
      <c r="AD441" s="30" t="s">
        <v>4158</v>
      </c>
      <c r="AF441" t="s">
        <v>7857</v>
      </c>
      <c r="AH441" s="3" t="s">
        <v>7015</v>
      </c>
      <c r="AI441" s="3" t="s">
        <v>7010</v>
      </c>
      <c r="AJ441" s="3" t="s">
        <v>7010</v>
      </c>
      <c r="AK441" s="3" t="s">
        <v>7015</v>
      </c>
      <c r="AL441" s="3" t="s">
        <v>7010</v>
      </c>
      <c r="AM441" s="3" t="s">
        <v>7010</v>
      </c>
      <c r="AN441" s="3" t="s">
        <v>7010</v>
      </c>
      <c r="AO441" s="3" t="s">
        <v>7010</v>
      </c>
      <c r="AP441" s="74" t="s">
        <v>7015</v>
      </c>
      <c r="AU441">
        <v>440</v>
      </c>
      <c r="AV441" t="s">
        <v>4159</v>
      </c>
      <c r="AW441" t="s">
        <v>2279</v>
      </c>
      <c r="AX441">
        <f t="shared" si="26"/>
        <v>8</v>
      </c>
      <c r="AY441" s="30" t="s">
        <v>4160</v>
      </c>
      <c r="BC441" s="3" t="s">
        <v>7010</v>
      </c>
      <c r="BD441" s="3" t="s">
        <v>7010</v>
      </c>
      <c r="BE441" s="3" t="s">
        <v>7015</v>
      </c>
      <c r="BF441" s="3" t="s">
        <v>7010</v>
      </c>
      <c r="BG441" s="3" t="s">
        <v>7010</v>
      </c>
      <c r="BH441" s="3" t="s">
        <v>7010</v>
      </c>
      <c r="BI441" s="3" t="s">
        <v>7010</v>
      </c>
      <c r="BJ441" s="3" t="s">
        <v>7010</v>
      </c>
      <c r="BK441" s="74" t="str">
        <f t="shared" si="27"/>
        <v>Yes</v>
      </c>
    </row>
    <row r="442" spans="7:63">
      <c r="G442">
        <v>441</v>
      </c>
      <c r="H442" s="7" t="s">
        <v>531</v>
      </c>
      <c r="I442" t="s">
        <v>29</v>
      </c>
      <c r="J442">
        <f>LEN(H442)</f>
        <v>12</v>
      </c>
      <c r="K442" s="49" t="s">
        <v>3041</v>
      </c>
      <c r="O442" s="3" t="s">
        <v>7010</v>
      </c>
      <c r="P442" s="3" t="s">
        <v>7010</v>
      </c>
      <c r="Q442" s="3" t="s">
        <v>7010</v>
      </c>
      <c r="R442" s="3" t="s">
        <v>7010</v>
      </c>
      <c r="S442" s="3" t="s">
        <v>7010</v>
      </c>
      <c r="T442" s="3" t="s">
        <v>7015</v>
      </c>
      <c r="U442" s="3" t="s">
        <v>7010</v>
      </c>
      <c r="V442" s="3" t="s">
        <v>7010</v>
      </c>
      <c r="W442" s="74" t="str">
        <f t="shared" si="25"/>
        <v>Yes</v>
      </c>
      <c r="Z442">
        <v>441</v>
      </c>
      <c r="AA442" s="55" t="s">
        <v>4162</v>
      </c>
      <c r="AC442">
        <f t="shared" si="24"/>
        <v>6</v>
      </c>
      <c r="AD442" s="30" t="s">
        <v>4163</v>
      </c>
      <c r="AF442" t="s">
        <v>7858</v>
      </c>
      <c r="AH442" s="3" t="s">
        <v>7015</v>
      </c>
      <c r="AI442" s="3" t="s">
        <v>7010</v>
      </c>
      <c r="AJ442" s="3" t="s">
        <v>7010</v>
      </c>
      <c r="AK442" s="3" t="s">
        <v>7015</v>
      </c>
      <c r="AL442" s="3" t="s">
        <v>7010</v>
      </c>
      <c r="AM442" s="3" t="s">
        <v>7010</v>
      </c>
      <c r="AN442" s="3" t="s">
        <v>7010</v>
      </c>
      <c r="AO442" s="3" t="s">
        <v>7010</v>
      </c>
      <c r="AP442" s="74" t="s">
        <v>7015</v>
      </c>
      <c r="AU442">
        <v>441</v>
      </c>
      <c r="AV442" t="s">
        <v>4164</v>
      </c>
      <c r="AW442" t="s">
        <v>2279</v>
      </c>
      <c r="AX442">
        <f t="shared" si="26"/>
        <v>8</v>
      </c>
      <c r="AY442" s="30" t="s">
        <v>4165</v>
      </c>
      <c r="BC442" s="3" t="s">
        <v>7010</v>
      </c>
      <c r="BD442" s="3" t="s">
        <v>7010</v>
      </c>
      <c r="BE442" s="3" t="s">
        <v>7010</v>
      </c>
      <c r="BF442" s="3" t="s">
        <v>7010</v>
      </c>
      <c r="BG442" s="3" t="s">
        <v>7010</v>
      </c>
      <c r="BH442" s="3" t="s">
        <v>7010</v>
      </c>
      <c r="BI442" s="3" t="s">
        <v>7010</v>
      </c>
      <c r="BJ442" s="3" t="s">
        <v>7010</v>
      </c>
      <c r="BK442" s="74" t="str">
        <f t="shared" si="27"/>
        <v>No</v>
      </c>
    </row>
    <row r="443" spans="7:63">
      <c r="G443">
        <v>442</v>
      </c>
      <c r="H443" s="7" t="s">
        <v>1058</v>
      </c>
      <c r="I443" t="s">
        <v>29</v>
      </c>
      <c r="J443">
        <f>LEN(H443)</f>
        <v>12</v>
      </c>
      <c r="K443" s="49" t="s">
        <v>3853</v>
      </c>
      <c r="O443" s="3" t="s">
        <v>7010</v>
      </c>
      <c r="P443" s="3" t="s">
        <v>7010</v>
      </c>
      <c r="Q443" s="3" t="s">
        <v>7010</v>
      </c>
      <c r="R443" s="3" t="s">
        <v>7010</v>
      </c>
      <c r="S443" s="3" t="s">
        <v>7010</v>
      </c>
      <c r="T443" s="3" t="s">
        <v>7010</v>
      </c>
      <c r="U443" s="3" t="s">
        <v>7010</v>
      </c>
      <c r="V443" s="3" t="s">
        <v>7010</v>
      </c>
      <c r="W443" s="74" t="str">
        <f t="shared" si="25"/>
        <v>No</v>
      </c>
      <c r="Z443">
        <v>442</v>
      </c>
      <c r="AA443" s="55" t="s">
        <v>4167</v>
      </c>
      <c r="AC443">
        <f t="shared" si="24"/>
        <v>6</v>
      </c>
      <c r="AD443" s="30" t="s">
        <v>4168</v>
      </c>
      <c r="AF443" t="s">
        <v>7859</v>
      </c>
      <c r="AH443" s="3" t="s">
        <v>7015</v>
      </c>
      <c r="AI443" s="3" t="s">
        <v>7010</v>
      </c>
      <c r="AJ443" s="3" t="s">
        <v>7010</v>
      </c>
      <c r="AK443" s="3" t="s">
        <v>7015</v>
      </c>
      <c r="AL443" s="3" t="s">
        <v>7010</v>
      </c>
      <c r="AM443" s="3" t="s">
        <v>7010</v>
      </c>
      <c r="AN443" s="3" t="s">
        <v>7010</v>
      </c>
      <c r="AO443" s="3" t="s">
        <v>7010</v>
      </c>
      <c r="AP443" s="74" t="s">
        <v>7015</v>
      </c>
      <c r="AU443">
        <v>442</v>
      </c>
      <c r="AV443" t="s">
        <v>4169</v>
      </c>
      <c r="AW443" t="s">
        <v>2279</v>
      </c>
      <c r="AX443">
        <f t="shared" si="26"/>
        <v>16</v>
      </c>
      <c r="AY443" s="30" t="s">
        <v>4170</v>
      </c>
      <c r="BC443" s="3" t="s">
        <v>7010</v>
      </c>
      <c r="BD443" s="3" t="s">
        <v>7010</v>
      </c>
      <c r="BE443" s="3" t="s">
        <v>7010</v>
      </c>
      <c r="BF443" s="3" t="s">
        <v>7010</v>
      </c>
      <c r="BG443" s="3" t="s">
        <v>7010</v>
      </c>
      <c r="BH443" s="3" t="s">
        <v>7010</v>
      </c>
      <c r="BI443" s="3" t="s">
        <v>7010</v>
      </c>
      <c r="BJ443" s="3" t="s">
        <v>7010</v>
      </c>
      <c r="BK443" s="74" t="str">
        <f t="shared" si="27"/>
        <v>No</v>
      </c>
    </row>
    <row r="444" spans="7:63">
      <c r="G444">
        <v>443</v>
      </c>
      <c r="H444" s="7" t="s">
        <v>1916</v>
      </c>
      <c r="I444" t="s">
        <v>29</v>
      </c>
      <c r="J444">
        <f>LEN(H444)</f>
        <v>13</v>
      </c>
      <c r="K444" s="49" t="s">
        <v>6098</v>
      </c>
      <c r="O444" s="3" t="s">
        <v>7010</v>
      </c>
      <c r="P444" s="3" t="s">
        <v>7010</v>
      </c>
      <c r="Q444" s="3" t="s">
        <v>7010</v>
      </c>
      <c r="R444" s="3" t="s">
        <v>7010</v>
      </c>
      <c r="S444" s="3" t="s">
        <v>7010</v>
      </c>
      <c r="T444" s="3" t="s">
        <v>7010</v>
      </c>
      <c r="U444" s="3" t="s">
        <v>7010</v>
      </c>
      <c r="V444" s="3" t="s">
        <v>7010</v>
      </c>
      <c r="W444" s="74" t="str">
        <f t="shared" si="25"/>
        <v>No</v>
      </c>
      <c r="Z444">
        <v>443</v>
      </c>
      <c r="AA444" s="55" t="s">
        <v>4172</v>
      </c>
      <c r="AC444">
        <f t="shared" si="24"/>
        <v>8</v>
      </c>
      <c r="AD444" s="30" t="s">
        <v>4173</v>
      </c>
      <c r="AF444" t="s">
        <v>7860</v>
      </c>
      <c r="AH444" s="3" t="s">
        <v>7015</v>
      </c>
      <c r="AI444" s="3" t="s">
        <v>7010</v>
      </c>
      <c r="AJ444" s="3" t="s">
        <v>7010</v>
      </c>
      <c r="AK444" s="3" t="s">
        <v>7015</v>
      </c>
      <c r="AL444" s="3" t="s">
        <v>7010</v>
      </c>
      <c r="AM444" s="3" t="s">
        <v>7010</v>
      </c>
      <c r="AN444" s="3" t="s">
        <v>7010</v>
      </c>
      <c r="AO444" s="3" t="s">
        <v>7010</v>
      </c>
      <c r="AP444" s="74" t="s">
        <v>7015</v>
      </c>
      <c r="AU444">
        <v>443</v>
      </c>
      <c r="AV444" t="s">
        <v>4174</v>
      </c>
      <c r="AW444" t="s">
        <v>2279</v>
      </c>
      <c r="AX444">
        <f t="shared" si="26"/>
        <v>8</v>
      </c>
      <c r="AY444" s="30" t="s">
        <v>4175</v>
      </c>
      <c r="BC444" s="3" t="s">
        <v>7010</v>
      </c>
      <c r="BD444" s="3" t="s">
        <v>7010</v>
      </c>
      <c r="BE444" s="3" t="s">
        <v>7010</v>
      </c>
      <c r="BF444" s="3" t="s">
        <v>7010</v>
      </c>
      <c r="BG444" s="3" t="s">
        <v>7010</v>
      </c>
      <c r="BH444" s="3" t="s">
        <v>7010</v>
      </c>
      <c r="BI444" s="3" t="s">
        <v>7010</v>
      </c>
      <c r="BJ444" s="3" t="s">
        <v>7010</v>
      </c>
      <c r="BK444" s="74" t="str">
        <f t="shared" si="27"/>
        <v>No</v>
      </c>
    </row>
    <row r="445" spans="7:63">
      <c r="G445">
        <v>444</v>
      </c>
      <c r="H445" s="7" t="s">
        <v>523</v>
      </c>
      <c r="I445" t="s">
        <v>29</v>
      </c>
      <c r="J445">
        <f>LEN(H445)</f>
        <v>10</v>
      </c>
      <c r="K445" s="49" t="s">
        <v>3009</v>
      </c>
      <c r="O445" s="3" t="s">
        <v>7010</v>
      </c>
      <c r="P445" s="3" t="s">
        <v>7010</v>
      </c>
      <c r="Q445" s="3" t="s">
        <v>7010</v>
      </c>
      <c r="R445" s="3" t="s">
        <v>7010</v>
      </c>
      <c r="S445" s="3" t="s">
        <v>7010</v>
      </c>
      <c r="T445" s="3" t="s">
        <v>7015</v>
      </c>
      <c r="U445" s="3" t="s">
        <v>7010</v>
      </c>
      <c r="V445" s="3" t="s">
        <v>7010</v>
      </c>
      <c r="W445" s="74" t="str">
        <f t="shared" si="25"/>
        <v>Yes</v>
      </c>
      <c r="Z445">
        <v>444</v>
      </c>
      <c r="AA445" s="55" t="s">
        <v>4177</v>
      </c>
      <c r="AC445">
        <f t="shared" si="24"/>
        <v>8</v>
      </c>
      <c r="AD445" s="30" t="s">
        <v>4178</v>
      </c>
      <c r="AF445" t="s">
        <v>7861</v>
      </c>
      <c r="AH445" s="3" t="s">
        <v>7015</v>
      </c>
      <c r="AI445" s="3" t="s">
        <v>7010</v>
      </c>
      <c r="AJ445" s="3" t="s">
        <v>7010</v>
      </c>
      <c r="AK445" s="3" t="s">
        <v>7015</v>
      </c>
      <c r="AL445" s="3" t="s">
        <v>7010</v>
      </c>
      <c r="AM445" s="3" t="s">
        <v>7010</v>
      </c>
      <c r="AN445" s="3" t="s">
        <v>7010</v>
      </c>
      <c r="AO445" s="3" t="s">
        <v>7010</v>
      </c>
      <c r="AP445" s="74" t="s">
        <v>7015</v>
      </c>
      <c r="AU445">
        <v>444</v>
      </c>
      <c r="AV445" t="s">
        <v>4179</v>
      </c>
      <c r="AW445" t="s">
        <v>2279</v>
      </c>
      <c r="AX445">
        <f t="shared" si="26"/>
        <v>9</v>
      </c>
      <c r="AY445" s="30" t="s">
        <v>4180</v>
      </c>
      <c r="BC445" s="3" t="s">
        <v>7010</v>
      </c>
      <c r="BD445" s="3" t="s">
        <v>7010</v>
      </c>
      <c r="BE445" s="3" t="s">
        <v>7010</v>
      </c>
      <c r="BF445" s="3" t="s">
        <v>7010</v>
      </c>
      <c r="BG445" s="3" t="s">
        <v>7010</v>
      </c>
      <c r="BH445" s="3" t="s">
        <v>7010</v>
      </c>
      <c r="BI445" s="3" t="s">
        <v>7010</v>
      </c>
      <c r="BJ445" s="3" t="s">
        <v>7010</v>
      </c>
      <c r="BK445" s="74" t="str">
        <f t="shared" si="27"/>
        <v>No</v>
      </c>
    </row>
    <row r="446" spans="7:63">
      <c r="G446">
        <v>445</v>
      </c>
      <c r="H446" s="7" t="s">
        <v>1084</v>
      </c>
      <c r="I446" t="s">
        <v>29</v>
      </c>
      <c r="J446">
        <f>LEN(H446)</f>
        <v>10</v>
      </c>
      <c r="K446" s="49" t="s">
        <v>3922</v>
      </c>
      <c r="O446" s="3" t="s">
        <v>7010</v>
      </c>
      <c r="P446" s="3" t="s">
        <v>7010</v>
      </c>
      <c r="Q446" s="3" t="s">
        <v>7010</v>
      </c>
      <c r="R446" s="3" t="s">
        <v>7010</v>
      </c>
      <c r="S446" s="3" t="s">
        <v>7010</v>
      </c>
      <c r="T446" s="3" t="s">
        <v>7010</v>
      </c>
      <c r="U446" s="3" t="s">
        <v>7010</v>
      </c>
      <c r="V446" s="3" t="s">
        <v>7010</v>
      </c>
      <c r="W446" s="74" t="str">
        <f t="shared" si="25"/>
        <v>No</v>
      </c>
      <c r="Z446">
        <v>445</v>
      </c>
      <c r="AA446" s="55" t="s">
        <v>4181</v>
      </c>
      <c r="AC446">
        <f t="shared" si="24"/>
        <v>6</v>
      </c>
      <c r="AD446" s="30" t="s">
        <v>4182</v>
      </c>
      <c r="AF446" t="s">
        <v>7862</v>
      </c>
      <c r="AH446" s="3" t="s">
        <v>7015</v>
      </c>
      <c r="AI446" s="3" t="s">
        <v>7010</v>
      </c>
      <c r="AJ446" s="3" t="s">
        <v>7010</v>
      </c>
      <c r="AK446" s="3" t="s">
        <v>7015</v>
      </c>
      <c r="AL446" s="3" t="s">
        <v>7010</v>
      </c>
      <c r="AM446" s="3" t="s">
        <v>7010</v>
      </c>
      <c r="AN446" s="3" t="s">
        <v>7010</v>
      </c>
      <c r="AO446" s="3" t="s">
        <v>7010</v>
      </c>
      <c r="AP446" s="74" t="s">
        <v>7015</v>
      </c>
      <c r="AU446">
        <v>445</v>
      </c>
      <c r="AV446" t="s">
        <v>4183</v>
      </c>
      <c r="AW446" t="s">
        <v>2279</v>
      </c>
      <c r="AX446">
        <f t="shared" si="26"/>
        <v>19</v>
      </c>
      <c r="AY446" s="30" t="s">
        <v>4184</v>
      </c>
      <c r="BC446" s="3" t="s">
        <v>7010</v>
      </c>
      <c r="BD446" s="3" t="s">
        <v>7010</v>
      </c>
      <c r="BE446" s="3" t="s">
        <v>7010</v>
      </c>
      <c r="BF446" s="3" t="s">
        <v>7010</v>
      </c>
      <c r="BG446" s="3" t="s">
        <v>7010</v>
      </c>
      <c r="BH446" s="3" t="s">
        <v>7010</v>
      </c>
      <c r="BI446" s="3" t="s">
        <v>7010</v>
      </c>
      <c r="BJ446" s="3" t="s">
        <v>7010</v>
      </c>
      <c r="BK446" s="74" t="str">
        <f t="shared" si="27"/>
        <v>No</v>
      </c>
    </row>
    <row r="447" spans="7:63">
      <c r="G447">
        <v>446</v>
      </c>
      <c r="H447" s="7" t="s">
        <v>1146</v>
      </c>
      <c r="I447" t="s">
        <v>29</v>
      </c>
      <c r="J447">
        <f>LEN(H447)</f>
        <v>16</v>
      </c>
      <c r="K447" s="49" t="s">
        <v>4074</v>
      </c>
      <c r="O447" s="3" t="s">
        <v>7010</v>
      </c>
      <c r="P447" s="3" t="s">
        <v>7010</v>
      </c>
      <c r="Q447" s="3" t="s">
        <v>7010</v>
      </c>
      <c r="R447" s="3" t="s">
        <v>7010</v>
      </c>
      <c r="S447" s="3" t="s">
        <v>7010</v>
      </c>
      <c r="T447" s="3" t="s">
        <v>7010</v>
      </c>
      <c r="U447" s="3" t="s">
        <v>7010</v>
      </c>
      <c r="V447" s="3" t="s">
        <v>7010</v>
      </c>
      <c r="W447" s="74" t="str">
        <f t="shared" si="25"/>
        <v>No</v>
      </c>
      <c r="Z447">
        <v>446</v>
      </c>
      <c r="AA447" s="55" t="s">
        <v>4186</v>
      </c>
      <c r="AC447">
        <f t="shared" si="24"/>
        <v>6</v>
      </c>
      <c r="AD447" s="30" t="s">
        <v>4187</v>
      </c>
      <c r="AF447" t="s">
        <v>7863</v>
      </c>
      <c r="AH447" s="3" t="s">
        <v>7015</v>
      </c>
      <c r="AI447" s="3" t="s">
        <v>7010</v>
      </c>
      <c r="AJ447" s="3" t="s">
        <v>7010</v>
      </c>
      <c r="AK447" s="3" t="s">
        <v>7015</v>
      </c>
      <c r="AL447" s="3" t="s">
        <v>7010</v>
      </c>
      <c r="AM447" s="3" t="s">
        <v>7010</v>
      </c>
      <c r="AN447" s="3" t="s">
        <v>7010</v>
      </c>
      <c r="AO447" s="3" t="s">
        <v>7010</v>
      </c>
      <c r="AP447" s="74" t="s">
        <v>7015</v>
      </c>
      <c r="AU447">
        <v>446</v>
      </c>
      <c r="AV447" t="s">
        <v>4188</v>
      </c>
      <c r="AW447" t="s">
        <v>2279</v>
      </c>
      <c r="AX447">
        <f t="shared" si="26"/>
        <v>8</v>
      </c>
      <c r="AY447" s="30" t="s">
        <v>4189</v>
      </c>
      <c r="BC447" s="3" t="s">
        <v>7010</v>
      </c>
      <c r="BD447" s="3" t="s">
        <v>7010</v>
      </c>
      <c r="BE447" s="3" t="s">
        <v>7010</v>
      </c>
      <c r="BF447" s="3" t="s">
        <v>7010</v>
      </c>
      <c r="BG447" s="3" t="s">
        <v>7010</v>
      </c>
      <c r="BH447" s="3" t="s">
        <v>7010</v>
      </c>
      <c r="BI447" s="3" t="s">
        <v>7010</v>
      </c>
      <c r="BJ447" s="3" t="s">
        <v>7010</v>
      </c>
      <c r="BK447" s="74" t="str">
        <f t="shared" si="27"/>
        <v>No</v>
      </c>
    </row>
    <row r="448" spans="7:63">
      <c r="G448">
        <v>447</v>
      </c>
      <c r="H448" s="7" t="s">
        <v>914</v>
      </c>
      <c r="I448" t="s">
        <v>29</v>
      </c>
      <c r="J448">
        <f>LEN(H448)</f>
        <v>17</v>
      </c>
      <c r="K448" s="49" t="s">
        <v>3482</v>
      </c>
      <c r="O448" s="3" t="s">
        <v>7010</v>
      </c>
      <c r="P448" s="3" t="s">
        <v>7010</v>
      </c>
      <c r="Q448" s="3" t="s">
        <v>7010</v>
      </c>
      <c r="R448" s="3" t="s">
        <v>7010</v>
      </c>
      <c r="S448" s="3" t="s">
        <v>7010</v>
      </c>
      <c r="T448" s="3" t="s">
        <v>7010</v>
      </c>
      <c r="U448" s="3" t="s">
        <v>7010</v>
      </c>
      <c r="V448" s="3" t="s">
        <v>7010</v>
      </c>
      <c r="W448" s="74" t="str">
        <f t="shared" si="25"/>
        <v>No</v>
      </c>
      <c r="Z448">
        <v>447</v>
      </c>
      <c r="AA448" s="55" t="s">
        <v>4191</v>
      </c>
      <c r="AC448">
        <f t="shared" si="24"/>
        <v>6</v>
      </c>
      <c r="AD448" s="30" t="s">
        <v>4192</v>
      </c>
      <c r="AF448" t="s">
        <v>7864</v>
      </c>
      <c r="AH448" s="3" t="s">
        <v>7015</v>
      </c>
      <c r="AI448" s="3" t="s">
        <v>7010</v>
      </c>
      <c r="AJ448" s="3" t="s">
        <v>7010</v>
      </c>
      <c r="AK448" s="3" t="s">
        <v>7015</v>
      </c>
      <c r="AL448" s="3" t="s">
        <v>7010</v>
      </c>
      <c r="AM448" s="3" t="s">
        <v>7010</v>
      </c>
      <c r="AN448" s="3" t="s">
        <v>7010</v>
      </c>
      <c r="AO448" s="3" t="s">
        <v>7010</v>
      </c>
      <c r="AP448" s="74" t="s">
        <v>7015</v>
      </c>
      <c r="AU448">
        <v>447</v>
      </c>
      <c r="AV448" t="s">
        <v>4193</v>
      </c>
      <c r="AW448" t="s">
        <v>2279</v>
      </c>
      <c r="AX448">
        <f t="shared" si="26"/>
        <v>8</v>
      </c>
      <c r="AY448" s="30" t="s">
        <v>4194</v>
      </c>
      <c r="BC448" s="3" t="s">
        <v>7010</v>
      </c>
      <c r="BD448" s="3" t="s">
        <v>7010</v>
      </c>
      <c r="BE448" s="3" t="s">
        <v>7015</v>
      </c>
      <c r="BF448" s="3" t="s">
        <v>7010</v>
      </c>
      <c r="BG448" s="3" t="s">
        <v>7010</v>
      </c>
      <c r="BH448" s="3" t="s">
        <v>7010</v>
      </c>
      <c r="BI448" s="3" t="s">
        <v>7010</v>
      </c>
      <c r="BJ448" s="3" t="s">
        <v>7010</v>
      </c>
      <c r="BK448" s="74" t="str">
        <f t="shared" si="27"/>
        <v>Yes</v>
      </c>
    </row>
    <row r="449" spans="7:63">
      <c r="G449">
        <v>448</v>
      </c>
      <c r="H449" s="7" t="s">
        <v>1192</v>
      </c>
      <c r="I449" t="s">
        <v>29</v>
      </c>
      <c r="J449">
        <f>LEN(H449)</f>
        <v>16</v>
      </c>
      <c r="K449" s="49" t="s">
        <v>4195</v>
      </c>
      <c r="O449" s="3" t="s">
        <v>7010</v>
      </c>
      <c r="P449" s="3" t="s">
        <v>7010</v>
      </c>
      <c r="Q449" s="3" t="s">
        <v>7010</v>
      </c>
      <c r="R449" s="3" t="s">
        <v>7010</v>
      </c>
      <c r="S449" s="3" t="s">
        <v>7010</v>
      </c>
      <c r="T449" s="3" t="s">
        <v>7010</v>
      </c>
      <c r="U449" s="3" t="s">
        <v>7010</v>
      </c>
      <c r="V449" s="3" t="s">
        <v>7010</v>
      </c>
      <c r="W449" s="74" t="str">
        <f t="shared" si="25"/>
        <v>No</v>
      </c>
      <c r="Z449">
        <v>448</v>
      </c>
      <c r="AA449" s="55" t="s">
        <v>4196</v>
      </c>
      <c r="AC449">
        <f t="shared" si="24"/>
        <v>6</v>
      </c>
      <c r="AD449" s="30" t="s">
        <v>4197</v>
      </c>
      <c r="AF449" t="s">
        <v>7865</v>
      </c>
      <c r="AH449" s="3" t="s">
        <v>7015</v>
      </c>
      <c r="AI449" s="3" t="s">
        <v>7010</v>
      </c>
      <c r="AJ449" s="3" t="s">
        <v>7010</v>
      </c>
      <c r="AK449" s="3" t="s">
        <v>7015</v>
      </c>
      <c r="AL449" s="3" t="s">
        <v>7010</v>
      </c>
      <c r="AM449" s="3" t="s">
        <v>7010</v>
      </c>
      <c r="AN449" s="3" t="s">
        <v>7010</v>
      </c>
      <c r="AO449" s="3" t="s">
        <v>7010</v>
      </c>
      <c r="AP449" s="74" t="s">
        <v>7015</v>
      </c>
      <c r="AU449">
        <v>448</v>
      </c>
      <c r="AV449" t="s">
        <v>4198</v>
      </c>
      <c r="AW449" t="s">
        <v>2279</v>
      </c>
      <c r="AX449">
        <f t="shared" si="26"/>
        <v>8</v>
      </c>
      <c r="AY449" s="30" t="s">
        <v>4199</v>
      </c>
      <c r="BC449" s="3" t="s">
        <v>7010</v>
      </c>
      <c r="BD449" s="3" t="s">
        <v>7010</v>
      </c>
      <c r="BE449" s="3" t="s">
        <v>7010</v>
      </c>
      <c r="BF449" s="3" t="s">
        <v>7010</v>
      </c>
      <c r="BG449" s="3" t="s">
        <v>7010</v>
      </c>
      <c r="BH449" s="3" t="s">
        <v>7010</v>
      </c>
      <c r="BI449" s="3" t="s">
        <v>7010</v>
      </c>
      <c r="BJ449" s="3" t="s">
        <v>7010</v>
      </c>
      <c r="BK449" s="74" t="str">
        <f t="shared" si="27"/>
        <v>No</v>
      </c>
    </row>
    <row r="450" spans="7:63">
      <c r="G450">
        <v>449</v>
      </c>
      <c r="H450" s="7" t="s">
        <v>1840</v>
      </c>
      <c r="I450" t="s">
        <v>29</v>
      </c>
      <c r="J450">
        <f>LEN(H450)</f>
        <v>19</v>
      </c>
      <c r="K450" s="49" t="s">
        <v>5894</v>
      </c>
      <c r="O450" s="3" t="s">
        <v>7010</v>
      </c>
      <c r="P450" s="3" t="s">
        <v>7010</v>
      </c>
      <c r="Q450" s="3" t="s">
        <v>7010</v>
      </c>
      <c r="R450" s="3" t="s">
        <v>7010</v>
      </c>
      <c r="S450" s="3" t="s">
        <v>7010</v>
      </c>
      <c r="T450" s="3" t="s">
        <v>7010</v>
      </c>
      <c r="U450" s="3" t="s">
        <v>7010</v>
      </c>
      <c r="V450" s="3" t="s">
        <v>7010</v>
      </c>
      <c r="W450" s="74" t="str">
        <f t="shared" si="25"/>
        <v>No</v>
      </c>
      <c r="Z450">
        <v>449</v>
      </c>
      <c r="AA450" s="55" t="s">
        <v>4201</v>
      </c>
      <c r="AC450">
        <f t="shared" ref="AC450:AC513" si="28">LEN(AA450)</f>
        <v>5</v>
      </c>
      <c r="AD450" s="30" t="s">
        <v>4202</v>
      </c>
      <c r="AF450" t="s">
        <v>7866</v>
      </c>
      <c r="AH450" s="3" t="s">
        <v>7015</v>
      </c>
      <c r="AI450" s="3" t="s">
        <v>7010</v>
      </c>
      <c r="AJ450" s="3" t="s">
        <v>7010</v>
      </c>
      <c r="AK450" s="3" t="s">
        <v>7015</v>
      </c>
      <c r="AL450" s="3" t="s">
        <v>7010</v>
      </c>
      <c r="AM450" s="3" t="s">
        <v>7010</v>
      </c>
      <c r="AN450" s="3" t="s">
        <v>7010</v>
      </c>
      <c r="AO450" s="3" t="s">
        <v>7010</v>
      </c>
      <c r="AP450" s="74" t="s">
        <v>7015</v>
      </c>
      <c r="AU450">
        <v>449</v>
      </c>
      <c r="AV450" t="s">
        <v>4203</v>
      </c>
      <c r="AW450" t="s">
        <v>2279</v>
      </c>
      <c r="AX450">
        <f t="shared" si="26"/>
        <v>17</v>
      </c>
      <c r="AY450" s="30" t="s">
        <v>4204</v>
      </c>
      <c r="BC450" s="3" t="s">
        <v>7010</v>
      </c>
      <c r="BD450" s="3" t="s">
        <v>7010</v>
      </c>
      <c r="BE450" s="3" t="s">
        <v>7010</v>
      </c>
      <c r="BF450" s="3" t="s">
        <v>7010</v>
      </c>
      <c r="BG450" s="3" t="s">
        <v>7010</v>
      </c>
      <c r="BH450" s="3" t="s">
        <v>7010</v>
      </c>
      <c r="BI450" s="3" t="s">
        <v>7010</v>
      </c>
      <c r="BJ450" s="3" t="s">
        <v>7010</v>
      </c>
      <c r="BK450" s="74" t="str">
        <f t="shared" si="27"/>
        <v>No</v>
      </c>
    </row>
    <row r="451" spans="7:63">
      <c r="G451">
        <v>450</v>
      </c>
      <c r="H451" s="7" t="s">
        <v>974</v>
      </c>
      <c r="I451" t="s">
        <v>29</v>
      </c>
      <c r="J451">
        <f>LEN(H451)</f>
        <v>16</v>
      </c>
      <c r="K451" s="49" t="s">
        <v>3630</v>
      </c>
      <c r="O451" s="3" t="s">
        <v>7010</v>
      </c>
      <c r="P451" s="3" t="s">
        <v>7010</v>
      </c>
      <c r="Q451" s="3" t="s">
        <v>7010</v>
      </c>
      <c r="R451" s="3" t="s">
        <v>7010</v>
      </c>
      <c r="S451" s="3" t="s">
        <v>7010</v>
      </c>
      <c r="T451" s="3" t="s">
        <v>7010</v>
      </c>
      <c r="U451" s="3" t="s">
        <v>7010</v>
      </c>
      <c r="V451" s="3" t="s">
        <v>7010</v>
      </c>
      <c r="W451" s="74" t="str">
        <f t="shared" ref="W451:W514" si="29">IF(COUNTIF(O451:V451, "Yes") &gt; 0, "Yes", "No")</f>
        <v>No</v>
      </c>
      <c r="Z451">
        <v>450</v>
      </c>
      <c r="AA451" s="55" t="s">
        <v>4206</v>
      </c>
      <c r="AC451">
        <f t="shared" si="28"/>
        <v>6</v>
      </c>
      <c r="AD451" s="30" t="s">
        <v>4207</v>
      </c>
      <c r="AF451" t="s">
        <v>7867</v>
      </c>
      <c r="AH451" s="3" t="s">
        <v>7015</v>
      </c>
      <c r="AI451" s="3" t="s">
        <v>7010</v>
      </c>
      <c r="AJ451" s="3" t="s">
        <v>7010</v>
      </c>
      <c r="AK451" s="3" t="s">
        <v>7015</v>
      </c>
      <c r="AL451" s="3" t="s">
        <v>7010</v>
      </c>
      <c r="AM451" s="3" t="s">
        <v>7010</v>
      </c>
      <c r="AN451" s="3" t="s">
        <v>7010</v>
      </c>
      <c r="AO451" s="3" t="s">
        <v>7010</v>
      </c>
      <c r="AP451" s="74" t="s">
        <v>7015</v>
      </c>
      <c r="AU451">
        <v>450</v>
      </c>
      <c r="AV451" t="s">
        <v>4208</v>
      </c>
      <c r="AW451" t="s">
        <v>2279</v>
      </c>
      <c r="AX451">
        <f t="shared" ref="AX451:AX514" si="30">LEN(AV451)</f>
        <v>13</v>
      </c>
      <c r="AY451" s="30" t="s">
        <v>4209</v>
      </c>
      <c r="BC451" s="3" t="s">
        <v>7010</v>
      </c>
      <c r="BD451" s="3" t="s">
        <v>7010</v>
      </c>
      <c r="BE451" s="3" t="s">
        <v>7015</v>
      </c>
      <c r="BF451" s="3" t="s">
        <v>7010</v>
      </c>
      <c r="BG451" s="3" t="s">
        <v>7010</v>
      </c>
      <c r="BH451" s="3" t="s">
        <v>7010</v>
      </c>
      <c r="BI451" s="3" t="s">
        <v>7010</v>
      </c>
      <c r="BJ451" s="3" t="s">
        <v>7010</v>
      </c>
      <c r="BK451" s="74" t="str">
        <f t="shared" ref="BK451:BK514" si="31">IF(COUNTIF(BC451:BJ451, "Yes") &gt; 0, "Yes", "No")</f>
        <v>Yes</v>
      </c>
    </row>
    <row r="452" spans="7:63">
      <c r="G452">
        <v>451</v>
      </c>
      <c r="H452" s="7" t="s">
        <v>1736</v>
      </c>
      <c r="I452" t="s">
        <v>29</v>
      </c>
      <c r="J452">
        <f>LEN(H452)</f>
        <v>17</v>
      </c>
      <c r="K452" s="49" t="s">
        <v>5569</v>
      </c>
      <c r="O452" s="3" t="s">
        <v>7010</v>
      </c>
      <c r="P452" s="3" t="s">
        <v>7010</v>
      </c>
      <c r="Q452" s="3" t="s">
        <v>7010</v>
      </c>
      <c r="R452" s="3" t="s">
        <v>7010</v>
      </c>
      <c r="S452" s="3" t="s">
        <v>7010</v>
      </c>
      <c r="T452" s="3" t="s">
        <v>7010</v>
      </c>
      <c r="U452" s="3" t="s">
        <v>7010</v>
      </c>
      <c r="V452" s="3" t="s">
        <v>7010</v>
      </c>
      <c r="W452" s="74" t="str">
        <f t="shared" si="29"/>
        <v>No</v>
      </c>
      <c r="Z452">
        <v>451</v>
      </c>
      <c r="AA452" s="55" t="s">
        <v>4211</v>
      </c>
      <c r="AC452">
        <f t="shared" si="28"/>
        <v>6</v>
      </c>
      <c r="AD452" s="30" t="s">
        <v>4212</v>
      </c>
      <c r="AF452" t="s">
        <v>7868</v>
      </c>
      <c r="AH452" s="3" t="s">
        <v>7015</v>
      </c>
      <c r="AI452" s="3" t="s">
        <v>7010</v>
      </c>
      <c r="AJ452" s="3" t="s">
        <v>7010</v>
      </c>
      <c r="AK452" s="3" t="s">
        <v>7015</v>
      </c>
      <c r="AL452" s="3" t="s">
        <v>7010</v>
      </c>
      <c r="AM452" s="3" t="s">
        <v>7010</v>
      </c>
      <c r="AN452" s="3" t="s">
        <v>7010</v>
      </c>
      <c r="AO452" s="3" t="s">
        <v>7010</v>
      </c>
      <c r="AP452" s="74" t="s">
        <v>7015</v>
      </c>
      <c r="AU452">
        <v>451</v>
      </c>
      <c r="AV452" t="s">
        <v>4213</v>
      </c>
      <c r="AW452" t="s">
        <v>2279</v>
      </c>
      <c r="AX452">
        <f t="shared" si="30"/>
        <v>10</v>
      </c>
      <c r="AY452" s="30" t="s">
        <v>4214</v>
      </c>
      <c r="BC452" s="3" t="s">
        <v>7010</v>
      </c>
      <c r="BD452" s="3" t="s">
        <v>7010</v>
      </c>
      <c r="BE452" s="3" t="s">
        <v>7010</v>
      </c>
      <c r="BF452" s="3" t="s">
        <v>7010</v>
      </c>
      <c r="BG452" s="3" t="s">
        <v>7010</v>
      </c>
      <c r="BH452" s="3" t="s">
        <v>7010</v>
      </c>
      <c r="BI452" s="3" t="s">
        <v>7010</v>
      </c>
      <c r="BJ452" s="3" t="s">
        <v>7010</v>
      </c>
      <c r="BK452" s="74" t="str">
        <f t="shared" si="31"/>
        <v>No</v>
      </c>
    </row>
    <row r="453" spans="7:63">
      <c r="G453">
        <v>452</v>
      </c>
      <c r="H453" s="7" t="s">
        <v>1174</v>
      </c>
      <c r="I453" t="s">
        <v>29</v>
      </c>
      <c r="J453">
        <f>LEN(H453)</f>
        <v>15</v>
      </c>
      <c r="K453" s="49" t="s">
        <v>4147</v>
      </c>
      <c r="O453" s="3" t="s">
        <v>7010</v>
      </c>
      <c r="P453" s="3" t="s">
        <v>7010</v>
      </c>
      <c r="Q453" s="3" t="s">
        <v>7010</v>
      </c>
      <c r="R453" s="3" t="s">
        <v>7010</v>
      </c>
      <c r="S453" s="3" t="s">
        <v>7010</v>
      </c>
      <c r="T453" s="3" t="s">
        <v>7010</v>
      </c>
      <c r="U453" s="3" t="s">
        <v>7010</v>
      </c>
      <c r="V453" s="3" t="s">
        <v>7010</v>
      </c>
      <c r="W453" s="74" t="str">
        <f t="shared" si="29"/>
        <v>No</v>
      </c>
      <c r="Z453">
        <v>452</v>
      </c>
      <c r="AA453" s="55" t="s">
        <v>4216</v>
      </c>
      <c r="AC453">
        <f t="shared" si="28"/>
        <v>6</v>
      </c>
      <c r="AD453" s="30" t="s">
        <v>4217</v>
      </c>
      <c r="AF453" t="s">
        <v>7869</v>
      </c>
      <c r="AH453" s="3" t="s">
        <v>7015</v>
      </c>
      <c r="AI453" s="3" t="s">
        <v>7010</v>
      </c>
      <c r="AJ453" s="3" t="s">
        <v>7010</v>
      </c>
      <c r="AK453" s="3" t="s">
        <v>7015</v>
      </c>
      <c r="AL453" s="3" t="s">
        <v>7010</v>
      </c>
      <c r="AM453" s="3" t="s">
        <v>7010</v>
      </c>
      <c r="AN453" s="3" t="s">
        <v>7010</v>
      </c>
      <c r="AO453" s="3" t="s">
        <v>7010</v>
      </c>
      <c r="AP453" s="74" t="s">
        <v>7015</v>
      </c>
      <c r="AU453">
        <v>452</v>
      </c>
      <c r="AV453" t="s">
        <v>4218</v>
      </c>
      <c r="AW453" t="s">
        <v>2279</v>
      </c>
      <c r="AX453">
        <f t="shared" si="30"/>
        <v>9</v>
      </c>
      <c r="AY453" s="30" t="s">
        <v>4219</v>
      </c>
      <c r="BC453" s="3" t="s">
        <v>7010</v>
      </c>
      <c r="BD453" s="3" t="s">
        <v>7010</v>
      </c>
      <c r="BE453" s="3" t="s">
        <v>7010</v>
      </c>
      <c r="BF453" s="3" t="s">
        <v>7010</v>
      </c>
      <c r="BG453" s="3" t="s">
        <v>7010</v>
      </c>
      <c r="BH453" s="3" t="s">
        <v>7010</v>
      </c>
      <c r="BI453" s="3" t="s">
        <v>7010</v>
      </c>
      <c r="BJ453" s="3" t="s">
        <v>7010</v>
      </c>
      <c r="BK453" s="74" t="str">
        <f t="shared" si="31"/>
        <v>No</v>
      </c>
    </row>
    <row r="454" spans="7:63">
      <c r="G454">
        <v>453</v>
      </c>
      <c r="H454" s="7" t="s">
        <v>1768</v>
      </c>
      <c r="I454" t="s">
        <v>29</v>
      </c>
      <c r="J454">
        <f>LEN(H454)</f>
        <v>19</v>
      </c>
      <c r="K454" s="49" t="s">
        <v>5649</v>
      </c>
      <c r="O454" s="3" t="s">
        <v>7010</v>
      </c>
      <c r="P454" s="3" t="s">
        <v>7010</v>
      </c>
      <c r="Q454" s="3" t="s">
        <v>7010</v>
      </c>
      <c r="R454" s="3" t="s">
        <v>7010</v>
      </c>
      <c r="S454" s="3" t="s">
        <v>7010</v>
      </c>
      <c r="T454" s="3" t="s">
        <v>7010</v>
      </c>
      <c r="U454" s="3" t="s">
        <v>7010</v>
      </c>
      <c r="V454" s="3" t="s">
        <v>7010</v>
      </c>
      <c r="W454" s="74" t="str">
        <f t="shared" si="29"/>
        <v>No</v>
      </c>
      <c r="Z454">
        <v>453</v>
      </c>
      <c r="AA454" s="55" t="s">
        <v>4222</v>
      </c>
      <c r="AC454">
        <f t="shared" si="28"/>
        <v>6</v>
      </c>
      <c r="AD454" s="30" t="s">
        <v>4223</v>
      </c>
      <c r="AF454" t="s">
        <v>7870</v>
      </c>
      <c r="AH454" s="3" t="s">
        <v>7015</v>
      </c>
      <c r="AI454" s="3" t="s">
        <v>7010</v>
      </c>
      <c r="AJ454" s="3" t="s">
        <v>7010</v>
      </c>
      <c r="AK454" s="3" t="s">
        <v>7015</v>
      </c>
      <c r="AL454" s="3" t="s">
        <v>7010</v>
      </c>
      <c r="AM454" s="3" t="s">
        <v>7010</v>
      </c>
      <c r="AN454" s="3" t="s">
        <v>7010</v>
      </c>
      <c r="AO454" s="3" t="s">
        <v>7010</v>
      </c>
      <c r="AP454" s="74" t="s">
        <v>7015</v>
      </c>
      <c r="AU454">
        <v>453</v>
      </c>
      <c r="AV454" t="s">
        <v>4224</v>
      </c>
      <c r="AW454" t="s">
        <v>2279</v>
      </c>
      <c r="AX454">
        <f t="shared" si="30"/>
        <v>8</v>
      </c>
      <c r="AY454" s="30" t="s">
        <v>4225</v>
      </c>
      <c r="BC454" s="3" t="s">
        <v>7010</v>
      </c>
      <c r="BD454" s="3" t="s">
        <v>7010</v>
      </c>
      <c r="BE454" s="3" t="s">
        <v>7010</v>
      </c>
      <c r="BF454" s="3" t="s">
        <v>7010</v>
      </c>
      <c r="BG454" s="3" t="s">
        <v>7010</v>
      </c>
      <c r="BH454" s="3" t="s">
        <v>7010</v>
      </c>
      <c r="BI454" s="3" t="s">
        <v>7010</v>
      </c>
      <c r="BJ454" s="3" t="s">
        <v>7010</v>
      </c>
      <c r="BK454" s="74" t="str">
        <f t="shared" si="31"/>
        <v>No</v>
      </c>
    </row>
    <row r="455" spans="7:63">
      <c r="G455">
        <v>454</v>
      </c>
      <c r="H455" s="7" t="s">
        <v>1718</v>
      </c>
      <c r="I455" t="s">
        <v>29</v>
      </c>
      <c r="J455">
        <f>LEN(H455)</f>
        <v>20</v>
      </c>
      <c r="K455" s="49" t="s">
        <v>5524</v>
      </c>
      <c r="O455" s="3" t="s">
        <v>7010</v>
      </c>
      <c r="P455" s="3" t="s">
        <v>7010</v>
      </c>
      <c r="Q455" s="3" t="s">
        <v>7010</v>
      </c>
      <c r="R455" s="3" t="s">
        <v>7010</v>
      </c>
      <c r="S455" s="3" t="s">
        <v>7010</v>
      </c>
      <c r="T455" s="3" t="s">
        <v>7010</v>
      </c>
      <c r="U455" s="3" t="s">
        <v>7010</v>
      </c>
      <c r="V455" s="3" t="s">
        <v>7010</v>
      </c>
      <c r="W455" s="74" t="str">
        <f t="shared" si="29"/>
        <v>No</v>
      </c>
      <c r="Z455">
        <v>454</v>
      </c>
      <c r="AA455" s="55">
        <v>252525</v>
      </c>
      <c r="AC455">
        <f t="shared" si="28"/>
        <v>6</v>
      </c>
      <c r="AD455" s="30" t="s">
        <v>4227</v>
      </c>
      <c r="AF455" t="s">
        <v>7871</v>
      </c>
      <c r="AH455" s="3" t="s">
        <v>7015</v>
      </c>
      <c r="AI455" s="3" t="s">
        <v>7010</v>
      </c>
      <c r="AJ455" s="3" t="s">
        <v>7010</v>
      </c>
      <c r="AK455" s="3" t="s">
        <v>7015</v>
      </c>
      <c r="AL455" s="3" t="s">
        <v>7010</v>
      </c>
      <c r="AM455" s="3" t="s">
        <v>7010</v>
      </c>
      <c r="AN455" s="3" t="s">
        <v>7010</v>
      </c>
      <c r="AO455" s="3" t="s">
        <v>7010</v>
      </c>
      <c r="AP455" s="74" t="s">
        <v>7015</v>
      </c>
      <c r="AU455">
        <v>454</v>
      </c>
      <c r="AV455" t="s">
        <v>4228</v>
      </c>
      <c r="AW455" t="s">
        <v>2279</v>
      </c>
      <c r="AX455">
        <f t="shared" si="30"/>
        <v>8</v>
      </c>
      <c r="AY455" s="30" t="s">
        <v>4229</v>
      </c>
      <c r="BC455" s="3" t="s">
        <v>7015</v>
      </c>
      <c r="BD455" s="3" t="s">
        <v>7010</v>
      </c>
      <c r="BE455" s="3" t="s">
        <v>7015</v>
      </c>
      <c r="BF455" s="3" t="s">
        <v>7010</v>
      </c>
      <c r="BG455" s="3" t="s">
        <v>7010</v>
      </c>
      <c r="BH455" s="3" t="s">
        <v>7010</v>
      </c>
      <c r="BI455" s="3" t="s">
        <v>7010</v>
      </c>
      <c r="BJ455" s="3" t="s">
        <v>7010</v>
      </c>
      <c r="BK455" s="74" t="str">
        <f t="shared" si="31"/>
        <v>Yes</v>
      </c>
    </row>
    <row r="456" spans="7:63">
      <c r="G456">
        <v>455</v>
      </c>
      <c r="H456" s="7" t="s">
        <v>1822</v>
      </c>
      <c r="I456" t="s">
        <v>29</v>
      </c>
      <c r="J456">
        <f>LEN(H456)</f>
        <v>14</v>
      </c>
      <c r="K456" s="49" t="s">
        <v>5803</v>
      </c>
      <c r="O456" s="3" t="s">
        <v>7010</v>
      </c>
      <c r="P456" s="3" t="s">
        <v>7010</v>
      </c>
      <c r="Q456" s="3" t="s">
        <v>7010</v>
      </c>
      <c r="R456" s="3" t="s">
        <v>7010</v>
      </c>
      <c r="S456" s="3" t="s">
        <v>7010</v>
      </c>
      <c r="T456" s="3" t="s">
        <v>7010</v>
      </c>
      <c r="U456" s="3" t="s">
        <v>7010</v>
      </c>
      <c r="V456" s="3" t="s">
        <v>7010</v>
      </c>
      <c r="W456" s="74" t="str">
        <f t="shared" si="29"/>
        <v>No</v>
      </c>
      <c r="Z456">
        <v>455</v>
      </c>
      <c r="AA456" s="55" t="s">
        <v>4232</v>
      </c>
      <c r="AC456">
        <f t="shared" si="28"/>
        <v>7</v>
      </c>
      <c r="AD456" s="30" t="s">
        <v>4233</v>
      </c>
      <c r="AF456" t="s">
        <v>7872</v>
      </c>
      <c r="AH456" s="3" t="s">
        <v>7015</v>
      </c>
      <c r="AI456" s="3" t="s">
        <v>7010</v>
      </c>
      <c r="AJ456" s="3" t="s">
        <v>7010</v>
      </c>
      <c r="AK456" s="3" t="s">
        <v>7015</v>
      </c>
      <c r="AL456" s="3" t="s">
        <v>7010</v>
      </c>
      <c r="AM456" s="3" t="s">
        <v>7010</v>
      </c>
      <c r="AN456" s="3" t="s">
        <v>7010</v>
      </c>
      <c r="AO456" s="3" t="s">
        <v>7010</v>
      </c>
      <c r="AP456" s="74" t="s">
        <v>7015</v>
      </c>
      <c r="AU456">
        <v>455</v>
      </c>
      <c r="AV456" t="s">
        <v>4234</v>
      </c>
      <c r="AW456" t="s">
        <v>2279</v>
      </c>
      <c r="AX456">
        <f t="shared" si="30"/>
        <v>8</v>
      </c>
      <c r="AY456" s="30" t="s">
        <v>4235</v>
      </c>
      <c r="BC456" s="3" t="s">
        <v>7010</v>
      </c>
      <c r="BD456" s="3" t="s">
        <v>7010</v>
      </c>
      <c r="BE456" s="3" t="s">
        <v>7010</v>
      </c>
      <c r="BF456" s="3" t="s">
        <v>7010</v>
      </c>
      <c r="BG456" s="3" t="s">
        <v>7010</v>
      </c>
      <c r="BH456" s="3" t="s">
        <v>7010</v>
      </c>
      <c r="BI456" s="3" t="s">
        <v>7010</v>
      </c>
      <c r="BJ456" s="3" t="s">
        <v>7010</v>
      </c>
      <c r="BK456" s="74" t="str">
        <f t="shared" si="31"/>
        <v>No</v>
      </c>
    </row>
    <row r="457" spans="7:63">
      <c r="G457">
        <v>456</v>
      </c>
      <c r="H457" s="7" t="s">
        <v>1120</v>
      </c>
      <c r="I457" t="s">
        <v>29</v>
      </c>
      <c r="J457">
        <f>LEN(H457)</f>
        <v>14</v>
      </c>
      <c r="K457" s="49" t="s">
        <v>4012</v>
      </c>
      <c r="O457" s="3" t="s">
        <v>7010</v>
      </c>
      <c r="P457" s="3" t="s">
        <v>7010</v>
      </c>
      <c r="Q457" s="3" t="s">
        <v>7010</v>
      </c>
      <c r="R457" s="3" t="s">
        <v>7010</v>
      </c>
      <c r="S457" s="3" t="s">
        <v>7010</v>
      </c>
      <c r="T457" s="3" t="s">
        <v>7010</v>
      </c>
      <c r="U457" s="3" t="s">
        <v>7010</v>
      </c>
      <c r="V457" s="3" t="s">
        <v>7010</v>
      </c>
      <c r="W457" s="74" t="str">
        <f t="shared" si="29"/>
        <v>No</v>
      </c>
      <c r="Z457">
        <v>456</v>
      </c>
      <c r="AA457" s="55" t="s">
        <v>4237</v>
      </c>
      <c r="AC457">
        <f t="shared" si="28"/>
        <v>7</v>
      </c>
      <c r="AD457" s="31" t="s">
        <v>4238</v>
      </c>
      <c r="AF457" t="s">
        <v>7873</v>
      </c>
      <c r="AH457" s="3" t="s">
        <v>7015</v>
      </c>
      <c r="AI457" s="3" t="s">
        <v>7010</v>
      </c>
      <c r="AJ457" s="3" t="s">
        <v>7010</v>
      </c>
      <c r="AK457" s="3" t="s">
        <v>7015</v>
      </c>
      <c r="AL457" s="3" t="s">
        <v>7010</v>
      </c>
      <c r="AM457" s="3" t="s">
        <v>7010</v>
      </c>
      <c r="AN457" s="3" t="s">
        <v>7010</v>
      </c>
      <c r="AO457" s="3" t="s">
        <v>7010</v>
      </c>
      <c r="AP457" s="74" t="s">
        <v>7015</v>
      </c>
      <c r="AU457">
        <v>456</v>
      </c>
      <c r="AV457" t="s">
        <v>4239</v>
      </c>
      <c r="AW457" t="s">
        <v>2279</v>
      </c>
      <c r="AX457">
        <f t="shared" si="30"/>
        <v>13</v>
      </c>
      <c r="AY457" s="30" t="s">
        <v>4240</v>
      </c>
      <c r="BC457" s="3" t="s">
        <v>7010</v>
      </c>
      <c r="BD457" s="3" t="s">
        <v>7010</v>
      </c>
      <c r="BE457" s="3" t="s">
        <v>7010</v>
      </c>
      <c r="BF457" s="3" t="s">
        <v>7010</v>
      </c>
      <c r="BG457" s="3" t="s">
        <v>7010</v>
      </c>
      <c r="BH457" s="3" t="s">
        <v>7010</v>
      </c>
      <c r="BI457" s="3" t="s">
        <v>7010</v>
      </c>
      <c r="BJ457" s="3" t="s">
        <v>7010</v>
      </c>
      <c r="BK457" s="74" t="str">
        <f t="shared" si="31"/>
        <v>No</v>
      </c>
    </row>
    <row r="458" spans="7:63">
      <c r="G458">
        <v>457</v>
      </c>
      <c r="H458" s="7" t="s">
        <v>1184</v>
      </c>
      <c r="I458" t="s">
        <v>29</v>
      </c>
      <c r="J458">
        <f>LEN(H458)</f>
        <v>13</v>
      </c>
      <c r="K458" s="49" t="s">
        <v>4171</v>
      </c>
      <c r="O458" s="3" t="s">
        <v>7010</v>
      </c>
      <c r="P458" s="3" t="s">
        <v>7010</v>
      </c>
      <c r="Q458" s="3" t="s">
        <v>7010</v>
      </c>
      <c r="R458" s="3" t="s">
        <v>7010</v>
      </c>
      <c r="S458" s="3" t="s">
        <v>7010</v>
      </c>
      <c r="T458" s="3" t="s">
        <v>7010</v>
      </c>
      <c r="U458" s="3" t="s">
        <v>7010</v>
      </c>
      <c r="V458" s="3" t="s">
        <v>7010</v>
      </c>
      <c r="W458" s="74" t="str">
        <f t="shared" si="29"/>
        <v>No</v>
      </c>
      <c r="Z458">
        <v>457</v>
      </c>
      <c r="AA458" s="55" t="s">
        <v>4242</v>
      </c>
      <c r="AC458">
        <f t="shared" si="28"/>
        <v>8</v>
      </c>
      <c r="AD458" s="30" t="s">
        <v>4243</v>
      </c>
      <c r="AF458" t="s">
        <v>7874</v>
      </c>
      <c r="AH458" s="3" t="s">
        <v>7015</v>
      </c>
      <c r="AI458" s="3" t="s">
        <v>7010</v>
      </c>
      <c r="AJ458" s="3" t="s">
        <v>7010</v>
      </c>
      <c r="AK458" s="3" t="s">
        <v>7015</v>
      </c>
      <c r="AL458" s="3" t="s">
        <v>7010</v>
      </c>
      <c r="AM458" s="3" t="s">
        <v>7010</v>
      </c>
      <c r="AN458" s="3" t="s">
        <v>7010</v>
      </c>
      <c r="AO458" s="3" t="s">
        <v>7010</v>
      </c>
      <c r="AP458" s="74" t="s">
        <v>7015</v>
      </c>
      <c r="AU458">
        <v>457</v>
      </c>
      <c r="AV458" t="s">
        <v>4244</v>
      </c>
      <c r="AW458" t="s">
        <v>2279</v>
      </c>
      <c r="AX458">
        <f t="shared" si="30"/>
        <v>8</v>
      </c>
      <c r="AY458" s="30" t="s">
        <v>4245</v>
      </c>
      <c r="BC458" s="3" t="s">
        <v>7015</v>
      </c>
      <c r="BD458" s="3" t="s">
        <v>7010</v>
      </c>
      <c r="BE458" s="3" t="s">
        <v>7015</v>
      </c>
      <c r="BF458" s="3" t="s">
        <v>7010</v>
      </c>
      <c r="BG458" s="3" t="s">
        <v>7010</v>
      </c>
      <c r="BH458" s="3" t="s">
        <v>7010</v>
      </c>
      <c r="BI458" s="3" t="s">
        <v>7010</v>
      </c>
      <c r="BJ458" s="3" t="s">
        <v>7010</v>
      </c>
      <c r="BK458" s="74" t="str">
        <f t="shared" si="31"/>
        <v>Yes</v>
      </c>
    </row>
    <row r="459" spans="7:63">
      <c r="G459">
        <v>458</v>
      </c>
      <c r="H459" s="7" t="s">
        <v>952</v>
      </c>
      <c r="I459" t="s">
        <v>29</v>
      </c>
      <c r="J459">
        <f>LEN(H459)</f>
        <v>13</v>
      </c>
      <c r="K459" s="49" t="s">
        <v>3575</v>
      </c>
      <c r="O459" s="3" t="s">
        <v>7010</v>
      </c>
      <c r="P459" s="3" t="s">
        <v>7010</v>
      </c>
      <c r="Q459" s="3" t="s">
        <v>7010</v>
      </c>
      <c r="R459" s="3" t="s">
        <v>7010</v>
      </c>
      <c r="S459" s="3" t="s">
        <v>7010</v>
      </c>
      <c r="T459" s="3" t="s">
        <v>7010</v>
      </c>
      <c r="U459" s="3" t="s">
        <v>7010</v>
      </c>
      <c r="V459" s="3" t="s">
        <v>7010</v>
      </c>
      <c r="W459" s="74" t="str">
        <f t="shared" si="29"/>
        <v>No</v>
      </c>
      <c r="Z459">
        <v>458</v>
      </c>
      <c r="AA459" s="55" t="s">
        <v>4247</v>
      </c>
      <c r="AC459">
        <f t="shared" si="28"/>
        <v>8</v>
      </c>
      <c r="AD459" s="30" t="s">
        <v>4248</v>
      </c>
      <c r="AF459" t="s">
        <v>7875</v>
      </c>
      <c r="AH459" s="3" t="s">
        <v>7015</v>
      </c>
      <c r="AI459" s="3" t="s">
        <v>7010</v>
      </c>
      <c r="AJ459" s="3" t="s">
        <v>7010</v>
      </c>
      <c r="AK459" s="3" t="s">
        <v>7015</v>
      </c>
      <c r="AL459" s="3" t="s">
        <v>7010</v>
      </c>
      <c r="AM459" s="3" t="s">
        <v>7010</v>
      </c>
      <c r="AN459" s="3" t="s">
        <v>7010</v>
      </c>
      <c r="AO459" s="3" t="s">
        <v>7010</v>
      </c>
      <c r="AP459" s="74" t="s">
        <v>7015</v>
      </c>
      <c r="AU459">
        <v>458</v>
      </c>
      <c r="AV459" t="s">
        <v>4249</v>
      </c>
      <c r="AW459" t="s">
        <v>2279</v>
      </c>
      <c r="AX459">
        <f t="shared" si="30"/>
        <v>8</v>
      </c>
      <c r="AY459" s="30" t="s">
        <v>4250</v>
      </c>
      <c r="BC459" s="3" t="s">
        <v>7010</v>
      </c>
      <c r="BD459" s="3" t="s">
        <v>7010</v>
      </c>
      <c r="BE459" s="3" t="s">
        <v>7015</v>
      </c>
      <c r="BF459" s="3" t="s">
        <v>7010</v>
      </c>
      <c r="BG459" s="3" t="s">
        <v>7010</v>
      </c>
      <c r="BH459" s="3" t="s">
        <v>7010</v>
      </c>
      <c r="BI459" s="3" t="s">
        <v>7010</v>
      </c>
      <c r="BJ459" s="3" t="s">
        <v>7010</v>
      </c>
      <c r="BK459" s="74" t="str">
        <f t="shared" si="31"/>
        <v>Yes</v>
      </c>
    </row>
    <row r="460" spans="7:63">
      <c r="G460">
        <v>459</v>
      </c>
      <c r="H460" s="7" t="s">
        <v>1700</v>
      </c>
      <c r="I460" t="s">
        <v>29</v>
      </c>
      <c r="J460">
        <f>LEN(H460)</f>
        <v>19</v>
      </c>
      <c r="K460" s="49" t="s">
        <v>5480</v>
      </c>
      <c r="O460" s="3" t="s">
        <v>7010</v>
      </c>
      <c r="P460" s="3" t="s">
        <v>7010</v>
      </c>
      <c r="Q460" s="3" t="s">
        <v>7010</v>
      </c>
      <c r="R460" s="3" t="s">
        <v>7010</v>
      </c>
      <c r="S460" s="3" t="s">
        <v>7010</v>
      </c>
      <c r="T460" s="3" t="s">
        <v>7010</v>
      </c>
      <c r="U460" s="3" t="s">
        <v>7010</v>
      </c>
      <c r="V460" s="3" t="s">
        <v>7010</v>
      </c>
      <c r="W460" s="74" t="str">
        <f t="shared" si="29"/>
        <v>No</v>
      </c>
      <c r="Z460">
        <v>459</v>
      </c>
      <c r="AA460" s="55" t="s">
        <v>4252</v>
      </c>
      <c r="AC460">
        <f t="shared" si="28"/>
        <v>8</v>
      </c>
      <c r="AD460" s="30" t="s">
        <v>4253</v>
      </c>
      <c r="AF460" t="s">
        <v>7876</v>
      </c>
      <c r="AH460" s="3" t="s">
        <v>7015</v>
      </c>
      <c r="AI460" s="3" t="s">
        <v>7010</v>
      </c>
      <c r="AJ460" s="3" t="s">
        <v>7010</v>
      </c>
      <c r="AK460" s="3" t="s">
        <v>7015</v>
      </c>
      <c r="AL460" s="3" t="s">
        <v>7010</v>
      </c>
      <c r="AM460" s="3" t="s">
        <v>7010</v>
      </c>
      <c r="AN460" s="3" t="s">
        <v>7010</v>
      </c>
      <c r="AO460" s="3" t="s">
        <v>7010</v>
      </c>
      <c r="AP460" s="74" t="s">
        <v>7015</v>
      </c>
      <c r="AU460">
        <v>459</v>
      </c>
      <c r="AV460" t="s">
        <v>4254</v>
      </c>
      <c r="AW460" t="s">
        <v>2279</v>
      </c>
      <c r="AX460">
        <f t="shared" si="30"/>
        <v>10</v>
      </c>
      <c r="AY460" s="30" t="s">
        <v>4255</v>
      </c>
      <c r="BC460" s="3" t="s">
        <v>7010</v>
      </c>
      <c r="BD460" s="3" t="s">
        <v>7010</v>
      </c>
      <c r="BE460" s="3" t="s">
        <v>7015</v>
      </c>
      <c r="BF460" s="3" t="s">
        <v>7010</v>
      </c>
      <c r="BG460" s="3" t="s">
        <v>7010</v>
      </c>
      <c r="BH460" s="3" t="s">
        <v>7010</v>
      </c>
      <c r="BI460" s="3" t="s">
        <v>7010</v>
      </c>
      <c r="BJ460" s="3" t="s">
        <v>7010</v>
      </c>
      <c r="BK460" s="74" t="str">
        <f t="shared" si="31"/>
        <v>Yes</v>
      </c>
    </row>
    <row r="461" spans="7:63">
      <c r="G461">
        <v>460</v>
      </c>
      <c r="H461" s="7" t="s">
        <v>1754</v>
      </c>
      <c r="I461" t="s">
        <v>29</v>
      </c>
      <c r="J461">
        <f>LEN(H461)</f>
        <v>16</v>
      </c>
      <c r="K461" s="49" t="s">
        <v>5614</v>
      </c>
      <c r="O461" s="3" t="s">
        <v>7010</v>
      </c>
      <c r="P461" s="3" t="s">
        <v>7010</v>
      </c>
      <c r="Q461" s="3" t="s">
        <v>7010</v>
      </c>
      <c r="R461" s="3" t="s">
        <v>7010</v>
      </c>
      <c r="S461" s="3" t="s">
        <v>7010</v>
      </c>
      <c r="T461" s="3" t="s">
        <v>7010</v>
      </c>
      <c r="U461" s="3" t="s">
        <v>7010</v>
      </c>
      <c r="V461" s="3" t="s">
        <v>7010</v>
      </c>
      <c r="W461" s="74" t="str">
        <f t="shared" si="29"/>
        <v>No</v>
      </c>
      <c r="Z461">
        <v>460</v>
      </c>
      <c r="AA461" s="55">
        <v>159357</v>
      </c>
      <c r="AC461">
        <f t="shared" si="28"/>
        <v>6</v>
      </c>
      <c r="AD461" s="30" t="s">
        <v>4257</v>
      </c>
      <c r="AF461" t="s">
        <v>7877</v>
      </c>
      <c r="AH461" s="3" t="s">
        <v>7015</v>
      </c>
      <c r="AI461" s="3" t="s">
        <v>7010</v>
      </c>
      <c r="AJ461" s="3" t="s">
        <v>7010</v>
      </c>
      <c r="AK461" s="3" t="s">
        <v>7015</v>
      </c>
      <c r="AL461" s="3" t="s">
        <v>7010</v>
      </c>
      <c r="AM461" s="3" t="s">
        <v>7010</v>
      </c>
      <c r="AN461" s="3" t="s">
        <v>7010</v>
      </c>
      <c r="AO461" s="3" t="s">
        <v>7010</v>
      </c>
      <c r="AP461" s="74" t="s">
        <v>7015</v>
      </c>
      <c r="AU461">
        <v>460</v>
      </c>
      <c r="AV461" t="s">
        <v>4258</v>
      </c>
      <c r="AW461" t="s">
        <v>2279</v>
      </c>
      <c r="AX461">
        <f t="shared" si="30"/>
        <v>9</v>
      </c>
      <c r="AY461" s="30" t="s">
        <v>4259</v>
      </c>
      <c r="BC461" s="3" t="s">
        <v>7010</v>
      </c>
      <c r="BD461" s="3" t="s">
        <v>7010</v>
      </c>
      <c r="BE461" s="3" t="s">
        <v>7010</v>
      </c>
      <c r="BF461" s="3" t="s">
        <v>7010</v>
      </c>
      <c r="BG461" s="3" t="s">
        <v>7010</v>
      </c>
      <c r="BH461" s="3" t="s">
        <v>7010</v>
      </c>
      <c r="BI461" s="3" t="s">
        <v>7010</v>
      </c>
      <c r="BJ461" s="3" t="s">
        <v>7010</v>
      </c>
      <c r="BK461" s="74" t="str">
        <f t="shared" si="31"/>
        <v>No</v>
      </c>
    </row>
    <row r="462" spans="7:63">
      <c r="G462">
        <v>461</v>
      </c>
      <c r="H462" s="7" t="s">
        <v>994</v>
      </c>
      <c r="I462" t="s">
        <v>29</v>
      </c>
      <c r="J462">
        <f>LEN(H462)</f>
        <v>12</v>
      </c>
      <c r="K462" s="49" t="s">
        <v>3679</v>
      </c>
      <c r="O462" s="3" t="s">
        <v>7010</v>
      </c>
      <c r="P462" s="3" t="s">
        <v>7010</v>
      </c>
      <c r="Q462" s="3" t="s">
        <v>7010</v>
      </c>
      <c r="R462" s="3" t="s">
        <v>7010</v>
      </c>
      <c r="S462" s="3" t="s">
        <v>7010</v>
      </c>
      <c r="T462" s="3" t="s">
        <v>7010</v>
      </c>
      <c r="U462" s="3" t="s">
        <v>7010</v>
      </c>
      <c r="V462" s="3" t="s">
        <v>7010</v>
      </c>
      <c r="W462" s="74" t="str">
        <f t="shared" si="29"/>
        <v>No</v>
      </c>
      <c r="Z462">
        <v>461</v>
      </c>
      <c r="AA462" s="55" t="s">
        <v>4261</v>
      </c>
      <c r="AC462">
        <f t="shared" si="28"/>
        <v>9</v>
      </c>
      <c r="AD462" s="30" t="s">
        <v>4262</v>
      </c>
      <c r="AF462" t="s">
        <v>7878</v>
      </c>
      <c r="AH462" s="3" t="s">
        <v>7015</v>
      </c>
      <c r="AI462" s="3" t="s">
        <v>7010</v>
      </c>
      <c r="AJ462" s="3" t="s">
        <v>7010</v>
      </c>
      <c r="AK462" s="3" t="s">
        <v>7015</v>
      </c>
      <c r="AL462" s="3" t="s">
        <v>7010</v>
      </c>
      <c r="AM462" s="3" t="s">
        <v>7010</v>
      </c>
      <c r="AN462" s="3" t="s">
        <v>7010</v>
      </c>
      <c r="AO462" s="3" t="s">
        <v>7010</v>
      </c>
      <c r="AP462" s="74" t="s">
        <v>7015</v>
      </c>
      <c r="AU462">
        <v>461</v>
      </c>
      <c r="AV462" t="s">
        <v>4263</v>
      </c>
      <c r="AW462" t="s">
        <v>2279</v>
      </c>
      <c r="AX462">
        <f t="shared" si="30"/>
        <v>9</v>
      </c>
      <c r="AY462" s="30" t="s">
        <v>4264</v>
      </c>
      <c r="BC462" s="3" t="s">
        <v>7010</v>
      </c>
      <c r="BD462" s="3" t="s">
        <v>7010</v>
      </c>
      <c r="BE462" s="3" t="s">
        <v>7015</v>
      </c>
      <c r="BF462" s="3" t="s">
        <v>7010</v>
      </c>
      <c r="BG462" s="3" t="s">
        <v>7010</v>
      </c>
      <c r="BH462" s="3" t="s">
        <v>7010</v>
      </c>
      <c r="BI462" s="3" t="s">
        <v>7010</v>
      </c>
      <c r="BJ462" s="3" t="s">
        <v>7010</v>
      </c>
      <c r="BK462" s="74" t="str">
        <f t="shared" si="31"/>
        <v>Yes</v>
      </c>
    </row>
    <row r="463" spans="7:63">
      <c r="G463">
        <v>462</v>
      </c>
      <c r="H463" s="7" t="s">
        <v>1158</v>
      </c>
      <c r="I463" t="s">
        <v>29</v>
      </c>
      <c r="J463">
        <f>LEN(H463)</f>
        <v>14</v>
      </c>
      <c r="K463" s="49" t="s">
        <v>4104</v>
      </c>
      <c r="O463" s="3" t="s">
        <v>7010</v>
      </c>
      <c r="P463" s="3" t="s">
        <v>7010</v>
      </c>
      <c r="Q463" s="3" t="s">
        <v>7010</v>
      </c>
      <c r="R463" s="3" t="s">
        <v>7010</v>
      </c>
      <c r="S463" s="3" t="s">
        <v>7010</v>
      </c>
      <c r="T463" s="3" t="s">
        <v>7010</v>
      </c>
      <c r="U463" s="3" t="s">
        <v>7010</v>
      </c>
      <c r="V463" s="3" t="s">
        <v>7010</v>
      </c>
      <c r="W463" s="74" t="str">
        <f t="shared" si="29"/>
        <v>No</v>
      </c>
      <c r="Z463">
        <v>462</v>
      </c>
      <c r="AA463" s="55" t="s">
        <v>4266</v>
      </c>
      <c r="AC463">
        <f t="shared" si="28"/>
        <v>6</v>
      </c>
      <c r="AD463" s="30" t="s">
        <v>4267</v>
      </c>
      <c r="AF463" t="s">
        <v>7879</v>
      </c>
      <c r="AH463" s="3" t="s">
        <v>7015</v>
      </c>
      <c r="AI463" s="3" t="s">
        <v>7010</v>
      </c>
      <c r="AJ463" s="3" t="s">
        <v>7010</v>
      </c>
      <c r="AK463" s="3" t="s">
        <v>7015</v>
      </c>
      <c r="AL463" s="3" t="s">
        <v>7010</v>
      </c>
      <c r="AM463" s="3" t="s">
        <v>7010</v>
      </c>
      <c r="AN463" s="3" t="s">
        <v>7010</v>
      </c>
      <c r="AO463" s="3" t="s">
        <v>7010</v>
      </c>
      <c r="AP463" s="74" t="s">
        <v>7015</v>
      </c>
      <c r="AU463">
        <v>462</v>
      </c>
      <c r="AV463" t="s">
        <v>4268</v>
      </c>
      <c r="AW463" t="s">
        <v>2279</v>
      </c>
      <c r="AX463">
        <f t="shared" si="30"/>
        <v>8</v>
      </c>
      <c r="AY463" s="30" t="s">
        <v>4269</v>
      </c>
      <c r="BC463" s="3" t="s">
        <v>7010</v>
      </c>
      <c r="BD463" s="3" t="s">
        <v>7010</v>
      </c>
      <c r="BE463" s="3" t="s">
        <v>7010</v>
      </c>
      <c r="BF463" s="3" t="s">
        <v>7010</v>
      </c>
      <c r="BG463" s="3" t="s">
        <v>7010</v>
      </c>
      <c r="BH463" s="3" t="s">
        <v>7010</v>
      </c>
      <c r="BI463" s="3" t="s">
        <v>7010</v>
      </c>
      <c r="BJ463" s="3" t="s">
        <v>7010</v>
      </c>
      <c r="BK463" s="74" t="str">
        <f t="shared" si="31"/>
        <v>No</v>
      </c>
    </row>
    <row r="464" spans="7:63">
      <c r="G464">
        <v>463</v>
      </c>
      <c r="H464" s="7" t="s">
        <v>1004</v>
      </c>
      <c r="I464" t="s">
        <v>29</v>
      </c>
      <c r="J464">
        <f>LEN(H464)</f>
        <v>12</v>
      </c>
      <c r="K464" s="49" t="s">
        <v>3704</v>
      </c>
      <c r="O464" s="3" t="s">
        <v>7010</v>
      </c>
      <c r="P464" s="3" t="s">
        <v>7010</v>
      </c>
      <c r="Q464" s="3" t="s">
        <v>7010</v>
      </c>
      <c r="R464" s="3" t="s">
        <v>7010</v>
      </c>
      <c r="S464" s="3" t="s">
        <v>7010</v>
      </c>
      <c r="T464" s="3" t="s">
        <v>7010</v>
      </c>
      <c r="U464" s="3" t="s">
        <v>7010</v>
      </c>
      <c r="V464" s="3" t="s">
        <v>7010</v>
      </c>
      <c r="W464" s="74" t="str">
        <f t="shared" si="29"/>
        <v>No</v>
      </c>
      <c r="Z464">
        <v>463</v>
      </c>
      <c r="AA464" s="55" t="s">
        <v>4271</v>
      </c>
      <c r="AC464">
        <f t="shared" si="28"/>
        <v>5</v>
      </c>
      <c r="AD464" s="30" t="s">
        <v>4272</v>
      </c>
      <c r="AF464" t="s">
        <v>7880</v>
      </c>
      <c r="AH464" s="3" t="s">
        <v>7015</v>
      </c>
      <c r="AI464" s="3" t="s">
        <v>7010</v>
      </c>
      <c r="AJ464" s="3" t="s">
        <v>7010</v>
      </c>
      <c r="AK464" s="3" t="s">
        <v>7015</v>
      </c>
      <c r="AL464" s="3" t="s">
        <v>7010</v>
      </c>
      <c r="AM464" s="3" t="s">
        <v>7010</v>
      </c>
      <c r="AN464" s="3" t="s">
        <v>7010</v>
      </c>
      <c r="AO464" s="3" t="s">
        <v>7010</v>
      </c>
      <c r="AP464" s="74" t="s">
        <v>7015</v>
      </c>
      <c r="AU464">
        <v>463</v>
      </c>
      <c r="AV464" t="s">
        <v>4273</v>
      </c>
      <c r="AW464" t="s">
        <v>2279</v>
      </c>
      <c r="AX464">
        <f t="shared" si="30"/>
        <v>12</v>
      </c>
      <c r="AY464" s="30" t="s">
        <v>4274</v>
      </c>
      <c r="BC464" s="3" t="s">
        <v>7010</v>
      </c>
      <c r="BD464" s="3" t="s">
        <v>7010</v>
      </c>
      <c r="BE464" s="3" t="s">
        <v>7010</v>
      </c>
      <c r="BF464" s="3" t="s">
        <v>7010</v>
      </c>
      <c r="BG464" s="3" t="s">
        <v>7010</v>
      </c>
      <c r="BH464" s="3" t="s">
        <v>7010</v>
      </c>
      <c r="BI464" s="3" t="s">
        <v>7010</v>
      </c>
      <c r="BJ464" s="3" t="s">
        <v>7010</v>
      </c>
      <c r="BK464" s="74" t="str">
        <f t="shared" si="31"/>
        <v>No</v>
      </c>
    </row>
    <row r="465" spans="7:63">
      <c r="G465">
        <v>464</v>
      </c>
      <c r="H465" s="7" t="s">
        <v>984</v>
      </c>
      <c r="I465" t="s">
        <v>29</v>
      </c>
      <c r="J465">
        <f>LEN(H465)</f>
        <v>13</v>
      </c>
      <c r="K465" s="49" t="s">
        <v>3654</v>
      </c>
      <c r="O465" s="3" t="s">
        <v>7010</v>
      </c>
      <c r="P465" s="3" t="s">
        <v>7010</v>
      </c>
      <c r="Q465" s="3" t="s">
        <v>7010</v>
      </c>
      <c r="R465" s="3" t="s">
        <v>7010</v>
      </c>
      <c r="S465" s="3" t="s">
        <v>7010</v>
      </c>
      <c r="T465" s="3" t="s">
        <v>7010</v>
      </c>
      <c r="U465" s="3" t="s">
        <v>7010</v>
      </c>
      <c r="V465" s="3" t="s">
        <v>7010</v>
      </c>
      <c r="W465" s="74" t="str">
        <f t="shared" si="29"/>
        <v>No</v>
      </c>
      <c r="Z465">
        <v>464</v>
      </c>
      <c r="AA465" s="55" t="s">
        <v>4276</v>
      </c>
      <c r="AC465">
        <f t="shared" si="28"/>
        <v>6</v>
      </c>
      <c r="AD465" s="30" t="s">
        <v>4277</v>
      </c>
      <c r="AF465" t="s">
        <v>7881</v>
      </c>
      <c r="AH465" s="3" t="s">
        <v>7015</v>
      </c>
      <c r="AI465" s="3" t="s">
        <v>7010</v>
      </c>
      <c r="AJ465" s="3" t="s">
        <v>7010</v>
      </c>
      <c r="AK465" s="3" t="s">
        <v>7015</v>
      </c>
      <c r="AL465" s="3" t="s">
        <v>7010</v>
      </c>
      <c r="AM465" s="3" t="s">
        <v>7010</v>
      </c>
      <c r="AN465" s="3" t="s">
        <v>7010</v>
      </c>
      <c r="AO465" s="3" t="s">
        <v>7010</v>
      </c>
      <c r="AP465" s="74" t="s">
        <v>7015</v>
      </c>
      <c r="AU465">
        <v>464</v>
      </c>
      <c r="AV465" t="s">
        <v>4278</v>
      </c>
      <c r="AW465" t="s">
        <v>2279</v>
      </c>
      <c r="AX465">
        <f t="shared" si="30"/>
        <v>11</v>
      </c>
      <c r="AY465" s="30" t="s">
        <v>4279</v>
      </c>
      <c r="BC465" s="3" t="s">
        <v>7010</v>
      </c>
      <c r="BD465" s="3" t="s">
        <v>7010</v>
      </c>
      <c r="BE465" s="3" t="s">
        <v>7010</v>
      </c>
      <c r="BF465" s="3" t="s">
        <v>7010</v>
      </c>
      <c r="BG465" s="3" t="s">
        <v>7010</v>
      </c>
      <c r="BH465" s="3" t="s">
        <v>7010</v>
      </c>
      <c r="BI465" s="3" t="s">
        <v>7010</v>
      </c>
      <c r="BJ465" s="3" t="s">
        <v>7010</v>
      </c>
      <c r="BK465" s="74" t="str">
        <f t="shared" si="31"/>
        <v>No</v>
      </c>
    </row>
    <row r="466" spans="7:63">
      <c r="G466">
        <v>465</v>
      </c>
      <c r="H466" s="7" t="s">
        <v>962</v>
      </c>
      <c r="I466" t="s">
        <v>29</v>
      </c>
      <c r="J466">
        <f>LEN(H466)</f>
        <v>14</v>
      </c>
      <c r="K466" s="49" t="s">
        <v>3600</v>
      </c>
      <c r="O466" s="3" t="s">
        <v>7010</v>
      </c>
      <c r="P466" s="3" t="s">
        <v>7010</v>
      </c>
      <c r="Q466" s="3" t="s">
        <v>7010</v>
      </c>
      <c r="R466" s="3" t="s">
        <v>7010</v>
      </c>
      <c r="S466" s="3" t="s">
        <v>7010</v>
      </c>
      <c r="T466" s="3" t="s">
        <v>7010</v>
      </c>
      <c r="U466" s="3" t="s">
        <v>7010</v>
      </c>
      <c r="V466" s="3" t="s">
        <v>7010</v>
      </c>
      <c r="W466" s="74" t="str">
        <f t="shared" si="29"/>
        <v>No</v>
      </c>
      <c r="Z466">
        <v>465</v>
      </c>
      <c r="AA466" s="55" t="s">
        <v>4281</v>
      </c>
      <c r="AC466">
        <f t="shared" si="28"/>
        <v>7</v>
      </c>
      <c r="AD466" s="30" t="s">
        <v>4282</v>
      </c>
      <c r="AF466" t="s">
        <v>7882</v>
      </c>
      <c r="AH466" s="3" t="s">
        <v>7015</v>
      </c>
      <c r="AI466" s="3" t="s">
        <v>7010</v>
      </c>
      <c r="AJ466" s="3" t="s">
        <v>7010</v>
      </c>
      <c r="AK466" s="3" t="s">
        <v>7015</v>
      </c>
      <c r="AL466" s="3" t="s">
        <v>7010</v>
      </c>
      <c r="AM466" s="3" t="s">
        <v>7010</v>
      </c>
      <c r="AN466" s="3" t="s">
        <v>7010</v>
      </c>
      <c r="AO466" s="3" t="s">
        <v>7010</v>
      </c>
      <c r="AP466" s="74" t="s">
        <v>7015</v>
      </c>
      <c r="AU466">
        <v>465</v>
      </c>
      <c r="AV466" t="s">
        <v>4283</v>
      </c>
      <c r="AW466" t="s">
        <v>2279</v>
      </c>
      <c r="AX466">
        <f t="shared" si="30"/>
        <v>8</v>
      </c>
      <c r="AY466" s="30" t="s">
        <v>4284</v>
      </c>
      <c r="BC466" s="3" t="s">
        <v>7010</v>
      </c>
      <c r="BD466" s="3" t="s">
        <v>7010</v>
      </c>
      <c r="BE466" s="3" t="s">
        <v>7010</v>
      </c>
      <c r="BF466" s="3" t="s">
        <v>7010</v>
      </c>
      <c r="BG466" s="3" t="s">
        <v>7010</v>
      </c>
      <c r="BH466" s="3" t="s">
        <v>7010</v>
      </c>
      <c r="BI466" s="3" t="s">
        <v>7010</v>
      </c>
      <c r="BJ466" s="3" t="s">
        <v>7010</v>
      </c>
      <c r="BK466" s="74" t="str">
        <f t="shared" si="31"/>
        <v>No</v>
      </c>
    </row>
    <row r="467" spans="7:63">
      <c r="G467">
        <v>466</v>
      </c>
      <c r="H467" s="7" t="s">
        <v>1796</v>
      </c>
      <c r="I467" t="s">
        <v>29</v>
      </c>
      <c r="J467">
        <f>LEN(H467)</f>
        <v>14</v>
      </c>
      <c r="K467" s="49" t="s">
        <v>5727</v>
      </c>
      <c r="O467" s="3" t="s">
        <v>7010</v>
      </c>
      <c r="P467" s="3" t="s">
        <v>7010</v>
      </c>
      <c r="Q467" s="3" t="s">
        <v>7010</v>
      </c>
      <c r="R467" s="3" t="s">
        <v>7010</v>
      </c>
      <c r="S467" s="3" t="s">
        <v>7010</v>
      </c>
      <c r="T467" s="3" t="s">
        <v>7010</v>
      </c>
      <c r="U467" s="3" t="s">
        <v>7010</v>
      </c>
      <c r="V467" s="3" t="s">
        <v>7010</v>
      </c>
      <c r="W467" s="74" t="str">
        <f t="shared" si="29"/>
        <v>No</v>
      </c>
      <c r="Z467">
        <v>466</v>
      </c>
      <c r="AA467" s="55" t="s">
        <v>4286</v>
      </c>
      <c r="AC467">
        <f t="shared" si="28"/>
        <v>7</v>
      </c>
      <c r="AD467" s="30" t="s">
        <v>4287</v>
      </c>
      <c r="AF467" t="s">
        <v>7883</v>
      </c>
      <c r="AH467" s="3" t="s">
        <v>7015</v>
      </c>
      <c r="AI467" s="3" t="s">
        <v>7010</v>
      </c>
      <c r="AJ467" s="3" t="s">
        <v>7010</v>
      </c>
      <c r="AK467" s="3" t="s">
        <v>7015</v>
      </c>
      <c r="AL467" s="3" t="s">
        <v>7010</v>
      </c>
      <c r="AM467" s="3" t="s">
        <v>7010</v>
      </c>
      <c r="AN467" s="3" t="s">
        <v>7010</v>
      </c>
      <c r="AO467" s="3" t="s">
        <v>7010</v>
      </c>
      <c r="AP467" s="74" t="s">
        <v>7015</v>
      </c>
      <c r="AU467">
        <v>466</v>
      </c>
      <c r="AV467" t="s">
        <v>4288</v>
      </c>
      <c r="AW467" t="s">
        <v>2279</v>
      </c>
      <c r="AX467">
        <f t="shared" si="30"/>
        <v>8</v>
      </c>
      <c r="AY467" s="30" t="s">
        <v>4289</v>
      </c>
      <c r="BC467" s="3" t="s">
        <v>7010</v>
      </c>
      <c r="BD467" s="3" t="s">
        <v>7010</v>
      </c>
      <c r="BE467" s="3" t="s">
        <v>7010</v>
      </c>
      <c r="BF467" s="3" t="s">
        <v>7010</v>
      </c>
      <c r="BG467" s="3" t="s">
        <v>7010</v>
      </c>
      <c r="BH467" s="3" t="s">
        <v>7010</v>
      </c>
      <c r="BI467" s="3" t="s">
        <v>7010</v>
      </c>
      <c r="BJ467" s="3" t="s">
        <v>7010</v>
      </c>
      <c r="BK467" s="74" t="str">
        <f t="shared" si="31"/>
        <v>No</v>
      </c>
    </row>
    <row r="468" spans="7:63">
      <c r="G468">
        <v>467</v>
      </c>
      <c r="H468" s="7" t="s">
        <v>1106</v>
      </c>
      <c r="I468" t="s">
        <v>29</v>
      </c>
      <c r="J468">
        <f>LEN(H468)</f>
        <v>17</v>
      </c>
      <c r="K468" s="49" t="s">
        <v>3977</v>
      </c>
      <c r="O468" s="3" t="s">
        <v>7010</v>
      </c>
      <c r="P468" s="3" t="s">
        <v>7010</v>
      </c>
      <c r="Q468" s="3" t="s">
        <v>7010</v>
      </c>
      <c r="R468" s="3" t="s">
        <v>7010</v>
      </c>
      <c r="S468" s="3" t="s">
        <v>7010</v>
      </c>
      <c r="T468" s="3" t="s">
        <v>7010</v>
      </c>
      <c r="U468" s="3" t="s">
        <v>7010</v>
      </c>
      <c r="V468" s="3" t="s">
        <v>7010</v>
      </c>
      <c r="W468" s="74" t="str">
        <f t="shared" si="29"/>
        <v>No</v>
      </c>
      <c r="Z468">
        <v>467</v>
      </c>
      <c r="AA468" s="55" t="s">
        <v>4291</v>
      </c>
      <c r="AC468">
        <f t="shared" si="28"/>
        <v>7</v>
      </c>
      <c r="AD468" s="30" t="s">
        <v>4292</v>
      </c>
      <c r="AF468" t="s">
        <v>7884</v>
      </c>
      <c r="AH468" s="3" t="s">
        <v>7015</v>
      </c>
      <c r="AI468" s="3" t="s">
        <v>7010</v>
      </c>
      <c r="AJ468" s="3" t="s">
        <v>7010</v>
      </c>
      <c r="AK468" s="3" t="s">
        <v>7015</v>
      </c>
      <c r="AL468" s="3" t="s">
        <v>7010</v>
      </c>
      <c r="AM468" s="3" t="s">
        <v>7010</v>
      </c>
      <c r="AN468" s="3" t="s">
        <v>7010</v>
      </c>
      <c r="AO468" s="3" t="s">
        <v>7010</v>
      </c>
      <c r="AP468" s="74" t="s">
        <v>7015</v>
      </c>
      <c r="AU468">
        <v>467</v>
      </c>
      <c r="AV468" t="s">
        <v>4293</v>
      </c>
      <c r="AW468" t="s">
        <v>2279</v>
      </c>
      <c r="AX468">
        <f t="shared" si="30"/>
        <v>8</v>
      </c>
      <c r="AY468" s="30" t="s">
        <v>4294</v>
      </c>
      <c r="BC468" s="3" t="s">
        <v>7010</v>
      </c>
      <c r="BD468" s="3" t="s">
        <v>7010</v>
      </c>
      <c r="BE468" s="3" t="s">
        <v>7010</v>
      </c>
      <c r="BF468" s="3" t="s">
        <v>7010</v>
      </c>
      <c r="BG468" s="3" t="s">
        <v>7010</v>
      </c>
      <c r="BH468" s="3" t="s">
        <v>7010</v>
      </c>
      <c r="BI468" s="3" t="s">
        <v>7010</v>
      </c>
      <c r="BJ468" s="3" t="s">
        <v>7010</v>
      </c>
      <c r="BK468" s="74" t="str">
        <f t="shared" si="31"/>
        <v>No</v>
      </c>
    </row>
    <row r="469" spans="7:63">
      <c r="G469">
        <v>468</v>
      </c>
      <c r="H469" s="7" t="s">
        <v>940</v>
      </c>
      <c r="I469" t="s">
        <v>29</v>
      </c>
      <c r="J469">
        <f>LEN(H469)</f>
        <v>14</v>
      </c>
      <c r="K469" s="49" t="s">
        <v>3546</v>
      </c>
      <c r="O469" s="3" t="s">
        <v>7010</v>
      </c>
      <c r="P469" s="3" t="s">
        <v>7010</v>
      </c>
      <c r="Q469" s="3" t="s">
        <v>7010</v>
      </c>
      <c r="R469" s="3" t="s">
        <v>7010</v>
      </c>
      <c r="S469" s="3" t="s">
        <v>7010</v>
      </c>
      <c r="T469" s="3" t="s">
        <v>7010</v>
      </c>
      <c r="U469" s="3" t="s">
        <v>7010</v>
      </c>
      <c r="V469" s="3" t="s">
        <v>7010</v>
      </c>
      <c r="W469" s="74" t="str">
        <f t="shared" si="29"/>
        <v>No</v>
      </c>
      <c r="Z469">
        <v>468</v>
      </c>
      <c r="AA469" s="55" t="s">
        <v>4296</v>
      </c>
      <c r="AC469">
        <f t="shared" si="28"/>
        <v>9</v>
      </c>
      <c r="AD469" s="30" t="s">
        <v>4297</v>
      </c>
      <c r="AF469" t="s">
        <v>7885</v>
      </c>
      <c r="AH469" s="3" t="s">
        <v>7015</v>
      </c>
      <c r="AI469" s="3" t="s">
        <v>7010</v>
      </c>
      <c r="AJ469" s="3" t="s">
        <v>7010</v>
      </c>
      <c r="AK469" s="3" t="s">
        <v>7015</v>
      </c>
      <c r="AL469" s="3" t="s">
        <v>7010</v>
      </c>
      <c r="AM469" s="3" t="s">
        <v>7010</v>
      </c>
      <c r="AN469" s="3" t="s">
        <v>7010</v>
      </c>
      <c r="AO469" s="3" t="s">
        <v>7010</v>
      </c>
      <c r="AP469" s="74" t="s">
        <v>7015</v>
      </c>
      <c r="AU469">
        <v>468</v>
      </c>
      <c r="AV469" t="s">
        <v>4298</v>
      </c>
      <c r="AW469" t="s">
        <v>2279</v>
      </c>
      <c r="AX469">
        <f t="shared" si="30"/>
        <v>8</v>
      </c>
      <c r="AY469" s="30" t="s">
        <v>4299</v>
      </c>
      <c r="BC469" s="3" t="s">
        <v>7010</v>
      </c>
      <c r="BD469" s="3" t="s">
        <v>7010</v>
      </c>
      <c r="BE469" s="3" t="s">
        <v>7010</v>
      </c>
      <c r="BF469" s="3" t="s">
        <v>7010</v>
      </c>
      <c r="BG469" s="3" t="s">
        <v>7010</v>
      </c>
      <c r="BH469" s="3" t="s">
        <v>7010</v>
      </c>
      <c r="BI469" s="3" t="s">
        <v>7010</v>
      </c>
      <c r="BJ469" s="3" t="s">
        <v>7010</v>
      </c>
      <c r="BK469" s="74" t="str">
        <f t="shared" si="31"/>
        <v>No</v>
      </c>
    </row>
    <row r="470" spans="7:63">
      <c r="G470">
        <v>469</v>
      </c>
      <c r="H470" s="7" t="s">
        <v>1168</v>
      </c>
      <c r="I470" t="s">
        <v>29</v>
      </c>
      <c r="J470">
        <f>LEN(H470)</f>
        <v>15</v>
      </c>
      <c r="K470" s="49" t="s">
        <v>4128</v>
      </c>
      <c r="O470" s="3" t="s">
        <v>7010</v>
      </c>
      <c r="P470" s="3" t="s">
        <v>7010</v>
      </c>
      <c r="Q470" s="3" t="s">
        <v>7010</v>
      </c>
      <c r="R470" s="3" t="s">
        <v>7010</v>
      </c>
      <c r="S470" s="3" t="s">
        <v>7010</v>
      </c>
      <c r="T470" s="3" t="s">
        <v>7010</v>
      </c>
      <c r="U470" s="3" t="s">
        <v>7010</v>
      </c>
      <c r="V470" s="3" t="s">
        <v>7010</v>
      </c>
      <c r="W470" s="74" t="str">
        <f t="shared" si="29"/>
        <v>No</v>
      </c>
      <c r="Z470">
        <v>469</v>
      </c>
      <c r="AA470" s="55" t="s">
        <v>4301</v>
      </c>
      <c r="AC470">
        <f t="shared" si="28"/>
        <v>7</v>
      </c>
      <c r="AD470" s="30" t="s">
        <v>4302</v>
      </c>
      <c r="AF470" t="s">
        <v>7886</v>
      </c>
      <c r="AH470" s="3" t="s">
        <v>7015</v>
      </c>
      <c r="AI470" s="3" t="s">
        <v>7010</v>
      </c>
      <c r="AJ470" s="3" t="s">
        <v>7010</v>
      </c>
      <c r="AK470" s="3" t="s">
        <v>7015</v>
      </c>
      <c r="AL470" s="3" t="s">
        <v>7010</v>
      </c>
      <c r="AM470" s="3" t="s">
        <v>7010</v>
      </c>
      <c r="AN470" s="3" t="s">
        <v>7010</v>
      </c>
      <c r="AO470" s="3" t="s">
        <v>7010</v>
      </c>
      <c r="AP470" s="74" t="s">
        <v>7015</v>
      </c>
      <c r="AU470">
        <v>469</v>
      </c>
      <c r="AV470" t="s">
        <v>4303</v>
      </c>
      <c r="AW470" t="s">
        <v>2279</v>
      </c>
      <c r="AX470">
        <f t="shared" si="30"/>
        <v>9</v>
      </c>
      <c r="AY470" s="30" t="s">
        <v>4304</v>
      </c>
      <c r="BC470" s="3" t="s">
        <v>7010</v>
      </c>
      <c r="BD470" s="3" t="s">
        <v>7010</v>
      </c>
      <c r="BE470" s="3" t="s">
        <v>7015</v>
      </c>
      <c r="BF470" s="3" t="s">
        <v>7010</v>
      </c>
      <c r="BG470" s="3" t="s">
        <v>7010</v>
      </c>
      <c r="BH470" s="3" t="s">
        <v>7010</v>
      </c>
      <c r="BI470" s="3" t="s">
        <v>7010</v>
      </c>
      <c r="BJ470" s="3" t="s">
        <v>7010</v>
      </c>
      <c r="BK470" s="74" t="str">
        <f t="shared" si="31"/>
        <v>Yes</v>
      </c>
    </row>
    <row r="471" spans="7:63">
      <c r="G471">
        <v>470</v>
      </c>
      <c r="H471" s="7" t="s">
        <v>476</v>
      </c>
      <c r="I471" t="s">
        <v>29</v>
      </c>
      <c r="J471">
        <f>LEN(H471)</f>
        <v>9</v>
      </c>
      <c r="K471" s="49" t="s">
        <v>2821</v>
      </c>
      <c r="O471" s="3" t="s">
        <v>7010</v>
      </c>
      <c r="P471" s="3" t="s">
        <v>7010</v>
      </c>
      <c r="Q471" s="3" t="s">
        <v>7010</v>
      </c>
      <c r="R471" s="3" t="s">
        <v>7015</v>
      </c>
      <c r="S471" s="3" t="s">
        <v>7010</v>
      </c>
      <c r="T471" s="3" t="s">
        <v>7015</v>
      </c>
      <c r="U471" s="3" t="s">
        <v>7015</v>
      </c>
      <c r="V471" s="3" t="s">
        <v>7015</v>
      </c>
      <c r="W471" s="74" t="str">
        <f t="shared" si="29"/>
        <v>Yes</v>
      </c>
      <c r="Z471">
        <v>470</v>
      </c>
      <c r="AA471" s="55" t="s">
        <v>4306</v>
      </c>
      <c r="AC471">
        <f t="shared" si="28"/>
        <v>8</v>
      </c>
      <c r="AD471" s="31" t="s">
        <v>4307</v>
      </c>
      <c r="AF471" t="s">
        <v>7887</v>
      </c>
      <c r="AH471" s="3" t="s">
        <v>7015</v>
      </c>
      <c r="AI471" s="3" t="s">
        <v>7010</v>
      </c>
      <c r="AJ471" s="3" t="s">
        <v>7010</v>
      </c>
      <c r="AK471" s="3" t="s">
        <v>7015</v>
      </c>
      <c r="AL471" s="3" t="s">
        <v>7010</v>
      </c>
      <c r="AM471" s="3" t="s">
        <v>7010</v>
      </c>
      <c r="AN471" s="3" t="s">
        <v>7010</v>
      </c>
      <c r="AO471" s="3" t="s">
        <v>7010</v>
      </c>
      <c r="AP471" s="74" t="s">
        <v>7015</v>
      </c>
      <c r="AU471">
        <v>470</v>
      </c>
      <c r="AV471" t="s">
        <v>4308</v>
      </c>
      <c r="AW471" t="s">
        <v>2279</v>
      </c>
      <c r="AX471">
        <f t="shared" si="30"/>
        <v>11</v>
      </c>
      <c r="AY471" s="30" t="s">
        <v>4309</v>
      </c>
      <c r="BC471" s="3" t="s">
        <v>7010</v>
      </c>
      <c r="BD471" s="3" t="s">
        <v>7010</v>
      </c>
      <c r="BE471" s="3" t="s">
        <v>7010</v>
      </c>
      <c r="BF471" s="3" t="s">
        <v>7010</v>
      </c>
      <c r="BG471" s="3" t="s">
        <v>7010</v>
      </c>
      <c r="BH471" s="3" t="s">
        <v>7010</v>
      </c>
      <c r="BI471" s="3" t="s">
        <v>7010</v>
      </c>
      <c r="BJ471" s="3" t="s">
        <v>7010</v>
      </c>
      <c r="BK471" s="74" t="str">
        <f t="shared" si="31"/>
        <v>No</v>
      </c>
    </row>
    <row r="472" spans="7:63">
      <c r="G472">
        <v>471</v>
      </c>
      <c r="H472" s="7" t="s">
        <v>447</v>
      </c>
      <c r="I472" t="s">
        <v>29</v>
      </c>
      <c r="J472">
        <f>LEN(H472)</f>
        <v>11</v>
      </c>
      <c r="K472" s="49" t="s">
        <v>2705</v>
      </c>
      <c r="O472" s="3" t="s">
        <v>7010</v>
      </c>
      <c r="P472" s="3" t="s">
        <v>7010</v>
      </c>
      <c r="Q472" s="3" t="s">
        <v>7010</v>
      </c>
      <c r="R472" s="3" t="s">
        <v>7010</v>
      </c>
      <c r="S472" s="3" t="s">
        <v>7010</v>
      </c>
      <c r="T472" s="3" t="s">
        <v>7010</v>
      </c>
      <c r="U472" s="3" t="s">
        <v>7010</v>
      </c>
      <c r="V472" s="3" t="s">
        <v>7010</v>
      </c>
      <c r="W472" s="74" t="str">
        <f t="shared" si="29"/>
        <v>No</v>
      </c>
      <c r="Z472">
        <v>471</v>
      </c>
      <c r="AA472" s="55" t="s">
        <v>4311</v>
      </c>
      <c r="AC472">
        <f t="shared" si="28"/>
        <v>5</v>
      </c>
      <c r="AD472" s="30" t="s">
        <v>4312</v>
      </c>
      <c r="AF472" t="s">
        <v>7888</v>
      </c>
      <c r="AH472" s="3" t="s">
        <v>7015</v>
      </c>
      <c r="AI472" s="3" t="s">
        <v>7010</v>
      </c>
      <c r="AJ472" s="3" t="s">
        <v>7010</v>
      </c>
      <c r="AK472" s="3" t="s">
        <v>7015</v>
      </c>
      <c r="AL472" s="3" t="s">
        <v>7010</v>
      </c>
      <c r="AM472" s="3" t="s">
        <v>7010</v>
      </c>
      <c r="AN472" s="3" t="s">
        <v>7010</v>
      </c>
      <c r="AO472" s="3" t="s">
        <v>7010</v>
      </c>
      <c r="AP472" s="74" t="s">
        <v>7015</v>
      </c>
      <c r="AU472">
        <v>471</v>
      </c>
      <c r="AV472" t="s">
        <v>4313</v>
      </c>
      <c r="AW472" t="s">
        <v>2279</v>
      </c>
      <c r="AX472">
        <f t="shared" si="30"/>
        <v>8</v>
      </c>
      <c r="AY472" s="30" t="s">
        <v>4314</v>
      </c>
      <c r="BC472" s="3" t="s">
        <v>7010</v>
      </c>
      <c r="BD472" s="3" t="s">
        <v>7010</v>
      </c>
      <c r="BE472" s="3" t="s">
        <v>7015</v>
      </c>
      <c r="BF472" s="3" t="s">
        <v>7010</v>
      </c>
      <c r="BG472" s="3" t="s">
        <v>7010</v>
      </c>
      <c r="BH472" s="3" t="s">
        <v>7010</v>
      </c>
      <c r="BI472" s="3" t="s">
        <v>7010</v>
      </c>
      <c r="BJ472" s="3" t="s">
        <v>7010</v>
      </c>
      <c r="BK472" s="74" t="str">
        <f t="shared" si="31"/>
        <v>Yes</v>
      </c>
    </row>
    <row r="473" spans="7:63">
      <c r="G473">
        <v>472</v>
      </c>
      <c r="H473" s="7" t="s">
        <v>1788</v>
      </c>
      <c r="I473" t="s">
        <v>29</v>
      </c>
      <c r="J473">
        <f>LEN(H473)</f>
        <v>12</v>
      </c>
      <c r="K473" s="49" t="s">
        <v>5707</v>
      </c>
      <c r="O473" s="3" t="s">
        <v>7010</v>
      </c>
      <c r="P473" s="3" t="s">
        <v>7010</v>
      </c>
      <c r="Q473" s="3" t="s">
        <v>7010</v>
      </c>
      <c r="R473" s="3" t="s">
        <v>7010</v>
      </c>
      <c r="S473" s="3" t="s">
        <v>7010</v>
      </c>
      <c r="T473" s="3" t="s">
        <v>7010</v>
      </c>
      <c r="U473" s="3" t="s">
        <v>7010</v>
      </c>
      <c r="V473" s="3" t="s">
        <v>7010</v>
      </c>
      <c r="W473" s="74" t="str">
        <f t="shared" si="29"/>
        <v>No</v>
      </c>
      <c r="Z473">
        <v>472</v>
      </c>
      <c r="AA473" s="55" t="s">
        <v>4316</v>
      </c>
      <c r="AC473">
        <f t="shared" si="28"/>
        <v>5</v>
      </c>
      <c r="AD473" s="30" t="s">
        <v>4317</v>
      </c>
      <c r="AF473" t="s">
        <v>7889</v>
      </c>
      <c r="AH473" s="3" t="s">
        <v>7015</v>
      </c>
      <c r="AI473" s="3" t="s">
        <v>7010</v>
      </c>
      <c r="AJ473" s="3" t="s">
        <v>7010</v>
      </c>
      <c r="AK473" s="3" t="s">
        <v>7015</v>
      </c>
      <c r="AL473" s="3" t="s">
        <v>7010</v>
      </c>
      <c r="AM473" s="3" t="s">
        <v>7010</v>
      </c>
      <c r="AN473" s="3" t="s">
        <v>7010</v>
      </c>
      <c r="AO473" s="3" t="s">
        <v>7010</v>
      </c>
      <c r="AP473" s="74" t="s">
        <v>7015</v>
      </c>
      <c r="AU473">
        <v>472</v>
      </c>
      <c r="AV473" t="s">
        <v>4318</v>
      </c>
      <c r="AW473" t="s">
        <v>2279</v>
      </c>
      <c r="AX473">
        <f t="shared" si="30"/>
        <v>11</v>
      </c>
      <c r="AY473" s="30" t="s">
        <v>4319</v>
      </c>
      <c r="BC473" s="3" t="s">
        <v>7010</v>
      </c>
      <c r="BD473" s="3" t="s">
        <v>7010</v>
      </c>
      <c r="BE473" s="3" t="s">
        <v>7010</v>
      </c>
      <c r="BF473" s="3" t="s">
        <v>7010</v>
      </c>
      <c r="BG473" s="3" t="s">
        <v>7010</v>
      </c>
      <c r="BH473" s="3" t="s">
        <v>7010</v>
      </c>
      <c r="BI473" s="3" t="s">
        <v>7010</v>
      </c>
      <c r="BJ473" s="3" t="s">
        <v>7010</v>
      </c>
      <c r="BK473" s="74" t="str">
        <f t="shared" si="31"/>
        <v>No</v>
      </c>
    </row>
    <row r="474" spans="7:63">
      <c r="G474">
        <v>473</v>
      </c>
      <c r="H474" s="7" t="s">
        <v>1732</v>
      </c>
      <c r="I474" t="s">
        <v>29</v>
      </c>
      <c r="J474">
        <f>LEN(H474)</f>
        <v>17</v>
      </c>
      <c r="K474" s="49" t="s">
        <v>5559</v>
      </c>
      <c r="O474" s="3" t="s">
        <v>7010</v>
      </c>
      <c r="P474" s="3" t="s">
        <v>7010</v>
      </c>
      <c r="Q474" s="3" t="s">
        <v>7010</v>
      </c>
      <c r="R474" s="3" t="s">
        <v>7010</v>
      </c>
      <c r="S474" s="3" t="s">
        <v>7010</v>
      </c>
      <c r="T474" s="3" t="s">
        <v>7010</v>
      </c>
      <c r="U474" s="3" t="s">
        <v>7010</v>
      </c>
      <c r="V474" s="3" t="s">
        <v>7010</v>
      </c>
      <c r="W474" s="74" t="str">
        <f t="shared" si="29"/>
        <v>No</v>
      </c>
      <c r="Z474">
        <v>473</v>
      </c>
      <c r="AA474" s="55" t="s">
        <v>4321</v>
      </c>
      <c r="AC474">
        <f t="shared" si="28"/>
        <v>5</v>
      </c>
      <c r="AD474" s="30" t="s">
        <v>4322</v>
      </c>
      <c r="AF474" t="s">
        <v>7890</v>
      </c>
      <c r="AH474" s="3" t="s">
        <v>7015</v>
      </c>
      <c r="AI474" s="3" t="s">
        <v>7010</v>
      </c>
      <c r="AJ474" s="3" t="s">
        <v>7010</v>
      </c>
      <c r="AK474" s="3" t="s">
        <v>7015</v>
      </c>
      <c r="AL474" s="3" t="s">
        <v>7010</v>
      </c>
      <c r="AM474" s="3" t="s">
        <v>7010</v>
      </c>
      <c r="AN474" s="3" t="s">
        <v>7010</v>
      </c>
      <c r="AO474" s="3" t="s">
        <v>7010</v>
      </c>
      <c r="AP474" s="74" t="s">
        <v>7015</v>
      </c>
      <c r="AU474">
        <v>473</v>
      </c>
      <c r="AV474" t="s">
        <v>4323</v>
      </c>
      <c r="AW474" t="s">
        <v>2279</v>
      </c>
      <c r="AX474">
        <f t="shared" si="30"/>
        <v>9</v>
      </c>
      <c r="AY474" s="30" t="s">
        <v>4324</v>
      </c>
      <c r="BC474" s="3" t="s">
        <v>7010</v>
      </c>
      <c r="BD474" s="3" t="s">
        <v>7010</v>
      </c>
      <c r="BE474" s="3" t="s">
        <v>7010</v>
      </c>
      <c r="BF474" s="3" t="s">
        <v>7010</v>
      </c>
      <c r="BG474" s="3" t="s">
        <v>7010</v>
      </c>
      <c r="BH474" s="3" t="s">
        <v>7010</v>
      </c>
      <c r="BI474" s="3" t="s">
        <v>7010</v>
      </c>
      <c r="BJ474" s="3" t="s">
        <v>7010</v>
      </c>
      <c r="BK474" s="74" t="str">
        <f t="shared" si="31"/>
        <v>No</v>
      </c>
    </row>
    <row r="475" spans="7:63">
      <c r="G475">
        <v>474</v>
      </c>
      <c r="H475" s="7" t="s">
        <v>1820</v>
      </c>
      <c r="I475" t="s">
        <v>29</v>
      </c>
      <c r="J475">
        <f>LEN(H475)</f>
        <v>13</v>
      </c>
      <c r="K475" s="49" t="s">
        <v>5798</v>
      </c>
      <c r="O475" s="3" t="s">
        <v>7010</v>
      </c>
      <c r="P475" s="3" t="s">
        <v>7010</v>
      </c>
      <c r="Q475" s="3" t="s">
        <v>7010</v>
      </c>
      <c r="R475" s="3" t="s">
        <v>7010</v>
      </c>
      <c r="S475" s="3" t="s">
        <v>7010</v>
      </c>
      <c r="T475" s="3" t="s">
        <v>7010</v>
      </c>
      <c r="U475" s="3" t="s">
        <v>7010</v>
      </c>
      <c r="V475" s="3" t="s">
        <v>7010</v>
      </c>
      <c r="W475" s="74" t="str">
        <f t="shared" si="29"/>
        <v>No</v>
      </c>
      <c r="Z475">
        <v>474</v>
      </c>
      <c r="AA475" s="55" t="s">
        <v>4326</v>
      </c>
      <c r="AC475">
        <f t="shared" si="28"/>
        <v>6</v>
      </c>
      <c r="AD475" s="30" t="s">
        <v>4327</v>
      </c>
      <c r="AF475" t="s">
        <v>7891</v>
      </c>
      <c r="AH475" s="3" t="s">
        <v>7015</v>
      </c>
      <c r="AI475" s="3" t="s">
        <v>7010</v>
      </c>
      <c r="AJ475" s="3" t="s">
        <v>7010</v>
      </c>
      <c r="AK475" s="3" t="s">
        <v>7015</v>
      </c>
      <c r="AL475" s="3" t="s">
        <v>7010</v>
      </c>
      <c r="AM475" s="3" t="s">
        <v>7010</v>
      </c>
      <c r="AN475" s="3" t="s">
        <v>7010</v>
      </c>
      <c r="AO475" s="3" t="s">
        <v>7010</v>
      </c>
      <c r="AP475" s="74" t="s">
        <v>7015</v>
      </c>
      <c r="AU475">
        <v>474</v>
      </c>
      <c r="AV475" t="s">
        <v>4328</v>
      </c>
      <c r="AW475" t="s">
        <v>2279</v>
      </c>
      <c r="AX475">
        <f t="shared" si="30"/>
        <v>8</v>
      </c>
      <c r="AY475" s="30" t="s">
        <v>4329</v>
      </c>
      <c r="BC475" s="3" t="s">
        <v>7010</v>
      </c>
      <c r="BD475" s="3" t="s">
        <v>7010</v>
      </c>
      <c r="BE475" s="3" t="s">
        <v>7010</v>
      </c>
      <c r="BF475" s="3" t="s">
        <v>7010</v>
      </c>
      <c r="BG475" s="3" t="s">
        <v>7010</v>
      </c>
      <c r="BH475" s="3" t="s">
        <v>7010</v>
      </c>
      <c r="BI475" s="3" t="s">
        <v>7010</v>
      </c>
      <c r="BJ475" s="3" t="s">
        <v>7010</v>
      </c>
      <c r="BK475" s="74" t="str">
        <f t="shared" si="31"/>
        <v>No</v>
      </c>
    </row>
    <row r="476" spans="7:63">
      <c r="G476">
        <v>475</v>
      </c>
      <c r="H476" s="7" t="s">
        <v>1838</v>
      </c>
      <c r="I476" t="s">
        <v>29</v>
      </c>
      <c r="J476">
        <f>LEN(H476)</f>
        <v>16</v>
      </c>
      <c r="K476" s="49" t="s">
        <v>5889</v>
      </c>
      <c r="O476" s="3" t="s">
        <v>7010</v>
      </c>
      <c r="P476" s="3" t="s">
        <v>7010</v>
      </c>
      <c r="Q476" s="3" t="s">
        <v>7010</v>
      </c>
      <c r="R476" s="3" t="s">
        <v>7010</v>
      </c>
      <c r="S476" s="3" t="s">
        <v>7010</v>
      </c>
      <c r="T476" s="3" t="s">
        <v>7010</v>
      </c>
      <c r="U476" s="3" t="s">
        <v>7010</v>
      </c>
      <c r="V476" s="3" t="s">
        <v>7010</v>
      </c>
      <c r="W476" s="74" t="str">
        <f t="shared" si="29"/>
        <v>No</v>
      </c>
      <c r="Z476">
        <v>475</v>
      </c>
      <c r="AA476" s="55" t="s">
        <v>4332</v>
      </c>
      <c r="AC476">
        <f t="shared" si="28"/>
        <v>7</v>
      </c>
      <c r="AD476" s="30" t="s">
        <v>4333</v>
      </c>
      <c r="AF476" t="s">
        <v>7892</v>
      </c>
      <c r="AH476" s="3" t="s">
        <v>7015</v>
      </c>
      <c r="AI476" s="3" t="s">
        <v>7010</v>
      </c>
      <c r="AJ476" s="3" t="s">
        <v>7010</v>
      </c>
      <c r="AK476" s="3" t="s">
        <v>7015</v>
      </c>
      <c r="AL476" s="3" t="s">
        <v>7010</v>
      </c>
      <c r="AM476" s="3" t="s">
        <v>7010</v>
      </c>
      <c r="AN476" s="3" t="s">
        <v>7010</v>
      </c>
      <c r="AO476" s="3" t="s">
        <v>7010</v>
      </c>
      <c r="AP476" s="74" t="s">
        <v>7015</v>
      </c>
      <c r="AU476">
        <v>475</v>
      </c>
      <c r="AV476" t="s">
        <v>4334</v>
      </c>
      <c r="AW476" t="s">
        <v>2279</v>
      </c>
      <c r="AX476">
        <f t="shared" si="30"/>
        <v>11</v>
      </c>
      <c r="AY476" s="30" t="s">
        <v>4335</v>
      </c>
      <c r="BC476" s="3" t="s">
        <v>7010</v>
      </c>
      <c r="BD476" s="3" t="s">
        <v>7010</v>
      </c>
      <c r="BE476" s="3" t="s">
        <v>7010</v>
      </c>
      <c r="BF476" s="3" t="s">
        <v>7010</v>
      </c>
      <c r="BG476" s="3" t="s">
        <v>7010</v>
      </c>
      <c r="BH476" s="3" t="s">
        <v>7010</v>
      </c>
      <c r="BI476" s="3" t="s">
        <v>7010</v>
      </c>
      <c r="BJ476" s="3" t="s">
        <v>7010</v>
      </c>
      <c r="BK476" s="74" t="str">
        <f t="shared" si="31"/>
        <v>No</v>
      </c>
    </row>
    <row r="477" spans="7:63">
      <c r="G477">
        <v>476</v>
      </c>
      <c r="H477" s="7" t="s">
        <v>954</v>
      </c>
      <c r="I477" t="s">
        <v>29</v>
      </c>
      <c r="J477">
        <f>LEN(H477)</f>
        <v>11</v>
      </c>
      <c r="K477" s="49" t="s">
        <v>3580</v>
      </c>
      <c r="O477" s="3" t="s">
        <v>7010</v>
      </c>
      <c r="P477" s="3" t="s">
        <v>7010</v>
      </c>
      <c r="Q477" s="3" t="s">
        <v>7010</v>
      </c>
      <c r="R477" s="3" t="s">
        <v>7010</v>
      </c>
      <c r="S477" s="3" t="s">
        <v>7010</v>
      </c>
      <c r="T477" s="3" t="s">
        <v>7010</v>
      </c>
      <c r="U477" s="3" t="s">
        <v>7010</v>
      </c>
      <c r="V477" s="3" t="s">
        <v>7010</v>
      </c>
      <c r="W477" s="74" t="str">
        <f t="shared" si="29"/>
        <v>No</v>
      </c>
      <c r="Z477">
        <v>476</v>
      </c>
      <c r="AA477" s="55" t="s">
        <v>4337</v>
      </c>
      <c r="AC477">
        <f t="shared" si="28"/>
        <v>6</v>
      </c>
      <c r="AD477" s="30" t="s">
        <v>4338</v>
      </c>
      <c r="AF477" t="s">
        <v>7893</v>
      </c>
      <c r="AH477" s="3" t="s">
        <v>7015</v>
      </c>
      <c r="AI477" s="3" t="s">
        <v>7010</v>
      </c>
      <c r="AJ477" s="3" t="s">
        <v>7010</v>
      </c>
      <c r="AK477" s="3" t="s">
        <v>7015</v>
      </c>
      <c r="AL477" s="3" t="s">
        <v>7010</v>
      </c>
      <c r="AM477" s="3" t="s">
        <v>7010</v>
      </c>
      <c r="AN477" s="3" t="s">
        <v>7010</v>
      </c>
      <c r="AO477" s="3" t="s">
        <v>7010</v>
      </c>
      <c r="AP477" s="74" t="s">
        <v>7015</v>
      </c>
      <c r="AU477">
        <v>476</v>
      </c>
      <c r="AV477" t="s">
        <v>4339</v>
      </c>
      <c r="AW477" t="s">
        <v>2279</v>
      </c>
      <c r="AX477">
        <f t="shared" si="30"/>
        <v>17</v>
      </c>
      <c r="AY477" s="30" t="s">
        <v>4340</v>
      </c>
      <c r="BC477" s="3" t="s">
        <v>7010</v>
      </c>
      <c r="BD477" s="3" t="s">
        <v>7010</v>
      </c>
      <c r="BE477" s="3" t="s">
        <v>7010</v>
      </c>
      <c r="BF477" s="3" t="s">
        <v>7010</v>
      </c>
      <c r="BG477" s="3" t="s">
        <v>7010</v>
      </c>
      <c r="BH477" s="3" t="s">
        <v>7010</v>
      </c>
      <c r="BI477" s="3" t="s">
        <v>7010</v>
      </c>
      <c r="BJ477" s="3" t="s">
        <v>7010</v>
      </c>
      <c r="BK477" s="74" t="str">
        <f t="shared" si="31"/>
        <v>No</v>
      </c>
    </row>
    <row r="478" spans="7:63">
      <c r="G478">
        <v>477</v>
      </c>
      <c r="H478" s="7" t="s">
        <v>1090</v>
      </c>
      <c r="I478" t="s">
        <v>29</v>
      </c>
      <c r="J478">
        <f>LEN(H478)</f>
        <v>9</v>
      </c>
      <c r="K478" s="49" t="s">
        <v>3937</v>
      </c>
      <c r="O478" s="3" t="s">
        <v>7010</v>
      </c>
      <c r="P478" s="3" t="s">
        <v>7010</v>
      </c>
      <c r="Q478" s="3" t="s">
        <v>7010</v>
      </c>
      <c r="R478" s="3" t="s">
        <v>7010</v>
      </c>
      <c r="S478" s="3" t="s">
        <v>7010</v>
      </c>
      <c r="T478" s="3" t="s">
        <v>7010</v>
      </c>
      <c r="U478" s="3" t="s">
        <v>7010</v>
      </c>
      <c r="V478" s="3" t="s">
        <v>7010</v>
      </c>
      <c r="W478" s="74" t="str">
        <f t="shared" si="29"/>
        <v>No</v>
      </c>
      <c r="Z478">
        <v>477</v>
      </c>
      <c r="AA478" s="55" t="s">
        <v>4342</v>
      </c>
      <c r="AC478">
        <f t="shared" si="28"/>
        <v>6</v>
      </c>
      <c r="AD478" s="30" t="s">
        <v>4343</v>
      </c>
      <c r="AF478" t="s">
        <v>7894</v>
      </c>
      <c r="AH478" s="3" t="s">
        <v>7015</v>
      </c>
      <c r="AI478" s="3" t="s">
        <v>7010</v>
      </c>
      <c r="AJ478" s="3" t="s">
        <v>7010</v>
      </c>
      <c r="AK478" s="3" t="s">
        <v>7015</v>
      </c>
      <c r="AL478" s="3" t="s">
        <v>7010</v>
      </c>
      <c r="AM478" s="3" t="s">
        <v>7010</v>
      </c>
      <c r="AN478" s="3" t="s">
        <v>7010</v>
      </c>
      <c r="AO478" s="3" t="s">
        <v>7010</v>
      </c>
      <c r="AP478" s="74" t="s">
        <v>7015</v>
      </c>
      <c r="AU478">
        <v>477</v>
      </c>
      <c r="AV478" t="s">
        <v>4344</v>
      </c>
      <c r="AW478" t="s">
        <v>2279</v>
      </c>
      <c r="AX478">
        <f t="shared" si="30"/>
        <v>9</v>
      </c>
      <c r="AY478" s="30" t="s">
        <v>4345</v>
      </c>
      <c r="BC478" s="3" t="s">
        <v>7010</v>
      </c>
      <c r="BD478" s="3" t="s">
        <v>7010</v>
      </c>
      <c r="BE478" s="3" t="s">
        <v>7010</v>
      </c>
      <c r="BF478" s="3" t="s">
        <v>7010</v>
      </c>
      <c r="BG478" s="3" t="s">
        <v>7010</v>
      </c>
      <c r="BH478" s="3" t="s">
        <v>7010</v>
      </c>
      <c r="BI478" s="3" t="s">
        <v>7010</v>
      </c>
      <c r="BJ478" s="3" t="s">
        <v>7010</v>
      </c>
      <c r="BK478" s="74" t="str">
        <f t="shared" si="31"/>
        <v>No</v>
      </c>
    </row>
    <row r="479" spans="7:63">
      <c r="G479">
        <v>478</v>
      </c>
      <c r="H479" s="7" t="s">
        <v>972</v>
      </c>
      <c r="I479" t="s">
        <v>29</v>
      </c>
      <c r="J479">
        <f>LEN(H479)</f>
        <v>10</v>
      </c>
      <c r="K479" s="49" t="s">
        <v>3625</v>
      </c>
      <c r="O479" s="3" t="s">
        <v>7010</v>
      </c>
      <c r="P479" s="3" t="s">
        <v>7010</v>
      </c>
      <c r="Q479" s="3" t="s">
        <v>7010</v>
      </c>
      <c r="R479" s="3" t="s">
        <v>7010</v>
      </c>
      <c r="S479" s="3" t="s">
        <v>7010</v>
      </c>
      <c r="T479" s="3" t="s">
        <v>7010</v>
      </c>
      <c r="U479" s="3" t="s">
        <v>7010</v>
      </c>
      <c r="V479" s="3" t="s">
        <v>7010</v>
      </c>
      <c r="W479" s="74" t="str">
        <f t="shared" si="29"/>
        <v>No</v>
      </c>
      <c r="Z479">
        <v>478</v>
      </c>
      <c r="AA479" s="55">
        <v>123456</v>
      </c>
      <c r="AC479">
        <f t="shared" si="28"/>
        <v>6</v>
      </c>
      <c r="AD479" s="30" t="s">
        <v>4347</v>
      </c>
      <c r="AF479" t="s">
        <v>7895</v>
      </c>
      <c r="AH479" s="3" t="s">
        <v>7015</v>
      </c>
      <c r="AI479" s="3" t="s">
        <v>7010</v>
      </c>
      <c r="AJ479" s="3" t="s">
        <v>7010</v>
      </c>
      <c r="AK479" s="3" t="s">
        <v>7015</v>
      </c>
      <c r="AL479" s="3" t="s">
        <v>7010</v>
      </c>
      <c r="AM479" s="3" t="s">
        <v>7010</v>
      </c>
      <c r="AN479" s="3" t="s">
        <v>7010</v>
      </c>
      <c r="AO479" s="3" t="s">
        <v>7010</v>
      </c>
      <c r="AP479" s="74" t="s">
        <v>7015</v>
      </c>
      <c r="AU479">
        <v>478</v>
      </c>
      <c r="AV479" t="s">
        <v>4348</v>
      </c>
      <c r="AW479" t="s">
        <v>2279</v>
      </c>
      <c r="AX479">
        <f t="shared" si="30"/>
        <v>8</v>
      </c>
      <c r="AY479" s="30" t="s">
        <v>4349</v>
      </c>
      <c r="BC479" s="3" t="s">
        <v>7010</v>
      </c>
      <c r="BD479" s="3" t="s">
        <v>7010</v>
      </c>
      <c r="BE479" s="3" t="s">
        <v>7010</v>
      </c>
      <c r="BF479" s="3" t="s">
        <v>7010</v>
      </c>
      <c r="BG479" s="3" t="s">
        <v>7010</v>
      </c>
      <c r="BH479" s="3" t="s">
        <v>7010</v>
      </c>
      <c r="BI479" s="3" t="s">
        <v>7010</v>
      </c>
      <c r="BJ479" s="3" t="s">
        <v>7010</v>
      </c>
      <c r="BK479" s="74" t="str">
        <f t="shared" si="31"/>
        <v>No</v>
      </c>
    </row>
    <row r="480" spans="7:63">
      <c r="G480">
        <v>479</v>
      </c>
      <c r="H480" s="7" t="s">
        <v>1810</v>
      </c>
      <c r="I480" t="s">
        <v>29</v>
      </c>
      <c r="J480">
        <f>LEN(H480)</f>
        <v>16</v>
      </c>
      <c r="K480" s="49" t="s">
        <v>5765</v>
      </c>
      <c r="O480" s="3" t="s">
        <v>7010</v>
      </c>
      <c r="P480" s="3" t="s">
        <v>7010</v>
      </c>
      <c r="Q480" s="3" t="s">
        <v>7010</v>
      </c>
      <c r="R480" s="3" t="s">
        <v>7010</v>
      </c>
      <c r="S480" s="3" t="s">
        <v>7010</v>
      </c>
      <c r="T480" s="3" t="s">
        <v>7010</v>
      </c>
      <c r="U480" s="3" t="s">
        <v>7010</v>
      </c>
      <c r="V480" s="3" t="s">
        <v>7010</v>
      </c>
      <c r="W480" s="74" t="str">
        <f t="shared" si="29"/>
        <v>No</v>
      </c>
      <c r="Z480">
        <v>479</v>
      </c>
      <c r="AA480" s="55" t="s">
        <v>4351</v>
      </c>
      <c r="AC480">
        <f t="shared" si="28"/>
        <v>6</v>
      </c>
      <c r="AD480" s="30" t="s">
        <v>4352</v>
      </c>
      <c r="AF480" t="s">
        <v>7896</v>
      </c>
      <c r="AH480" s="3" t="s">
        <v>7015</v>
      </c>
      <c r="AI480" s="3" t="s">
        <v>7010</v>
      </c>
      <c r="AJ480" s="3" t="s">
        <v>7010</v>
      </c>
      <c r="AK480" s="3" t="s">
        <v>7015</v>
      </c>
      <c r="AL480" s="3" t="s">
        <v>7010</v>
      </c>
      <c r="AM480" s="3" t="s">
        <v>7010</v>
      </c>
      <c r="AN480" s="3" t="s">
        <v>7010</v>
      </c>
      <c r="AO480" s="3" t="s">
        <v>7010</v>
      </c>
      <c r="AP480" s="74" t="s">
        <v>7015</v>
      </c>
      <c r="AU480">
        <v>479</v>
      </c>
      <c r="AV480" t="s">
        <v>4353</v>
      </c>
      <c r="AW480" t="s">
        <v>2279</v>
      </c>
      <c r="AX480">
        <f t="shared" si="30"/>
        <v>9</v>
      </c>
      <c r="AY480" s="30" t="s">
        <v>4354</v>
      </c>
      <c r="BC480" s="3" t="s">
        <v>7010</v>
      </c>
      <c r="BD480" s="3" t="s">
        <v>7010</v>
      </c>
      <c r="BE480" s="3" t="s">
        <v>7010</v>
      </c>
      <c r="BF480" s="3" t="s">
        <v>7010</v>
      </c>
      <c r="BG480" s="3" t="s">
        <v>7010</v>
      </c>
      <c r="BH480" s="3" t="s">
        <v>7010</v>
      </c>
      <c r="BI480" s="3" t="s">
        <v>7010</v>
      </c>
      <c r="BJ480" s="3" t="s">
        <v>7010</v>
      </c>
      <c r="BK480" s="74" t="str">
        <f t="shared" si="31"/>
        <v>No</v>
      </c>
    </row>
    <row r="481" spans="7:63">
      <c r="G481">
        <v>480</v>
      </c>
      <c r="H481" s="7" t="s">
        <v>928</v>
      </c>
      <c r="I481" t="s">
        <v>29</v>
      </c>
      <c r="J481">
        <f>LEN(H481)</f>
        <v>14</v>
      </c>
      <c r="K481" s="49" t="s">
        <v>3516</v>
      </c>
      <c r="O481" s="3" t="s">
        <v>7010</v>
      </c>
      <c r="P481" s="3" t="s">
        <v>7010</v>
      </c>
      <c r="Q481" s="3" t="s">
        <v>7010</v>
      </c>
      <c r="R481" s="3" t="s">
        <v>7010</v>
      </c>
      <c r="S481" s="3" t="s">
        <v>7010</v>
      </c>
      <c r="T481" s="3" t="s">
        <v>7010</v>
      </c>
      <c r="U481" s="3" t="s">
        <v>7010</v>
      </c>
      <c r="V481" s="3" t="s">
        <v>7010</v>
      </c>
      <c r="W481" s="74" t="str">
        <f t="shared" si="29"/>
        <v>No</v>
      </c>
      <c r="Z481">
        <v>480</v>
      </c>
      <c r="AA481" s="55" t="s">
        <v>4357</v>
      </c>
      <c r="AC481">
        <f t="shared" si="28"/>
        <v>5</v>
      </c>
      <c r="AD481" s="30" t="s">
        <v>4358</v>
      </c>
      <c r="AF481" t="s">
        <v>7897</v>
      </c>
      <c r="AH481" s="3" t="s">
        <v>7015</v>
      </c>
      <c r="AI481" s="3" t="s">
        <v>7010</v>
      </c>
      <c r="AJ481" s="3" t="s">
        <v>7010</v>
      </c>
      <c r="AK481" s="3" t="s">
        <v>7015</v>
      </c>
      <c r="AL481" s="3" t="s">
        <v>7010</v>
      </c>
      <c r="AM481" s="3" t="s">
        <v>7010</v>
      </c>
      <c r="AN481" s="3" t="s">
        <v>7010</v>
      </c>
      <c r="AO481" s="3" t="s">
        <v>7010</v>
      </c>
      <c r="AP481" s="74" t="s">
        <v>7015</v>
      </c>
      <c r="AU481">
        <v>480</v>
      </c>
      <c r="AV481" t="s">
        <v>4359</v>
      </c>
      <c r="AW481" t="s">
        <v>2279</v>
      </c>
      <c r="AX481">
        <f t="shared" si="30"/>
        <v>10</v>
      </c>
      <c r="AY481" s="30" t="s">
        <v>4360</v>
      </c>
      <c r="BC481" s="3" t="s">
        <v>7010</v>
      </c>
      <c r="BD481" s="3" t="s">
        <v>7010</v>
      </c>
      <c r="BE481" s="3" t="s">
        <v>7010</v>
      </c>
      <c r="BF481" s="3" t="s">
        <v>7010</v>
      </c>
      <c r="BG481" s="3" t="s">
        <v>7010</v>
      </c>
      <c r="BH481" s="3" t="s">
        <v>7010</v>
      </c>
      <c r="BI481" s="3" t="s">
        <v>7010</v>
      </c>
      <c r="BJ481" s="3" t="s">
        <v>7010</v>
      </c>
      <c r="BK481" s="74" t="str">
        <f t="shared" si="31"/>
        <v>No</v>
      </c>
    </row>
    <row r="482" spans="7:63">
      <c r="G482">
        <v>481</v>
      </c>
      <c r="H482" s="7" t="s">
        <v>1140</v>
      </c>
      <c r="I482" t="s">
        <v>29</v>
      </c>
      <c r="J482">
        <f>LEN(H482)</f>
        <v>17</v>
      </c>
      <c r="K482" s="49" t="s">
        <v>4060</v>
      </c>
      <c r="O482" s="3" t="s">
        <v>7010</v>
      </c>
      <c r="P482" s="3" t="s">
        <v>7010</v>
      </c>
      <c r="Q482" s="3" t="s">
        <v>7010</v>
      </c>
      <c r="R482" s="3" t="s">
        <v>7010</v>
      </c>
      <c r="S482" s="3" t="s">
        <v>7010</v>
      </c>
      <c r="T482" s="3" t="s">
        <v>7010</v>
      </c>
      <c r="U482" s="3" t="s">
        <v>7010</v>
      </c>
      <c r="V482" s="3" t="s">
        <v>7010</v>
      </c>
      <c r="W482" s="74" t="str">
        <f t="shared" si="29"/>
        <v>No</v>
      </c>
      <c r="Z482">
        <v>481</v>
      </c>
      <c r="AA482" s="55" t="s">
        <v>4362</v>
      </c>
      <c r="AC482">
        <f t="shared" si="28"/>
        <v>8</v>
      </c>
      <c r="AD482" s="30" t="s">
        <v>4363</v>
      </c>
      <c r="AF482" t="s">
        <v>7898</v>
      </c>
      <c r="AH482" s="3" t="s">
        <v>7015</v>
      </c>
      <c r="AI482" s="3" t="s">
        <v>7010</v>
      </c>
      <c r="AJ482" s="3" t="s">
        <v>7010</v>
      </c>
      <c r="AK482" s="3" t="s">
        <v>7015</v>
      </c>
      <c r="AL482" s="3" t="s">
        <v>7010</v>
      </c>
      <c r="AM482" s="3" t="s">
        <v>7010</v>
      </c>
      <c r="AN482" s="3" t="s">
        <v>7010</v>
      </c>
      <c r="AO482" s="3" t="s">
        <v>7010</v>
      </c>
      <c r="AP482" s="74" t="s">
        <v>7015</v>
      </c>
      <c r="AU482">
        <v>481</v>
      </c>
      <c r="AV482" t="s">
        <v>4364</v>
      </c>
      <c r="AW482" t="s">
        <v>2279</v>
      </c>
      <c r="AX482">
        <f t="shared" si="30"/>
        <v>12</v>
      </c>
      <c r="AY482" s="30" t="s">
        <v>4365</v>
      </c>
      <c r="BC482" s="3" t="s">
        <v>7010</v>
      </c>
      <c r="BD482" s="3" t="s">
        <v>7015</v>
      </c>
      <c r="BE482" s="3" t="s">
        <v>7010</v>
      </c>
      <c r="BF482" s="3" t="s">
        <v>7010</v>
      </c>
      <c r="BG482" s="3" t="s">
        <v>7010</v>
      </c>
      <c r="BH482" s="3" t="s">
        <v>7010</v>
      </c>
      <c r="BI482" s="3" t="s">
        <v>7010</v>
      </c>
      <c r="BJ482" s="3" t="s">
        <v>7010</v>
      </c>
      <c r="BK482" s="74" t="str">
        <f t="shared" si="31"/>
        <v>Yes</v>
      </c>
    </row>
    <row r="483" spans="7:63">
      <c r="G483">
        <v>482</v>
      </c>
      <c r="H483" s="7" t="s">
        <v>1164</v>
      </c>
      <c r="I483" t="s">
        <v>29</v>
      </c>
      <c r="J483">
        <f>LEN(H483)</f>
        <v>15</v>
      </c>
      <c r="K483" s="49" t="s">
        <v>4119</v>
      </c>
      <c r="O483" s="3" t="s">
        <v>7010</v>
      </c>
      <c r="P483" s="3" t="s">
        <v>7010</v>
      </c>
      <c r="Q483" s="3" t="s">
        <v>7010</v>
      </c>
      <c r="R483" s="3" t="s">
        <v>7010</v>
      </c>
      <c r="S483" s="3" t="s">
        <v>7010</v>
      </c>
      <c r="T483" s="3" t="s">
        <v>7010</v>
      </c>
      <c r="U483" s="3" t="s">
        <v>7010</v>
      </c>
      <c r="V483" s="3" t="s">
        <v>7010</v>
      </c>
      <c r="W483" s="74" t="str">
        <f t="shared" si="29"/>
        <v>No</v>
      </c>
      <c r="Z483">
        <v>482</v>
      </c>
      <c r="AA483" s="55">
        <v>147258369</v>
      </c>
      <c r="AC483">
        <f t="shared" si="28"/>
        <v>9</v>
      </c>
      <c r="AD483" s="30" t="s">
        <v>4367</v>
      </c>
      <c r="AF483" t="s">
        <v>7899</v>
      </c>
      <c r="AH483" s="3" t="s">
        <v>7015</v>
      </c>
      <c r="AI483" s="3" t="s">
        <v>7010</v>
      </c>
      <c r="AJ483" s="3" t="s">
        <v>7010</v>
      </c>
      <c r="AK483" s="3" t="s">
        <v>7015</v>
      </c>
      <c r="AL483" s="3" t="s">
        <v>7010</v>
      </c>
      <c r="AM483" s="3" t="s">
        <v>7010</v>
      </c>
      <c r="AN483" s="3" t="s">
        <v>7010</v>
      </c>
      <c r="AO483" s="3" t="s">
        <v>7010</v>
      </c>
      <c r="AP483" s="74" t="s">
        <v>7015</v>
      </c>
      <c r="AU483">
        <v>482</v>
      </c>
      <c r="AV483" t="s">
        <v>4368</v>
      </c>
      <c r="AW483" t="s">
        <v>2279</v>
      </c>
      <c r="AX483">
        <f t="shared" si="30"/>
        <v>8</v>
      </c>
      <c r="AY483" s="30" t="s">
        <v>4369</v>
      </c>
      <c r="BC483" s="3" t="s">
        <v>7010</v>
      </c>
      <c r="BD483" s="3" t="s">
        <v>7010</v>
      </c>
      <c r="BE483" s="3" t="s">
        <v>7010</v>
      </c>
      <c r="BF483" s="3" t="s">
        <v>7010</v>
      </c>
      <c r="BG483" s="3" t="s">
        <v>7010</v>
      </c>
      <c r="BH483" s="3" t="s">
        <v>7010</v>
      </c>
      <c r="BI483" s="3" t="s">
        <v>7010</v>
      </c>
      <c r="BJ483" s="3" t="s">
        <v>7010</v>
      </c>
      <c r="BK483" s="74" t="str">
        <f t="shared" si="31"/>
        <v>No</v>
      </c>
    </row>
    <row r="484" spans="7:63">
      <c r="G484">
        <v>483</v>
      </c>
      <c r="H484" s="7" t="s">
        <v>1008</v>
      </c>
      <c r="I484" t="s">
        <v>29</v>
      </c>
      <c r="J484">
        <f>LEN(H484)</f>
        <v>13</v>
      </c>
      <c r="K484" s="49" t="s">
        <v>3714</v>
      </c>
      <c r="O484" s="3" t="s">
        <v>7010</v>
      </c>
      <c r="P484" s="3" t="s">
        <v>7010</v>
      </c>
      <c r="Q484" s="3" t="s">
        <v>7010</v>
      </c>
      <c r="R484" s="3" t="s">
        <v>7010</v>
      </c>
      <c r="S484" s="3" t="s">
        <v>7010</v>
      </c>
      <c r="T484" s="3" t="s">
        <v>7010</v>
      </c>
      <c r="U484" s="3" t="s">
        <v>7010</v>
      </c>
      <c r="V484" s="3" t="s">
        <v>7010</v>
      </c>
      <c r="W484" s="74" t="str">
        <f t="shared" si="29"/>
        <v>No</v>
      </c>
      <c r="Z484">
        <v>483</v>
      </c>
      <c r="AA484" s="55" t="s">
        <v>4371</v>
      </c>
      <c r="AC484">
        <f t="shared" si="28"/>
        <v>9</v>
      </c>
      <c r="AD484" s="30" t="s">
        <v>4372</v>
      </c>
      <c r="AF484" s="54" t="s">
        <v>7900</v>
      </c>
      <c r="AH484" s="3" t="s">
        <v>7015</v>
      </c>
      <c r="AI484" s="3" t="s">
        <v>7010</v>
      </c>
      <c r="AJ484" s="3" t="s">
        <v>7010</v>
      </c>
      <c r="AK484" s="3" t="s">
        <v>7015</v>
      </c>
      <c r="AL484" s="3" t="s">
        <v>7010</v>
      </c>
      <c r="AM484" s="3" t="s">
        <v>7010</v>
      </c>
      <c r="AN484" s="3" t="s">
        <v>7010</v>
      </c>
      <c r="AO484" s="3" t="s">
        <v>7010</v>
      </c>
      <c r="AP484" s="74" t="s">
        <v>7015</v>
      </c>
      <c r="AU484">
        <v>483</v>
      </c>
      <c r="AV484" t="s">
        <v>4373</v>
      </c>
      <c r="AW484" t="s">
        <v>2279</v>
      </c>
      <c r="AX484">
        <f t="shared" si="30"/>
        <v>10</v>
      </c>
      <c r="AY484" s="30" t="s">
        <v>4374</v>
      </c>
      <c r="BC484" s="3" t="s">
        <v>7010</v>
      </c>
      <c r="BD484" s="3" t="s">
        <v>7010</v>
      </c>
      <c r="BE484" s="3" t="s">
        <v>7015</v>
      </c>
      <c r="BF484" s="3" t="s">
        <v>7010</v>
      </c>
      <c r="BG484" s="3" t="s">
        <v>7010</v>
      </c>
      <c r="BH484" s="3" t="s">
        <v>7010</v>
      </c>
      <c r="BI484" s="3" t="s">
        <v>7010</v>
      </c>
      <c r="BJ484" s="3" t="s">
        <v>7010</v>
      </c>
      <c r="BK484" s="74" t="str">
        <f t="shared" si="31"/>
        <v>Yes</v>
      </c>
    </row>
    <row r="485" spans="7:63">
      <c r="G485">
        <v>484</v>
      </c>
      <c r="H485" s="7" t="s">
        <v>988</v>
      </c>
      <c r="I485" t="s">
        <v>29</v>
      </c>
      <c r="J485">
        <f>LEN(H485)</f>
        <v>13</v>
      </c>
      <c r="K485" s="49" t="s">
        <v>3664</v>
      </c>
      <c r="O485" s="3" t="s">
        <v>7010</v>
      </c>
      <c r="P485" s="3" t="s">
        <v>7010</v>
      </c>
      <c r="Q485" s="3" t="s">
        <v>7010</v>
      </c>
      <c r="R485" s="3" t="s">
        <v>7010</v>
      </c>
      <c r="S485" s="3" t="s">
        <v>7010</v>
      </c>
      <c r="T485" s="3" t="s">
        <v>7010</v>
      </c>
      <c r="U485" s="3" t="s">
        <v>7010</v>
      </c>
      <c r="V485" s="3" t="s">
        <v>7010</v>
      </c>
      <c r="W485" s="74" t="str">
        <f t="shared" si="29"/>
        <v>No</v>
      </c>
      <c r="Z485">
        <v>484</v>
      </c>
      <c r="AA485" s="55" t="s">
        <v>4376</v>
      </c>
      <c r="AC485">
        <f t="shared" si="28"/>
        <v>7</v>
      </c>
      <c r="AD485" s="30" t="s">
        <v>4377</v>
      </c>
      <c r="AF485" t="s">
        <v>7901</v>
      </c>
      <c r="AH485" s="3" t="s">
        <v>7015</v>
      </c>
      <c r="AI485" s="3" t="s">
        <v>7010</v>
      </c>
      <c r="AJ485" s="3" t="s">
        <v>7010</v>
      </c>
      <c r="AK485" s="3" t="s">
        <v>7015</v>
      </c>
      <c r="AL485" s="3" t="s">
        <v>7010</v>
      </c>
      <c r="AM485" s="3" t="s">
        <v>7010</v>
      </c>
      <c r="AN485" s="3" t="s">
        <v>7010</v>
      </c>
      <c r="AO485" s="3" t="s">
        <v>7010</v>
      </c>
      <c r="AP485" s="74" t="s">
        <v>7015</v>
      </c>
      <c r="AU485">
        <v>484</v>
      </c>
      <c r="AV485" t="s">
        <v>4378</v>
      </c>
      <c r="AW485" t="s">
        <v>2279</v>
      </c>
      <c r="AX485">
        <f t="shared" si="30"/>
        <v>8</v>
      </c>
      <c r="AY485" s="30" t="s">
        <v>4379</v>
      </c>
      <c r="BC485" s="3" t="s">
        <v>7010</v>
      </c>
      <c r="BD485" s="3" t="s">
        <v>7010</v>
      </c>
      <c r="BE485" s="3" t="s">
        <v>7015</v>
      </c>
      <c r="BF485" s="3" t="s">
        <v>7010</v>
      </c>
      <c r="BG485" s="3" t="s">
        <v>7010</v>
      </c>
      <c r="BH485" s="3" t="s">
        <v>7010</v>
      </c>
      <c r="BI485" s="3" t="s">
        <v>7010</v>
      </c>
      <c r="BJ485" s="3" t="s">
        <v>7010</v>
      </c>
      <c r="BK485" s="74" t="str">
        <f t="shared" si="31"/>
        <v>Yes</v>
      </c>
    </row>
    <row r="486" spans="7:63">
      <c r="G486">
        <v>485</v>
      </c>
      <c r="H486" s="7" t="s">
        <v>1772</v>
      </c>
      <c r="I486" t="s">
        <v>29</v>
      </c>
      <c r="J486">
        <f>LEN(H486)</f>
        <v>14</v>
      </c>
      <c r="K486" s="49" t="s">
        <v>5659</v>
      </c>
      <c r="O486" s="3" t="s">
        <v>7010</v>
      </c>
      <c r="P486" s="3" t="s">
        <v>7010</v>
      </c>
      <c r="Q486" s="3" t="s">
        <v>7010</v>
      </c>
      <c r="R486" s="3" t="s">
        <v>7010</v>
      </c>
      <c r="S486" s="3" t="s">
        <v>7010</v>
      </c>
      <c r="T486" s="3" t="s">
        <v>7010</v>
      </c>
      <c r="U486" s="3" t="s">
        <v>7010</v>
      </c>
      <c r="V486" s="3" t="s">
        <v>7010</v>
      </c>
      <c r="W486" s="74" t="str">
        <f t="shared" si="29"/>
        <v>No</v>
      </c>
      <c r="Z486">
        <v>485</v>
      </c>
      <c r="AA486" s="55" t="s">
        <v>4381</v>
      </c>
      <c r="AC486">
        <f t="shared" si="28"/>
        <v>9</v>
      </c>
      <c r="AD486" s="30" t="s">
        <v>4382</v>
      </c>
      <c r="AF486" t="s">
        <v>7902</v>
      </c>
      <c r="AH486" s="3" t="s">
        <v>7015</v>
      </c>
      <c r="AI486" s="3" t="s">
        <v>7010</v>
      </c>
      <c r="AJ486" s="3" t="s">
        <v>7010</v>
      </c>
      <c r="AK486" s="3" t="s">
        <v>7015</v>
      </c>
      <c r="AL486" s="3" t="s">
        <v>7010</v>
      </c>
      <c r="AM486" s="3" t="s">
        <v>7010</v>
      </c>
      <c r="AN486" s="3" t="s">
        <v>7010</v>
      </c>
      <c r="AO486" s="3" t="s">
        <v>7010</v>
      </c>
      <c r="AP486" s="74" t="s">
        <v>7015</v>
      </c>
      <c r="AU486">
        <v>485</v>
      </c>
      <c r="AV486" t="s">
        <v>4383</v>
      </c>
      <c r="AW486" t="s">
        <v>2279</v>
      </c>
      <c r="AX486">
        <f t="shared" si="30"/>
        <v>10</v>
      </c>
      <c r="AY486" s="30" t="s">
        <v>4384</v>
      </c>
      <c r="BC486" s="3" t="s">
        <v>7010</v>
      </c>
      <c r="BD486" s="3" t="s">
        <v>7010</v>
      </c>
      <c r="BE486" s="3" t="s">
        <v>7015</v>
      </c>
      <c r="BF486" s="3" t="s">
        <v>7010</v>
      </c>
      <c r="BG486" s="3" t="s">
        <v>7010</v>
      </c>
      <c r="BH486" s="3" t="s">
        <v>7010</v>
      </c>
      <c r="BI486" s="3" t="s">
        <v>7010</v>
      </c>
      <c r="BJ486" s="3" t="s">
        <v>7010</v>
      </c>
      <c r="BK486" s="74" t="str">
        <f t="shared" si="31"/>
        <v>Yes</v>
      </c>
    </row>
    <row r="487" spans="7:63">
      <c r="G487">
        <v>486</v>
      </c>
      <c r="H487" s="7" t="s">
        <v>1118</v>
      </c>
      <c r="I487" t="s">
        <v>29</v>
      </c>
      <c r="J487">
        <f>LEN(H487)</f>
        <v>12</v>
      </c>
      <c r="K487" s="49" t="s">
        <v>4007</v>
      </c>
      <c r="O487" s="3" t="s">
        <v>7010</v>
      </c>
      <c r="P487" s="3" t="s">
        <v>7010</v>
      </c>
      <c r="Q487" s="3" t="s">
        <v>7010</v>
      </c>
      <c r="R487" s="3" t="s">
        <v>7010</v>
      </c>
      <c r="S487" s="3" t="s">
        <v>7010</v>
      </c>
      <c r="T487" s="3" t="s">
        <v>7010</v>
      </c>
      <c r="U487" s="3" t="s">
        <v>7010</v>
      </c>
      <c r="V487" s="3" t="s">
        <v>7010</v>
      </c>
      <c r="W487" s="74" t="str">
        <f t="shared" si="29"/>
        <v>No</v>
      </c>
      <c r="Z487">
        <v>486</v>
      </c>
      <c r="AA487" s="55" t="s">
        <v>4386</v>
      </c>
      <c r="AC487">
        <f t="shared" si="28"/>
        <v>8</v>
      </c>
      <c r="AD487" s="30" t="s">
        <v>4387</v>
      </c>
      <c r="AF487" t="s">
        <v>7903</v>
      </c>
      <c r="AH487" s="3" t="s">
        <v>7015</v>
      </c>
      <c r="AI487" s="3" t="s">
        <v>7010</v>
      </c>
      <c r="AJ487" s="3" t="s">
        <v>7010</v>
      </c>
      <c r="AK487" s="3" t="s">
        <v>7015</v>
      </c>
      <c r="AL487" s="3" t="s">
        <v>7010</v>
      </c>
      <c r="AM487" s="3" t="s">
        <v>7010</v>
      </c>
      <c r="AN487" s="3" t="s">
        <v>7010</v>
      </c>
      <c r="AO487" s="3" t="s">
        <v>7010</v>
      </c>
      <c r="AP487" s="74" t="s">
        <v>7015</v>
      </c>
      <c r="AU487">
        <v>486</v>
      </c>
      <c r="AV487" t="s">
        <v>4388</v>
      </c>
      <c r="AW487" t="s">
        <v>2279</v>
      </c>
      <c r="AX487">
        <f t="shared" si="30"/>
        <v>10</v>
      </c>
      <c r="AY487" s="30" t="s">
        <v>4389</v>
      </c>
      <c r="BC487" s="3" t="s">
        <v>7015</v>
      </c>
      <c r="BD487" s="3" t="s">
        <v>7010</v>
      </c>
      <c r="BE487" s="3" t="s">
        <v>7015</v>
      </c>
      <c r="BF487" s="3" t="s">
        <v>7010</v>
      </c>
      <c r="BG487" s="3" t="s">
        <v>7010</v>
      </c>
      <c r="BH487" s="3" t="s">
        <v>7010</v>
      </c>
      <c r="BI487" s="3" t="s">
        <v>7010</v>
      </c>
      <c r="BJ487" s="3" t="s">
        <v>7010</v>
      </c>
      <c r="BK487" s="74" t="str">
        <f t="shared" si="31"/>
        <v>Yes</v>
      </c>
    </row>
    <row r="488" spans="7:63">
      <c r="G488">
        <v>487</v>
      </c>
      <c r="H488" s="7" t="s">
        <v>1712</v>
      </c>
      <c r="I488" t="s">
        <v>29</v>
      </c>
      <c r="J488">
        <f>LEN(H488)</f>
        <v>18</v>
      </c>
      <c r="K488" s="49" t="s">
        <v>5510</v>
      </c>
      <c r="O488" s="3" t="s">
        <v>7010</v>
      </c>
      <c r="P488" s="3" t="s">
        <v>7010</v>
      </c>
      <c r="Q488" s="3" t="s">
        <v>7010</v>
      </c>
      <c r="R488" s="3" t="s">
        <v>7010</v>
      </c>
      <c r="S488" s="3" t="s">
        <v>7010</v>
      </c>
      <c r="T488" s="3" t="s">
        <v>7010</v>
      </c>
      <c r="U488" s="3" t="s">
        <v>7010</v>
      </c>
      <c r="V488" s="3" t="s">
        <v>7010</v>
      </c>
      <c r="W488" s="74" t="str">
        <f t="shared" si="29"/>
        <v>No</v>
      </c>
      <c r="Z488">
        <v>487</v>
      </c>
      <c r="AA488" s="55" t="s">
        <v>4391</v>
      </c>
      <c r="AC488">
        <f t="shared" si="28"/>
        <v>5</v>
      </c>
      <c r="AD488" s="30" t="s">
        <v>4392</v>
      </c>
      <c r="AF488" t="s">
        <v>7904</v>
      </c>
      <c r="AH488" s="3" t="s">
        <v>7015</v>
      </c>
      <c r="AI488" s="3" t="s">
        <v>7010</v>
      </c>
      <c r="AJ488" s="3" t="s">
        <v>7010</v>
      </c>
      <c r="AK488" s="3" t="s">
        <v>7015</v>
      </c>
      <c r="AL488" s="3" t="s">
        <v>7010</v>
      </c>
      <c r="AM488" s="3" t="s">
        <v>7010</v>
      </c>
      <c r="AN488" s="3" t="s">
        <v>7010</v>
      </c>
      <c r="AO488" s="3" t="s">
        <v>7010</v>
      </c>
      <c r="AP488" s="74" t="s">
        <v>7015</v>
      </c>
      <c r="AU488">
        <v>487</v>
      </c>
      <c r="AV488" t="s">
        <v>4393</v>
      </c>
      <c r="AW488" t="s">
        <v>2279</v>
      </c>
      <c r="AX488">
        <f t="shared" si="30"/>
        <v>8</v>
      </c>
      <c r="AY488" s="30" t="s">
        <v>4394</v>
      </c>
      <c r="BC488" s="3" t="s">
        <v>7010</v>
      </c>
      <c r="BD488" s="3" t="s">
        <v>7010</v>
      </c>
      <c r="BE488" s="3" t="s">
        <v>7010</v>
      </c>
      <c r="BF488" s="3" t="s">
        <v>7010</v>
      </c>
      <c r="BG488" s="3" t="s">
        <v>7010</v>
      </c>
      <c r="BH488" s="3" t="s">
        <v>7010</v>
      </c>
      <c r="BI488" s="3" t="s">
        <v>7010</v>
      </c>
      <c r="BJ488" s="3" t="s">
        <v>7010</v>
      </c>
      <c r="BK488" s="74" t="str">
        <f t="shared" si="31"/>
        <v>No</v>
      </c>
    </row>
    <row r="489" spans="7:63">
      <c r="G489">
        <v>488</v>
      </c>
      <c r="H489" s="7" t="s">
        <v>1180</v>
      </c>
      <c r="I489" t="s">
        <v>29</v>
      </c>
      <c r="J489">
        <f>LEN(H489)</f>
        <v>13</v>
      </c>
      <c r="K489" s="49" t="s">
        <v>4161</v>
      </c>
      <c r="O489" s="3" t="s">
        <v>7010</v>
      </c>
      <c r="P489" s="3" t="s">
        <v>7010</v>
      </c>
      <c r="Q489" s="3" t="s">
        <v>7010</v>
      </c>
      <c r="R489" s="3" t="s">
        <v>7010</v>
      </c>
      <c r="S489" s="3" t="s">
        <v>7010</v>
      </c>
      <c r="T489" s="3" t="s">
        <v>7010</v>
      </c>
      <c r="U489" s="3" t="s">
        <v>7010</v>
      </c>
      <c r="V489" s="3" t="s">
        <v>7010</v>
      </c>
      <c r="W489" s="74" t="str">
        <f t="shared" si="29"/>
        <v>No</v>
      </c>
      <c r="Z489">
        <v>488</v>
      </c>
      <c r="AA489" s="55" t="s">
        <v>4396</v>
      </c>
      <c r="AC489">
        <f t="shared" si="28"/>
        <v>5</v>
      </c>
      <c r="AD489" s="30" t="s">
        <v>4397</v>
      </c>
      <c r="AF489" t="s">
        <v>7905</v>
      </c>
      <c r="AH489" s="3" t="s">
        <v>7015</v>
      </c>
      <c r="AI489" s="3" t="s">
        <v>7010</v>
      </c>
      <c r="AJ489" s="3" t="s">
        <v>7010</v>
      </c>
      <c r="AK489" s="3" t="s">
        <v>7015</v>
      </c>
      <c r="AL489" s="3" t="s">
        <v>7010</v>
      </c>
      <c r="AM489" s="3" t="s">
        <v>7010</v>
      </c>
      <c r="AN489" s="3" t="s">
        <v>7010</v>
      </c>
      <c r="AO489" s="3" t="s">
        <v>7010</v>
      </c>
      <c r="AP489" s="74" t="s">
        <v>7015</v>
      </c>
      <c r="AU489">
        <v>488</v>
      </c>
      <c r="AV489" t="s">
        <v>4398</v>
      </c>
      <c r="AW489" t="s">
        <v>2279</v>
      </c>
      <c r="AX489">
        <f t="shared" si="30"/>
        <v>8</v>
      </c>
      <c r="AY489" s="30" t="s">
        <v>4399</v>
      </c>
      <c r="BC489" s="3" t="s">
        <v>7010</v>
      </c>
      <c r="BD489" s="3" t="s">
        <v>7010</v>
      </c>
      <c r="BE489" s="3" t="s">
        <v>7010</v>
      </c>
      <c r="BF489" s="3" t="s">
        <v>7010</v>
      </c>
      <c r="BG489" s="3" t="s">
        <v>7010</v>
      </c>
      <c r="BH489" s="3" t="s">
        <v>7010</v>
      </c>
      <c r="BI489" s="3" t="s">
        <v>7010</v>
      </c>
      <c r="BJ489" s="3" t="s">
        <v>7010</v>
      </c>
      <c r="BK489" s="74" t="str">
        <f t="shared" si="31"/>
        <v>No</v>
      </c>
    </row>
    <row r="490" spans="7:63">
      <c r="G490">
        <v>489</v>
      </c>
      <c r="H490" s="7" t="s">
        <v>1752</v>
      </c>
      <c r="I490" t="s">
        <v>29</v>
      </c>
      <c r="J490">
        <f>LEN(H490)</f>
        <v>17</v>
      </c>
      <c r="K490" s="49" t="s">
        <v>5609</v>
      </c>
      <c r="O490" s="3" t="s">
        <v>7010</v>
      </c>
      <c r="P490" s="3" t="s">
        <v>7010</v>
      </c>
      <c r="Q490" s="3" t="s">
        <v>7010</v>
      </c>
      <c r="R490" s="3" t="s">
        <v>7010</v>
      </c>
      <c r="S490" s="3" t="s">
        <v>7010</v>
      </c>
      <c r="T490" s="3" t="s">
        <v>7010</v>
      </c>
      <c r="U490" s="3" t="s">
        <v>7010</v>
      </c>
      <c r="V490" s="3" t="s">
        <v>7010</v>
      </c>
      <c r="W490" s="74" t="str">
        <f t="shared" si="29"/>
        <v>No</v>
      </c>
      <c r="Z490">
        <v>489</v>
      </c>
      <c r="AA490" s="55" t="s">
        <v>4401</v>
      </c>
      <c r="AC490">
        <f t="shared" si="28"/>
        <v>8</v>
      </c>
      <c r="AD490" s="30" t="s">
        <v>4402</v>
      </c>
      <c r="AF490" t="s">
        <v>7906</v>
      </c>
      <c r="AH490" s="3" t="s">
        <v>7015</v>
      </c>
      <c r="AI490" s="3" t="s">
        <v>7010</v>
      </c>
      <c r="AJ490" s="3" t="s">
        <v>7010</v>
      </c>
      <c r="AK490" s="3" t="s">
        <v>7015</v>
      </c>
      <c r="AL490" s="3" t="s">
        <v>7010</v>
      </c>
      <c r="AM490" s="3" t="s">
        <v>7010</v>
      </c>
      <c r="AN490" s="3" t="s">
        <v>7010</v>
      </c>
      <c r="AO490" s="3" t="s">
        <v>7010</v>
      </c>
      <c r="AP490" s="74" t="s">
        <v>7015</v>
      </c>
      <c r="AU490">
        <v>489</v>
      </c>
      <c r="AV490" t="s">
        <v>4403</v>
      </c>
      <c r="AW490" t="s">
        <v>2279</v>
      </c>
      <c r="AX490">
        <f t="shared" si="30"/>
        <v>15</v>
      </c>
      <c r="AY490" s="30" t="s">
        <v>4404</v>
      </c>
      <c r="BC490" s="3" t="s">
        <v>7010</v>
      </c>
      <c r="BD490" s="3" t="s">
        <v>7010</v>
      </c>
      <c r="BE490" s="3" t="s">
        <v>7010</v>
      </c>
      <c r="BF490" s="3" t="s">
        <v>7010</v>
      </c>
      <c r="BG490" s="3" t="s">
        <v>7010</v>
      </c>
      <c r="BH490" s="3" t="s">
        <v>7010</v>
      </c>
      <c r="BI490" s="3" t="s">
        <v>7010</v>
      </c>
      <c r="BJ490" s="3" t="s">
        <v>7010</v>
      </c>
      <c r="BK490" s="74" t="str">
        <f t="shared" si="31"/>
        <v>No</v>
      </c>
    </row>
    <row r="491" spans="7:63">
      <c r="G491">
        <v>490</v>
      </c>
      <c r="H491" s="7" t="s">
        <v>942</v>
      </c>
      <c r="I491" t="s">
        <v>29</v>
      </c>
      <c r="J491">
        <f>LEN(H491)</f>
        <v>12</v>
      </c>
      <c r="K491" s="49" t="s">
        <v>3551</v>
      </c>
      <c r="O491" s="3" t="s">
        <v>7010</v>
      </c>
      <c r="P491" s="3" t="s">
        <v>7010</v>
      </c>
      <c r="Q491" s="3" t="s">
        <v>7010</v>
      </c>
      <c r="R491" s="3" t="s">
        <v>7010</v>
      </c>
      <c r="S491" s="3" t="s">
        <v>7010</v>
      </c>
      <c r="T491" s="3" t="s">
        <v>7010</v>
      </c>
      <c r="U491" s="3" t="s">
        <v>7010</v>
      </c>
      <c r="V491" s="3" t="s">
        <v>7010</v>
      </c>
      <c r="W491" s="74" t="str">
        <f t="shared" si="29"/>
        <v>No</v>
      </c>
      <c r="Z491">
        <v>490</v>
      </c>
      <c r="AA491" s="55" t="s">
        <v>4406</v>
      </c>
      <c r="AC491">
        <f t="shared" si="28"/>
        <v>10</v>
      </c>
      <c r="AD491" s="30" t="s">
        <v>4407</v>
      </c>
      <c r="AF491" t="s">
        <v>7907</v>
      </c>
      <c r="AH491" s="3" t="s">
        <v>7015</v>
      </c>
      <c r="AI491" s="3" t="s">
        <v>7010</v>
      </c>
      <c r="AJ491" s="3" t="s">
        <v>7010</v>
      </c>
      <c r="AK491" s="3" t="s">
        <v>7015</v>
      </c>
      <c r="AL491" s="3" t="s">
        <v>7010</v>
      </c>
      <c r="AM491" s="3" t="s">
        <v>7010</v>
      </c>
      <c r="AN491" s="3" t="s">
        <v>7010</v>
      </c>
      <c r="AO491" s="3" t="s">
        <v>7010</v>
      </c>
      <c r="AP491" s="74" t="s">
        <v>7015</v>
      </c>
      <c r="AU491">
        <v>490</v>
      </c>
      <c r="AV491" t="s">
        <v>4408</v>
      </c>
      <c r="AW491" t="s">
        <v>2279</v>
      </c>
      <c r="AX491">
        <f t="shared" si="30"/>
        <v>8</v>
      </c>
      <c r="AY491" s="30" t="s">
        <v>4409</v>
      </c>
      <c r="BC491" s="3" t="s">
        <v>7015</v>
      </c>
      <c r="BD491" s="3" t="s">
        <v>7010</v>
      </c>
      <c r="BE491" s="3" t="s">
        <v>7015</v>
      </c>
      <c r="BF491" s="3" t="s">
        <v>7010</v>
      </c>
      <c r="BG491" s="3" t="s">
        <v>7010</v>
      </c>
      <c r="BH491" s="3" t="s">
        <v>7010</v>
      </c>
      <c r="BI491" s="3" t="s">
        <v>7010</v>
      </c>
      <c r="BJ491" s="3" t="s">
        <v>7010</v>
      </c>
      <c r="BK491" s="74" t="str">
        <f t="shared" si="31"/>
        <v>Yes</v>
      </c>
    </row>
    <row r="492" spans="7:63">
      <c r="G492">
        <v>491</v>
      </c>
      <c r="H492" s="7" t="s">
        <v>1722</v>
      </c>
      <c r="I492" t="s">
        <v>29</v>
      </c>
      <c r="J492">
        <f>LEN(H492)</f>
        <v>17</v>
      </c>
      <c r="K492" s="49" t="s">
        <v>5534</v>
      </c>
      <c r="O492" s="3" t="s">
        <v>7010</v>
      </c>
      <c r="P492" s="3" t="s">
        <v>7010</v>
      </c>
      <c r="Q492" s="3" t="s">
        <v>7010</v>
      </c>
      <c r="R492" s="3" t="s">
        <v>7010</v>
      </c>
      <c r="S492" s="3" t="s">
        <v>7010</v>
      </c>
      <c r="T492" s="3" t="s">
        <v>7010</v>
      </c>
      <c r="U492" s="3" t="s">
        <v>7010</v>
      </c>
      <c r="V492" s="3" t="s">
        <v>7010</v>
      </c>
      <c r="W492" s="74" t="str">
        <f t="shared" si="29"/>
        <v>No</v>
      </c>
      <c r="Z492">
        <v>491</v>
      </c>
      <c r="AA492" s="55" t="s">
        <v>4412</v>
      </c>
      <c r="AC492">
        <f t="shared" si="28"/>
        <v>6</v>
      </c>
      <c r="AD492" s="30" t="s">
        <v>4413</v>
      </c>
      <c r="AF492" t="s">
        <v>7908</v>
      </c>
      <c r="AH492" s="3" t="s">
        <v>7015</v>
      </c>
      <c r="AI492" s="3" t="s">
        <v>7010</v>
      </c>
      <c r="AJ492" s="3" t="s">
        <v>7010</v>
      </c>
      <c r="AK492" s="3" t="s">
        <v>7015</v>
      </c>
      <c r="AL492" s="3" t="s">
        <v>7010</v>
      </c>
      <c r="AM492" s="3" t="s">
        <v>7010</v>
      </c>
      <c r="AN492" s="3" t="s">
        <v>7010</v>
      </c>
      <c r="AO492" s="3" t="s">
        <v>7010</v>
      </c>
      <c r="AP492" s="74" t="s">
        <v>7015</v>
      </c>
      <c r="AU492">
        <v>491</v>
      </c>
      <c r="AV492" t="s">
        <v>4414</v>
      </c>
      <c r="AW492" t="s">
        <v>2279</v>
      </c>
      <c r="AX492">
        <f t="shared" si="30"/>
        <v>13</v>
      </c>
      <c r="AY492" s="30" t="s">
        <v>4415</v>
      </c>
      <c r="BC492" s="3" t="s">
        <v>7010</v>
      </c>
      <c r="BD492" s="3" t="s">
        <v>7010</v>
      </c>
      <c r="BE492" s="3" t="s">
        <v>7010</v>
      </c>
      <c r="BF492" s="3" t="s">
        <v>7010</v>
      </c>
      <c r="BG492" s="3" t="s">
        <v>7010</v>
      </c>
      <c r="BH492" s="3" t="s">
        <v>7010</v>
      </c>
      <c r="BI492" s="3" t="s">
        <v>7010</v>
      </c>
      <c r="BJ492" s="3" t="s">
        <v>7010</v>
      </c>
      <c r="BK492" s="74" t="str">
        <f t="shared" si="31"/>
        <v>No</v>
      </c>
    </row>
    <row r="493" spans="7:63">
      <c r="G493">
        <v>492</v>
      </c>
      <c r="H493" s="7" t="s">
        <v>1798</v>
      </c>
      <c r="I493" t="s">
        <v>29</v>
      </c>
      <c r="J493">
        <f>LEN(H493)</f>
        <v>17</v>
      </c>
      <c r="K493" s="49" t="s">
        <v>5736</v>
      </c>
      <c r="O493" s="3" t="s">
        <v>7010</v>
      </c>
      <c r="P493" s="3" t="s">
        <v>7010</v>
      </c>
      <c r="Q493" s="3" t="s">
        <v>7010</v>
      </c>
      <c r="R493" s="3" t="s">
        <v>7010</v>
      </c>
      <c r="S493" s="3" t="s">
        <v>7010</v>
      </c>
      <c r="T493" s="3" t="s">
        <v>7010</v>
      </c>
      <c r="U493" s="3" t="s">
        <v>7010</v>
      </c>
      <c r="V493" s="3" t="s">
        <v>7010</v>
      </c>
      <c r="W493" s="74" t="str">
        <f t="shared" si="29"/>
        <v>No</v>
      </c>
      <c r="Z493">
        <v>492</v>
      </c>
      <c r="AA493" s="55" t="s">
        <v>4417</v>
      </c>
      <c r="AC493">
        <f t="shared" si="28"/>
        <v>8</v>
      </c>
      <c r="AD493" s="30" t="s">
        <v>4418</v>
      </c>
      <c r="AF493" t="s">
        <v>7909</v>
      </c>
      <c r="AH493" s="3" t="s">
        <v>7015</v>
      </c>
      <c r="AI493" s="3" t="s">
        <v>7010</v>
      </c>
      <c r="AJ493" s="3" t="s">
        <v>7010</v>
      </c>
      <c r="AK493" s="3" t="s">
        <v>7015</v>
      </c>
      <c r="AL493" s="3" t="s">
        <v>7010</v>
      </c>
      <c r="AM493" s="3" t="s">
        <v>7010</v>
      </c>
      <c r="AN493" s="3" t="s">
        <v>7010</v>
      </c>
      <c r="AO493" s="3" t="s">
        <v>7010</v>
      </c>
      <c r="AP493" s="74" t="s">
        <v>7015</v>
      </c>
      <c r="AU493">
        <v>492</v>
      </c>
      <c r="AV493" t="s">
        <v>4419</v>
      </c>
      <c r="AW493" t="s">
        <v>2279</v>
      </c>
      <c r="AX493">
        <f t="shared" si="30"/>
        <v>10</v>
      </c>
      <c r="AY493" s="30" t="s">
        <v>4420</v>
      </c>
      <c r="BC493" s="3" t="s">
        <v>7010</v>
      </c>
      <c r="BD493" s="3" t="s">
        <v>7010</v>
      </c>
      <c r="BE493" s="3" t="s">
        <v>7010</v>
      </c>
      <c r="BF493" s="3" t="s">
        <v>7010</v>
      </c>
      <c r="BG493" s="3" t="s">
        <v>7010</v>
      </c>
      <c r="BH493" s="3" t="s">
        <v>7010</v>
      </c>
      <c r="BI493" s="3" t="s">
        <v>7010</v>
      </c>
      <c r="BJ493" s="3" t="s">
        <v>7010</v>
      </c>
      <c r="BK493" s="74" t="str">
        <f t="shared" si="31"/>
        <v>No</v>
      </c>
    </row>
    <row r="494" spans="7:63">
      <c r="G494">
        <v>493</v>
      </c>
      <c r="H494" s="7" t="s">
        <v>1104</v>
      </c>
      <c r="I494" t="s">
        <v>29</v>
      </c>
      <c r="J494">
        <f>LEN(H494)</f>
        <v>17</v>
      </c>
      <c r="K494" s="49" t="s">
        <v>3972</v>
      </c>
      <c r="O494" s="3" t="s">
        <v>7010</v>
      </c>
      <c r="P494" s="3" t="s">
        <v>7010</v>
      </c>
      <c r="Q494" s="3" t="s">
        <v>7010</v>
      </c>
      <c r="R494" s="3" t="s">
        <v>7010</v>
      </c>
      <c r="S494" s="3" t="s">
        <v>7010</v>
      </c>
      <c r="T494" s="3" t="s">
        <v>7010</v>
      </c>
      <c r="U494" s="3" t="s">
        <v>7010</v>
      </c>
      <c r="V494" s="3" t="s">
        <v>7010</v>
      </c>
      <c r="W494" s="74" t="str">
        <f t="shared" si="29"/>
        <v>No</v>
      </c>
      <c r="Z494">
        <v>493</v>
      </c>
      <c r="AA494" s="55" t="s">
        <v>4422</v>
      </c>
      <c r="AC494">
        <f t="shared" si="28"/>
        <v>6</v>
      </c>
      <c r="AD494" s="30" t="s">
        <v>4423</v>
      </c>
      <c r="AF494" t="s">
        <v>7910</v>
      </c>
      <c r="AH494" s="3" t="s">
        <v>7015</v>
      </c>
      <c r="AI494" s="3" t="s">
        <v>7010</v>
      </c>
      <c r="AJ494" s="3" t="s">
        <v>7010</v>
      </c>
      <c r="AK494" s="3" t="s">
        <v>7015</v>
      </c>
      <c r="AL494" s="3" t="s">
        <v>7010</v>
      </c>
      <c r="AM494" s="3" t="s">
        <v>7010</v>
      </c>
      <c r="AN494" s="3" t="s">
        <v>7010</v>
      </c>
      <c r="AO494" s="3" t="s">
        <v>7010</v>
      </c>
      <c r="AP494" s="74" t="s">
        <v>7015</v>
      </c>
      <c r="AU494">
        <v>493</v>
      </c>
      <c r="AV494" t="s">
        <v>4424</v>
      </c>
      <c r="AW494" t="s">
        <v>2279</v>
      </c>
      <c r="AX494">
        <f t="shared" si="30"/>
        <v>8</v>
      </c>
      <c r="AY494" s="30" t="s">
        <v>4425</v>
      </c>
      <c r="BC494" s="3" t="s">
        <v>7010</v>
      </c>
      <c r="BD494" s="3" t="s">
        <v>7010</v>
      </c>
      <c r="BE494" s="3" t="s">
        <v>7010</v>
      </c>
      <c r="BF494" s="3" t="s">
        <v>7010</v>
      </c>
      <c r="BG494" s="3" t="s">
        <v>7010</v>
      </c>
      <c r="BH494" s="3" t="s">
        <v>7010</v>
      </c>
      <c r="BI494" s="3" t="s">
        <v>7010</v>
      </c>
      <c r="BJ494" s="3" t="s">
        <v>7010</v>
      </c>
      <c r="BK494" s="74" t="str">
        <f t="shared" si="31"/>
        <v>No</v>
      </c>
    </row>
    <row r="495" spans="7:63">
      <c r="G495">
        <v>494</v>
      </c>
      <c r="H495" s="7" t="s">
        <v>1698</v>
      </c>
      <c r="I495" t="s">
        <v>29</v>
      </c>
      <c r="J495">
        <f>LEN(H495)</f>
        <v>18</v>
      </c>
      <c r="K495" s="49" t="s">
        <v>5475</v>
      </c>
      <c r="O495" s="3" t="s">
        <v>7010</v>
      </c>
      <c r="P495" s="3" t="s">
        <v>7010</v>
      </c>
      <c r="Q495" s="3" t="s">
        <v>7010</v>
      </c>
      <c r="R495" s="3" t="s">
        <v>7010</v>
      </c>
      <c r="S495" s="3" t="s">
        <v>7010</v>
      </c>
      <c r="T495" s="3" t="s">
        <v>7010</v>
      </c>
      <c r="U495" s="3" t="s">
        <v>7010</v>
      </c>
      <c r="V495" s="3" t="s">
        <v>7010</v>
      </c>
      <c r="W495" s="74" t="str">
        <f t="shared" si="29"/>
        <v>No</v>
      </c>
      <c r="Z495">
        <v>494</v>
      </c>
      <c r="AA495" s="55" t="s">
        <v>4427</v>
      </c>
      <c r="AC495">
        <f t="shared" si="28"/>
        <v>6</v>
      </c>
      <c r="AD495" s="31" t="s">
        <v>4428</v>
      </c>
      <c r="AF495" t="s">
        <v>7911</v>
      </c>
      <c r="AH495" s="3" t="s">
        <v>7015</v>
      </c>
      <c r="AI495" s="3" t="s">
        <v>7010</v>
      </c>
      <c r="AJ495" s="3" t="s">
        <v>7010</v>
      </c>
      <c r="AK495" s="3" t="s">
        <v>7015</v>
      </c>
      <c r="AL495" s="3" t="s">
        <v>7010</v>
      </c>
      <c r="AM495" s="3" t="s">
        <v>7010</v>
      </c>
      <c r="AN495" s="3" t="s">
        <v>7010</v>
      </c>
      <c r="AO495" s="3" t="s">
        <v>7010</v>
      </c>
      <c r="AP495" s="74" t="s">
        <v>7015</v>
      </c>
      <c r="AU495">
        <v>494</v>
      </c>
      <c r="AV495" t="s">
        <v>4429</v>
      </c>
      <c r="AW495" t="s">
        <v>2279</v>
      </c>
      <c r="AX495">
        <f t="shared" si="30"/>
        <v>10</v>
      </c>
      <c r="AY495" s="30" t="s">
        <v>4430</v>
      </c>
      <c r="BC495" s="3" t="s">
        <v>7010</v>
      </c>
      <c r="BD495" s="3" t="s">
        <v>7010</v>
      </c>
      <c r="BE495" s="3" t="s">
        <v>7010</v>
      </c>
      <c r="BF495" s="3" t="s">
        <v>7010</v>
      </c>
      <c r="BG495" s="3" t="s">
        <v>7010</v>
      </c>
      <c r="BH495" s="3" t="s">
        <v>7010</v>
      </c>
      <c r="BI495" s="3" t="s">
        <v>7010</v>
      </c>
      <c r="BJ495" s="3" t="s">
        <v>7010</v>
      </c>
      <c r="BK495" s="74" t="str">
        <f t="shared" si="31"/>
        <v>No</v>
      </c>
    </row>
    <row r="496" spans="7:63">
      <c r="G496">
        <v>495</v>
      </c>
      <c r="H496" s="7" t="s">
        <v>1740</v>
      </c>
      <c r="I496" t="s">
        <v>29</v>
      </c>
      <c r="J496">
        <f>LEN(H496)</f>
        <v>17</v>
      </c>
      <c r="K496" s="49" t="s">
        <v>5579</v>
      </c>
      <c r="O496" s="3" t="s">
        <v>7010</v>
      </c>
      <c r="P496" s="3" t="s">
        <v>7010</v>
      </c>
      <c r="Q496" s="3" t="s">
        <v>7010</v>
      </c>
      <c r="R496" s="3" t="s">
        <v>7010</v>
      </c>
      <c r="S496" s="3" t="s">
        <v>7010</v>
      </c>
      <c r="T496" s="3" t="s">
        <v>7010</v>
      </c>
      <c r="U496" s="3" t="s">
        <v>7010</v>
      </c>
      <c r="V496" s="3" t="s">
        <v>7010</v>
      </c>
      <c r="W496" s="74" t="str">
        <f t="shared" si="29"/>
        <v>No</v>
      </c>
      <c r="Z496">
        <v>495</v>
      </c>
      <c r="AA496" s="55">
        <v>147258</v>
      </c>
      <c r="AC496">
        <f t="shared" si="28"/>
        <v>6</v>
      </c>
      <c r="AD496" s="31" t="s">
        <v>4432</v>
      </c>
      <c r="AF496" t="s">
        <v>7912</v>
      </c>
      <c r="AH496" s="3" t="s">
        <v>7015</v>
      </c>
      <c r="AI496" s="3" t="s">
        <v>7010</v>
      </c>
      <c r="AJ496" s="3" t="s">
        <v>7010</v>
      </c>
      <c r="AK496" s="3" t="s">
        <v>7015</v>
      </c>
      <c r="AL496" s="3" t="s">
        <v>7010</v>
      </c>
      <c r="AM496" s="3" t="s">
        <v>7010</v>
      </c>
      <c r="AN496" s="3" t="s">
        <v>7010</v>
      </c>
      <c r="AO496" s="3" t="s">
        <v>7010</v>
      </c>
      <c r="AP496" s="74" t="s">
        <v>7015</v>
      </c>
      <c r="AU496">
        <v>495</v>
      </c>
      <c r="AV496" t="s">
        <v>4433</v>
      </c>
      <c r="AW496" t="s">
        <v>2279</v>
      </c>
      <c r="AX496">
        <f t="shared" si="30"/>
        <v>8</v>
      </c>
      <c r="AY496" s="30" t="s">
        <v>4434</v>
      </c>
      <c r="BC496" s="3" t="s">
        <v>7010</v>
      </c>
      <c r="BD496" s="3" t="s">
        <v>7010</v>
      </c>
      <c r="BE496" s="3" t="s">
        <v>7010</v>
      </c>
      <c r="BF496" s="3" t="s">
        <v>7010</v>
      </c>
      <c r="BG496" s="3" t="s">
        <v>7010</v>
      </c>
      <c r="BH496" s="3" t="s">
        <v>7010</v>
      </c>
      <c r="BI496" s="3" t="s">
        <v>7010</v>
      </c>
      <c r="BJ496" s="3" t="s">
        <v>7010</v>
      </c>
      <c r="BK496" s="74" t="str">
        <f t="shared" si="31"/>
        <v>No</v>
      </c>
    </row>
    <row r="497" spans="7:63">
      <c r="G497">
        <v>496</v>
      </c>
      <c r="H497" s="7" t="s">
        <v>1188</v>
      </c>
      <c r="I497" t="s">
        <v>29</v>
      </c>
      <c r="J497">
        <f>LEN(H497)</f>
        <v>12</v>
      </c>
      <c r="K497" s="49" t="s">
        <v>4185</v>
      </c>
      <c r="O497" s="3" t="s">
        <v>7010</v>
      </c>
      <c r="P497" s="3" t="s">
        <v>7010</v>
      </c>
      <c r="Q497" s="3" t="s">
        <v>7010</v>
      </c>
      <c r="R497" s="3" t="s">
        <v>7010</v>
      </c>
      <c r="S497" s="3" t="s">
        <v>7010</v>
      </c>
      <c r="T497" s="3" t="s">
        <v>7010</v>
      </c>
      <c r="U497" s="3" t="s">
        <v>7010</v>
      </c>
      <c r="V497" s="3" t="s">
        <v>7010</v>
      </c>
      <c r="W497" s="74" t="str">
        <f t="shared" si="29"/>
        <v>No</v>
      </c>
      <c r="Z497">
        <v>496</v>
      </c>
      <c r="AA497" s="55" t="s">
        <v>4437</v>
      </c>
      <c r="AC497">
        <f t="shared" si="28"/>
        <v>6</v>
      </c>
      <c r="AD497" s="30" t="s">
        <v>4438</v>
      </c>
      <c r="AF497" t="s">
        <v>7913</v>
      </c>
      <c r="AH497" s="3" t="s">
        <v>7015</v>
      </c>
      <c r="AI497" s="3" t="s">
        <v>7010</v>
      </c>
      <c r="AJ497" s="3" t="s">
        <v>7010</v>
      </c>
      <c r="AK497" s="3" t="s">
        <v>7015</v>
      </c>
      <c r="AL497" s="3" t="s">
        <v>7010</v>
      </c>
      <c r="AM497" s="3" t="s">
        <v>7010</v>
      </c>
      <c r="AN497" s="3" t="s">
        <v>7010</v>
      </c>
      <c r="AO497" s="3" t="s">
        <v>7010</v>
      </c>
      <c r="AP497" s="74" t="s">
        <v>7015</v>
      </c>
      <c r="AU497">
        <v>496</v>
      </c>
      <c r="AV497" t="s">
        <v>4439</v>
      </c>
      <c r="AW497" t="s">
        <v>2279</v>
      </c>
      <c r="AX497">
        <f t="shared" si="30"/>
        <v>10</v>
      </c>
      <c r="AY497" s="30" t="s">
        <v>4440</v>
      </c>
      <c r="BC497" s="3" t="s">
        <v>7010</v>
      </c>
      <c r="BD497" s="3" t="s">
        <v>7010</v>
      </c>
      <c r="BE497" s="3" t="s">
        <v>7010</v>
      </c>
      <c r="BF497" s="3" t="s">
        <v>7010</v>
      </c>
      <c r="BG497" s="3" t="s">
        <v>7010</v>
      </c>
      <c r="BH497" s="3" t="s">
        <v>7010</v>
      </c>
      <c r="BI497" s="3" t="s">
        <v>7010</v>
      </c>
      <c r="BJ497" s="3" t="s">
        <v>7010</v>
      </c>
      <c r="BK497" s="74" t="str">
        <f t="shared" si="31"/>
        <v>No</v>
      </c>
    </row>
    <row r="498" spans="7:63">
      <c r="G498">
        <v>497</v>
      </c>
      <c r="H498" s="7" t="s">
        <v>1760</v>
      </c>
      <c r="I498" t="s">
        <v>29</v>
      </c>
      <c r="J498">
        <f>LEN(H498)</f>
        <v>15</v>
      </c>
      <c r="K498" s="49" t="s">
        <v>5629</v>
      </c>
      <c r="O498" s="3" t="s">
        <v>7010</v>
      </c>
      <c r="P498" s="3" t="s">
        <v>7010</v>
      </c>
      <c r="Q498" s="3" t="s">
        <v>7010</v>
      </c>
      <c r="R498" s="3" t="s">
        <v>7010</v>
      </c>
      <c r="S498" s="3" t="s">
        <v>7010</v>
      </c>
      <c r="T498" s="3" t="s">
        <v>7010</v>
      </c>
      <c r="U498" s="3" t="s">
        <v>7010</v>
      </c>
      <c r="V498" s="3" t="s">
        <v>7010</v>
      </c>
      <c r="W498" s="74" t="str">
        <f t="shared" si="29"/>
        <v>No</v>
      </c>
      <c r="Z498">
        <v>497</v>
      </c>
      <c r="AA498" s="55" t="s">
        <v>4442</v>
      </c>
      <c r="AC498">
        <f t="shared" si="28"/>
        <v>7</v>
      </c>
      <c r="AD498" s="30" t="s">
        <v>4443</v>
      </c>
      <c r="AF498" t="s">
        <v>7914</v>
      </c>
      <c r="AH498" s="3" t="s">
        <v>7015</v>
      </c>
      <c r="AI498" s="3" t="s">
        <v>7010</v>
      </c>
      <c r="AJ498" s="3" t="s">
        <v>7010</v>
      </c>
      <c r="AK498" s="3" t="s">
        <v>7015</v>
      </c>
      <c r="AL498" s="3" t="s">
        <v>7010</v>
      </c>
      <c r="AM498" s="3" t="s">
        <v>7010</v>
      </c>
      <c r="AN498" s="3" t="s">
        <v>7010</v>
      </c>
      <c r="AO498" s="3" t="s">
        <v>7010</v>
      </c>
      <c r="AP498" s="74" t="s">
        <v>7015</v>
      </c>
      <c r="AU498">
        <v>497</v>
      </c>
      <c r="AV498" t="s">
        <v>4444</v>
      </c>
      <c r="AW498" t="s">
        <v>2279</v>
      </c>
      <c r="AX498">
        <f t="shared" si="30"/>
        <v>8</v>
      </c>
      <c r="AY498" s="30" t="s">
        <v>4445</v>
      </c>
      <c r="BC498" s="3" t="s">
        <v>7010</v>
      </c>
      <c r="BD498" s="3" t="s">
        <v>7010</v>
      </c>
      <c r="BE498" s="3" t="s">
        <v>7010</v>
      </c>
      <c r="BF498" s="3" t="s">
        <v>7010</v>
      </c>
      <c r="BG498" s="3" t="s">
        <v>7010</v>
      </c>
      <c r="BH498" s="3" t="s">
        <v>7010</v>
      </c>
      <c r="BI498" s="3" t="s">
        <v>7010</v>
      </c>
      <c r="BJ498" s="3" t="s">
        <v>7010</v>
      </c>
      <c r="BK498" s="74" t="str">
        <f t="shared" si="31"/>
        <v>No</v>
      </c>
    </row>
    <row r="499" spans="7:63">
      <c r="G499">
        <v>498</v>
      </c>
      <c r="H499" s="7" t="s">
        <v>964</v>
      </c>
      <c r="I499" t="s">
        <v>29</v>
      </c>
      <c r="J499">
        <f>LEN(H499)</f>
        <v>12</v>
      </c>
      <c r="K499" s="49" t="s">
        <v>3605</v>
      </c>
      <c r="O499" s="3" t="s">
        <v>7010</v>
      </c>
      <c r="P499" s="3" t="s">
        <v>7010</v>
      </c>
      <c r="Q499" s="3" t="s">
        <v>7010</v>
      </c>
      <c r="R499" s="3" t="s">
        <v>7010</v>
      </c>
      <c r="S499" s="3" t="s">
        <v>7010</v>
      </c>
      <c r="T499" s="3" t="s">
        <v>7010</v>
      </c>
      <c r="U499" s="3" t="s">
        <v>7010</v>
      </c>
      <c r="V499" s="3" t="s">
        <v>7010</v>
      </c>
      <c r="W499" s="74" t="str">
        <f t="shared" si="29"/>
        <v>No</v>
      </c>
      <c r="Z499">
        <v>498</v>
      </c>
      <c r="AA499" s="55" t="s">
        <v>4447</v>
      </c>
      <c r="AC499">
        <f t="shared" si="28"/>
        <v>6</v>
      </c>
      <c r="AD499" s="30" t="s">
        <v>4448</v>
      </c>
      <c r="AF499" t="s">
        <v>7915</v>
      </c>
      <c r="AH499" s="3" t="s">
        <v>7015</v>
      </c>
      <c r="AI499" s="3" t="s">
        <v>7010</v>
      </c>
      <c r="AJ499" s="3" t="s">
        <v>7010</v>
      </c>
      <c r="AK499" s="3" t="s">
        <v>7015</v>
      </c>
      <c r="AL499" s="3" t="s">
        <v>7010</v>
      </c>
      <c r="AM499" s="3" t="s">
        <v>7010</v>
      </c>
      <c r="AN499" s="3" t="s">
        <v>7010</v>
      </c>
      <c r="AO499" s="3" t="s">
        <v>7010</v>
      </c>
      <c r="AP499" s="74" t="s">
        <v>7015</v>
      </c>
      <c r="AU499">
        <v>498</v>
      </c>
      <c r="AV499" t="s">
        <v>4449</v>
      </c>
      <c r="AW499" t="s">
        <v>2279</v>
      </c>
      <c r="AX499">
        <f t="shared" si="30"/>
        <v>13</v>
      </c>
      <c r="AY499" s="30" t="s">
        <v>4450</v>
      </c>
      <c r="BC499" s="3" t="s">
        <v>7010</v>
      </c>
      <c r="BD499" s="3" t="s">
        <v>7010</v>
      </c>
      <c r="BE499" s="3" t="s">
        <v>7010</v>
      </c>
      <c r="BF499" s="3" t="s">
        <v>7010</v>
      </c>
      <c r="BG499" s="3" t="s">
        <v>7010</v>
      </c>
      <c r="BH499" s="3" t="s">
        <v>7010</v>
      </c>
      <c r="BI499" s="3" t="s">
        <v>7010</v>
      </c>
      <c r="BJ499" s="3" t="s">
        <v>7010</v>
      </c>
      <c r="BK499" s="74" t="str">
        <f t="shared" si="31"/>
        <v>No</v>
      </c>
    </row>
    <row r="500" spans="7:63">
      <c r="G500">
        <v>499</v>
      </c>
      <c r="H500" s="7" t="s">
        <v>1782</v>
      </c>
      <c r="I500" t="s">
        <v>29</v>
      </c>
      <c r="J500">
        <f>LEN(H500)</f>
        <v>16</v>
      </c>
      <c r="K500" s="49" t="s">
        <v>5688</v>
      </c>
      <c r="O500" s="3" t="s">
        <v>7010</v>
      </c>
      <c r="P500" s="3" t="s">
        <v>7010</v>
      </c>
      <c r="Q500" s="3" t="s">
        <v>7010</v>
      </c>
      <c r="R500" s="3" t="s">
        <v>7010</v>
      </c>
      <c r="S500" s="3" t="s">
        <v>7010</v>
      </c>
      <c r="T500" s="3" t="s">
        <v>7010</v>
      </c>
      <c r="U500" s="3" t="s">
        <v>7010</v>
      </c>
      <c r="V500" s="3" t="s">
        <v>7010</v>
      </c>
      <c r="W500" s="74" t="str">
        <f t="shared" si="29"/>
        <v>No</v>
      </c>
      <c r="Z500">
        <v>499</v>
      </c>
      <c r="AA500" s="55" t="s">
        <v>4452</v>
      </c>
      <c r="AC500">
        <f t="shared" si="28"/>
        <v>8</v>
      </c>
      <c r="AD500" s="30" t="s">
        <v>4453</v>
      </c>
      <c r="AF500" t="s">
        <v>7916</v>
      </c>
      <c r="AH500" s="3" t="s">
        <v>7015</v>
      </c>
      <c r="AI500" s="3" t="s">
        <v>7010</v>
      </c>
      <c r="AJ500" s="3" t="s">
        <v>7010</v>
      </c>
      <c r="AK500" s="3" t="s">
        <v>7015</v>
      </c>
      <c r="AL500" s="3" t="s">
        <v>7010</v>
      </c>
      <c r="AM500" s="3" t="s">
        <v>7010</v>
      </c>
      <c r="AN500" s="3" t="s">
        <v>7010</v>
      </c>
      <c r="AO500" s="3" t="s">
        <v>7010</v>
      </c>
      <c r="AP500" s="74" t="s">
        <v>7015</v>
      </c>
      <c r="AU500">
        <v>499</v>
      </c>
      <c r="AV500" t="s">
        <v>4454</v>
      </c>
      <c r="AW500" t="s">
        <v>2279</v>
      </c>
      <c r="AX500">
        <f t="shared" si="30"/>
        <v>8</v>
      </c>
      <c r="AY500" s="30" t="s">
        <v>4455</v>
      </c>
      <c r="BC500" s="3" t="s">
        <v>7010</v>
      </c>
      <c r="BD500" s="3" t="s">
        <v>7010</v>
      </c>
      <c r="BE500" s="3" t="s">
        <v>7010</v>
      </c>
      <c r="BF500" s="3" t="s">
        <v>7010</v>
      </c>
      <c r="BG500" s="3" t="s">
        <v>7010</v>
      </c>
      <c r="BH500" s="3" t="s">
        <v>7010</v>
      </c>
      <c r="BI500" s="3" t="s">
        <v>7010</v>
      </c>
      <c r="BJ500" s="3" t="s">
        <v>7010</v>
      </c>
      <c r="BK500" s="74" t="str">
        <f t="shared" si="31"/>
        <v>No</v>
      </c>
    </row>
    <row r="501" spans="7:63">
      <c r="G501">
        <v>500</v>
      </c>
      <c r="H501" s="7" t="s">
        <v>1152</v>
      </c>
      <c r="I501" t="s">
        <v>29</v>
      </c>
      <c r="J501">
        <f>LEN(H501)</f>
        <v>13</v>
      </c>
      <c r="K501" s="49" t="s">
        <v>4089</v>
      </c>
      <c r="O501" s="3" t="s">
        <v>7010</v>
      </c>
      <c r="P501" s="3" t="s">
        <v>7010</v>
      </c>
      <c r="Q501" s="3" t="s">
        <v>7010</v>
      </c>
      <c r="R501" s="3" t="s">
        <v>7010</v>
      </c>
      <c r="S501" s="3" t="s">
        <v>7010</v>
      </c>
      <c r="T501" s="3" t="s">
        <v>7010</v>
      </c>
      <c r="U501" s="3" t="s">
        <v>7010</v>
      </c>
      <c r="V501" s="3" t="s">
        <v>7010</v>
      </c>
      <c r="W501" s="74" t="str">
        <f t="shared" si="29"/>
        <v>No</v>
      </c>
      <c r="Z501">
        <v>500</v>
      </c>
      <c r="AA501" s="55" t="s">
        <v>4457</v>
      </c>
      <c r="AC501">
        <f t="shared" si="28"/>
        <v>6</v>
      </c>
      <c r="AD501" s="30" t="s">
        <v>4458</v>
      </c>
      <c r="AF501" t="s">
        <v>7917</v>
      </c>
      <c r="AH501" s="3" t="s">
        <v>7015</v>
      </c>
      <c r="AI501" s="3" t="s">
        <v>7010</v>
      </c>
      <c r="AJ501" s="3" t="s">
        <v>7010</v>
      </c>
      <c r="AK501" s="3" t="s">
        <v>7015</v>
      </c>
      <c r="AL501" s="3" t="s">
        <v>7010</v>
      </c>
      <c r="AM501" s="3" t="s">
        <v>7010</v>
      </c>
      <c r="AN501" s="3" t="s">
        <v>7010</v>
      </c>
      <c r="AO501" s="3" t="s">
        <v>7010</v>
      </c>
      <c r="AP501" s="74" t="s">
        <v>7015</v>
      </c>
      <c r="AU501">
        <v>500</v>
      </c>
      <c r="AV501" t="s">
        <v>4459</v>
      </c>
      <c r="AW501" t="s">
        <v>2279</v>
      </c>
      <c r="AX501">
        <f t="shared" si="30"/>
        <v>8</v>
      </c>
      <c r="AY501" s="30" t="s">
        <v>4460</v>
      </c>
      <c r="BC501" s="3" t="s">
        <v>7010</v>
      </c>
      <c r="BD501" s="3" t="s">
        <v>7010</v>
      </c>
      <c r="BE501" s="3" t="s">
        <v>7015</v>
      </c>
      <c r="BF501" s="3" t="s">
        <v>7010</v>
      </c>
      <c r="BG501" s="3" t="s">
        <v>7010</v>
      </c>
      <c r="BH501" s="3" t="s">
        <v>7010</v>
      </c>
      <c r="BI501" s="3" t="s">
        <v>7010</v>
      </c>
      <c r="BJ501" s="3" t="s">
        <v>7010</v>
      </c>
      <c r="BK501" s="74" t="str">
        <f t="shared" si="31"/>
        <v>Yes</v>
      </c>
    </row>
    <row r="502" spans="7:63">
      <c r="G502">
        <v>501</v>
      </c>
      <c r="H502" s="7" t="s">
        <v>998</v>
      </c>
      <c r="I502" t="s">
        <v>29</v>
      </c>
      <c r="J502">
        <f>LEN(H502)</f>
        <v>13</v>
      </c>
      <c r="K502" s="49" t="s">
        <v>3689</v>
      </c>
      <c r="O502" s="3" t="s">
        <v>7010</v>
      </c>
      <c r="P502" s="3" t="s">
        <v>7010</v>
      </c>
      <c r="Q502" s="3" t="s">
        <v>7010</v>
      </c>
      <c r="R502" s="3" t="s">
        <v>7010</v>
      </c>
      <c r="S502" s="3" t="s">
        <v>7010</v>
      </c>
      <c r="T502" s="3" t="s">
        <v>7010</v>
      </c>
      <c r="U502" s="3" t="s">
        <v>7010</v>
      </c>
      <c r="V502" s="3" t="s">
        <v>7010</v>
      </c>
      <c r="W502" s="74" t="str">
        <f t="shared" si="29"/>
        <v>No</v>
      </c>
      <c r="Z502">
        <v>501</v>
      </c>
      <c r="AA502" s="55" t="s">
        <v>4463</v>
      </c>
      <c r="AC502">
        <f t="shared" si="28"/>
        <v>6</v>
      </c>
      <c r="AD502" s="30" t="s">
        <v>4464</v>
      </c>
      <c r="AF502" t="s">
        <v>7918</v>
      </c>
      <c r="AH502" s="3" t="s">
        <v>7015</v>
      </c>
      <c r="AI502" s="3" t="s">
        <v>7010</v>
      </c>
      <c r="AJ502" s="3" t="s">
        <v>7010</v>
      </c>
      <c r="AK502" s="3" t="s">
        <v>7015</v>
      </c>
      <c r="AL502" s="3" t="s">
        <v>7010</v>
      </c>
      <c r="AM502" s="3" t="s">
        <v>7010</v>
      </c>
      <c r="AN502" s="3" t="s">
        <v>7010</v>
      </c>
      <c r="AO502" s="3" t="s">
        <v>7010</v>
      </c>
      <c r="AP502" s="74" t="s">
        <v>7015</v>
      </c>
      <c r="AU502">
        <v>501</v>
      </c>
      <c r="AV502" t="s">
        <v>4465</v>
      </c>
      <c r="AW502" t="s">
        <v>2279</v>
      </c>
      <c r="AX502">
        <f t="shared" si="30"/>
        <v>8</v>
      </c>
      <c r="AY502" s="30" t="s">
        <v>4466</v>
      </c>
      <c r="BC502" s="3" t="s">
        <v>7010</v>
      </c>
      <c r="BD502" s="3" t="s">
        <v>7010</v>
      </c>
      <c r="BE502" s="3" t="s">
        <v>7010</v>
      </c>
      <c r="BF502" s="3" t="s">
        <v>7010</v>
      </c>
      <c r="BG502" s="3" t="s">
        <v>7010</v>
      </c>
      <c r="BH502" s="3" t="s">
        <v>7010</v>
      </c>
      <c r="BI502" s="3" t="s">
        <v>7010</v>
      </c>
      <c r="BJ502" s="3" t="s">
        <v>7010</v>
      </c>
      <c r="BK502" s="74" t="str">
        <f t="shared" si="31"/>
        <v>No</v>
      </c>
    </row>
    <row r="503" spans="7:63">
      <c r="G503">
        <v>502</v>
      </c>
      <c r="H503" s="7" t="s">
        <v>980</v>
      </c>
      <c r="I503" t="s">
        <v>29</v>
      </c>
      <c r="J503">
        <f>LEN(H503)</f>
        <v>14</v>
      </c>
      <c r="K503" s="49" t="s">
        <v>3644</v>
      </c>
      <c r="O503" s="3" t="s">
        <v>7010</v>
      </c>
      <c r="P503" s="3" t="s">
        <v>7010</v>
      </c>
      <c r="Q503" s="3" t="s">
        <v>7010</v>
      </c>
      <c r="R503" s="3" t="s">
        <v>7010</v>
      </c>
      <c r="S503" s="3" t="s">
        <v>7010</v>
      </c>
      <c r="T503" s="3" t="s">
        <v>7010</v>
      </c>
      <c r="U503" s="3" t="s">
        <v>7010</v>
      </c>
      <c r="V503" s="3" t="s">
        <v>7010</v>
      </c>
      <c r="W503" s="74" t="str">
        <f t="shared" si="29"/>
        <v>No</v>
      </c>
      <c r="Z503">
        <v>502</v>
      </c>
      <c r="AA503" s="55" t="s">
        <v>4468</v>
      </c>
      <c r="AC503">
        <f t="shared" si="28"/>
        <v>6</v>
      </c>
      <c r="AD503" s="30" t="s">
        <v>4469</v>
      </c>
      <c r="AF503" t="s">
        <v>7919</v>
      </c>
      <c r="AH503" s="3" t="s">
        <v>7015</v>
      </c>
      <c r="AI503" s="3" t="s">
        <v>7010</v>
      </c>
      <c r="AJ503" s="3" t="s">
        <v>7010</v>
      </c>
      <c r="AK503" s="3" t="s">
        <v>7015</v>
      </c>
      <c r="AL503" s="3" t="s">
        <v>7010</v>
      </c>
      <c r="AM503" s="3" t="s">
        <v>7010</v>
      </c>
      <c r="AN503" s="3" t="s">
        <v>7010</v>
      </c>
      <c r="AO503" s="3" t="s">
        <v>7010</v>
      </c>
      <c r="AP503" s="74" t="s">
        <v>7015</v>
      </c>
      <c r="AU503">
        <v>502</v>
      </c>
      <c r="AV503" t="s">
        <v>4470</v>
      </c>
      <c r="AW503" t="s">
        <v>2279</v>
      </c>
      <c r="AX503">
        <f t="shared" si="30"/>
        <v>8</v>
      </c>
      <c r="AY503" s="30" t="s">
        <v>4471</v>
      </c>
      <c r="BC503" s="3" t="s">
        <v>7010</v>
      </c>
      <c r="BD503" s="3" t="s">
        <v>7010</v>
      </c>
      <c r="BE503" s="3" t="s">
        <v>7010</v>
      </c>
      <c r="BF503" s="3" t="s">
        <v>7010</v>
      </c>
      <c r="BG503" s="3" t="s">
        <v>7010</v>
      </c>
      <c r="BH503" s="3" t="s">
        <v>7010</v>
      </c>
      <c r="BI503" s="3" t="s">
        <v>7010</v>
      </c>
      <c r="BJ503" s="3" t="s">
        <v>7010</v>
      </c>
      <c r="BK503" s="74" t="str">
        <f t="shared" si="31"/>
        <v>No</v>
      </c>
    </row>
    <row r="504" spans="7:63">
      <c r="G504">
        <v>503</v>
      </c>
      <c r="H504" s="7" t="s">
        <v>1172</v>
      </c>
      <c r="I504" t="s">
        <v>29</v>
      </c>
      <c r="J504">
        <f>LEN(H504)</f>
        <v>13</v>
      </c>
      <c r="K504" s="49" t="s">
        <v>4138</v>
      </c>
      <c r="O504" s="3" t="s">
        <v>7010</v>
      </c>
      <c r="P504" s="3" t="s">
        <v>7010</v>
      </c>
      <c r="Q504" s="3" t="s">
        <v>7010</v>
      </c>
      <c r="R504" s="3" t="s">
        <v>7010</v>
      </c>
      <c r="S504" s="3" t="s">
        <v>7010</v>
      </c>
      <c r="T504" s="3" t="s">
        <v>7010</v>
      </c>
      <c r="U504" s="3" t="s">
        <v>7010</v>
      </c>
      <c r="V504" s="3" t="s">
        <v>7010</v>
      </c>
      <c r="W504" s="74" t="str">
        <f t="shared" si="29"/>
        <v>No</v>
      </c>
      <c r="Z504">
        <v>503</v>
      </c>
      <c r="AA504" s="55" t="s">
        <v>4473</v>
      </c>
      <c r="AC504">
        <f t="shared" si="28"/>
        <v>10</v>
      </c>
      <c r="AD504" s="30" t="s">
        <v>4474</v>
      </c>
      <c r="AF504" t="s">
        <v>7920</v>
      </c>
      <c r="AH504" s="3" t="s">
        <v>7015</v>
      </c>
      <c r="AI504" s="3" t="s">
        <v>7010</v>
      </c>
      <c r="AJ504" s="3" t="s">
        <v>7010</v>
      </c>
      <c r="AK504" s="3" t="s">
        <v>7015</v>
      </c>
      <c r="AL504" s="3" t="s">
        <v>7010</v>
      </c>
      <c r="AM504" s="3" t="s">
        <v>7010</v>
      </c>
      <c r="AN504" s="3" t="s">
        <v>7010</v>
      </c>
      <c r="AO504" s="3" t="s">
        <v>7010</v>
      </c>
      <c r="AP504" s="74" t="s">
        <v>7015</v>
      </c>
      <c r="AU504">
        <v>503</v>
      </c>
      <c r="AV504" t="s">
        <v>4475</v>
      </c>
      <c r="AW504" t="s">
        <v>2279</v>
      </c>
      <c r="AX504">
        <f t="shared" si="30"/>
        <v>8</v>
      </c>
      <c r="AY504" s="30" t="s">
        <v>4476</v>
      </c>
      <c r="BC504" s="3" t="s">
        <v>7010</v>
      </c>
      <c r="BD504" s="3" t="s">
        <v>7010</v>
      </c>
      <c r="BE504" s="3" t="s">
        <v>7010</v>
      </c>
      <c r="BF504" s="3" t="s">
        <v>7010</v>
      </c>
      <c r="BG504" s="3" t="s">
        <v>7010</v>
      </c>
      <c r="BH504" s="3" t="s">
        <v>7010</v>
      </c>
      <c r="BI504" s="3" t="s">
        <v>7010</v>
      </c>
      <c r="BJ504" s="3" t="s">
        <v>7010</v>
      </c>
      <c r="BK504" s="74" t="str">
        <f t="shared" si="31"/>
        <v>No</v>
      </c>
    </row>
    <row r="505" spans="7:63">
      <c r="G505">
        <v>504</v>
      </c>
      <c r="H505" s="7" t="s">
        <v>1048</v>
      </c>
      <c r="I505" t="s">
        <v>29</v>
      </c>
      <c r="J505">
        <f>LEN(H505)</f>
        <v>12</v>
      </c>
      <c r="K505" s="49" t="s">
        <v>3828</v>
      </c>
      <c r="O505" s="3" t="s">
        <v>7010</v>
      </c>
      <c r="P505" s="3" t="s">
        <v>7010</v>
      </c>
      <c r="Q505" s="3" t="s">
        <v>7010</v>
      </c>
      <c r="R505" s="3" t="s">
        <v>7010</v>
      </c>
      <c r="S505" s="3" t="s">
        <v>7010</v>
      </c>
      <c r="T505" s="3" t="s">
        <v>7015</v>
      </c>
      <c r="U505" s="3" t="s">
        <v>7010</v>
      </c>
      <c r="V505" s="3" t="s">
        <v>7010</v>
      </c>
      <c r="W505" s="74" t="str">
        <f t="shared" si="29"/>
        <v>Yes</v>
      </c>
      <c r="Z505">
        <v>504</v>
      </c>
      <c r="AA505" s="55" t="s">
        <v>4478</v>
      </c>
      <c r="AC505">
        <f t="shared" si="28"/>
        <v>6</v>
      </c>
      <c r="AD505" s="31" t="s">
        <v>4479</v>
      </c>
      <c r="AF505" t="s">
        <v>7921</v>
      </c>
      <c r="AH505" s="3" t="s">
        <v>7015</v>
      </c>
      <c r="AI505" s="3" t="s">
        <v>7010</v>
      </c>
      <c r="AJ505" s="3" t="s">
        <v>7010</v>
      </c>
      <c r="AK505" s="3" t="s">
        <v>7015</v>
      </c>
      <c r="AL505" s="3" t="s">
        <v>7010</v>
      </c>
      <c r="AM505" s="3" t="s">
        <v>7010</v>
      </c>
      <c r="AN505" s="3" t="s">
        <v>7010</v>
      </c>
      <c r="AO505" s="3" t="s">
        <v>7010</v>
      </c>
      <c r="AP505" s="74" t="s">
        <v>7015</v>
      </c>
      <c r="AU505">
        <v>504</v>
      </c>
      <c r="AV505" t="s">
        <v>4480</v>
      </c>
      <c r="AW505" t="s">
        <v>2279</v>
      </c>
      <c r="AX505">
        <f t="shared" si="30"/>
        <v>9</v>
      </c>
      <c r="AY505" s="30" t="s">
        <v>4481</v>
      </c>
      <c r="BC505" s="3" t="s">
        <v>7010</v>
      </c>
      <c r="BD505" s="3" t="s">
        <v>7010</v>
      </c>
      <c r="BE505" s="3" t="s">
        <v>7010</v>
      </c>
      <c r="BF505" s="3" t="s">
        <v>7010</v>
      </c>
      <c r="BG505" s="3" t="s">
        <v>7010</v>
      </c>
      <c r="BH505" s="3" t="s">
        <v>7010</v>
      </c>
      <c r="BI505" s="3" t="s">
        <v>7010</v>
      </c>
      <c r="BJ505" s="3" t="s">
        <v>7010</v>
      </c>
      <c r="BK505" s="74" t="str">
        <f t="shared" si="31"/>
        <v>No</v>
      </c>
    </row>
    <row r="506" spans="7:63">
      <c r="G506">
        <v>505</v>
      </c>
      <c r="H506" s="7" t="s">
        <v>1898</v>
      </c>
      <c r="I506" t="s">
        <v>29</v>
      </c>
      <c r="J506">
        <f>LEN(H506)</f>
        <v>11</v>
      </c>
      <c r="K506" s="49" t="s">
        <v>6049</v>
      </c>
      <c r="O506" s="3" t="s">
        <v>7010</v>
      </c>
      <c r="P506" s="3" t="s">
        <v>7010</v>
      </c>
      <c r="Q506" s="3" t="s">
        <v>7010</v>
      </c>
      <c r="R506" s="3" t="s">
        <v>7010</v>
      </c>
      <c r="S506" s="3" t="s">
        <v>7010</v>
      </c>
      <c r="T506" s="3" t="s">
        <v>7015</v>
      </c>
      <c r="U506" s="3" t="s">
        <v>7010</v>
      </c>
      <c r="V506" s="3" t="s">
        <v>7010</v>
      </c>
      <c r="W506" s="74" t="str">
        <f t="shared" si="29"/>
        <v>Yes</v>
      </c>
      <c r="Z506">
        <v>505</v>
      </c>
      <c r="AA506" s="55" t="s">
        <v>4483</v>
      </c>
      <c r="AC506">
        <f t="shared" si="28"/>
        <v>6</v>
      </c>
      <c r="AD506" s="30" t="s">
        <v>4484</v>
      </c>
      <c r="AF506" t="s">
        <v>7922</v>
      </c>
      <c r="AH506" s="3" t="s">
        <v>7015</v>
      </c>
      <c r="AI506" s="3" t="s">
        <v>7010</v>
      </c>
      <c r="AJ506" s="3" t="s">
        <v>7010</v>
      </c>
      <c r="AK506" s="3" t="s">
        <v>7015</v>
      </c>
      <c r="AL506" s="3" t="s">
        <v>7010</v>
      </c>
      <c r="AM506" s="3" t="s">
        <v>7010</v>
      </c>
      <c r="AN506" s="3" t="s">
        <v>7010</v>
      </c>
      <c r="AO506" s="3" t="s">
        <v>7010</v>
      </c>
      <c r="AP506" s="74" t="s">
        <v>7015</v>
      </c>
      <c r="AU506">
        <v>505</v>
      </c>
      <c r="AV506" t="s">
        <v>4485</v>
      </c>
      <c r="AW506" t="s">
        <v>2279</v>
      </c>
      <c r="AX506">
        <f t="shared" si="30"/>
        <v>15</v>
      </c>
      <c r="AY506" s="30" t="s">
        <v>4486</v>
      </c>
      <c r="BC506" s="3" t="s">
        <v>7010</v>
      </c>
      <c r="BD506" s="3" t="s">
        <v>7010</v>
      </c>
      <c r="BE506" s="3" t="s">
        <v>7010</v>
      </c>
      <c r="BF506" s="3" t="s">
        <v>7010</v>
      </c>
      <c r="BG506" s="3" t="s">
        <v>7010</v>
      </c>
      <c r="BH506" s="3" t="s">
        <v>7010</v>
      </c>
      <c r="BI506" s="3" t="s">
        <v>7010</v>
      </c>
      <c r="BJ506" s="3" t="s">
        <v>7010</v>
      </c>
      <c r="BK506" s="74" t="str">
        <f t="shared" si="31"/>
        <v>No</v>
      </c>
    </row>
    <row r="507" spans="7:63">
      <c r="G507">
        <v>506</v>
      </c>
      <c r="H507" t="s">
        <v>6998</v>
      </c>
      <c r="I507" t="s">
        <v>29</v>
      </c>
      <c r="J507">
        <f>LEN(H507)</f>
        <v>18</v>
      </c>
      <c r="K507" s="49" t="s">
        <v>7000</v>
      </c>
      <c r="O507" s="3" t="s">
        <v>7010</v>
      </c>
      <c r="P507" s="3" t="s">
        <v>7010</v>
      </c>
      <c r="Q507" s="3" t="s">
        <v>7010</v>
      </c>
      <c r="R507" s="3" t="s">
        <v>7010</v>
      </c>
      <c r="S507" s="3" t="s">
        <v>7010</v>
      </c>
      <c r="T507" s="3" t="s">
        <v>7010</v>
      </c>
      <c r="U507" s="3" t="s">
        <v>7010</v>
      </c>
      <c r="V507" s="3" t="s">
        <v>7010</v>
      </c>
      <c r="W507" s="74" t="str">
        <f t="shared" si="29"/>
        <v>No</v>
      </c>
      <c r="Z507">
        <v>506</v>
      </c>
      <c r="AA507" s="55">
        <v>147852</v>
      </c>
      <c r="AC507">
        <f t="shared" si="28"/>
        <v>6</v>
      </c>
      <c r="AD507" s="30" t="s">
        <v>4488</v>
      </c>
      <c r="AF507" t="s">
        <v>7923</v>
      </c>
      <c r="AH507" s="3" t="s">
        <v>7015</v>
      </c>
      <c r="AI507" s="3" t="s">
        <v>7010</v>
      </c>
      <c r="AJ507" s="3" t="s">
        <v>7010</v>
      </c>
      <c r="AK507" s="3" t="s">
        <v>7015</v>
      </c>
      <c r="AL507" s="3" t="s">
        <v>7010</v>
      </c>
      <c r="AM507" s="3" t="s">
        <v>7010</v>
      </c>
      <c r="AN507" s="3" t="s">
        <v>7010</v>
      </c>
      <c r="AO507" s="3" t="s">
        <v>7010</v>
      </c>
      <c r="AP507" s="74" t="s">
        <v>7015</v>
      </c>
      <c r="AU507">
        <v>506</v>
      </c>
      <c r="AV507" t="s">
        <v>4489</v>
      </c>
      <c r="AW507" t="s">
        <v>2279</v>
      </c>
      <c r="AX507">
        <f t="shared" si="30"/>
        <v>12</v>
      </c>
      <c r="AY507" s="30" t="s">
        <v>4490</v>
      </c>
      <c r="BC507" s="3" t="s">
        <v>7010</v>
      </c>
      <c r="BD507" s="3" t="s">
        <v>7010</v>
      </c>
      <c r="BE507" s="3" t="s">
        <v>7010</v>
      </c>
      <c r="BF507" s="3" t="s">
        <v>7010</v>
      </c>
      <c r="BG507" s="3" t="s">
        <v>7010</v>
      </c>
      <c r="BH507" s="3" t="s">
        <v>7010</v>
      </c>
      <c r="BI507" s="3" t="s">
        <v>7010</v>
      </c>
      <c r="BJ507" s="3" t="s">
        <v>7010</v>
      </c>
      <c r="BK507" s="74" t="str">
        <f t="shared" si="31"/>
        <v>No</v>
      </c>
    </row>
    <row r="508" spans="7:63">
      <c r="G508">
        <v>507</v>
      </c>
      <c r="H508" s="7" t="s">
        <v>2215</v>
      </c>
      <c r="I508" t="s">
        <v>29</v>
      </c>
      <c r="J508">
        <f>LEN(H508)</f>
        <v>14</v>
      </c>
      <c r="K508" s="49" t="s">
        <v>6860</v>
      </c>
      <c r="O508" s="3" t="s">
        <v>7010</v>
      </c>
      <c r="P508" s="3" t="s">
        <v>7010</v>
      </c>
      <c r="Q508" s="3" t="s">
        <v>7010</v>
      </c>
      <c r="R508" s="3" t="s">
        <v>7010</v>
      </c>
      <c r="S508" s="3" t="s">
        <v>7010</v>
      </c>
      <c r="T508" s="3" t="s">
        <v>7010</v>
      </c>
      <c r="U508" s="3" t="s">
        <v>7010</v>
      </c>
      <c r="V508" s="3" t="s">
        <v>7010</v>
      </c>
      <c r="W508" s="74" t="str">
        <f t="shared" si="29"/>
        <v>No</v>
      </c>
      <c r="Z508">
        <v>507</v>
      </c>
      <c r="AA508" s="55" t="s">
        <v>4492</v>
      </c>
      <c r="AC508">
        <f t="shared" si="28"/>
        <v>6</v>
      </c>
      <c r="AD508" s="30" t="s">
        <v>4493</v>
      </c>
      <c r="AF508" t="s">
        <v>7924</v>
      </c>
      <c r="AH508" s="3" t="s">
        <v>7015</v>
      </c>
      <c r="AI508" s="3" t="s">
        <v>7010</v>
      </c>
      <c r="AJ508" s="3" t="s">
        <v>7010</v>
      </c>
      <c r="AK508" s="3" t="s">
        <v>7015</v>
      </c>
      <c r="AL508" s="3" t="s">
        <v>7010</v>
      </c>
      <c r="AM508" s="3" t="s">
        <v>7010</v>
      </c>
      <c r="AN508" s="3" t="s">
        <v>7010</v>
      </c>
      <c r="AO508" s="3" t="s">
        <v>7010</v>
      </c>
      <c r="AP508" s="74" t="s">
        <v>7015</v>
      </c>
      <c r="AU508">
        <v>507</v>
      </c>
      <c r="AV508" t="s">
        <v>4494</v>
      </c>
      <c r="AW508" t="s">
        <v>2279</v>
      </c>
      <c r="AX508">
        <f t="shared" si="30"/>
        <v>13</v>
      </c>
      <c r="AY508" s="31" t="s">
        <v>4495</v>
      </c>
      <c r="BC508" s="3" t="s">
        <v>7010</v>
      </c>
      <c r="BD508" s="3" t="s">
        <v>7010</v>
      </c>
      <c r="BE508" s="3" t="s">
        <v>7015</v>
      </c>
      <c r="BF508" s="3" t="s">
        <v>7010</v>
      </c>
      <c r="BG508" s="3" t="s">
        <v>7010</v>
      </c>
      <c r="BH508" s="3" t="s">
        <v>7010</v>
      </c>
      <c r="BI508" s="3" t="s">
        <v>7010</v>
      </c>
      <c r="BJ508" s="3" t="s">
        <v>7010</v>
      </c>
      <c r="BK508" s="74" t="str">
        <f t="shared" si="31"/>
        <v>Yes</v>
      </c>
    </row>
    <row r="509" spans="7:63">
      <c r="G509">
        <v>508</v>
      </c>
      <c r="H509" s="7" t="s">
        <v>2065</v>
      </c>
      <c r="I509" t="s">
        <v>29</v>
      </c>
      <c r="J509">
        <f>LEN(H509)</f>
        <v>16</v>
      </c>
      <c r="K509" s="49" t="s">
        <v>6490</v>
      </c>
      <c r="O509" s="3" t="s">
        <v>7010</v>
      </c>
      <c r="P509" s="3" t="s">
        <v>7010</v>
      </c>
      <c r="Q509" s="3" t="s">
        <v>7010</v>
      </c>
      <c r="R509" s="3" t="s">
        <v>7010</v>
      </c>
      <c r="S509" s="3" t="s">
        <v>7010</v>
      </c>
      <c r="T509" s="3" t="s">
        <v>7010</v>
      </c>
      <c r="U509" s="3" t="s">
        <v>7010</v>
      </c>
      <c r="V509" s="3" t="s">
        <v>7010</v>
      </c>
      <c r="W509" s="74" t="str">
        <f t="shared" si="29"/>
        <v>No</v>
      </c>
      <c r="Z509">
        <v>508</v>
      </c>
      <c r="AA509" s="55" t="s">
        <v>4497</v>
      </c>
      <c r="AC509">
        <f t="shared" si="28"/>
        <v>6</v>
      </c>
      <c r="AD509" s="30" t="s">
        <v>4498</v>
      </c>
      <c r="AF509" t="s">
        <v>7925</v>
      </c>
      <c r="AH509" s="3" t="s">
        <v>7015</v>
      </c>
      <c r="AI509" s="3" t="s">
        <v>7010</v>
      </c>
      <c r="AJ509" s="3" t="s">
        <v>7010</v>
      </c>
      <c r="AK509" s="3" t="s">
        <v>7015</v>
      </c>
      <c r="AL509" s="3" t="s">
        <v>7010</v>
      </c>
      <c r="AM509" s="3" t="s">
        <v>7010</v>
      </c>
      <c r="AN509" s="3" t="s">
        <v>7010</v>
      </c>
      <c r="AO509" s="3" t="s">
        <v>7010</v>
      </c>
      <c r="AP509" s="74" t="s">
        <v>7015</v>
      </c>
      <c r="AU509">
        <v>508</v>
      </c>
      <c r="AV509" t="s">
        <v>4499</v>
      </c>
      <c r="AW509" t="s">
        <v>2279</v>
      </c>
      <c r="AX509">
        <f t="shared" si="30"/>
        <v>10</v>
      </c>
      <c r="AY509" s="30" t="s">
        <v>4500</v>
      </c>
      <c r="BC509" s="3" t="s">
        <v>7010</v>
      </c>
      <c r="BD509" s="3" t="s">
        <v>7010</v>
      </c>
      <c r="BE509" s="3" t="s">
        <v>7010</v>
      </c>
      <c r="BF509" s="3" t="s">
        <v>7010</v>
      </c>
      <c r="BG509" s="3" t="s">
        <v>7010</v>
      </c>
      <c r="BH509" s="3" t="s">
        <v>7010</v>
      </c>
      <c r="BI509" s="3" t="s">
        <v>7010</v>
      </c>
      <c r="BJ509" s="3" t="s">
        <v>7010</v>
      </c>
      <c r="BK509" s="74" t="str">
        <f t="shared" si="31"/>
        <v>No</v>
      </c>
    </row>
    <row r="510" spans="7:63">
      <c r="G510">
        <v>509</v>
      </c>
      <c r="H510" s="7" t="s">
        <v>2061</v>
      </c>
      <c r="I510" t="s">
        <v>29</v>
      </c>
      <c r="J510">
        <f>LEN(H510)</f>
        <v>13</v>
      </c>
      <c r="K510" s="49" t="s">
        <v>6480</v>
      </c>
      <c r="O510" s="3" t="s">
        <v>7010</v>
      </c>
      <c r="P510" s="3" t="s">
        <v>7010</v>
      </c>
      <c r="Q510" s="3" t="s">
        <v>7010</v>
      </c>
      <c r="R510" s="3" t="s">
        <v>7010</v>
      </c>
      <c r="S510" s="3" t="s">
        <v>7010</v>
      </c>
      <c r="T510" s="3" t="s">
        <v>7015</v>
      </c>
      <c r="U510" s="3" t="s">
        <v>7010</v>
      </c>
      <c r="V510" s="3" t="s">
        <v>7010</v>
      </c>
      <c r="W510" s="74" t="str">
        <f t="shared" si="29"/>
        <v>Yes</v>
      </c>
      <c r="Z510">
        <v>509</v>
      </c>
      <c r="AA510" s="55" t="s">
        <v>4502</v>
      </c>
      <c r="AC510">
        <f t="shared" si="28"/>
        <v>8</v>
      </c>
      <c r="AD510" s="30" t="s">
        <v>4503</v>
      </c>
      <c r="AF510" t="s">
        <v>7926</v>
      </c>
      <c r="AH510" s="3" t="s">
        <v>7015</v>
      </c>
      <c r="AI510" s="3" t="s">
        <v>7010</v>
      </c>
      <c r="AJ510" s="3" t="s">
        <v>7010</v>
      </c>
      <c r="AK510" s="3" t="s">
        <v>7015</v>
      </c>
      <c r="AL510" s="3" t="s">
        <v>7010</v>
      </c>
      <c r="AM510" s="3" t="s">
        <v>7010</v>
      </c>
      <c r="AN510" s="3" t="s">
        <v>7010</v>
      </c>
      <c r="AO510" s="3" t="s">
        <v>7010</v>
      </c>
      <c r="AP510" s="74" t="s">
        <v>7015</v>
      </c>
      <c r="AU510">
        <v>509</v>
      </c>
      <c r="AV510" t="s">
        <v>4504</v>
      </c>
      <c r="AW510" t="s">
        <v>2279</v>
      </c>
      <c r="AX510">
        <f t="shared" si="30"/>
        <v>13</v>
      </c>
      <c r="AY510" s="30" t="s">
        <v>4505</v>
      </c>
      <c r="BC510" s="3" t="s">
        <v>7010</v>
      </c>
      <c r="BD510" s="3" t="s">
        <v>7010</v>
      </c>
      <c r="BE510" s="3" t="s">
        <v>7010</v>
      </c>
      <c r="BF510" s="3" t="s">
        <v>7010</v>
      </c>
      <c r="BG510" s="3" t="s">
        <v>7010</v>
      </c>
      <c r="BH510" s="3" t="s">
        <v>7010</v>
      </c>
      <c r="BI510" s="3" t="s">
        <v>7010</v>
      </c>
      <c r="BJ510" s="3" t="s">
        <v>7010</v>
      </c>
      <c r="BK510" s="74" t="str">
        <f t="shared" si="31"/>
        <v>No</v>
      </c>
    </row>
    <row r="511" spans="7:63">
      <c r="G511">
        <v>510</v>
      </c>
      <c r="H511" s="7" t="s">
        <v>2127</v>
      </c>
      <c r="I511" t="s">
        <v>29</v>
      </c>
      <c r="J511">
        <f>LEN(H511)</f>
        <v>17</v>
      </c>
      <c r="K511" s="49" t="s">
        <v>6643</v>
      </c>
      <c r="O511" s="3" t="s">
        <v>7010</v>
      </c>
      <c r="P511" s="3" t="s">
        <v>7010</v>
      </c>
      <c r="Q511" s="3" t="s">
        <v>7010</v>
      </c>
      <c r="R511" s="3" t="s">
        <v>7010</v>
      </c>
      <c r="S511" s="3" t="s">
        <v>7010</v>
      </c>
      <c r="T511" s="3" t="s">
        <v>7015</v>
      </c>
      <c r="U511" s="3" t="s">
        <v>7010</v>
      </c>
      <c r="V511" s="3" t="s">
        <v>7010</v>
      </c>
      <c r="W511" s="74" t="str">
        <f t="shared" si="29"/>
        <v>Yes</v>
      </c>
      <c r="Z511">
        <v>510</v>
      </c>
      <c r="AA511" s="55" t="s">
        <v>4507</v>
      </c>
      <c r="AC511">
        <f t="shared" si="28"/>
        <v>5</v>
      </c>
      <c r="AD511" s="30" t="s">
        <v>4508</v>
      </c>
      <c r="AF511" t="s">
        <v>7927</v>
      </c>
      <c r="AH511" s="3" t="s">
        <v>7015</v>
      </c>
      <c r="AI511" s="3" t="s">
        <v>7010</v>
      </c>
      <c r="AJ511" s="3" t="s">
        <v>7010</v>
      </c>
      <c r="AK511" s="3" t="s">
        <v>7015</v>
      </c>
      <c r="AL511" s="3" t="s">
        <v>7010</v>
      </c>
      <c r="AM511" s="3" t="s">
        <v>7010</v>
      </c>
      <c r="AN511" s="3" t="s">
        <v>7010</v>
      </c>
      <c r="AO511" s="3" t="s">
        <v>7010</v>
      </c>
      <c r="AP511" s="74" t="s">
        <v>7015</v>
      </c>
      <c r="AU511">
        <v>510</v>
      </c>
      <c r="AV511" t="s">
        <v>4509</v>
      </c>
      <c r="AW511" t="s">
        <v>2279</v>
      </c>
      <c r="AX511">
        <f t="shared" si="30"/>
        <v>14</v>
      </c>
      <c r="AY511" s="30" t="s">
        <v>4510</v>
      </c>
      <c r="BC511" s="3" t="s">
        <v>7010</v>
      </c>
      <c r="BD511" s="3" t="s">
        <v>7010</v>
      </c>
      <c r="BE511" s="3" t="s">
        <v>7010</v>
      </c>
      <c r="BF511" s="3" t="s">
        <v>7010</v>
      </c>
      <c r="BG511" s="3" t="s">
        <v>7010</v>
      </c>
      <c r="BH511" s="3" t="s">
        <v>7010</v>
      </c>
      <c r="BI511" s="3" t="s">
        <v>7010</v>
      </c>
      <c r="BJ511" s="3" t="s">
        <v>7010</v>
      </c>
      <c r="BK511" s="74" t="str">
        <f t="shared" si="31"/>
        <v>No</v>
      </c>
    </row>
    <row r="512" spans="7:63">
      <c r="G512">
        <v>511</v>
      </c>
      <c r="H512" s="7" t="s">
        <v>627</v>
      </c>
      <c r="I512" t="s">
        <v>29</v>
      </c>
      <c r="J512">
        <f>LEN(H512)</f>
        <v>15</v>
      </c>
      <c r="K512" s="49" t="s">
        <v>3425</v>
      </c>
      <c r="O512" s="3" t="s">
        <v>7010</v>
      </c>
      <c r="P512" s="3" t="s">
        <v>7010</v>
      </c>
      <c r="Q512" s="3" t="s">
        <v>7010</v>
      </c>
      <c r="R512" s="3" t="s">
        <v>7010</v>
      </c>
      <c r="S512" s="3" t="s">
        <v>7010</v>
      </c>
      <c r="T512" s="3" t="s">
        <v>7010</v>
      </c>
      <c r="U512" s="3" t="s">
        <v>7010</v>
      </c>
      <c r="V512" s="3" t="s">
        <v>7010</v>
      </c>
      <c r="W512" s="74" t="str">
        <f t="shared" si="29"/>
        <v>No</v>
      </c>
      <c r="Z512">
        <v>511</v>
      </c>
      <c r="AA512" s="55" t="s">
        <v>4512</v>
      </c>
      <c r="AC512">
        <f t="shared" si="28"/>
        <v>6</v>
      </c>
      <c r="AD512" s="30" t="s">
        <v>4513</v>
      </c>
      <c r="AF512" t="s">
        <v>7928</v>
      </c>
      <c r="AH512" s="3" t="s">
        <v>7015</v>
      </c>
      <c r="AI512" s="3" t="s">
        <v>7010</v>
      </c>
      <c r="AJ512" s="3" t="s">
        <v>7010</v>
      </c>
      <c r="AK512" s="3" t="s">
        <v>7015</v>
      </c>
      <c r="AL512" s="3" t="s">
        <v>7010</v>
      </c>
      <c r="AM512" s="3" t="s">
        <v>7010</v>
      </c>
      <c r="AN512" s="3" t="s">
        <v>7010</v>
      </c>
      <c r="AO512" s="3" t="s">
        <v>7010</v>
      </c>
      <c r="AP512" s="74" t="s">
        <v>7015</v>
      </c>
      <c r="AU512">
        <v>511</v>
      </c>
      <c r="AV512" t="s">
        <v>4514</v>
      </c>
      <c r="AW512" t="s">
        <v>2279</v>
      </c>
      <c r="AX512">
        <f t="shared" si="30"/>
        <v>8</v>
      </c>
      <c r="AY512" s="30" t="s">
        <v>4515</v>
      </c>
      <c r="BC512" s="3" t="s">
        <v>7010</v>
      </c>
      <c r="BD512" s="3" t="s">
        <v>7010</v>
      </c>
      <c r="BE512" s="3" t="s">
        <v>7010</v>
      </c>
      <c r="BF512" s="3" t="s">
        <v>7010</v>
      </c>
      <c r="BG512" s="3" t="s">
        <v>7010</v>
      </c>
      <c r="BH512" s="3" t="s">
        <v>7010</v>
      </c>
      <c r="BI512" s="3" t="s">
        <v>7010</v>
      </c>
      <c r="BJ512" s="3" t="s">
        <v>7010</v>
      </c>
      <c r="BK512" s="74" t="str">
        <f t="shared" si="31"/>
        <v>No</v>
      </c>
    </row>
    <row r="513" spans="7:63">
      <c r="G513">
        <v>512</v>
      </c>
      <c r="H513" s="7" t="s">
        <v>1056</v>
      </c>
      <c r="I513" t="s">
        <v>29</v>
      </c>
      <c r="J513">
        <f>LEN(H513)</f>
        <v>10</v>
      </c>
      <c r="K513" s="49" t="s">
        <v>3848</v>
      </c>
      <c r="O513" s="3" t="s">
        <v>7010</v>
      </c>
      <c r="P513" s="3" t="s">
        <v>7010</v>
      </c>
      <c r="Q513" s="3" t="s">
        <v>7010</v>
      </c>
      <c r="R513" s="3" t="s">
        <v>7010</v>
      </c>
      <c r="S513" s="3" t="s">
        <v>7010</v>
      </c>
      <c r="T513" s="3" t="s">
        <v>7010</v>
      </c>
      <c r="U513" s="3" t="s">
        <v>7010</v>
      </c>
      <c r="V513" s="3" t="s">
        <v>7010</v>
      </c>
      <c r="W513" s="74" t="str">
        <f t="shared" si="29"/>
        <v>No</v>
      </c>
      <c r="Z513">
        <v>512</v>
      </c>
      <c r="AA513" s="55" t="s">
        <v>4517</v>
      </c>
      <c r="AC513">
        <f t="shared" si="28"/>
        <v>7</v>
      </c>
      <c r="AD513" s="30" t="s">
        <v>4518</v>
      </c>
      <c r="AF513" t="s">
        <v>7929</v>
      </c>
      <c r="AH513" s="3" t="s">
        <v>7015</v>
      </c>
      <c r="AI513" s="3" t="s">
        <v>7010</v>
      </c>
      <c r="AJ513" s="3" t="s">
        <v>7010</v>
      </c>
      <c r="AK513" s="3" t="s">
        <v>7015</v>
      </c>
      <c r="AL513" s="3" t="s">
        <v>7010</v>
      </c>
      <c r="AM513" s="3" t="s">
        <v>7010</v>
      </c>
      <c r="AN513" s="3" t="s">
        <v>7010</v>
      </c>
      <c r="AO513" s="3" t="s">
        <v>7010</v>
      </c>
      <c r="AP513" s="74" t="s">
        <v>7015</v>
      </c>
      <c r="AU513">
        <v>512</v>
      </c>
      <c r="AV513" t="s">
        <v>4519</v>
      </c>
      <c r="AW513" t="s">
        <v>2279</v>
      </c>
      <c r="AX513">
        <f t="shared" si="30"/>
        <v>14</v>
      </c>
      <c r="AY513" s="30" t="s">
        <v>4520</v>
      </c>
      <c r="BC513" s="3" t="s">
        <v>7010</v>
      </c>
      <c r="BD513" s="3" t="s">
        <v>7010</v>
      </c>
      <c r="BE513" s="3" t="s">
        <v>7010</v>
      </c>
      <c r="BF513" s="3" t="s">
        <v>7010</v>
      </c>
      <c r="BG513" s="3" t="s">
        <v>7010</v>
      </c>
      <c r="BH513" s="3" t="s">
        <v>7010</v>
      </c>
      <c r="BI513" s="3" t="s">
        <v>7010</v>
      </c>
      <c r="BJ513" s="3" t="s">
        <v>7010</v>
      </c>
      <c r="BK513" s="74" t="str">
        <f t="shared" si="31"/>
        <v>No</v>
      </c>
    </row>
    <row r="514" spans="7:63">
      <c r="G514">
        <v>513</v>
      </c>
      <c r="H514" s="7" t="s">
        <v>380</v>
      </c>
      <c r="I514" t="s">
        <v>29</v>
      </c>
      <c r="J514">
        <f>LEN(H514)</f>
        <v>13</v>
      </c>
      <c r="K514" s="49" t="s">
        <v>2437</v>
      </c>
      <c r="O514" s="3" t="s">
        <v>7010</v>
      </c>
      <c r="P514" s="3" t="s">
        <v>7010</v>
      </c>
      <c r="Q514" s="3" t="s">
        <v>7010</v>
      </c>
      <c r="R514" s="3" t="s">
        <v>7010</v>
      </c>
      <c r="S514" s="3" t="s">
        <v>7010</v>
      </c>
      <c r="T514" s="3" t="s">
        <v>7010</v>
      </c>
      <c r="U514" s="3" t="s">
        <v>7010</v>
      </c>
      <c r="V514" s="3" t="s">
        <v>7010</v>
      </c>
      <c r="W514" s="74" t="str">
        <f t="shared" si="29"/>
        <v>No</v>
      </c>
      <c r="Z514">
        <v>513</v>
      </c>
      <c r="AA514" s="55" t="s">
        <v>4522</v>
      </c>
      <c r="AC514">
        <f t="shared" ref="AC514:AC577" si="32">LEN(AA514)</f>
        <v>6</v>
      </c>
      <c r="AD514" s="30" t="s">
        <v>4523</v>
      </c>
      <c r="AF514" t="s">
        <v>7930</v>
      </c>
      <c r="AH514" s="3" t="s">
        <v>7015</v>
      </c>
      <c r="AI514" s="3" t="s">
        <v>7010</v>
      </c>
      <c r="AJ514" s="3" t="s">
        <v>7010</v>
      </c>
      <c r="AK514" s="3" t="s">
        <v>7015</v>
      </c>
      <c r="AL514" s="3" t="s">
        <v>7010</v>
      </c>
      <c r="AM514" s="3" t="s">
        <v>7010</v>
      </c>
      <c r="AN514" s="3" t="s">
        <v>7010</v>
      </c>
      <c r="AO514" s="3" t="s">
        <v>7010</v>
      </c>
      <c r="AP514" s="74" t="s">
        <v>7015</v>
      </c>
      <c r="AU514">
        <v>513</v>
      </c>
      <c r="AV514" t="s">
        <v>4524</v>
      </c>
      <c r="AW514" t="s">
        <v>2279</v>
      </c>
      <c r="AX514">
        <f t="shared" si="30"/>
        <v>8</v>
      </c>
      <c r="AY514" s="30" t="s">
        <v>4525</v>
      </c>
      <c r="BC514" s="3" t="s">
        <v>7010</v>
      </c>
      <c r="BD514" s="3" t="s">
        <v>7010</v>
      </c>
      <c r="BE514" s="3" t="s">
        <v>7010</v>
      </c>
      <c r="BF514" s="3" t="s">
        <v>7010</v>
      </c>
      <c r="BG514" s="3" t="s">
        <v>7010</v>
      </c>
      <c r="BH514" s="3" t="s">
        <v>7010</v>
      </c>
      <c r="BI514" s="3" t="s">
        <v>7010</v>
      </c>
      <c r="BJ514" s="3" t="s">
        <v>7010</v>
      </c>
      <c r="BK514" s="74" t="str">
        <f t="shared" si="31"/>
        <v>No</v>
      </c>
    </row>
    <row r="515" spans="7:63">
      <c r="G515">
        <v>514</v>
      </c>
      <c r="H515" s="7" t="s">
        <v>631</v>
      </c>
      <c r="I515" t="s">
        <v>29</v>
      </c>
      <c r="J515">
        <f>LEN(H515)</f>
        <v>12</v>
      </c>
      <c r="K515" s="49" t="s">
        <v>3441</v>
      </c>
      <c r="O515" s="3" t="s">
        <v>7010</v>
      </c>
      <c r="P515" s="3" t="s">
        <v>7010</v>
      </c>
      <c r="Q515" s="3" t="s">
        <v>7010</v>
      </c>
      <c r="R515" s="3" t="s">
        <v>7010</v>
      </c>
      <c r="S515" s="3" t="s">
        <v>7010</v>
      </c>
      <c r="T515" s="3" t="s">
        <v>7015</v>
      </c>
      <c r="U515" s="3" t="s">
        <v>7010</v>
      </c>
      <c r="V515" s="3" t="s">
        <v>7010</v>
      </c>
      <c r="W515" s="74" t="str">
        <f t="shared" ref="W515:W578" si="33">IF(COUNTIF(O515:V515, "Yes") &gt; 0, "Yes", "No")</f>
        <v>Yes</v>
      </c>
      <c r="Z515">
        <v>514</v>
      </c>
      <c r="AA515" s="55">
        <v>444444</v>
      </c>
      <c r="AC515">
        <f t="shared" si="32"/>
        <v>6</v>
      </c>
      <c r="AD515" s="30" t="s">
        <v>4527</v>
      </c>
      <c r="AF515" t="s">
        <v>7931</v>
      </c>
      <c r="AH515" s="3" t="s">
        <v>7015</v>
      </c>
      <c r="AI515" s="3" t="s">
        <v>7010</v>
      </c>
      <c r="AJ515" s="3" t="s">
        <v>7010</v>
      </c>
      <c r="AK515" s="3" t="s">
        <v>7015</v>
      </c>
      <c r="AL515" s="3" t="s">
        <v>7010</v>
      </c>
      <c r="AM515" s="3" t="s">
        <v>7010</v>
      </c>
      <c r="AN515" s="3" t="s">
        <v>7010</v>
      </c>
      <c r="AO515" s="3" t="s">
        <v>7010</v>
      </c>
      <c r="AP515" s="74" t="s">
        <v>7015</v>
      </c>
      <c r="AU515">
        <v>514</v>
      </c>
      <c r="AV515" t="s">
        <v>4528</v>
      </c>
      <c r="AW515" t="s">
        <v>2279</v>
      </c>
      <c r="AX515">
        <f t="shared" ref="AX515:AX578" si="34">LEN(AV515)</f>
        <v>14</v>
      </c>
      <c r="AY515" s="30" t="s">
        <v>4529</v>
      </c>
      <c r="BC515" s="3" t="s">
        <v>7010</v>
      </c>
      <c r="BD515" s="3" t="s">
        <v>7010</v>
      </c>
      <c r="BE515" s="3" t="s">
        <v>7010</v>
      </c>
      <c r="BF515" s="3" t="s">
        <v>7010</v>
      </c>
      <c r="BG515" s="3" t="s">
        <v>7010</v>
      </c>
      <c r="BH515" s="3" t="s">
        <v>7010</v>
      </c>
      <c r="BI515" s="3" t="s">
        <v>7010</v>
      </c>
      <c r="BJ515" s="3" t="s">
        <v>7010</v>
      </c>
      <c r="BK515" s="74" t="str">
        <f t="shared" ref="BK515:BK578" si="35">IF(COUNTIF(BC515:BJ515, "Yes") &gt; 0, "Yes", "No")</f>
        <v>No</v>
      </c>
    </row>
    <row r="516" spans="7:63">
      <c r="G516">
        <v>515</v>
      </c>
      <c r="H516" s="7" t="s">
        <v>1018</v>
      </c>
      <c r="I516" t="s">
        <v>29</v>
      </c>
      <c r="J516">
        <f>LEN(H516)</f>
        <v>14</v>
      </c>
      <c r="K516" s="49" t="s">
        <v>3747</v>
      </c>
      <c r="O516" s="3" t="s">
        <v>7010</v>
      </c>
      <c r="P516" s="3" t="s">
        <v>7010</v>
      </c>
      <c r="Q516" s="3" t="s">
        <v>7010</v>
      </c>
      <c r="R516" s="3" t="s">
        <v>7010</v>
      </c>
      <c r="S516" s="3" t="s">
        <v>7010</v>
      </c>
      <c r="T516" s="3" t="s">
        <v>7015</v>
      </c>
      <c r="U516" s="3" t="s">
        <v>7010</v>
      </c>
      <c r="V516" s="3" t="s">
        <v>7010</v>
      </c>
      <c r="W516" s="74" t="str">
        <f t="shared" si="33"/>
        <v>Yes</v>
      </c>
      <c r="Z516">
        <v>515</v>
      </c>
      <c r="AA516" s="55" t="s">
        <v>4531</v>
      </c>
      <c r="AC516">
        <f t="shared" si="32"/>
        <v>6</v>
      </c>
      <c r="AD516" s="30" t="s">
        <v>4532</v>
      </c>
      <c r="AF516" t="s">
        <v>7932</v>
      </c>
      <c r="AH516" s="3" t="s">
        <v>7015</v>
      </c>
      <c r="AI516" s="3" t="s">
        <v>7010</v>
      </c>
      <c r="AJ516" s="3" t="s">
        <v>7010</v>
      </c>
      <c r="AK516" s="3" t="s">
        <v>7015</v>
      </c>
      <c r="AL516" s="3" t="s">
        <v>7010</v>
      </c>
      <c r="AM516" s="3" t="s">
        <v>7010</v>
      </c>
      <c r="AN516" s="3" t="s">
        <v>7010</v>
      </c>
      <c r="AO516" s="3" t="s">
        <v>7010</v>
      </c>
      <c r="AP516" s="74" t="s">
        <v>7015</v>
      </c>
      <c r="AU516">
        <v>515</v>
      </c>
      <c r="AV516" t="s">
        <v>4533</v>
      </c>
      <c r="AW516" t="s">
        <v>2279</v>
      </c>
      <c r="AX516">
        <f t="shared" si="34"/>
        <v>11</v>
      </c>
      <c r="AY516" s="30" t="s">
        <v>4534</v>
      </c>
      <c r="BC516" s="3" t="s">
        <v>7010</v>
      </c>
      <c r="BD516" s="3" t="s">
        <v>7010</v>
      </c>
      <c r="BE516" s="3" t="s">
        <v>7010</v>
      </c>
      <c r="BF516" s="3" t="s">
        <v>7010</v>
      </c>
      <c r="BG516" s="3" t="s">
        <v>7010</v>
      </c>
      <c r="BH516" s="3" t="s">
        <v>7010</v>
      </c>
      <c r="BI516" s="3" t="s">
        <v>7010</v>
      </c>
      <c r="BJ516" s="3" t="s">
        <v>7010</v>
      </c>
      <c r="BK516" s="74" t="str">
        <f t="shared" si="35"/>
        <v>No</v>
      </c>
    </row>
    <row r="517" spans="7:63">
      <c r="G517">
        <v>516</v>
      </c>
      <c r="H517" s="7" t="s">
        <v>596</v>
      </c>
      <c r="I517" t="s">
        <v>29</v>
      </c>
      <c r="J517">
        <f>LEN(H517)</f>
        <v>16</v>
      </c>
      <c r="K517" s="49" t="s">
        <v>3301</v>
      </c>
      <c r="O517" s="3" t="s">
        <v>7010</v>
      </c>
      <c r="P517" s="3" t="s">
        <v>7010</v>
      </c>
      <c r="Q517" s="3" t="s">
        <v>7010</v>
      </c>
      <c r="R517" s="3" t="s">
        <v>7010</v>
      </c>
      <c r="S517" s="3" t="s">
        <v>7010</v>
      </c>
      <c r="T517" s="3" t="s">
        <v>7015</v>
      </c>
      <c r="U517" s="3" t="s">
        <v>7010</v>
      </c>
      <c r="V517" s="3" t="s">
        <v>7010</v>
      </c>
      <c r="W517" s="74" t="str">
        <f t="shared" si="33"/>
        <v>Yes</v>
      </c>
      <c r="Z517">
        <v>516</v>
      </c>
      <c r="AA517" s="55" t="s">
        <v>4536</v>
      </c>
      <c r="AC517">
        <f t="shared" si="32"/>
        <v>6</v>
      </c>
      <c r="AD517" s="30" t="s">
        <v>4537</v>
      </c>
      <c r="AF517" t="s">
        <v>7933</v>
      </c>
      <c r="AH517" s="3" t="s">
        <v>7015</v>
      </c>
      <c r="AI517" s="3" t="s">
        <v>7010</v>
      </c>
      <c r="AJ517" s="3" t="s">
        <v>7010</v>
      </c>
      <c r="AK517" s="3" t="s">
        <v>7015</v>
      </c>
      <c r="AL517" s="3" t="s">
        <v>7010</v>
      </c>
      <c r="AM517" s="3" t="s">
        <v>7010</v>
      </c>
      <c r="AN517" s="3" t="s">
        <v>7010</v>
      </c>
      <c r="AO517" s="3" t="s">
        <v>7010</v>
      </c>
      <c r="AP517" s="74" t="s">
        <v>7015</v>
      </c>
      <c r="AU517">
        <v>516</v>
      </c>
      <c r="AV517" t="s">
        <v>4538</v>
      </c>
      <c r="AW517" t="s">
        <v>2279</v>
      </c>
      <c r="AX517">
        <f t="shared" si="34"/>
        <v>8</v>
      </c>
      <c r="AY517" s="30" t="s">
        <v>4539</v>
      </c>
      <c r="BC517" s="3" t="s">
        <v>7010</v>
      </c>
      <c r="BD517" s="3" t="s">
        <v>7010</v>
      </c>
      <c r="BE517" s="3" t="s">
        <v>7010</v>
      </c>
      <c r="BF517" s="3" t="s">
        <v>7010</v>
      </c>
      <c r="BG517" s="3" t="s">
        <v>7010</v>
      </c>
      <c r="BH517" s="3" t="s">
        <v>7010</v>
      </c>
      <c r="BI517" s="3" t="s">
        <v>7010</v>
      </c>
      <c r="BJ517" s="3" t="s">
        <v>7010</v>
      </c>
      <c r="BK517" s="74" t="str">
        <f t="shared" si="35"/>
        <v>No</v>
      </c>
    </row>
    <row r="518" spans="7:63">
      <c r="G518">
        <v>517</v>
      </c>
      <c r="H518" s="7" t="s">
        <v>1981</v>
      </c>
      <c r="I518" t="s">
        <v>29</v>
      </c>
      <c r="J518">
        <f>LEN(H518)</f>
        <v>13</v>
      </c>
      <c r="K518" s="49" t="s">
        <v>6277</v>
      </c>
      <c r="O518" s="3" t="s">
        <v>7010</v>
      </c>
      <c r="P518" s="3" t="s">
        <v>7010</v>
      </c>
      <c r="Q518" s="3" t="s">
        <v>7010</v>
      </c>
      <c r="R518" s="3" t="s">
        <v>7015</v>
      </c>
      <c r="S518" s="3" t="s">
        <v>7010</v>
      </c>
      <c r="T518" s="3" t="s">
        <v>7015</v>
      </c>
      <c r="U518" s="3" t="s">
        <v>7010</v>
      </c>
      <c r="V518" s="3" t="s">
        <v>7010</v>
      </c>
      <c r="W518" s="74" t="str">
        <f t="shared" si="33"/>
        <v>Yes</v>
      </c>
      <c r="Z518">
        <v>517</v>
      </c>
      <c r="AA518" s="55" t="s">
        <v>4541</v>
      </c>
      <c r="AC518">
        <f t="shared" si="32"/>
        <v>6</v>
      </c>
      <c r="AD518" s="30" t="s">
        <v>4542</v>
      </c>
      <c r="AF518" t="s">
        <v>7934</v>
      </c>
      <c r="AH518" s="3" t="s">
        <v>7015</v>
      </c>
      <c r="AI518" s="3" t="s">
        <v>7010</v>
      </c>
      <c r="AJ518" s="3" t="s">
        <v>7010</v>
      </c>
      <c r="AK518" s="3" t="s">
        <v>7015</v>
      </c>
      <c r="AL518" s="3" t="s">
        <v>7010</v>
      </c>
      <c r="AM518" s="3" t="s">
        <v>7010</v>
      </c>
      <c r="AN518" s="3" t="s">
        <v>7010</v>
      </c>
      <c r="AO518" s="3" t="s">
        <v>7010</v>
      </c>
      <c r="AP518" s="74" t="s">
        <v>7015</v>
      </c>
      <c r="AU518">
        <v>517</v>
      </c>
      <c r="AV518" t="s">
        <v>4543</v>
      </c>
      <c r="AW518" t="s">
        <v>2279</v>
      </c>
      <c r="AX518">
        <f t="shared" si="34"/>
        <v>14</v>
      </c>
      <c r="AY518" s="30" t="s">
        <v>4544</v>
      </c>
      <c r="BC518" s="3" t="s">
        <v>7010</v>
      </c>
      <c r="BD518" s="3" t="s">
        <v>7010</v>
      </c>
      <c r="BE518" s="3" t="s">
        <v>7010</v>
      </c>
      <c r="BF518" s="3" t="s">
        <v>7010</v>
      </c>
      <c r="BG518" s="3" t="s">
        <v>7010</v>
      </c>
      <c r="BH518" s="3" t="s">
        <v>7010</v>
      </c>
      <c r="BI518" s="3" t="s">
        <v>7010</v>
      </c>
      <c r="BJ518" s="3" t="s">
        <v>7010</v>
      </c>
      <c r="BK518" s="74" t="str">
        <f t="shared" si="35"/>
        <v>No</v>
      </c>
    </row>
    <row r="519" spans="7:63">
      <c r="G519">
        <v>518</v>
      </c>
      <c r="H519" s="7" t="s">
        <v>1932</v>
      </c>
      <c r="I519" t="s">
        <v>29</v>
      </c>
      <c r="J519">
        <f>LEN(H519)</f>
        <v>9</v>
      </c>
      <c r="K519" s="49" t="s">
        <v>6142</v>
      </c>
      <c r="O519" s="3" t="s">
        <v>7010</v>
      </c>
      <c r="P519" s="3" t="s">
        <v>7010</v>
      </c>
      <c r="Q519" s="3" t="s">
        <v>7010</v>
      </c>
      <c r="R519" s="3" t="s">
        <v>7010</v>
      </c>
      <c r="S519" s="3" t="s">
        <v>7010</v>
      </c>
      <c r="T519" s="3" t="s">
        <v>7015</v>
      </c>
      <c r="U519" s="3" t="s">
        <v>7010</v>
      </c>
      <c r="V519" s="3" t="s">
        <v>7010</v>
      </c>
      <c r="W519" s="74" t="str">
        <f t="shared" si="33"/>
        <v>Yes</v>
      </c>
      <c r="Z519">
        <v>518</v>
      </c>
      <c r="AA519" s="55" t="s">
        <v>4546</v>
      </c>
      <c r="AC519">
        <f t="shared" si="32"/>
        <v>7</v>
      </c>
      <c r="AD519" s="30" t="s">
        <v>4547</v>
      </c>
      <c r="AF519" t="s">
        <v>7935</v>
      </c>
      <c r="AH519" s="3" t="s">
        <v>7015</v>
      </c>
      <c r="AI519" s="3" t="s">
        <v>7010</v>
      </c>
      <c r="AJ519" s="3" t="s">
        <v>7010</v>
      </c>
      <c r="AK519" s="3" t="s">
        <v>7015</v>
      </c>
      <c r="AL519" s="3" t="s">
        <v>7010</v>
      </c>
      <c r="AM519" s="3" t="s">
        <v>7010</v>
      </c>
      <c r="AN519" s="3" t="s">
        <v>7010</v>
      </c>
      <c r="AO519" s="3" t="s">
        <v>7010</v>
      </c>
      <c r="AP519" s="74" t="s">
        <v>7015</v>
      </c>
      <c r="AU519">
        <v>518</v>
      </c>
      <c r="AV519" t="s">
        <v>4548</v>
      </c>
      <c r="AW519" t="s">
        <v>2279</v>
      </c>
      <c r="AX519">
        <f t="shared" si="34"/>
        <v>9</v>
      </c>
      <c r="AY519" s="30" t="s">
        <v>4549</v>
      </c>
      <c r="BC519" s="3" t="s">
        <v>7010</v>
      </c>
      <c r="BD519" s="3" t="s">
        <v>7010</v>
      </c>
      <c r="BE519" s="3" t="s">
        <v>7010</v>
      </c>
      <c r="BF519" s="3" t="s">
        <v>7010</v>
      </c>
      <c r="BG519" s="3" t="s">
        <v>7010</v>
      </c>
      <c r="BH519" s="3" t="s">
        <v>7010</v>
      </c>
      <c r="BI519" s="3" t="s">
        <v>7010</v>
      </c>
      <c r="BJ519" s="3" t="s">
        <v>7010</v>
      </c>
      <c r="BK519" s="74" t="str">
        <f t="shared" si="35"/>
        <v>No</v>
      </c>
    </row>
    <row r="520" spans="7:63">
      <c r="G520">
        <v>519</v>
      </c>
      <c r="H520" s="9" t="s">
        <v>435</v>
      </c>
      <c r="I520" t="s">
        <v>29</v>
      </c>
      <c r="J520">
        <f>LEN(H520)</f>
        <v>11</v>
      </c>
      <c r="K520" s="49" t="s">
        <v>2657</v>
      </c>
      <c r="O520" s="3" t="s">
        <v>7010</v>
      </c>
      <c r="P520" s="3" t="s">
        <v>7010</v>
      </c>
      <c r="Q520" s="3" t="s">
        <v>7010</v>
      </c>
      <c r="R520" s="3" t="s">
        <v>7010</v>
      </c>
      <c r="S520" s="3" t="s">
        <v>7010</v>
      </c>
      <c r="T520" s="3" t="s">
        <v>7015</v>
      </c>
      <c r="U520" s="3" t="s">
        <v>7010</v>
      </c>
      <c r="V520" s="3" t="s">
        <v>7010</v>
      </c>
      <c r="W520" s="74" t="str">
        <f t="shared" si="33"/>
        <v>Yes</v>
      </c>
      <c r="Z520">
        <v>519</v>
      </c>
      <c r="AA520" s="55" t="s">
        <v>4551</v>
      </c>
      <c r="AC520">
        <f t="shared" si="32"/>
        <v>6</v>
      </c>
      <c r="AD520" s="30" t="s">
        <v>4552</v>
      </c>
      <c r="AF520" t="s">
        <v>7936</v>
      </c>
      <c r="AH520" s="3" t="s">
        <v>7015</v>
      </c>
      <c r="AI520" s="3" t="s">
        <v>7010</v>
      </c>
      <c r="AJ520" s="3" t="s">
        <v>7010</v>
      </c>
      <c r="AK520" s="3" t="s">
        <v>7015</v>
      </c>
      <c r="AL520" s="3" t="s">
        <v>7010</v>
      </c>
      <c r="AM520" s="3" t="s">
        <v>7010</v>
      </c>
      <c r="AN520" s="3" t="s">
        <v>7010</v>
      </c>
      <c r="AO520" s="3" t="s">
        <v>7010</v>
      </c>
      <c r="AP520" s="74" t="s">
        <v>7015</v>
      </c>
      <c r="AU520">
        <v>519</v>
      </c>
      <c r="AV520" t="s">
        <v>4553</v>
      </c>
      <c r="AW520" t="s">
        <v>2279</v>
      </c>
      <c r="AX520">
        <f t="shared" si="34"/>
        <v>8</v>
      </c>
      <c r="AY520" s="30" t="s">
        <v>4554</v>
      </c>
      <c r="BC520" s="3" t="s">
        <v>7015</v>
      </c>
      <c r="BD520" s="3" t="s">
        <v>7010</v>
      </c>
      <c r="BE520" s="3" t="s">
        <v>7015</v>
      </c>
      <c r="BF520" s="3" t="s">
        <v>7010</v>
      </c>
      <c r="BG520" s="3" t="s">
        <v>7010</v>
      </c>
      <c r="BH520" s="3" t="s">
        <v>7010</v>
      </c>
      <c r="BI520" s="3" t="s">
        <v>7010</v>
      </c>
      <c r="BJ520" s="3" t="s">
        <v>7010</v>
      </c>
      <c r="BK520" s="74" t="str">
        <f t="shared" si="35"/>
        <v>Yes</v>
      </c>
    </row>
    <row r="521" spans="7:63">
      <c r="G521">
        <v>520</v>
      </c>
      <c r="H521" s="7" t="s">
        <v>2107</v>
      </c>
      <c r="I521" t="s">
        <v>29</v>
      </c>
      <c r="J521">
        <f>LEN(H521)</f>
        <v>11</v>
      </c>
      <c r="K521" s="49" t="s">
        <v>6593</v>
      </c>
      <c r="O521" s="3" t="s">
        <v>7010</v>
      </c>
      <c r="P521" s="3" t="s">
        <v>7010</v>
      </c>
      <c r="Q521" s="3" t="s">
        <v>7010</v>
      </c>
      <c r="R521" s="3" t="s">
        <v>7010</v>
      </c>
      <c r="S521" s="3" t="s">
        <v>7010</v>
      </c>
      <c r="T521" s="3" t="s">
        <v>7010</v>
      </c>
      <c r="U521" s="3" t="s">
        <v>7010</v>
      </c>
      <c r="V521" s="3" t="s">
        <v>7010</v>
      </c>
      <c r="W521" s="74" t="str">
        <f t="shared" si="33"/>
        <v>No</v>
      </c>
      <c r="Z521">
        <v>520</v>
      </c>
      <c r="AA521" s="55" t="s">
        <v>4556</v>
      </c>
      <c r="AC521">
        <f t="shared" si="32"/>
        <v>7</v>
      </c>
      <c r="AD521" s="30" t="s">
        <v>4557</v>
      </c>
      <c r="AF521" t="s">
        <v>7937</v>
      </c>
      <c r="AH521" s="3" t="s">
        <v>7015</v>
      </c>
      <c r="AI521" s="3" t="s">
        <v>7010</v>
      </c>
      <c r="AJ521" s="3" t="s">
        <v>7010</v>
      </c>
      <c r="AK521" s="3" t="s">
        <v>7015</v>
      </c>
      <c r="AL521" s="3" t="s">
        <v>7010</v>
      </c>
      <c r="AM521" s="3" t="s">
        <v>7010</v>
      </c>
      <c r="AN521" s="3" t="s">
        <v>7010</v>
      </c>
      <c r="AO521" s="3" t="s">
        <v>7010</v>
      </c>
      <c r="AP521" s="74" t="s">
        <v>7015</v>
      </c>
      <c r="AU521">
        <v>520</v>
      </c>
      <c r="AV521" t="s">
        <v>4558</v>
      </c>
      <c r="AW521" t="s">
        <v>2279</v>
      </c>
      <c r="AX521">
        <f t="shared" si="34"/>
        <v>8</v>
      </c>
      <c r="AY521" s="30" t="s">
        <v>4559</v>
      </c>
      <c r="BC521" s="3" t="s">
        <v>7010</v>
      </c>
      <c r="BD521" s="3" t="s">
        <v>7010</v>
      </c>
      <c r="BE521" s="3" t="s">
        <v>7015</v>
      </c>
      <c r="BF521" s="3" t="s">
        <v>7010</v>
      </c>
      <c r="BG521" s="3" t="s">
        <v>7010</v>
      </c>
      <c r="BH521" s="3" t="s">
        <v>7010</v>
      </c>
      <c r="BI521" s="3" t="s">
        <v>7010</v>
      </c>
      <c r="BJ521" s="3" t="s">
        <v>7010</v>
      </c>
      <c r="BK521" s="74" t="str">
        <f t="shared" si="35"/>
        <v>Yes</v>
      </c>
    </row>
    <row r="522" spans="7:63">
      <c r="G522">
        <v>521</v>
      </c>
      <c r="H522" s="7" t="s">
        <v>491</v>
      </c>
      <c r="I522" t="s">
        <v>29</v>
      </c>
      <c r="J522">
        <f>LEN(H522)</f>
        <v>14</v>
      </c>
      <c r="K522" s="49" t="s">
        <v>2881</v>
      </c>
      <c r="O522" s="3" t="s">
        <v>7010</v>
      </c>
      <c r="P522" s="3" t="s">
        <v>7010</v>
      </c>
      <c r="Q522" s="3" t="s">
        <v>7010</v>
      </c>
      <c r="R522" s="3" t="s">
        <v>7010</v>
      </c>
      <c r="S522" s="3" t="s">
        <v>7010</v>
      </c>
      <c r="T522" s="3" t="s">
        <v>7010</v>
      </c>
      <c r="U522" s="3" t="s">
        <v>7010</v>
      </c>
      <c r="V522" s="3" t="s">
        <v>7010</v>
      </c>
      <c r="W522" s="74" t="str">
        <f t="shared" si="33"/>
        <v>No</v>
      </c>
      <c r="Z522">
        <v>521</v>
      </c>
      <c r="AA522" s="55" t="s">
        <v>4561</v>
      </c>
      <c r="AC522">
        <f t="shared" si="32"/>
        <v>7</v>
      </c>
      <c r="AD522" s="30" t="s">
        <v>4562</v>
      </c>
      <c r="AF522" t="s">
        <v>7938</v>
      </c>
      <c r="AH522" s="3" t="s">
        <v>7015</v>
      </c>
      <c r="AI522" s="3" t="s">
        <v>7010</v>
      </c>
      <c r="AJ522" s="3" t="s">
        <v>7010</v>
      </c>
      <c r="AK522" s="3" t="s">
        <v>7015</v>
      </c>
      <c r="AL522" s="3" t="s">
        <v>7010</v>
      </c>
      <c r="AM522" s="3" t="s">
        <v>7010</v>
      </c>
      <c r="AN522" s="3" t="s">
        <v>7010</v>
      </c>
      <c r="AO522" s="3" t="s">
        <v>7010</v>
      </c>
      <c r="AP522" s="74" t="s">
        <v>7015</v>
      </c>
      <c r="AU522">
        <v>521</v>
      </c>
      <c r="AV522" t="s">
        <v>4563</v>
      </c>
      <c r="AW522" t="s">
        <v>2279</v>
      </c>
      <c r="AX522">
        <f t="shared" si="34"/>
        <v>16</v>
      </c>
      <c r="AY522" s="30" t="s">
        <v>4564</v>
      </c>
      <c r="BC522" s="3" t="s">
        <v>7010</v>
      </c>
      <c r="BD522" s="3" t="s">
        <v>7010</v>
      </c>
      <c r="BE522" s="3" t="s">
        <v>7010</v>
      </c>
      <c r="BF522" s="3" t="s">
        <v>7010</v>
      </c>
      <c r="BG522" s="3" t="s">
        <v>7010</v>
      </c>
      <c r="BH522" s="3" t="s">
        <v>7010</v>
      </c>
      <c r="BI522" s="3" t="s">
        <v>7010</v>
      </c>
      <c r="BJ522" s="3" t="s">
        <v>7010</v>
      </c>
      <c r="BK522" s="74" t="str">
        <f t="shared" si="35"/>
        <v>No</v>
      </c>
    </row>
    <row r="523" spans="7:63">
      <c r="G523">
        <v>522</v>
      </c>
      <c r="H523" s="7" t="s">
        <v>1070</v>
      </c>
      <c r="I523" t="s">
        <v>29</v>
      </c>
      <c r="J523">
        <f>LEN(H523)</f>
        <v>13</v>
      </c>
      <c r="K523" s="49" t="s">
        <v>3887</v>
      </c>
      <c r="O523" s="3" t="s">
        <v>7010</v>
      </c>
      <c r="P523" s="3" t="s">
        <v>7010</v>
      </c>
      <c r="Q523" s="3" t="s">
        <v>7010</v>
      </c>
      <c r="R523" s="3" t="s">
        <v>7010</v>
      </c>
      <c r="S523" s="3" t="s">
        <v>7010</v>
      </c>
      <c r="T523" s="3" t="s">
        <v>7010</v>
      </c>
      <c r="U523" s="3" t="s">
        <v>7010</v>
      </c>
      <c r="V523" s="3" t="s">
        <v>7010</v>
      </c>
      <c r="W523" s="74" t="str">
        <f t="shared" si="33"/>
        <v>No</v>
      </c>
      <c r="Z523">
        <v>522</v>
      </c>
      <c r="AA523" s="55" t="s">
        <v>4566</v>
      </c>
      <c r="AC523">
        <f t="shared" si="32"/>
        <v>6</v>
      </c>
      <c r="AD523" s="30" t="s">
        <v>4567</v>
      </c>
      <c r="AF523" t="s">
        <v>7939</v>
      </c>
      <c r="AH523" s="3" t="s">
        <v>7015</v>
      </c>
      <c r="AI523" s="3" t="s">
        <v>7010</v>
      </c>
      <c r="AJ523" s="3" t="s">
        <v>7010</v>
      </c>
      <c r="AK523" s="3" t="s">
        <v>7015</v>
      </c>
      <c r="AL523" s="3" t="s">
        <v>7010</v>
      </c>
      <c r="AM523" s="3" t="s">
        <v>7010</v>
      </c>
      <c r="AN523" s="3" t="s">
        <v>7010</v>
      </c>
      <c r="AO523" s="3" t="s">
        <v>7010</v>
      </c>
      <c r="AP523" s="74" t="s">
        <v>7015</v>
      </c>
      <c r="AU523">
        <v>522</v>
      </c>
      <c r="AV523" t="s">
        <v>4568</v>
      </c>
      <c r="AW523" t="s">
        <v>2279</v>
      </c>
      <c r="AX523">
        <f t="shared" si="34"/>
        <v>9</v>
      </c>
      <c r="AY523" s="30" t="s">
        <v>4569</v>
      </c>
      <c r="BC523" s="3" t="s">
        <v>7010</v>
      </c>
      <c r="BD523" s="3" t="s">
        <v>7010</v>
      </c>
      <c r="BE523" s="3" t="s">
        <v>7015</v>
      </c>
      <c r="BF523" s="3" t="s">
        <v>7010</v>
      </c>
      <c r="BG523" s="3" t="s">
        <v>7010</v>
      </c>
      <c r="BH523" s="3" t="s">
        <v>7010</v>
      </c>
      <c r="BI523" s="3" t="s">
        <v>7010</v>
      </c>
      <c r="BJ523" s="3" t="s">
        <v>7010</v>
      </c>
      <c r="BK523" s="74" t="str">
        <f t="shared" si="35"/>
        <v>Yes</v>
      </c>
    </row>
    <row r="524" spans="7:63">
      <c r="G524">
        <v>523</v>
      </c>
      <c r="H524" s="7" t="s">
        <v>610</v>
      </c>
      <c r="I524" t="s">
        <v>29</v>
      </c>
      <c r="J524">
        <f>LEN(H524)</f>
        <v>15</v>
      </c>
      <c r="K524" s="49" t="s">
        <v>3357</v>
      </c>
      <c r="O524" s="3" t="s">
        <v>7010</v>
      </c>
      <c r="P524" s="3" t="s">
        <v>7010</v>
      </c>
      <c r="Q524" s="3" t="s">
        <v>7010</v>
      </c>
      <c r="R524" s="3" t="s">
        <v>7010</v>
      </c>
      <c r="S524" s="3" t="s">
        <v>7010</v>
      </c>
      <c r="T524" s="3" t="s">
        <v>7010</v>
      </c>
      <c r="U524" s="3" t="s">
        <v>7010</v>
      </c>
      <c r="V524" s="3" t="s">
        <v>7010</v>
      </c>
      <c r="W524" s="74" t="str">
        <f t="shared" si="33"/>
        <v>No</v>
      </c>
      <c r="Z524">
        <v>523</v>
      </c>
      <c r="AA524" s="55" t="s">
        <v>4571</v>
      </c>
      <c r="AC524">
        <f t="shared" si="32"/>
        <v>6</v>
      </c>
      <c r="AD524" s="30" t="s">
        <v>4572</v>
      </c>
      <c r="AF524" t="s">
        <v>7940</v>
      </c>
      <c r="AH524" s="3" t="s">
        <v>7015</v>
      </c>
      <c r="AI524" s="3" t="s">
        <v>7010</v>
      </c>
      <c r="AJ524" s="3" t="s">
        <v>7010</v>
      </c>
      <c r="AK524" s="3" t="s">
        <v>7015</v>
      </c>
      <c r="AL524" s="3" t="s">
        <v>7010</v>
      </c>
      <c r="AM524" s="3" t="s">
        <v>7010</v>
      </c>
      <c r="AN524" s="3" t="s">
        <v>7010</v>
      </c>
      <c r="AO524" s="3" t="s">
        <v>7010</v>
      </c>
      <c r="AP524" s="74" t="s">
        <v>7015</v>
      </c>
      <c r="AU524">
        <v>523</v>
      </c>
      <c r="AV524" t="s">
        <v>4573</v>
      </c>
      <c r="AW524" t="s">
        <v>2279</v>
      </c>
      <c r="AX524">
        <f t="shared" si="34"/>
        <v>12</v>
      </c>
      <c r="AY524" s="30" t="s">
        <v>4574</v>
      </c>
      <c r="BC524" s="3" t="s">
        <v>7010</v>
      </c>
      <c r="BD524" s="3" t="s">
        <v>7010</v>
      </c>
      <c r="BE524" s="3" t="s">
        <v>7015</v>
      </c>
      <c r="BF524" s="3" t="s">
        <v>7010</v>
      </c>
      <c r="BG524" s="3" t="s">
        <v>7010</v>
      </c>
      <c r="BH524" s="3" t="s">
        <v>7010</v>
      </c>
      <c r="BI524" s="3" t="s">
        <v>7010</v>
      </c>
      <c r="BJ524" s="3" t="s">
        <v>7010</v>
      </c>
      <c r="BK524" s="74" t="str">
        <f t="shared" si="35"/>
        <v>Yes</v>
      </c>
    </row>
    <row r="525" spans="7:63">
      <c r="G525">
        <v>524</v>
      </c>
      <c r="H525" s="7" t="s">
        <v>418</v>
      </c>
      <c r="I525" t="s">
        <v>29</v>
      </c>
      <c r="J525">
        <f>LEN(H525)</f>
        <v>12</v>
      </c>
      <c r="K525" s="49" t="s">
        <v>2589</v>
      </c>
      <c r="O525" s="3" t="s">
        <v>7010</v>
      </c>
      <c r="P525" s="3" t="s">
        <v>7010</v>
      </c>
      <c r="Q525" s="3" t="s">
        <v>7010</v>
      </c>
      <c r="R525" s="3" t="s">
        <v>7010</v>
      </c>
      <c r="S525" s="3" t="s">
        <v>7010</v>
      </c>
      <c r="T525" s="3" t="s">
        <v>7010</v>
      </c>
      <c r="U525" s="3" t="s">
        <v>7010</v>
      </c>
      <c r="V525" s="3" t="s">
        <v>7010</v>
      </c>
      <c r="W525" s="74" t="str">
        <f t="shared" si="33"/>
        <v>No</v>
      </c>
      <c r="Z525">
        <v>524</v>
      </c>
      <c r="AA525" s="55" t="s">
        <v>4576</v>
      </c>
      <c r="AC525">
        <f t="shared" si="32"/>
        <v>6</v>
      </c>
      <c r="AD525" s="30" t="s">
        <v>4577</v>
      </c>
      <c r="AF525" t="s">
        <v>7941</v>
      </c>
      <c r="AH525" s="3" t="s">
        <v>7015</v>
      </c>
      <c r="AI525" s="3" t="s">
        <v>7010</v>
      </c>
      <c r="AJ525" s="3" t="s">
        <v>7010</v>
      </c>
      <c r="AK525" s="3" t="s">
        <v>7015</v>
      </c>
      <c r="AL525" s="3" t="s">
        <v>7010</v>
      </c>
      <c r="AM525" s="3" t="s">
        <v>7010</v>
      </c>
      <c r="AN525" s="3" t="s">
        <v>7010</v>
      </c>
      <c r="AO525" s="3" t="s">
        <v>7010</v>
      </c>
      <c r="AP525" s="74" t="s">
        <v>7015</v>
      </c>
      <c r="AU525">
        <v>524</v>
      </c>
      <c r="AV525" t="s">
        <v>4578</v>
      </c>
      <c r="AW525" t="s">
        <v>2279</v>
      </c>
      <c r="AX525">
        <f t="shared" si="34"/>
        <v>8</v>
      </c>
      <c r="AY525" s="30" t="s">
        <v>4579</v>
      </c>
      <c r="BC525" s="3" t="s">
        <v>7010</v>
      </c>
      <c r="BD525" s="3" t="s">
        <v>7010</v>
      </c>
      <c r="BE525" s="3" t="s">
        <v>7010</v>
      </c>
      <c r="BF525" s="3" t="s">
        <v>7010</v>
      </c>
      <c r="BG525" s="3" t="s">
        <v>7010</v>
      </c>
      <c r="BH525" s="3" t="s">
        <v>7010</v>
      </c>
      <c r="BI525" s="3" t="s">
        <v>7010</v>
      </c>
      <c r="BJ525" s="3" t="s">
        <v>7010</v>
      </c>
      <c r="BK525" s="74" t="str">
        <f t="shared" si="35"/>
        <v>No</v>
      </c>
    </row>
    <row r="526" spans="7:63">
      <c r="G526">
        <v>525</v>
      </c>
      <c r="H526" s="7" t="s">
        <v>482</v>
      </c>
      <c r="I526" t="s">
        <v>29</v>
      </c>
      <c r="J526">
        <f>LEN(H526)</f>
        <v>18</v>
      </c>
      <c r="K526" s="49" t="s">
        <v>2845</v>
      </c>
      <c r="O526" s="3" t="s">
        <v>7010</v>
      </c>
      <c r="P526" s="3" t="s">
        <v>7010</v>
      </c>
      <c r="Q526" s="3" t="s">
        <v>7010</v>
      </c>
      <c r="R526" s="3" t="s">
        <v>7010</v>
      </c>
      <c r="S526" s="3" t="s">
        <v>7010</v>
      </c>
      <c r="T526" s="3" t="s">
        <v>7015</v>
      </c>
      <c r="U526" s="3" t="s">
        <v>7010</v>
      </c>
      <c r="V526" s="3" t="s">
        <v>7010</v>
      </c>
      <c r="W526" s="74" t="str">
        <f t="shared" si="33"/>
        <v>Yes</v>
      </c>
      <c r="Z526">
        <v>525</v>
      </c>
      <c r="AA526" s="55">
        <v>54321</v>
      </c>
      <c r="AC526">
        <f t="shared" si="32"/>
        <v>5</v>
      </c>
      <c r="AD526" s="30" t="s">
        <v>4581</v>
      </c>
      <c r="AF526" t="s">
        <v>7942</v>
      </c>
      <c r="AH526" s="3" t="s">
        <v>7015</v>
      </c>
      <c r="AI526" s="3" t="s">
        <v>7010</v>
      </c>
      <c r="AJ526" s="3" t="s">
        <v>7010</v>
      </c>
      <c r="AK526" s="3" t="s">
        <v>7015</v>
      </c>
      <c r="AL526" s="3" t="s">
        <v>7010</v>
      </c>
      <c r="AM526" s="3" t="s">
        <v>7010</v>
      </c>
      <c r="AN526" s="3" t="s">
        <v>7010</v>
      </c>
      <c r="AO526" s="3" t="s">
        <v>7010</v>
      </c>
      <c r="AP526" s="74" t="s">
        <v>7015</v>
      </c>
      <c r="AU526">
        <v>525</v>
      </c>
      <c r="AV526" t="s">
        <v>4582</v>
      </c>
      <c r="AW526" t="s">
        <v>2279</v>
      </c>
      <c r="AX526">
        <f t="shared" si="34"/>
        <v>11</v>
      </c>
      <c r="AY526" s="30" t="s">
        <v>4583</v>
      </c>
      <c r="BC526" s="3" t="s">
        <v>7015</v>
      </c>
      <c r="BD526" s="3" t="s">
        <v>7010</v>
      </c>
      <c r="BE526" s="3" t="s">
        <v>7015</v>
      </c>
      <c r="BF526" s="3" t="s">
        <v>7010</v>
      </c>
      <c r="BG526" s="3" t="s">
        <v>7010</v>
      </c>
      <c r="BH526" s="3" t="s">
        <v>7010</v>
      </c>
      <c r="BI526" s="3" t="s">
        <v>7010</v>
      </c>
      <c r="BJ526" s="3" t="s">
        <v>7010</v>
      </c>
      <c r="BK526" s="74" t="str">
        <f t="shared" si="35"/>
        <v>Yes</v>
      </c>
    </row>
    <row r="527" spans="7:63">
      <c r="G527">
        <v>526</v>
      </c>
      <c r="H527" s="7" t="s">
        <v>597</v>
      </c>
      <c r="I527" t="s">
        <v>29</v>
      </c>
      <c r="J527">
        <f>LEN(H527)</f>
        <v>12</v>
      </c>
      <c r="K527" s="49" t="s">
        <v>3305</v>
      </c>
      <c r="O527" s="3" t="s">
        <v>7010</v>
      </c>
      <c r="P527" s="3" t="s">
        <v>7010</v>
      </c>
      <c r="Q527" s="3" t="s">
        <v>7010</v>
      </c>
      <c r="R527" s="3" t="s">
        <v>7015</v>
      </c>
      <c r="S527" s="3" t="s">
        <v>7010</v>
      </c>
      <c r="T527" s="3" t="s">
        <v>7010</v>
      </c>
      <c r="U527" s="3" t="s">
        <v>7010</v>
      </c>
      <c r="V527" s="3" t="s">
        <v>7010</v>
      </c>
      <c r="W527" s="74" t="str">
        <f t="shared" si="33"/>
        <v>Yes</v>
      </c>
      <c r="Z527">
        <v>526</v>
      </c>
      <c r="AA527" s="55" t="s">
        <v>4586</v>
      </c>
      <c r="AC527">
        <f t="shared" si="32"/>
        <v>7</v>
      </c>
      <c r="AD527" s="30" t="s">
        <v>4587</v>
      </c>
      <c r="AF527" t="s">
        <v>7943</v>
      </c>
      <c r="AH527" s="3" t="s">
        <v>7015</v>
      </c>
      <c r="AI527" s="3" t="s">
        <v>7010</v>
      </c>
      <c r="AJ527" s="3" t="s">
        <v>7010</v>
      </c>
      <c r="AK527" s="3" t="s">
        <v>7015</v>
      </c>
      <c r="AL527" s="3" t="s">
        <v>7010</v>
      </c>
      <c r="AM527" s="3" t="s">
        <v>7010</v>
      </c>
      <c r="AN527" s="3" t="s">
        <v>7010</v>
      </c>
      <c r="AO527" s="3" t="s">
        <v>7010</v>
      </c>
      <c r="AP527" s="74" t="s">
        <v>7015</v>
      </c>
      <c r="AU527">
        <v>526</v>
      </c>
      <c r="AV527" t="s">
        <v>4588</v>
      </c>
      <c r="AW527" t="s">
        <v>2279</v>
      </c>
      <c r="AX527">
        <f t="shared" si="34"/>
        <v>9</v>
      </c>
      <c r="AY527" s="30" t="s">
        <v>4589</v>
      </c>
      <c r="BC527" s="3" t="s">
        <v>7010</v>
      </c>
      <c r="BD527" s="3" t="s">
        <v>7010</v>
      </c>
      <c r="BE527" s="3" t="s">
        <v>7010</v>
      </c>
      <c r="BF527" s="3" t="s">
        <v>7010</v>
      </c>
      <c r="BG527" s="3" t="s">
        <v>7010</v>
      </c>
      <c r="BH527" s="3" t="s">
        <v>7010</v>
      </c>
      <c r="BI527" s="3" t="s">
        <v>7010</v>
      </c>
      <c r="BJ527" s="3" t="s">
        <v>7010</v>
      </c>
      <c r="BK527" s="74" t="str">
        <f t="shared" si="35"/>
        <v>No</v>
      </c>
    </row>
    <row r="528" spans="7:63">
      <c r="G528">
        <v>527</v>
      </c>
      <c r="H528" s="7" t="s">
        <v>2161</v>
      </c>
      <c r="I528" t="s">
        <v>29</v>
      </c>
      <c r="J528">
        <f>LEN(H528)</f>
        <v>13</v>
      </c>
      <c r="K528" s="49" t="s">
        <v>6727</v>
      </c>
      <c r="O528" s="3" t="s">
        <v>7010</v>
      </c>
      <c r="P528" s="3" t="s">
        <v>7010</v>
      </c>
      <c r="Q528" s="3" t="s">
        <v>7010</v>
      </c>
      <c r="R528" s="3" t="s">
        <v>7010</v>
      </c>
      <c r="S528" s="3" t="s">
        <v>7010</v>
      </c>
      <c r="T528" s="3" t="s">
        <v>7010</v>
      </c>
      <c r="U528" s="3" t="s">
        <v>7010</v>
      </c>
      <c r="V528" s="3" t="s">
        <v>7010</v>
      </c>
      <c r="W528" s="74" t="str">
        <f t="shared" si="33"/>
        <v>No</v>
      </c>
      <c r="Z528">
        <v>527</v>
      </c>
      <c r="AA528" s="55" t="s">
        <v>4591</v>
      </c>
      <c r="AC528">
        <f t="shared" si="32"/>
        <v>7</v>
      </c>
      <c r="AD528" s="30" t="s">
        <v>4592</v>
      </c>
      <c r="AF528" t="s">
        <v>7944</v>
      </c>
      <c r="AH528" s="3" t="s">
        <v>7015</v>
      </c>
      <c r="AI528" s="3" t="s">
        <v>7010</v>
      </c>
      <c r="AJ528" s="3" t="s">
        <v>7010</v>
      </c>
      <c r="AK528" s="3" t="s">
        <v>7015</v>
      </c>
      <c r="AL528" s="3" t="s">
        <v>7010</v>
      </c>
      <c r="AM528" s="3" t="s">
        <v>7010</v>
      </c>
      <c r="AN528" s="3" t="s">
        <v>7010</v>
      </c>
      <c r="AO528" s="3" t="s">
        <v>7010</v>
      </c>
      <c r="AP528" s="74" t="s">
        <v>7015</v>
      </c>
      <c r="AU528">
        <v>527</v>
      </c>
      <c r="AV528" t="s">
        <v>4593</v>
      </c>
      <c r="AW528" t="s">
        <v>2279</v>
      </c>
      <c r="AX528">
        <f t="shared" si="34"/>
        <v>8</v>
      </c>
      <c r="AY528" s="30" t="s">
        <v>4594</v>
      </c>
      <c r="BC528" s="3" t="s">
        <v>7010</v>
      </c>
      <c r="BD528" s="3" t="s">
        <v>7010</v>
      </c>
      <c r="BE528" s="3" t="s">
        <v>7010</v>
      </c>
      <c r="BF528" s="3" t="s">
        <v>7010</v>
      </c>
      <c r="BG528" s="3" t="s">
        <v>7010</v>
      </c>
      <c r="BH528" s="3" t="s">
        <v>7010</v>
      </c>
      <c r="BI528" s="3" t="s">
        <v>7010</v>
      </c>
      <c r="BJ528" s="3" t="s">
        <v>7010</v>
      </c>
      <c r="BK528" s="74" t="str">
        <f t="shared" si="35"/>
        <v>No</v>
      </c>
    </row>
    <row r="529" spans="7:63">
      <c r="G529">
        <v>528</v>
      </c>
      <c r="H529" s="7" t="s">
        <v>496</v>
      </c>
      <c r="I529" t="s">
        <v>29</v>
      </c>
      <c r="J529">
        <f>LEN(H529)</f>
        <v>11</v>
      </c>
      <c r="K529" s="49" t="s">
        <v>2901</v>
      </c>
      <c r="O529" s="3" t="s">
        <v>7010</v>
      </c>
      <c r="P529" s="3" t="s">
        <v>7010</v>
      </c>
      <c r="Q529" s="3" t="s">
        <v>7010</v>
      </c>
      <c r="R529" s="3" t="s">
        <v>7010</v>
      </c>
      <c r="S529" s="3" t="s">
        <v>7010</v>
      </c>
      <c r="T529" s="3" t="s">
        <v>7010</v>
      </c>
      <c r="U529" s="3" t="s">
        <v>7010</v>
      </c>
      <c r="V529" s="3" t="s">
        <v>7010</v>
      </c>
      <c r="W529" s="74" t="str">
        <f t="shared" si="33"/>
        <v>No</v>
      </c>
      <c r="Z529">
        <v>528</v>
      </c>
      <c r="AA529" s="55" t="s">
        <v>4596</v>
      </c>
      <c r="AC529">
        <f t="shared" si="32"/>
        <v>6</v>
      </c>
      <c r="AD529" s="30" t="s">
        <v>4597</v>
      </c>
      <c r="AF529" t="s">
        <v>7945</v>
      </c>
      <c r="AH529" s="3" t="s">
        <v>7015</v>
      </c>
      <c r="AI529" s="3" t="s">
        <v>7010</v>
      </c>
      <c r="AJ529" s="3" t="s">
        <v>7010</v>
      </c>
      <c r="AK529" s="3" t="s">
        <v>7015</v>
      </c>
      <c r="AL529" s="3" t="s">
        <v>7010</v>
      </c>
      <c r="AM529" s="3" t="s">
        <v>7010</v>
      </c>
      <c r="AN529" s="3" t="s">
        <v>7010</v>
      </c>
      <c r="AO529" s="3" t="s">
        <v>7010</v>
      </c>
      <c r="AP529" s="74" t="s">
        <v>7015</v>
      </c>
      <c r="AU529">
        <v>528</v>
      </c>
      <c r="AV529" t="s">
        <v>4598</v>
      </c>
      <c r="AW529" t="s">
        <v>2279</v>
      </c>
      <c r="AX529">
        <f t="shared" si="34"/>
        <v>10</v>
      </c>
      <c r="AY529" s="30" t="s">
        <v>4599</v>
      </c>
      <c r="BC529" s="3" t="s">
        <v>7010</v>
      </c>
      <c r="BD529" s="3" t="s">
        <v>7010</v>
      </c>
      <c r="BE529" s="3" t="s">
        <v>7015</v>
      </c>
      <c r="BF529" s="3" t="s">
        <v>7010</v>
      </c>
      <c r="BG529" s="3" t="s">
        <v>7010</v>
      </c>
      <c r="BH529" s="3" t="s">
        <v>7010</v>
      </c>
      <c r="BI529" s="3" t="s">
        <v>7010</v>
      </c>
      <c r="BJ529" s="3" t="s">
        <v>7010</v>
      </c>
      <c r="BK529" s="74" t="str">
        <f t="shared" si="35"/>
        <v>Yes</v>
      </c>
    </row>
    <row r="530" spans="7:63">
      <c r="G530">
        <v>529</v>
      </c>
      <c r="H530" s="7" t="s">
        <v>1054</v>
      </c>
      <c r="I530" t="s">
        <v>29</v>
      </c>
      <c r="J530">
        <f>LEN(H530)</f>
        <v>11</v>
      </c>
      <c r="K530" s="49" t="s">
        <v>3843</v>
      </c>
      <c r="O530" s="3" t="s">
        <v>7010</v>
      </c>
      <c r="P530" s="3" t="s">
        <v>7010</v>
      </c>
      <c r="Q530" s="3" t="s">
        <v>7010</v>
      </c>
      <c r="R530" s="3" t="s">
        <v>7010</v>
      </c>
      <c r="S530" s="3" t="s">
        <v>7010</v>
      </c>
      <c r="T530" s="3" t="s">
        <v>7010</v>
      </c>
      <c r="U530" s="3" t="s">
        <v>7010</v>
      </c>
      <c r="V530" s="3" t="s">
        <v>7010</v>
      </c>
      <c r="W530" s="74" t="str">
        <f t="shared" si="33"/>
        <v>No</v>
      </c>
      <c r="Z530">
        <v>529</v>
      </c>
      <c r="AA530" s="55" t="s">
        <v>4601</v>
      </c>
      <c r="AC530">
        <f t="shared" si="32"/>
        <v>10</v>
      </c>
      <c r="AD530" s="30" t="s">
        <v>4602</v>
      </c>
      <c r="AF530" t="s">
        <v>7946</v>
      </c>
      <c r="AH530" s="3" t="s">
        <v>7015</v>
      </c>
      <c r="AI530" s="3" t="s">
        <v>7010</v>
      </c>
      <c r="AJ530" s="3" t="s">
        <v>7010</v>
      </c>
      <c r="AK530" s="3" t="s">
        <v>7015</v>
      </c>
      <c r="AL530" s="3" t="s">
        <v>7010</v>
      </c>
      <c r="AM530" s="3" t="s">
        <v>7010</v>
      </c>
      <c r="AN530" s="3" t="s">
        <v>7010</v>
      </c>
      <c r="AO530" s="3" t="s">
        <v>7010</v>
      </c>
      <c r="AP530" s="74" t="s">
        <v>7015</v>
      </c>
      <c r="AU530">
        <v>529</v>
      </c>
      <c r="AV530" t="s">
        <v>4603</v>
      </c>
      <c r="AW530" t="s">
        <v>2279</v>
      </c>
      <c r="AX530">
        <f t="shared" si="34"/>
        <v>8</v>
      </c>
      <c r="AY530" s="30" t="s">
        <v>4604</v>
      </c>
      <c r="BC530" s="3" t="s">
        <v>7010</v>
      </c>
      <c r="BD530" s="3" t="s">
        <v>7010</v>
      </c>
      <c r="BE530" s="3" t="s">
        <v>7010</v>
      </c>
      <c r="BF530" s="3" t="s">
        <v>7010</v>
      </c>
      <c r="BG530" s="3" t="s">
        <v>7010</v>
      </c>
      <c r="BH530" s="3" t="s">
        <v>7010</v>
      </c>
      <c r="BI530" s="3" t="s">
        <v>7010</v>
      </c>
      <c r="BJ530" s="3" t="s">
        <v>7010</v>
      </c>
      <c r="BK530" s="74" t="str">
        <f t="shared" si="35"/>
        <v>No</v>
      </c>
    </row>
    <row r="531" spans="7:63">
      <c r="G531">
        <v>530</v>
      </c>
      <c r="H531" s="7" t="s">
        <v>2163</v>
      </c>
      <c r="I531" t="s">
        <v>29</v>
      </c>
      <c r="J531">
        <f>LEN(H531)</f>
        <v>14</v>
      </c>
      <c r="K531" s="49" t="s">
        <v>6732</v>
      </c>
      <c r="O531" s="3" t="s">
        <v>7010</v>
      </c>
      <c r="P531" s="3" t="s">
        <v>7010</v>
      </c>
      <c r="Q531" s="3" t="s">
        <v>7010</v>
      </c>
      <c r="R531" s="3" t="s">
        <v>7010</v>
      </c>
      <c r="S531" s="3" t="s">
        <v>7010</v>
      </c>
      <c r="T531" s="3" t="s">
        <v>7010</v>
      </c>
      <c r="U531" s="3" t="s">
        <v>7010</v>
      </c>
      <c r="V531" s="3" t="s">
        <v>7010</v>
      </c>
      <c r="W531" s="74" t="str">
        <f t="shared" si="33"/>
        <v>No</v>
      </c>
      <c r="Z531">
        <v>530</v>
      </c>
      <c r="AA531" s="55" t="s">
        <v>4606</v>
      </c>
      <c r="AC531">
        <f t="shared" si="32"/>
        <v>7</v>
      </c>
      <c r="AD531" s="30" t="s">
        <v>4607</v>
      </c>
      <c r="AF531" t="s">
        <v>7947</v>
      </c>
      <c r="AH531" s="3" t="s">
        <v>7015</v>
      </c>
      <c r="AI531" s="3" t="s">
        <v>7010</v>
      </c>
      <c r="AJ531" s="3" t="s">
        <v>7010</v>
      </c>
      <c r="AK531" s="3" t="s">
        <v>7015</v>
      </c>
      <c r="AL531" s="3" t="s">
        <v>7010</v>
      </c>
      <c r="AM531" s="3" t="s">
        <v>7010</v>
      </c>
      <c r="AN531" s="3" t="s">
        <v>7010</v>
      </c>
      <c r="AO531" s="3" t="s">
        <v>7010</v>
      </c>
      <c r="AP531" s="74" t="s">
        <v>7015</v>
      </c>
      <c r="AU531">
        <v>530</v>
      </c>
      <c r="AV531" t="s">
        <v>4608</v>
      </c>
      <c r="AW531" t="s">
        <v>2279</v>
      </c>
      <c r="AX531">
        <f t="shared" si="34"/>
        <v>8</v>
      </c>
      <c r="AY531" s="30" t="s">
        <v>4609</v>
      </c>
      <c r="BC531" s="3" t="s">
        <v>7010</v>
      </c>
      <c r="BD531" s="3" t="s">
        <v>7010</v>
      </c>
      <c r="BE531" s="3" t="s">
        <v>7015</v>
      </c>
      <c r="BF531" s="3" t="s">
        <v>7010</v>
      </c>
      <c r="BG531" s="3" t="s">
        <v>7010</v>
      </c>
      <c r="BH531" s="3" t="s">
        <v>7010</v>
      </c>
      <c r="BI531" s="3" t="s">
        <v>7010</v>
      </c>
      <c r="BJ531" s="3" t="s">
        <v>7010</v>
      </c>
      <c r="BK531" s="74" t="str">
        <f t="shared" si="35"/>
        <v>Yes</v>
      </c>
    </row>
    <row r="532" spans="7:63">
      <c r="G532">
        <v>531</v>
      </c>
      <c r="H532" s="9" t="s">
        <v>509</v>
      </c>
      <c r="I532" t="s">
        <v>29</v>
      </c>
      <c r="J532">
        <f>LEN(H532)</f>
        <v>12</v>
      </c>
      <c r="K532" s="49" t="s">
        <v>2953</v>
      </c>
      <c r="O532" s="3" t="s">
        <v>7010</v>
      </c>
      <c r="P532" s="3" t="s">
        <v>7010</v>
      </c>
      <c r="Q532" s="3" t="s">
        <v>7010</v>
      </c>
      <c r="R532" s="3" t="s">
        <v>7010</v>
      </c>
      <c r="S532" s="3" t="s">
        <v>7010</v>
      </c>
      <c r="T532" s="3" t="s">
        <v>7010</v>
      </c>
      <c r="U532" s="3" t="s">
        <v>7010</v>
      </c>
      <c r="V532" s="3" t="s">
        <v>7010</v>
      </c>
      <c r="W532" s="74" t="str">
        <f t="shared" si="33"/>
        <v>No</v>
      </c>
      <c r="Z532">
        <v>531</v>
      </c>
      <c r="AA532" s="55" t="s">
        <v>4611</v>
      </c>
      <c r="AC532">
        <f t="shared" si="32"/>
        <v>7</v>
      </c>
      <c r="AD532" s="30" t="s">
        <v>4612</v>
      </c>
      <c r="AF532" t="s">
        <v>7948</v>
      </c>
      <c r="AH532" s="3" t="s">
        <v>7015</v>
      </c>
      <c r="AI532" s="3" t="s">
        <v>7010</v>
      </c>
      <c r="AJ532" s="3" t="s">
        <v>7010</v>
      </c>
      <c r="AK532" s="3" t="s">
        <v>7015</v>
      </c>
      <c r="AL532" s="3" t="s">
        <v>7010</v>
      </c>
      <c r="AM532" s="3" t="s">
        <v>7010</v>
      </c>
      <c r="AN532" s="3" t="s">
        <v>7010</v>
      </c>
      <c r="AO532" s="3" t="s">
        <v>7010</v>
      </c>
      <c r="AP532" s="74" t="s">
        <v>7015</v>
      </c>
      <c r="AU532">
        <v>531</v>
      </c>
      <c r="AV532" t="s">
        <v>4613</v>
      </c>
      <c r="AW532" t="s">
        <v>2279</v>
      </c>
      <c r="AX532">
        <f t="shared" si="34"/>
        <v>11</v>
      </c>
      <c r="AY532" s="30" t="s">
        <v>4614</v>
      </c>
      <c r="BC532" s="3" t="s">
        <v>7010</v>
      </c>
      <c r="BD532" s="3" t="s">
        <v>7010</v>
      </c>
      <c r="BE532" s="3" t="s">
        <v>7010</v>
      </c>
      <c r="BF532" s="3" t="s">
        <v>7010</v>
      </c>
      <c r="BG532" s="3" t="s">
        <v>7010</v>
      </c>
      <c r="BH532" s="3" t="s">
        <v>7010</v>
      </c>
      <c r="BI532" s="3" t="s">
        <v>7010</v>
      </c>
      <c r="BJ532" s="3" t="s">
        <v>7010</v>
      </c>
      <c r="BK532" s="74" t="str">
        <f t="shared" si="35"/>
        <v>No</v>
      </c>
    </row>
    <row r="533" spans="7:63">
      <c r="G533">
        <v>532</v>
      </c>
      <c r="H533" s="7" t="s">
        <v>391</v>
      </c>
      <c r="I533" t="s">
        <v>29</v>
      </c>
      <c r="J533">
        <f>LEN(H533)</f>
        <v>12</v>
      </c>
      <c r="K533" s="49" t="s">
        <v>2481</v>
      </c>
      <c r="O533" s="3" t="s">
        <v>7010</v>
      </c>
      <c r="P533" s="3" t="s">
        <v>7010</v>
      </c>
      <c r="Q533" s="3" t="s">
        <v>7010</v>
      </c>
      <c r="R533" s="3" t="s">
        <v>7010</v>
      </c>
      <c r="S533" s="3" t="s">
        <v>7010</v>
      </c>
      <c r="T533" s="3" t="s">
        <v>7010</v>
      </c>
      <c r="U533" s="3" t="s">
        <v>7010</v>
      </c>
      <c r="V533" s="3" t="s">
        <v>7010</v>
      </c>
      <c r="W533" s="74" t="str">
        <f t="shared" si="33"/>
        <v>No</v>
      </c>
      <c r="Z533">
        <v>532</v>
      </c>
      <c r="AA533" s="55">
        <v>456123</v>
      </c>
      <c r="AC533">
        <f t="shared" si="32"/>
        <v>6</v>
      </c>
      <c r="AD533" s="30" t="s">
        <v>4616</v>
      </c>
      <c r="AF533" t="s">
        <v>7949</v>
      </c>
      <c r="AH533" s="3" t="s">
        <v>7015</v>
      </c>
      <c r="AI533" s="3" t="s">
        <v>7010</v>
      </c>
      <c r="AJ533" s="3" t="s">
        <v>7010</v>
      </c>
      <c r="AK533" s="3" t="s">
        <v>7015</v>
      </c>
      <c r="AL533" s="3" t="s">
        <v>7010</v>
      </c>
      <c r="AM533" s="3" t="s">
        <v>7010</v>
      </c>
      <c r="AN533" s="3" t="s">
        <v>7010</v>
      </c>
      <c r="AO533" s="3" t="s">
        <v>7010</v>
      </c>
      <c r="AP533" s="74" t="s">
        <v>7015</v>
      </c>
      <c r="AU533">
        <v>532</v>
      </c>
      <c r="AV533" t="s">
        <v>4617</v>
      </c>
      <c r="AW533" t="s">
        <v>2279</v>
      </c>
      <c r="AX533">
        <f t="shared" si="34"/>
        <v>10</v>
      </c>
      <c r="AY533" s="30" t="s">
        <v>4618</v>
      </c>
      <c r="BC533" s="3" t="s">
        <v>7010</v>
      </c>
      <c r="BD533" s="3" t="s">
        <v>7010</v>
      </c>
      <c r="BE533" s="3" t="s">
        <v>7015</v>
      </c>
      <c r="BF533" s="3" t="s">
        <v>7010</v>
      </c>
      <c r="BG533" s="3" t="s">
        <v>7010</v>
      </c>
      <c r="BH533" s="3" t="s">
        <v>7010</v>
      </c>
      <c r="BI533" s="3" t="s">
        <v>7010</v>
      </c>
      <c r="BJ533" s="3" t="s">
        <v>7010</v>
      </c>
      <c r="BK533" s="74" t="str">
        <f t="shared" si="35"/>
        <v>Yes</v>
      </c>
    </row>
    <row r="534" spans="7:63">
      <c r="G534">
        <v>533</v>
      </c>
      <c r="H534" s="7" t="s">
        <v>1856</v>
      </c>
      <c r="I534" t="s">
        <v>29</v>
      </c>
      <c r="J534">
        <f>LEN(H534)</f>
        <v>11</v>
      </c>
      <c r="K534" s="49" t="s">
        <v>5946</v>
      </c>
      <c r="O534" s="3" t="s">
        <v>7010</v>
      </c>
      <c r="P534" s="3" t="s">
        <v>7010</v>
      </c>
      <c r="Q534" s="3" t="s">
        <v>7010</v>
      </c>
      <c r="R534" s="3" t="s">
        <v>7010</v>
      </c>
      <c r="S534" s="3" t="s">
        <v>7010</v>
      </c>
      <c r="T534" s="3" t="s">
        <v>7010</v>
      </c>
      <c r="U534" s="3" t="s">
        <v>7010</v>
      </c>
      <c r="V534" s="3" t="s">
        <v>7010</v>
      </c>
      <c r="W534" s="74" t="str">
        <f t="shared" si="33"/>
        <v>No</v>
      </c>
      <c r="Z534">
        <v>533</v>
      </c>
      <c r="AA534" s="55" t="s">
        <v>4620</v>
      </c>
      <c r="AC534">
        <f t="shared" si="32"/>
        <v>6</v>
      </c>
      <c r="AD534" s="30" t="s">
        <v>4621</v>
      </c>
      <c r="AF534" t="s">
        <v>7950</v>
      </c>
      <c r="AH534" s="3" t="s">
        <v>7015</v>
      </c>
      <c r="AI534" s="3" t="s">
        <v>7010</v>
      </c>
      <c r="AJ534" s="3" t="s">
        <v>7010</v>
      </c>
      <c r="AK534" s="3" t="s">
        <v>7015</v>
      </c>
      <c r="AL534" s="3" t="s">
        <v>7010</v>
      </c>
      <c r="AM534" s="3" t="s">
        <v>7010</v>
      </c>
      <c r="AN534" s="3" t="s">
        <v>7010</v>
      </c>
      <c r="AO534" s="3" t="s">
        <v>7010</v>
      </c>
      <c r="AP534" s="74" t="s">
        <v>7015</v>
      </c>
      <c r="AU534">
        <v>533</v>
      </c>
      <c r="AV534" t="s">
        <v>4622</v>
      </c>
      <c r="AW534" t="s">
        <v>2279</v>
      </c>
      <c r="AX534">
        <f t="shared" si="34"/>
        <v>8</v>
      </c>
      <c r="AY534" s="30" t="s">
        <v>4623</v>
      </c>
      <c r="BC534" s="3" t="s">
        <v>7010</v>
      </c>
      <c r="BD534" s="3" t="s">
        <v>7010</v>
      </c>
      <c r="BE534" s="3" t="s">
        <v>7010</v>
      </c>
      <c r="BF534" s="3" t="s">
        <v>7010</v>
      </c>
      <c r="BG534" s="3" t="s">
        <v>7010</v>
      </c>
      <c r="BH534" s="3" t="s">
        <v>7010</v>
      </c>
      <c r="BI534" s="3" t="s">
        <v>7010</v>
      </c>
      <c r="BJ534" s="3" t="s">
        <v>7010</v>
      </c>
      <c r="BK534" s="74" t="str">
        <f t="shared" si="35"/>
        <v>No</v>
      </c>
    </row>
    <row r="535" spans="7:63">
      <c r="G535">
        <v>534</v>
      </c>
      <c r="H535" s="7" t="s">
        <v>1985</v>
      </c>
      <c r="I535" t="s">
        <v>29</v>
      </c>
      <c r="J535">
        <f>LEN(H535)</f>
        <v>11</v>
      </c>
      <c r="K535" s="49" t="s">
        <v>6287</v>
      </c>
      <c r="O535" s="3" t="s">
        <v>7010</v>
      </c>
      <c r="P535" s="3" t="s">
        <v>7010</v>
      </c>
      <c r="Q535" s="3" t="s">
        <v>7010</v>
      </c>
      <c r="R535" s="3" t="s">
        <v>7010</v>
      </c>
      <c r="S535" s="3" t="s">
        <v>7010</v>
      </c>
      <c r="T535" s="3" t="s">
        <v>7015</v>
      </c>
      <c r="U535" s="3" t="s">
        <v>7010</v>
      </c>
      <c r="V535" s="3" t="s">
        <v>7010</v>
      </c>
      <c r="W535" s="74" t="str">
        <f t="shared" si="33"/>
        <v>Yes</v>
      </c>
      <c r="Z535">
        <v>534</v>
      </c>
      <c r="AA535" s="55" t="s">
        <v>4625</v>
      </c>
      <c r="AC535">
        <f t="shared" si="32"/>
        <v>6</v>
      </c>
      <c r="AD535" s="30" t="s">
        <v>4626</v>
      </c>
      <c r="AF535" t="s">
        <v>7951</v>
      </c>
      <c r="AH535" s="3" t="s">
        <v>7015</v>
      </c>
      <c r="AI535" s="3" t="s">
        <v>7010</v>
      </c>
      <c r="AJ535" s="3" t="s">
        <v>7010</v>
      </c>
      <c r="AK535" s="3" t="s">
        <v>7015</v>
      </c>
      <c r="AL535" s="3" t="s">
        <v>7010</v>
      </c>
      <c r="AM535" s="3" t="s">
        <v>7010</v>
      </c>
      <c r="AN535" s="3" t="s">
        <v>7010</v>
      </c>
      <c r="AO535" s="3" t="s">
        <v>7010</v>
      </c>
      <c r="AP535" s="74" t="s">
        <v>7015</v>
      </c>
      <c r="AU535">
        <v>534</v>
      </c>
      <c r="AV535" t="s">
        <v>4627</v>
      </c>
      <c r="AW535" t="s">
        <v>2279</v>
      </c>
      <c r="AX535">
        <f t="shared" si="34"/>
        <v>9</v>
      </c>
      <c r="AY535" s="30" t="s">
        <v>4628</v>
      </c>
      <c r="BC535" s="3" t="s">
        <v>7010</v>
      </c>
      <c r="BD535" s="3" t="s">
        <v>7010</v>
      </c>
      <c r="BE535" s="3" t="s">
        <v>7010</v>
      </c>
      <c r="BF535" s="3" t="s">
        <v>7010</v>
      </c>
      <c r="BG535" s="3" t="s">
        <v>7010</v>
      </c>
      <c r="BH535" s="3" t="s">
        <v>7010</v>
      </c>
      <c r="BI535" s="3" t="s">
        <v>7010</v>
      </c>
      <c r="BJ535" s="3" t="s">
        <v>7010</v>
      </c>
      <c r="BK535" s="74" t="str">
        <f t="shared" si="35"/>
        <v>No</v>
      </c>
    </row>
    <row r="536" spans="7:63">
      <c r="G536">
        <v>535</v>
      </c>
      <c r="H536" s="7" t="s">
        <v>566</v>
      </c>
      <c r="I536" t="s">
        <v>29</v>
      </c>
      <c r="J536">
        <f>LEN(H536)</f>
        <v>11</v>
      </c>
      <c r="K536" s="49" t="s">
        <v>3181</v>
      </c>
      <c r="O536" s="3" t="s">
        <v>7010</v>
      </c>
      <c r="P536" s="3" t="s">
        <v>7010</v>
      </c>
      <c r="Q536" s="3" t="s">
        <v>7010</v>
      </c>
      <c r="R536" s="3" t="s">
        <v>7015</v>
      </c>
      <c r="S536" s="3" t="s">
        <v>7010</v>
      </c>
      <c r="T536" s="3" t="s">
        <v>7015</v>
      </c>
      <c r="U536" s="3" t="s">
        <v>7010</v>
      </c>
      <c r="V536" s="3" t="s">
        <v>7010</v>
      </c>
      <c r="W536" s="74" t="str">
        <f t="shared" si="33"/>
        <v>Yes</v>
      </c>
      <c r="Z536">
        <v>535</v>
      </c>
      <c r="AA536" s="55" t="s">
        <v>4630</v>
      </c>
      <c r="AC536">
        <f t="shared" si="32"/>
        <v>5</v>
      </c>
      <c r="AD536" s="30" t="s">
        <v>4631</v>
      </c>
      <c r="AF536" t="s">
        <v>7952</v>
      </c>
      <c r="AH536" s="3" t="s">
        <v>7015</v>
      </c>
      <c r="AI536" s="3" t="s">
        <v>7010</v>
      </c>
      <c r="AJ536" s="3" t="s">
        <v>7010</v>
      </c>
      <c r="AK536" s="3" t="s">
        <v>7015</v>
      </c>
      <c r="AL536" s="3" t="s">
        <v>7010</v>
      </c>
      <c r="AM536" s="3" t="s">
        <v>7010</v>
      </c>
      <c r="AN536" s="3" t="s">
        <v>7010</v>
      </c>
      <c r="AO536" s="3" t="s">
        <v>7010</v>
      </c>
      <c r="AP536" s="74" t="s">
        <v>7015</v>
      </c>
      <c r="AU536">
        <v>535</v>
      </c>
      <c r="AV536" t="s">
        <v>4632</v>
      </c>
      <c r="AW536" t="s">
        <v>2279</v>
      </c>
      <c r="AX536">
        <f t="shared" si="34"/>
        <v>8</v>
      </c>
      <c r="AY536" s="30" t="s">
        <v>4633</v>
      </c>
      <c r="BC536" s="3" t="s">
        <v>7010</v>
      </c>
      <c r="BD536" s="3" t="s">
        <v>7010</v>
      </c>
      <c r="BE536" s="3" t="s">
        <v>7010</v>
      </c>
      <c r="BF536" s="3" t="s">
        <v>7010</v>
      </c>
      <c r="BG536" s="3" t="s">
        <v>7010</v>
      </c>
      <c r="BH536" s="3" t="s">
        <v>7010</v>
      </c>
      <c r="BI536" s="3" t="s">
        <v>7010</v>
      </c>
      <c r="BJ536" s="3" t="s">
        <v>7010</v>
      </c>
      <c r="BK536" s="74" t="str">
        <f t="shared" si="35"/>
        <v>No</v>
      </c>
    </row>
    <row r="537" spans="7:63">
      <c r="G537">
        <v>536</v>
      </c>
      <c r="H537" s="7" t="s">
        <v>2047</v>
      </c>
      <c r="I537" t="s">
        <v>29</v>
      </c>
      <c r="J537">
        <f>LEN(H537)</f>
        <v>12</v>
      </c>
      <c r="K537" s="49" t="s">
        <v>6447</v>
      </c>
      <c r="O537" s="3" t="s">
        <v>7010</v>
      </c>
      <c r="P537" s="3" t="s">
        <v>7010</v>
      </c>
      <c r="Q537" s="3" t="s">
        <v>7010</v>
      </c>
      <c r="R537" s="3" t="s">
        <v>7010</v>
      </c>
      <c r="S537" s="3" t="s">
        <v>7010</v>
      </c>
      <c r="T537" s="3" t="s">
        <v>7015</v>
      </c>
      <c r="U537" s="3" t="s">
        <v>7010</v>
      </c>
      <c r="V537" s="3" t="s">
        <v>7010</v>
      </c>
      <c r="W537" s="74" t="str">
        <f t="shared" si="33"/>
        <v>Yes</v>
      </c>
      <c r="Z537">
        <v>536</v>
      </c>
      <c r="AA537" s="55" t="s">
        <v>4635</v>
      </c>
      <c r="AC537">
        <f t="shared" si="32"/>
        <v>7</v>
      </c>
      <c r="AD537" s="30" t="s">
        <v>4636</v>
      </c>
      <c r="AF537" t="s">
        <v>7953</v>
      </c>
      <c r="AH537" s="3" t="s">
        <v>7015</v>
      </c>
      <c r="AI537" s="3" t="s">
        <v>7010</v>
      </c>
      <c r="AJ537" s="3" t="s">
        <v>7010</v>
      </c>
      <c r="AK537" s="3" t="s">
        <v>7015</v>
      </c>
      <c r="AL537" s="3" t="s">
        <v>7010</v>
      </c>
      <c r="AM537" s="3" t="s">
        <v>7010</v>
      </c>
      <c r="AN537" s="3" t="s">
        <v>7010</v>
      </c>
      <c r="AO537" s="3" t="s">
        <v>7010</v>
      </c>
      <c r="AP537" s="74" t="s">
        <v>7015</v>
      </c>
      <c r="AU537">
        <v>536</v>
      </c>
      <c r="AV537" t="s">
        <v>4637</v>
      </c>
      <c r="AW537" t="s">
        <v>2279</v>
      </c>
      <c r="AX537">
        <f t="shared" si="34"/>
        <v>9</v>
      </c>
      <c r="AY537" s="30" t="s">
        <v>4638</v>
      </c>
      <c r="BC537" s="3" t="s">
        <v>7010</v>
      </c>
      <c r="BD537" s="3" t="s">
        <v>7010</v>
      </c>
      <c r="BE537" s="3" t="s">
        <v>7010</v>
      </c>
      <c r="BF537" s="3" t="s">
        <v>7010</v>
      </c>
      <c r="BG537" s="3" t="s">
        <v>7010</v>
      </c>
      <c r="BH537" s="3" t="s">
        <v>7010</v>
      </c>
      <c r="BI537" s="3" t="s">
        <v>7010</v>
      </c>
      <c r="BJ537" s="3" t="s">
        <v>7010</v>
      </c>
      <c r="BK537" s="74" t="str">
        <f t="shared" si="35"/>
        <v>No</v>
      </c>
    </row>
    <row r="538" spans="7:63">
      <c r="G538">
        <v>537</v>
      </c>
      <c r="H538" s="7" t="s">
        <v>2049</v>
      </c>
      <c r="I538" t="s">
        <v>29</v>
      </c>
      <c r="J538">
        <f>LEN(H538)</f>
        <v>19</v>
      </c>
      <c r="K538" s="49" t="s">
        <v>6452</v>
      </c>
      <c r="O538" s="3" t="s">
        <v>7010</v>
      </c>
      <c r="P538" s="3" t="s">
        <v>7010</v>
      </c>
      <c r="Q538" s="3" t="s">
        <v>7010</v>
      </c>
      <c r="R538" s="3" t="s">
        <v>7010</v>
      </c>
      <c r="S538" s="3" t="s">
        <v>7010</v>
      </c>
      <c r="T538" s="3" t="s">
        <v>7015</v>
      </c>
      <c r="U538" s="3" t="s">
        <v>7010</v>
      </c>
      <c r="V538" s="3" t="s">
        <v>7010</v>
      </c>
      <c r="W538" s="74" t="str">
        <f t="shared" si="33"/>
        <v>Yes</v>
      </c>
      <c r="Z538">
        <v>537</v>
      </c>
      <c r="AA538" s="55" t="s">
        <v>4639</v>
      </c>
      <c r="AC538">
        <f t="shared" si="32"/>
        <v>5</v>
      </c>
      <c r="AD538" s="30" t="s">
        <v>4640</v>
      </c>
      <c r="AF538" t="s">
        <v>7954</v>
      </c>
      <c r="AH538" s="3" t="s">
        <v>7015</v>
      </c>
      <c r="AI538" s="3" t="s">
        <v>7010</v>
      </c>
      <c r="AJ538" s="3" t="s">
        <v>7010</v>
      </c>
      <c r="AK538" s="3" t="s">
        <v>7015</v>
      </c>
      <c r="AL538" s="3" t="s">
        <v>7010</v>
      </c>
      <c r="AM538" s="3" t="s">
        <v>7010</v>
      </c>
      <c r="AN538" s="3" t="s">
        <v>7010</v>
      </c>
      <c r="AO538" s="3" t="s">
        <v>7010</v>
      </c>
      <c r="AP538" s="74" t="s">
        <v>7015</v>
      </c>
      <c r="AU538">
        <v>537</v>
      </c>
      <c r="AV538" t="s">
        <v>4641</v>
      </c>
      <c r="AW538" t="s">
        <v>2279</v>
      </c>
      <c r="AX538">
        <f t="shared" si="34"/>
        <v>8</v>
      </c>
      <c r="AY538" s="30" t="s">
        <v>4642</v>
      </c>
      <c r="BC538" s="3" t="s">
        <v>7015</v>
      </c>
      <c r="BD538" s="3" t="s">
        <v>7010</v>
      </c>
      <c r="BE538" s="3" t="s">
        <v>7015</v>
      </c>
      <c r="BF538" s="3" t="s">
        <v>7010</v>
      </c>
      <c r="BG538" s="3" t="s">
        <v>7010</v>
      </c>
      <c r="BH538" s="3" t="s">
        <v>7010</v>
      </c>
      <c r="BI538" s="3" t="s">
        <v>7010</v>
      </c>
      <c r="BJ538" s="3" t="s">
        <v>7010</v>
      </c>
      <c r="BK538" s="74" t="str">
        <f t="shared" si="35"/>
        <v>Yes</v>
      </c>
    </row>
    <row r="539" spans="7:63">
      <c r="G539">
        <v>538</v>
      </c>
      <c r="H539" t="s">
        <v>6954</v>
      </c>
      <c r="I539" t="s">
        <v>29</v>
      </c>
      <c r="J539">
        <f>LEN(H539)</f>
        <v>9</v>
      </c>
      <c r="K539" s="49" t="s">
        <v>6955</v>
      </c>
      <c r="O539" s="3" t="s">
        <v>7010</v>
      </c>
      <c r="P539" s="3" t="s">
        <v>7010</v>
      </c>
      <c r="Q539" s="3" t="s">
        <v>7010</v>
      </c>
      <c r="R539" s="3" t="s">
        <v>7015</v>
      </c>
      <c r="S539" s="3" t="s">
        <v>7010</v>
      </c>
      <c r="T539" s="3" t="s">
        <v>7015</v>
      </c>
      <c r="U539" s="3" t="s">
        <v>7010</v>
      </c>
      <c r="V539" s="3" t="s">
        <v>7010</v>
      </c>
      <c r="W539" s="74" t="str">
        <f t="shared" si="33"/>
        <v>Yes</v>
      </c>
      <c r="Z539">
        <v>538</v>
      </c>
      <c r="AA539" s="55">
        <v>102030</v>
      </c>
      <c r="AC539">
        <f t="shared" si="32"/>
        <v>6</v>
      </c>
      <c r="AD539" s="30" t="s">
        <v>4644</v>
      </c>
      <c r="AF539" t="s">
        <v>7955</v>
      </c>
      <c r="AH539" s="3" t="s">
        <v>7015</v>
      </c>
      <c r="AI539" s="3" t="s">
        <v>7010</v>
      </c>
      <c r="AJ539" s="3" t="s">
        <v>7010</v>
      </c>
      <c r="AK539" s="3" t="s">
        <v>7015</v>
      </c>
      <c r="AL539" s="3" t="s">
        <v>7010</v>
      </c>
      <c r="AM539" s="3" t="s">
        <v>7010</v>
      </c>
      <c r="AN539" s="3" t="s">
        <v>7010</v>
      </c>
      <c r="AO539" s="3" t="s">
        <v>7010</v>
      </c>
      <c r="AP539" s="74" t="s">
        <v>7015</v>
      </c>
      <c r="AU539">
        <v>538</v>
      </c>
      <c r="AV539" t="s">
        <v>4645</v>
      </c>
      <c r="AW539" t="s">
        <v>2279</v>
      </c>
      <c r="AX539">
        <f t="shared" si="34"/>
        <v>8</v>
      </c>
      <c r="AY539" s="30" t="s">
        <v>4646</v>
      </c>
      <c r="BC539" s="3" t="s">
        <v>7010</v>
      </c>
      <c r="BD539" s="3" t="s">
        <v>7010</v>
      </c>
      <c r="BE539" s="3" t="s">
        <v>7010</v>
      </c>
      <c r="BF539" s="3" t="s">
        <v>7010</v>
      </c>
      <c r="BG539" s="3" t="s">
        <v>7010</v>
      </c>
      <c r="BH539" s="3" t="s">
        <v>7010</v>
      </c>
      <c r="BI539" s="3" t="s">
        <v>7010</v>
      </c>
      <c r="BJ539" s="3" t="s">
        <v>7010</v>
      </c>
      <c r="BK539" s="74" t="str">
        <f t="shared" si="35"/>
        <v>No</v>
      </c>
    </row>
    <row r="540" spans="7:63">
      <c r="G540">
        <v>539</v>
      </c>
      <c r="H540" s="7" t="s">
        <v>1022</v>
      </c>
      <c r="I540" t="s">
        <v>29</v>
      </c>
      <c r="J540">
        <f>LEN(H540)</f>
        <v>14</v>
      </c>
      <c r="K540" s="49" t="s">
        <v>3757</v>
      </c>
      <c r="O540" s="3" t="s">
        <v>7010</v>
      </c>
      <c r="P540" s="3" t="s">
        <v>7010</v>
      </c>
      <c r="Q540" s="3" t="s">
        <v>7010</v>
      </c>
      <c r="R540" s="3" t="s">
        <v>7010</v>
      </c>
      <c r="S540" s="3" t="s">
        <v>7010</v>
      </c>
      <c r="T540" s="3" t="s">
        <v>7015</v>
      </c>
      <c r="U540" s="3" t="s">
        <v>7010</v>
      </c>
      <c r="V540" s="3" t="s">
        <v>7010</v>
      </c>
      <c r="W540" s="74" t="str">
        <f t="shared" si="33"/>
        <v>Yes</v>
      </c>
      <c r="Z540">
        <v>539</v>
      </c>
      <c r="AA540" s="55" t="s">
        <v>4648</v>
      </c>
      <c r="AC540">
        <f t="shared" si="32"/>
        <v>6</v>
      </c>
      <c r="AD540" s="30" t="s">
        <v>4649</v>
      </c>
      <c r="AF540" t="s">
        <v>7956</v>
      </c>
      <c r="AH540" s="3" t="s">
        <v>7015</v>
      </c>
      <c r="AI540" s="3" t="s">
        <v>7010</v>
      </c>
      <c r="AJ540" s="3" t="s">
        <v>7010</v>
      </c>
      <c r="AK540" s="3" t="s">
        <v>7015</v>
      </c>
      <c r="AL540" s="3" t="s">
        <v>7010</v>
      </c>
      <c r="AM540" s="3" t="s">
        <v>7010</v>
      </c>
      <c r="AN540" s="3" t="s">
        <v>7010</v>
      </c>
      <c r="AO540" s="3" t="s">
        <v>7010</v>
      </c>
      <c r="AP540" s="74" t="s">
        <v>7015</v>
      </c>
      <c r="AU540">
        <v>539</v>
      </c>
      <c r="AV540" t="s">
        <v>4650</v>
      </c>
      <c r="AW540" t="s">
        <v>2279</v>
      </c>
      <c r="AX540">
        <f t="shared" si="34"/>
        <v>9</v>
      </c>
      <c r="AY540" s="30" t="s">
        <v>4651</v>
      </c>
      <c r="BC540" s="3" t="s">
        <v>7010</v>
      </c>
      <c r="BD540" s="3" t="s">
        <v>7010</v>
      </c>
      <c r="BE540" s="3" t="s">
        <v>7010</v>
      </c>
      <c r="BF540" s="3" t="s">
        <v>7010</v>
      </c>
      <c r="BG540" s="3" t="s">
        <v>7010</v>
      </c>
      <c r="BH540" s="3" t="s">
        <v>7010</v>
      </c>
      <c r="BI540" s="3" t="s">
        <v>7010</v>
      </c>
      <c r="BJ540" s="3" t="s">
        <v>7010</v>
      </c>
      <c r="BK540" s="74" t="str">
        <f t="shared" si="35"/>
        <v>No</v>
      </c>
    </row>
    <row r="541" spans="7:63">
      <c r="G541">
        <v>540</v>
      </c>
      <c r="H541" s="7" t="s">
        <v>2137</v>
      </c>
      <c r="I541" t="s">
        <v>29</v>
      </c>
      <c r="J541">
        <f>LEN(H541)</f>
        <v>18</v>
      </c>
      <c r="K541" s="49" t="s">
        <v>6668</v>
      </c>
      <c r="O541" s="3" t="s">
        <v>7010</v>
      </c>
      <c r="P541" s="3" t="s">
        <v>7010</v>
      </c>
      <c r="Q541" s="3" t="s">
        <v>7010</v>
      </c>
      <c r="R541" s="3" t="s">
        <v>7010</v>
      </c>
      <c r="S541" s="3" t="s">
        <v>7010</v>
      </c>
      <c r="T541" s="3" t="s">
        <v>7015</v>
      </c>
      <c r="U541" s="3" t="s">
        <v>7010</v>
      </c>
      <c r="V541" s="3" t="s">
        <v>7010</v>
      </c>
      <c r="W541" s="74" t="str">
        <f t="shared" si="33"/>
        <v>Yes</v>
      </c>
      <c r="Z541">
        <v>540</v>
      </c>
      <c r="AA541" s="55" t="s">
        <v>4653</v>
      </c>
      <c r="AC541">
        <f t="shared" si="32"/>
        <v>8</v>
      </c>
      <c r="AD541" s="30" t="s">
        <v>4654</v>
      </c>
      <c r="AF541" t="s">
        <v>7957</v>
      </c>
      <c r="AH541" s="3" t="s">
        <v>7015</v>
      </c>
      <c r="AI541" s="3" t="s">
        <v>7010</v>
      </c>
      <c r="AJ541" s="3" t="s">
        <v>7010</v>
      </c>
      <c r="AK541" s="3" t="s">
        <v>7015</v>
      </c>
      <c r="AL541" s="3" t="s">
        <v>7010</v>
      </c>
      <c r="AM541" s="3" t="s">
        <v>7010</v>
      </c>
      <c r="AN541" s="3" t="s">
        <v>7010</v>
      </c>
      <c r="AO541" s="3" t="s">
        <v>7010</v>
      </c>
      <c r="AP541" s="74" t="s">
        <v>7015</v>
      </c>
      <c r="AU541">
        <v>540</v>
      </c>
      <c r="AV541" t="s">
        <v>4655</v>
      </c>
      <c r="AW541" t="s">
        <v>2279</v>
      </c>
      <c r="AX541">
        <f t="shared" si="34"/>
        <v>9</v>
      </c>
      <c r="AY541" s="30" t="s">
        <v>4656</v>
      </c>
      <c r="BC541" s="3" t="s">
        <v>7010</v>
      </c>
      <c r="BD541" s="3" t="s">
        <v>7010</v>
      </c>
      <c r="BE541" s="3" t="s">
        <v>7015</v>
      </c>
      <c r="BF541" s="3" t="s">
        <v>7010</v>
      </c>
      <c r="BG541" s="3" t="s">
        <v>7010</v>
      </c>
      <c r="BH541" s="3" t="s">
        <v>7010</v>
      </c>
      <c r="BI541" s="3" t="s">
        <v>7010</v>
      </c>
      <c r="BJ541" s="3" t="s">
        <v>7010</v>
      </c>
      <c r="BK541" s="74" t="str">
        <f t="shared" si="35"/>
        <v>Yes</v>
      </c>
    </row>
    <row r="542" spans="7:63">
      <c r="G542">
        <v>541</v>
      </c>
      <c r="H542" s="7" t="s">
        <v>1959</v>
      </c>
      <c r="I542" t="s">
        <v>29</v>
      </c>
      <c r="J542">
        <f>LEN(H542)</f>
        <v>11</v>
      </c>
      <c r="K542" s="49" t="s">
        <v>6215</v>
      </c>
      <c r="O542" s="3" t="s">
        <v>7010</v>
      </c>
      <c r="P542" s="3" t="s">
        <v>7010</v>
      </c>
      <c r="Q542" s="3" t="s">
        <v>7010</v>
      </c>
      <c r="R542" s="3" t="s">
        <v>7010</v>
      </c>
      <c r="S542" s="3" t="s">
        <v>7010</v>
      </c>
      <c r="T542" s="3" t="s">
        <v>7015</v>
      </c>
      <c r="U542" s="3" t="s">
        <v>7010</v>
      </c>
      <c r="V542" s="3" t="s">
        <v>7010</v>
      </c>
      <c r="W542" s="74" t="str">
        <f t="shared" si="33"/>
        <v>Yes</v>
      </c>
      <c r="Z542">
        <v>541</v>
      </c>
      <c r="AA542" s="55" t="s">
        <v>4658</v>
      </c>
      <c r="AC542">
        <f t="shared" si="32"/>
        <v>7</v>
      </c>
      <c r="AD542" s="30" t="s">
        <v>4659</v>
      </c>
      <c r="AF542" t="s">
        <v>7958</v>
      </c>
      <c r="AH542" s="3" t="s">
        <v>7015</v>
      </c>
      <c r="AI542" s="3" t="s">
        <v>7010</v>
      </c>
      <c r="AJ542" s="3" t="s">
        <v>7010</v>
      </c>
      <c r="AK542" s="3" t="s">
        <v>7015</v>
      </c>
      <c r="AL542" s="3" t="s">
        <v>7010</v>
      </c>
      <c r="AM542" s="3" t="s">
        <v>7010</v>
      </c>
      <c r="AN542" s="3" t="s">
        <v>7010</v>
      </c>
      <c r="AO542" s="3" t="s">
        <v>7010</v>
      </c>
      <c r="AP542" s="74" t="s">
        <v>7015</v>
      </c>
      <c r="AU542">
        <v>541</v>
      </c>
      <c r="AV542" t="s">
        <v>4660</v>
      </c>
      <c r="AW542" t="s">
        <v>2279</v>
      </c>
      <c r="AX542">
        <f t="shared" si="34"/>
        <v>8</v>
      </c>
      <c r="AY542" s="30" t="s">
        <v>4661</v>
      </c>
      <c r="BC542" s="3" t="s">
        <v>7015</v>
      </c>
      <c r="BD542" s="3" t="s">
        <v>7010</v>
      </c>
      <c r="BE542" s="3" t="s">
        <v>7015</v>
      </c>
      <c r="BF542" s="3" t="s">
        <v>7010</v>
      </c>
      <c r="BG542" s="3" t="s">
        <v>7010</v>
      </c>
      <c r="BH542" s="3" t="s">
        <v>7010</v>
      </c>
      <c r="BI542" s="3" t="s">
        <v>7010</v>
      </c>
      <c r="BJ542" s="3" t="s">
        <v>7010</v>
      </c>
      <c r="BK542" s="74" t="str">
        <f t="shared" si="35"/>
        <v>Yes</v>
      </c>
    </row>
    <row r="543" spans="7:63">
      <c r="G543">
        <v>542</v>
      </c>
      <c r="H543" s="7" t="s">
        <v>386</v>
      </c>
      <c r="I543" t="s">
        <v>29</v>
      </c>
      <c r="J543">
        <f>LEN(H543)</f>
        <v>12</v>
      </c>
      <c r="K543" s="49" t="s">
        <v>2461</v>
      </c>
      <c r="O543" s="3" t="s">
        <v>7010</v>
      </c>
      <c r="P543" s="3" t="s">
        <v>7010</v>
      </c>
      <c r="Q543" s="3" t="s">
        <v>7010</v>
      </c>
      <c r="R543" s="3" t="s">
        <v>7010</v>
      </c>
      <c r="S543" s="3" t="s">
        <v>7010</v>
      </c>
      <c r="T543" s="3" t="s">
        <v>7010</v>
      </c>
      <c r="U543" s="3" t="s">
        <v>7010</v>
      </c>
      <c r="V543" s="3" t="s">
        <v>7010</v>
      </c>
      <c r="W543" s="74" t="str">
        <f t="shared" si="33"/>
        <v>No</v>
      </c>
      <c r="Z543">
        <v>542</v>
      </c>
      <c r="AA543" s="55" t="s">
        <v>4663</v>
      </c>
      <c r="AC543">
        <f t="shared" si="32"/>
        <v>6</v>
      </c>
      <c r="AD543" s="30" t="s">
        <v>4664</v>
      </c>
      <c r="AF543" t="s">
        <v>7959</v>
      </c>
      <c r="AH543" s="3" t="s">
        <v>7015</v>
      </c>
      <c r="AI543" s="3" t="s">
        <v>7010</v>
      </c>
      <c r="AJ543" s="3" t="s">
        <v>7010</v>
      </c>
      <c r="AK543" s="3" t="s">
        <v>7015</v>
      </c>
      <c r="AL543" s="3" t="s">
        <v>7010</v>
      </c>
      <c r="AM543" s="3" t="s">
        <v>7010</v>
      </c>
      <c r="AN543" s="3" t="s">
        <v>7010</v>
      </c>
      <c r="AO543" s="3" t="s">
        <v>7010</v>
      </c>
      <c r="AP543" s="74" t="s">
        <v>7015</v>
      </c>
      <c r="AU543">
        <v>542</v>
      </c>
      <c r="AV543" t="s">
        <v>4665</v>
      </c>
      <c r="AW543" t="s">
        <v>2279</v>
      </c>
      <c r="AX543">
        <f t="shared" si="34"/>
        <v>8</v>
      </c>
      <c r="AY543" s="30" t="s">
        <v>4666</v>
      </c>
      <c r="BC543" s="3" t="s">
        <v>7010</v>
      </c>
      <c r="BD543" s="3" t="s">
        <v>7010</v>
      </c>
      <c r="BE543" s="3" t="s">
        <v>7010</v>
      </c>
      <c r="BF543" s="3" t="s">
        <v>7010</v>
      </c>
      <c r="BG543" s="3" t="s">
        <v>7010</v>
      </c>
      <c r="BH543" s="3" t="s">
        <v>7010</v>
      </c>
      <c r="BI543" s="3" t="s">
        <v>7010</v>
      </c>
      <c r="BJ543" s="3" t="s">
        <v>7010</v>
      </c>
      <c r="BK543" s="74" t="str">
        <f t="shared" si="35"/>
        <v>No</v>
      </c>
    </row>
    <row r="544" spans="7:63">
      <c r="G544">
        <v>543</v>
      </c>
      <c r="H544" s="7" t="s">
        <v>1906</v>
      </c>
      <c r="I544" t="s">
        <v>29</v>
      </c>
      <c r="J544">
        <f>LEN(H544)</f>
        <v>12</v>
      </c>
      <c r="K544" s="49" t="s">
        <v>6073</v>
      </c>
      <c r="O544" s="3" t="s">
        <v>7010</v>
      </c>
      <c r="P544" s="3" t="s">
        <v>7010</v>
      </c>
      <c r="Q544" s="3" t="s">
        <v>7010</v>
      </c>
      <c r="R544" s="3" t="s">
        <v>7010</v>
      </c>
      <c r="S544" s="3" t="s">
        <v>7010</v>
      </c>
      <c r="T544" s="3" t="s">
        <v>7015</v>
      </c>
      <c r="U544" s="3" t="s">
        <v>7010</v>
      </c>
      <c r="V544" s="3" t="s">
        <v>7010</v>
      </c>
      <c r="W544" s="74" t="str">
        <f t="shared" si="33"/>
        <v>Yes</v>
      </c>
      <c r="Z544">
        <v>543</v>
      </c>
      <c r="AA544" s="55" t="s">
        <v>4667</v>
      </c>
      <c r="AC544">
        <f t="shared" si="32"/>
        <v>6</v>
      </c>
      <c r="AD544" s="30" t="s">
        <v>4668</v>
      </c>
      <c r="AF544" t="s">
        <v>7960</v>
      </c>
      <c r="AH544" s="3" t="s">
        <v>7015</v>
      </c>
      <c r="AI544" s="3" t="s">
        <v>7010</v>
      </c>
      <c r="AJ544" s="3" t="s">
        <v>7010</v>
      </c>
      <c r="AK544" s="3" t="s">
        <v>7015</v>
      </c>
      <c r="AL544" s="3" t="s">
        <v>7010</v>
      </c>
      <c r="AM544" s="3" t="s">
        <v>7010</v>
      </c>
      <c r="AN544" s="3" t="s">
        <v>7010</v>
      </c>
      <c r="AO544" s="3" t="s">
        <v>7010</v>
      </c>
      <c r="AP544" s="74" t="s">
        <v>7015</v>
      </c>
      <c r="AU544">
        <v>543</v>
      </c>
      <c r="AV544" t="s">
        <v>4669</v>
      </c>
      <c r="AW544" t="s">
        <v>2279</v>
      </c>
      <c r="AX544">
        <f t="shared" si="34"/>
        <v>8</v>
      </c>
      <c r="AY544" s="30" t="s">
        <v>4670</v>
      </c>
      <c r="BC544" s="3" t="s">
        <v>7010</v>
      </c>
      <c r="BD544" s="3" t="s">
        <v>7010</v>
      </c>
      <c r="BE544" s="3" t="s">
        <v>7010</v>
      </c>
      <c r="BF544" s="3" t="s">
        <v>7010</v>
      </c>
      <c r="BG544" s="3" t="s">
        <v>7010</v>
      </c>
      <c r="BH544" s="3" t="s">
        <v>7010</v>
      </c>
      <c r="BI544" s="3" t="s">
        <v>7010</v>
      </c>
      <c r="BJ544" s="3" t="s">
        <v>7010</v>
      </c>
      <c r="BK544" s="74" t="str">
        <f t="shared" si="35"/>
        <v>No</v>
      </c>
    </row>
    <row r="545" spans="7:63">
      <c r="G545">
        <v>544</v>
      </c>
      <c r="H545" s="7" t="s">
        <v>518</v>
      </c>
      <c r="I545" t="s">
        <v>29</v>
      </c>
      <c r="J545">
        <f>LEN(H545)</f>
        <v>14</v>
      </c>
      <c r="K545" s="49" t="s">
        <v>2989</v>
      </c>
      <c r="O545" s="3" t="s">
        <v>7010</v>
      </c>
      <c r="P545" s="3" t="s">
        <v>7010</v>
      </c>
      <c r="Q545" s="3" t="s">
        <v>7010</v>
      </c>
      <c r="R545" s="3" t="s">
        <v>7010</v>
      </c>
      <c r="S545" s="3" t="s">
        <v>7010</v>
      </c>
      <c r="T545" s="3" t="s">
        <v>7015</v>
      </c>
      <c r="U545" s="3" t="s">
        <v>7010</v>
      </c>
      <c r="V545" s="3" t="s">
        <v>7010</v>
      </c>
      <c r="W545" s="74" t="str">
        <f t="shared" si="33"/>
        <v>Yes</v>
      </c>
      <c r="Z545">
        <v>544</v>
      </c>
      <c r="AA545" s="55" t="s">
        <v>4672</v>
      </c>
      <c r="AC545">
        <f t="shared" si="32"/>
        <v>7</v>
      </c>
      <c r="AD545" s="30" t="s">
        <v>4673</v>
      </c>
      <c r="AF545" t="s">
        <v>7961</v>
      </c>
      <c r="AH545" s="3" t="s">
        <v>7015</v>
      </c>
      <c r="AI545" s="3" t="s">
        <v>7010</v>
      </c>
      <c r="AJ545" s="3" t="s">
        <v>7010</v>
      </c>
      <c r="AK545" s="3" t="s">
        <v>7015</v>
      </c>
      <c r="AL545" s="3" t="s">
        <v>7010</v>
      </c>
      <c r="AM545" s="3" t="s">
        <v>7010</v>
      </c>
      <c r="AN545" s="3" t="s">
        <v>7010</v>
      </c>
      <c r="AO545" s="3" t="s">
        <v>7010</v>
      </c>
      <c r="AP545" s="74" t="s">
        <v>7015</v>
      </c>
      <c r="AU545">
        <v>544</v>
      </c>
      <c r="AV545" t="s">
        <v>4674</v>
      </c>
      <c r="AW545" t="s">
        <v>2279</v>
      </c>
      <c r="AX545">
        <f t="shared" si="34"/>
        <v>9</v>
      </c>
      <c r="AY545" s="30" t="s">
        <v>4675</v>
      </c>
      <c r="BC545" s="3" t="s">
        <v>7010</v>
      </c>
      <c r="BD545" s="3" t="s">
        <v>7010</v>
      </c>
      <c r="BE545" s="3" t="s">
        <v>7010</v>
      </c>
      <c r="BF545" s="3" t="s">
        <v>7010</v>
      </c>
      <c r="BG545" s="3" t="s">
        <v>7010</v>
      </c>
      <c r="BH545" s="3" t="s">
        <v>7010</v>
      </c>
      <c r="BI545" s="3" t="s">
        <v>7010</v>
      </c>
      <c r="BJ545" s="3" t="s">
        <v>7010</v>
      </c>
      <c r="BK545" s="74" t="str">
        <f t="shared" si="35"/>
        <v>No</v>
      </c>
    </row>
    <row r="546" spans="7:63">
      <c r="G546">
        <v>545</v>
      </c>
      <c r="H546" s="7" t="s">
        <v>583</v>
      </c>
      <c r="I546" t="s">
        <v>29</v>
      </c>
      <c r="J546">
        <f>LEN(H546)</f>
        <v>10</v>
      </c>
      <c r="K546" s="49" t="s">
        <v>3249</v>
      </c>
      <c r="O546" s="3" t="s">
        <v>7010</v>
      </c>
      <c r="P546" s="3" t="s">
        <v>7010</v>
      </c>
      <c r="Q546" s="3" t="s">
        <v>7010</v>
      </c>
      <c r="R546" s="3" t="s">
        <v>7015</v>
      </c>
      <c r="S546" s="3" t="s">
        <v>7010</v>
      </c>
      <c r="T546" s="3" t="s">
        <v>7015</v>
      </c>
      <c r="U546" s="3" t="s">
        <v>7010</v>
      </c>
      <c r="V546" s="3" t="s">
        <v>7010</v>
      </c>
      <c r="W546" s="74" t="str">
        <f t="shared" si="33"/>
        <v>Yes</v>
      </c>
      <c r="Z546">
        <v>545</v>
      </c>
      <c r="AA546" s="55" t="s">
        <v>4677</v>
      </c>
      <c r="AC546">
        <f t="shared" si="32"/>
        <v>6</v>
      </c>
      <c r="AD546" s="30" t="s">
        <v>4678</v>
      </c>
      <c r="AF546" t="s">
        <v>7962</v>
      </c>
      <c r="AH546" s="3" t="s">
        <v>7015</v>
      </c>
      <c r="AI546" s="3" t="s">
        <v>7010</v>
      </c>
      <c r="AJ546" s="3" t="s">
        <v>7010</v>
      </c>
      <c r="AK546" s="3" t="s">
        <v>7015</v>
      </c>
      <c r="AL546" s="3" t="s">
        <v>7010</v>
      </c>
      <c r="AM546" s="3" t="s">
        <v>7010</v>
      </c>
      <c r="AN546" s="3" t="s">
        <v>7010</v>
      </c>
      <c r="AO546" s="3" t="s">
        <v>7010</v>
      </c>
      <c r="AP546" s="74" t="s">
        <v>7015</v>
      </c>
      <c r="AU546">
        <v>545</v>
      </c>
      <c r="AV546" t="s">
        <v>4679</v>
      </c>
      <c r="AW546" t="s">
        <v>2279</v>
      </c>
      <c r="AX546">
        <f t="shared" si="34"/>
        <v>12</v>
      </c>
      <c r="AY546" s="30" t="s">
        <v>4680</v>
      </c>
      <c r="BC546" s="3" t="s">
        <v>7010</v>
      </c>
      <c r="BD546" s="3" t="s">
        <v>7010</v>
      </c>
      <c r="BE546" s="3" t="s">
        <v>7015</v>
      </c>
      <c r="BF546" s="3" t="s">
        <v>7010</v>
      </c>
      <c r="BG546" s="3" t="s">
        <v>7010</v>
      </c>
      <c r="BH546" s="3" t="s">
        <v>7010</v>
      </c>
      <c r="BI546" s="3" t="s">
        <v>7010</v>
      </c>
      <c r="BJ546" s="3" t="s">
        <v>7010</v>
      </c>
      <c r="BK546" s="74" t="str">
        <f t="shared" si="35"/>
        <v>Yes</v>
      </c>
    </row>
    <row r="547" spans="7:63">
      <c r="G547">
        <v>546</v>
      </c>
      <c r="H547" s="7" t="s">
        <v>594</v>
      </c>
      <c r="I547" t="s">
        <v>29</v>
      </c>
      <c r="J547">
        <f>LEN(H547)</f>
        <v>12</v>
      </c>
      <c r="K547" s="49" t="s">
        <v>3293</v>
      </c>
      <c r="O547" s="3" t="s">
        <v>7010</v>
      </c>
      <c r="P547" s="3" t="s">
        <v>7010</v>
      </c>
      <c r="Q547" s="3" t="s">
        <v>7010</v>
      </c>
      <c r="R547" s="3" t="s">
        <v>7010</v>
      </c>
      <c r="S547" s="3" t="s">
        <v>7010</v>
      </c>
      <c r="T547" s="3" t="s">
        <v>7015</v>
      </c>
      <c r="U547" s="3" t="s">
        <v>7010</v>
      </c>
      <c r="V547" s="3" t="s">
        <v>7010</v>
      </c>
      <c r="W547" s="74" t="str">
        <f t="shared" si="33"/>
        <v>Yes</v>
      </c>
      <c r="Z547">
        <v>546</v>
      </c>
      <c r="AA547" s="55" t="s">
        <v>4682</v>
      </c>
      <c r="AC547">
        <f t="shared" si="32"/>
        <v>6</v>
      </c>
      <c r="AD547" s="30" t="s">
        <v>4683</v>
      </c>
      <c r="AF547" t="s">
        <v>7963</v>
      </c>
      <c r="AH547" s="3" t="s">
        <v>7015</v>
      </c>
      <c r="AI547" s="3" t="s">
        <v>7010</v>
      </c>
      <c r="AJ547" s="3" t="s">
        <v>7010</v>
      </c>
      <c r="AK547" s="3" t="s">
        <v>7015</v>
      </c>
      <c r="AL547" s="3" t="s">
        <v>7010</v>
      </c>
      <c r="AM547" s="3" t="s">
        <v>7010</v>
      </c>
      <c r="AN547" s="3" t="s">
        <v>7010</v>
      </c>
      <c r="AO547" s="3" t="s">
        <v>7010</v>
      </c>
      <c r="AP547" s="74" t="s">
        <v>7015</v>
      </c>
      <c r="AU547">
        <v>546</v>
      </c>
      <c r="AV547" t="s">
        <v>4684</v>
      </c>
      <c r="AW547" t="s">
        <v>2279</v>
      </c>
      <c r="AX547">
        <f t="shared" si="34"/>
        <v>12</v>
      </c>
      <c r="AY547" s="30" t="s">
        <v>4685</v>
      </c>
      <c r="BC547" s="3" t="s">
        <v>7010</v>
      </c>
      <c r="BD547" s="3" t="s">
        <v>7010</v>
      </c>
      <c r="BE547" s="3" t="s">
        <v>7010</v>
      </c>
      <c r="BF547" s="3" t="s">
        <v>7010</v>
      </c>
      <c r="BG547" s="3" t="s">
        <v>7010</v>
      </c>
      <c r="BH547" s="3" t="s">
        <v>7010</v>
      </c>
      <c r="BI547" s="3" t="s">
        <v>7010</v>
      </c>
      <c r="BJ547" s="3" t="s">
        <v>7010</v>
      </c>
      <c r="BK547" s="74" t="str">
        <f t="shared" si="35"/>
        <v>No</v>
      </c>
    </row>
    <row r="548" spans="7:63">
      <c r="G548">
        <v>547</v>
      </c>
      <c r="H548" s="7" t="s">
        <v>589</v>
      </c>
      <c r="I548" t="s">
        <v>29</v>
      </c>
      <c r="J548">
        <f>LEN(H548)</f>
        <v>11</v>
      </c>
      <c r="K548" s="49" t="s">
        <v>3273</v>
      </c>
      <c r="O548" s="3" t="s">
        <v>7010</v>
      </c>
      <c r="P548" s="3" t="s">
        <v>7010</v>
      </c>
      <c r="Q548" s="3" t="s">
        <v>7010</v>
      </c>
      <c r="R548" s="3" t="s">
        <v>7015</v>
      </c>
      <c r="S548" s="3" t="s">
        <v>7010</v>
      </c>
      <c r="T548" s="3" t="s">
        <v>7015</v>
      </c>
      <c r="U548" s="3" t="s">
        <v>7010</v>
      </c>
      <c r="V548" s="3" t="s">
        <v>7010</v>
      </c>
      <c r="W548" s="74" t="str">
        <f t="shared" si="33"/>
        <v>Yes</v>
      </c>
      <c r="Z548">
        <v>547</v>
      </c>
      <c r="AA548" s="55" t="s">
        <v>4687</v>
      </c>
      <c r="AC548">
        <f t="shared" si="32"/>
        <v>7</v>
      </c>
      <c r="AD548" s="30" t="s">
        <v>4688</v>
      </c>
      <c r="AF548" t="s">
        <v>7964</v>
      </c>
      <c r="AH548" s="3" t="s">
        <v>7015</v>
      </c>
      <c r="AI548" s="3" t="s">
        <v>7010</v>
      </c>
      <c r="AJ548" s="3" t="s">
        <v>7010</v>
      </c>
      <c r="AK548" s="3" t="s">
        <v>7015</v>
      </c>
      <c r="AL548" s="3" t="s">
        <v>7010</v>
      </c>
      <c r="AM548" s="3" t="s">
        <v>7010</v>
      </c>
      <c r="AN548" s="3" t="s">
        <v>7010</v>
      </c>
      <c r="AO548" s="3" t="s">
        <v>7010</v>
      </c>
      <c r="AP548" s="74" t="s">
        <v>7015</v>
      </c>
      <c r="AU548">
        <v>547</v>
      </c>
      <c r="AV548" t="s">
        <v>4689</v>
      </c>
      <c r="AW548" t="s">
        <v>2279</v>
      </c>
      <c r="AX548">
        <f t="shared" si="34"/>
        <v>8</v>
      </c>
      <c r="AY548" s="31" t="s">
        <v>4690</v>
      </c>
      <c r="BC548" s="3" t="s">
        <v>7010</v>
      </c>
      <c r="BD548" s="3" t="s">
        <v>7010</v>
      </c>
      <c r="BE548" s="3" t="s">
        <v>7010</v>
      </c>
      <c r="BF548" s="3" t="s">
        <v>7010</v>
      </c>
      <c r="BG548" s="3" t="s">
        <v>7010</v>
      </c>
      <c r="BH548" s="3" t="s">
        <v>7010</v>
      </c>
      <c r="BI548" s="3" t="s">
        <v>7010</v>
      </c>
      <c r="BJ548" s="3" t="s">
        <v>7010</v>
      </c>
      <c r="BK548" s="74" t="str">
        <f t="shared" si="35"/>
        <v>No</v>
      </c>
    </row>
    <row r="549" spans="7:63">
      <c r="G549">
        <v>548</v>
      </c>
      <c r="H549" s="7" t="s">
        <v>584</v>
      </c>
      <c r="I549" t="s">
        <v>29</v>
      </c>
      <c r="J549">
        <f>LEN(H549)</f>
        <v>9</v>
      </c>
      <c r="K549" s="49" t="s">
        <v>3253</v>
      </c>
      <c r="O549" s="3" t="s">
        <v>7010</v>
      </c>
      <c r="P549" s="3" t="s">
        <v>7010</v>
      </c>
      <c r="Q549" s="3" t="s">
        <v>7010</v>
      </c>
      <c r="R549" s="3" t="s">
        <v>7010</v>
      </c>
      <c r="S549" s="3" t="s">
        <v>7010</v>
      </c>
      <c r="T549" s="3" t="s">
        <v>7015</v>
      </c>
      <c r="U549" s="3" t="s">
        <v>7010</v>
      </c>
      <c r="V549" s="3" t="s">
        <v>7015</v>
      </c>
      <c r="W549" s="74" t="str">
        <f t="shared" si="33"/>
        <v>Yes</v>
      </c>
      <c r="Z549">
        <v>548</v>
      </c>
      <c r="AA549" s="55" t="s">
        <v>4692</v>
      </c>
      <c r="AC549">
        <f t="shared" si="32"/>
        <v>7</v>
      </c>
      <c r="AD549" s="30" t="s">
        <v>4693</v>
      </c>
      <c r="AF549" t="s">
        <v>7965</v>
      </c>
      <c r="AH549" s="3" t="s">
        <v>7015</v>
      </c>
      <c r="AI549" s="3" t="s">
        <v>7010</v>
      </c>
      <c r="AJ549" s="3" t="s">
        <v>7010</v>
      </c>
      <c r="AK549" s="3" t="s">
        <v>7015</v>
      </c>
      <c r="AL549" s="3" t="s">
        <v>7010</v>
      </c>
      <c r="AM549" s="3" t="s">
        <v>7010</v>
      </c>
      <c r="AN549" s="3" t="s">
        <v>7010</v>
      </c>
      <c r="AO549" s="3" t="s">
        <v>7010</v>
      </c>
      <c r="AP549" s="74" t="s">
        <v>7015</v>
      </c>
      <c r="AU549">
        <v>548</v>
      </c>
      <c r="AV549" t="s">
        <v>4694</v>
      </c>
      <c r="AW549" t="s">
        <v>2279</v>
      </c>
      <c r="AX549">
        <f t="shared" si="34"/>
        <v>8</v>
      </c>
      <c r="AY549" s="30" t="s">
        <v>4695</v>
      </c>
      <c r="BC549" s="3" t="s">
        <v>7010</v>
      </c>
      <c r="BD549" s="3" t="s">
        <v>7010</v>
      </c>
      <c r="BE549" s="3" t="s">
        <v>7010</v>
      </c>
      <c r="BF549" s="3" t="s">
        <v>7010</v>
      </c>
      <c r="BG549" s="3" t="s">
        <v>7010</v>
      </c>
      <c r="BH549" s="3" t="s">
        <v>7010</v>
      </c>
      <c r="BI549" s="3" t="s">
        <v>7010</v>
      </c>
      <c r="BJ549" s="3" t="s">
        <v>7010</v>
      </c>
      <c r="BK549" s="74" t="str">
        <f t="shared" si="35"/>
        <v>No</v>
      </c>
    </row>
    <row r="550" spans="7:63">
      <c r="G550">
        <v>549</v>
      </c>
      <c r="H550" s="7" t="s">
        <v>592</v>
      </c>
      <c r="I550" t="s">
        <v>29</v>
      </c>
      <c r="J550">
        <f>LEN(H550)</f>
        <v>12</v>
      </c>
      <c r="K550" s="49" t="s">
        <v>3285</v>
      </c>
      <c r="O550" s="3" t="s">
        <v>7010</v>
      </c>
      <c r="P550" s="3" t="s">
        <v>7010</v>
      </c>
      <c r="Q550" s="3" t="s">
        <v>7010</v>
      </c>
      <c r="R550" s="3" t="s">
        <v>7010</v>
      </c>
      <c r="S550" s="3" t="s">
        <v>7010</v>
      </c>
      <c r="T550" s="3" t="s">
        <v>7010</v>
      </c>
      <c r="U550" s="3" t="s">
        <v>7010</v>
      </c>
      <c r="V550" s="3" t="s">
        <v>7010</v>
      </c>
      <c r="W550" s="74" t="str">
        <f t="shared" si="33"/>
        <v>No</v>
      </c>
      <c r="Z550">
        <v>549</v>
      </c>
      <c r="AA550" s="55" t="s">
        <v>4697</v>
      </c>
      <c r="AC550">
        <f t="shared" si="32"/>
        <v>7</v>
      </c>
      <c r="AD550" s="30" t="s">
        <v>4698</v>
      </c>
      <c r="AF550" t="s">
        <v>7966</v>
      </c>
      <c r="AH550" s="3" t="s">
        <v>7015</v>
      </c>
      <c r="AI550" s="3" t="s">
        <v>7010</v>
      </c>
      <c r="AJ550" s="3" t="s">
        <v>7010</v>
      </c>
      <c r="AK550" s="3" t="s">
        <v>7015</v>
      </c>
      <c r="AL550" s="3" t="s">
        <v>7010</v>
      </c>
      <c r="AM550" s="3" t="s">
        <v>7010</v>
      </c>
      <c r="AN550" s="3" t="s">
        <v>7010</v>
      </c>
      <c r="AO550" s="3" t="s">
        <v>7010</v>
      </c>
      <c r="AP550" s="74" t="s">
        <v>7015</v>
      </c>
      <c r="AU550">
        <v>549</v>
      </c>
      <c r="AV550" t="s">
        <v>4699</v>
      </c>
      <c r="AW550" t="s">
        <v>2279</v>
      </c>
      <c r="AX550">
        <f t="shared" si="34"/>
        <v>10</v>
      </c>
      <c r="AY550" s="30" t="s">
        <v>4700</v>
      </c>
      <c r="BC550" s="3" t="s">
        <v>7010</v>
      </c>
      <c r="BD550" s="3" t="s">
        <v>7010</v>
      </c>
      <c r="BE550" s="3" t="s">
        <v>7010</v>
      </c>
      <c r="BF550" s="3" t="s">
        <v>7010</v>
      </c>
      <c r="BG550" s="3" t="s">
        <v>7010</v>
      </c>
      <c r="BH550" s="3" t="s">
        <v>7010</v>
      </c>
      <c r="BI550" s="3" t="s">
        <v>7010</v>
      </c>
      <c r="BJ550" s="3" t="s">
        <v>7010</v>
      </c>
      <c r="BK550" s="74" t="str">
        <f t="shared" si="35"/>
        <v>No</v>
      </c>
    </row>
    <row r="551" spans="7:63">
      <c r="G551">
        <v>550</v>
      </c>
      <c r="H551" s="7" t="s">
        <v>591</v>
      </c>
      <c r="I551" t="s">
        <v>29</v>
      </c>
      <c r="J551">
        <f>LEN(H551)</f>
        <v>11</v>
      </c>
      <c r="K551" s="49" t="s">
        <v>3281</v>
      </c>
      <c r="O551" s="3" t="s">
        <v>7010</v>
      </c>
      <c r="P551" s="3" t="s">
        <v>7010</v>
      </c>
      <c r="Q551" s="3" t="s">
        <v>7010</v>
      </c>
      <c r="R551" s="3" t="s">
        <v>7010</v>
      </c>
      <c r="S551" s="3" t="s">
        <v>7010</v>
      </c>
      <c r="T551" s="3" t="s">
        <v>7015</v>
      </c>
      <c r="U551" s="3" t="s">
        <v>7010</v>
      </c>
      <c r="V551" s="3" t="s">
        <v>7010</v>
      </c>
      <c r="W551" s="74" t="str">
        <f t="shared" si="33"/>
        <v>Yes</v>
      </c>
      <c r="Z551">
        <v>550</v>
      </c>
      <c r="AA551" s="55" t="s">
        <v>4702</v>
      </c>
      <c r="AC551">
        <f t="shared" si="32"/>
        <v>5</v>
      </c>
      <c r="AD551" s="30" t="s">
        <v>4703</v>
      </c>
      <c r="AF551" t="s">
        <v>7967</v>
      </c>
      <c r="AH551" s="3" t="s">
        <v>7015</v>
      </c>
      <c r="AI551" s="3" t="s">
        <v>7010</v>
      </c>
      <c r="AJ551" s="3" t="s">
        <v>7010</v>
      </c>
      <c r="AK551" s="3" t="s">
        <v>7015</v>
      </c>
      <c r="AL551" s="3" t="s">
        <v>7010</v>
      </c>
      <c r="AM551" s="3" t="s">
        <v>7010</v>
      </c>
      <c r="AN551" s="3" t="s">
        <v>7010</v>
      </c>
      <c r="AO551" s="3" t="s">
        <v>7010</v>
      </c>
      <c r="AP551" s="74" t="s">
        <v>7015</v>
      </c>
      <c r="AU551">
        <v>550</v>
      </c>
      <c r="AV551" t="s">
        <v>4704</v>
      </c>
      <c r="AW551" t="s">
        <v>2279</v>
      </c>
      <c r="AX551">
        <f t="shared" si="34"/>
        <v>13</v>
      </c>
      <c r="AY551" s="30" t="s">
        <v>4705</v>
      </c>
      <c r="BC551" s="3" t="s">
        <v>7010</v>
      </c>
      <c r="BD551" s="3" t="s">
        <v>7010</v>
      </c>
      <c r="BE551" s="3" t="s">
        <v>7010</v>
      </c>
      <c r="BF551" s="3" t="s">
        <v>7010</v>
      </c>
      <c r="BG551" s="3" t="s">
        <v>7010</v>
      </c>
      <c r="BH551" s="3" t="s">
        <v>7010</v>
      </c>
      <c r="BI551" s="3" t="s">
        <v>7010</v>
      </c>
      <c r="BJ551" s="3" t="s">
        <v>7010</v>
      </c>
      <c r="BK551" s="74" t="str">
        <f t="shared" si="35"/>
        <v>No</v>
      </c>
    </row>
    <row r="552" spans="7:63">
      <c r="G552">
        <v>551</v>
      </c>
      <c r="H552" s="7" t="s">
        <v>593</v>
      </c>
      <c r="I552" t="s">
        <v>29</v>
      </c>
      <c r="J552">
        <f>LEN(H552)</f>
        <v>7</v>
      </c>
      <c r="K552" s="49" t="s">
        <v>3289</v>
      </c>
      <c r="O552" s="3" t="s">
        <v>7010</v>
      </c>
      <c r="P552" s="3" t="s">
        <v>7010</v>
      </c>
      <c r="Q552" s="3" t="s">
        <v>7010</v>
      </c>
      <c r="R552" s="3" t="s">
        <v>7015</v>
      </c>
      <c r="S552" s="3" t="s">
        <v>7010</v>
      </c>
      <c r="T552" s="3" t="s">
        <v>7015</v>
      </c>
      <c r="U552" s="3" t="s">
        <v>7010</v>
      </c>
      <c r="V552" s="3" t="s">
        <v>7010</v>
      </c>
      <c r="W552" s="74" t="str">
        <f t="shared" si="33"/>
        <v>Yes</v>
      </c>
      <c r="Z552">
        <v>551</v>
      </c>
      <c r="AA552" s="55" t="s">
        <v>4707</v>
      </c>
      <c r="AC552">
        <f t="shared" si="32"/>
        <v>6</v>
      </c>
      <c r="AD552" s="30" t="s">
        <v>4708</v>
      </c>
      <c r="AF552" t="s">
        <v>7968</v>
      </c>
      <c r="AH552" s="3" t="s">
        <v>7015</v>
      </c>
      <c r="AI552" s="3" t="s">
        <v>7010</v>
      </c>
      <c r="AJ552" s="3" t="s">
        <v>7010</v>
      </c>
      <c r="AK552" s="3" t="s">
        <v>7015</v>
      </c>
      <c r="AL552" s="3" t="s">
        <v>7010</v>
      </c>
      <c r="AM552" s="3" t="s">
        <v>7010</v>
      </c>
      <c r="AN552" s="3" t="s">
        <v>7010</v>
      </c>
      <c r="AO552" s="3" t="s">
        <v>7010</v>
      </c>
      <c r="AP552" s="74" t="s">
        <v>7015</v>
      </c>
      <c r="AU552">
        <v>551</v>
      </c>
      <c r="AV552" t="s">
        <v>4709</v>
      </c>
      <c r="AW552" t="s">
        <v>2279</v>
      </c>
      <c r="AX552">
        <f t="shared" si="34"/>
        <v>10</v>
      </c>
      <c r="AY552" s="30" t="s">
        <v>4710</v>
      </c>
      <c r="BC552" s="3" t="s">
        <v>7010</v>
      </c>
      <c r="BD552" s="3" t="s">
        <v>7010</v>
      </c>
      <c r="BE552" s="3" t="s">
        <v>7010</v>
      </c>
      <c r="BF552" s="3" t="s">
        <v>7010</v>
      </c>
      <c r="BG552" s="3" t="s">
        <v>7010</v>
      </c>
      <c r="BH552" s="3" t="s">
        <v>7010</v>
      </c>
      <c r="BI552" s="3" t="s">
        <v>7010</v>
      </c>
      <c r="BJ552" s="3" t="s">
        <v>7010</v>
      </c>
      <c r="BK552" s="74" t="str">
        <f t="shared" si="35"/>
        <v>No</v>
      </c>
    </row>
    <row r="553" spans="7:63">
      <c r="G553">
        <v>552</v>
      </c>
      <c r="H553" s="7" t="s">
        <v>595</v>
      </c>
      <c r="I553" t="s">
        <v>29</v>
      </c>
      <c r="J553">
        <f>LEN(H553)</f>
        <v>9</v>
      </c>
      <c r="K553" s="49" t="s">
        <v>3297</v>
      </c>
      <c r="O553" s="3" t="s">
        <v>7010</v>
      </c>
      <c r="P553" s="3" t="s">
        <v>7010</v>
      </c>
      <c r="Q553" s="3" t="s">
        <v>7010</v>
      </c>
      <c r="R553" s="3" t="s">
        <v>7015</v>
      </c>
      <c r="S553" s="3" t="s">
        <v>7010</v>
      </c>
      <c r="T553" s="3" t="s">
        <v>7015</v>
      </c>
      <c r="U553" s="3" t="s">
        <v>7010</v>
      </c>
      <c r="V553" s="3" t="s">
        <v>7010</v>
      </c>
      <c r="W553" s="74" t="str">
        <f t="shared" si="33"/>
        <v>Yes</v>
      </c>
      <c r="Z553">
        <v>552</v>
      </c>
      <c r="AA553" s="55">
        <v>212121</v>
      </c>
      <c r="AC553">
        <f t="shared" si="32"/>
        <v>6</v>
      </c>
      <c r="AD553" s="30" t="s">
        <v>4712</v>
      </c>
      <c r="AF553" s="54" t="s">
        <v>7969</v>
      </c>
      <c r="AH553" s="3" t="s">
        <v>7015</v>
      </c>
      <c r="AI553" s="3" t="s">
        <v>7010</v>
      </c>
      <c r="AJ553" s="3" t="s">
        <v>7010</v>
      </c>
      <c r="AK553" s="3" t="s">
        <v>7015</v>
      </c>
      <c r="AL553" s="3" t="s">
        <v>7010</v>
      </c>
      <c r="AM553" s="3" t="s">
        <v>7010</v>
      </c>
      <c r="AN553" s="3" t="s">
        <v>7010</v>
      </c>
      <c r="AO553" s="3" t="s">
        <v>7010</v>
      </c>
      <c r="AP553" s="74" t="s">
        <v>7015</v>
      </c>
      <c r="AU553">
        <v>552</v>
      </c>
      <c r="AV553" t="s">
        <v>4713</v>
      </c>
      <c r="AW553" t="s">
        <v>2279</v>
      </c>
      <c r="AX553">
        <f t="shared" si="34"/>
        <v>12</v>
      </c>
      <c r="AY553" s="30" t="s">
        <v>4714</v>
      </c>
      <c r="BC553" s="3" t="s">
        <v>7010</v>
      </c>
      <c r="BD553" s="3" t="s">
        <v>7010</v>
      </c>
      <c r="BE553" s="3" t="s">
        <v>7010</v>
      </c>
      <c r="BF553" s="3" t="s">
        <v>7010</v>
      </c>
      <c r="BG553" s="3" t="s">
        <v>7010</v>
      </c>
      <c r="BH553" s="3" t="s">
        <v>7010</v>
      </c>
      <c r="BI553" s="3" t="s">
        <v>7010</v>
      </c>
      <c r="BJ553" s="3" t="s">
        <v>7010</v>
      </c>
      <c r="BK553" s="74" t="str">
        <f t="shared" si="35"/>
        <v>No</v>
      </c>
    </row>
    <row r="554" spans="7:63">
      <c r="G554">
        <v>553</v>
      </c>
      <c r="H554" s="7" t="s">
        <v>2191</v>
      </c>
      <c r="I554" t="s">
        <v>29</v>
      </c>
      <c r="J554">
        <f>LEN(H554)</f>
        <v>15</v>
      </c>
      <c r="K554" s="49" t="s">
        <v>6801</v>
      </c>
      <c r="O554" s="3" t="s">
        <v>7010</v>
      </c>
      <c r="P554" s="3" t="s">
        <v>7010</v>
      </c>
      <c r="Q554" s="3" t="s">
        <v>7010</v>
      </c>
      <c r="R554" s="3" t="s">
        <v>7010</v>
      </c>
      <c r="S554" s="3" t="s">
        <v>7010</v>
      </c>
      <c r="T554" s="3" t="s">
        <v>7015</v>
      </c>
      <c r="U554" s="3" t="s">
        <v>7010</v>
      </c>
      <c r="V554" s="3" t="s">
        <v>7010</v>
      </c>
      <c r="W554" s="74" t="str">
        <f t="shared" si="33"/>
        <v>Yes</v>
      </c>
      <c r="Z554">
        <v>553</v>
      </c>
      <c r="AA554" s="55" t="s">
        <v>4716</v>
      </c>
      <c r="AC554">
        <f t="shared" si="32"/>
        <v>8</v>
      </c>
      <c r="AD554" s="30" t="s">
        <v>4717</v>
      </c>
      <c r="AF554" t="s">
        <v>7970</v>
      </c>
      <c r="AH554" s="3" t="s">
        <v>7015</v>
      </c>
      <c r="AI554" s="3" t="s">
        <v>7010</v>
      </c>
      <c r="AJ554" s="3" t="s">
        <v>7010</v>
      </c>
      <c r="AK554" s="3" t="s">
        <v>7015</v>
      </c>
      <c r="AL554" s="3" t="s">
        <v>7010</v>
      </c>
      <c r="AM554" s="3" t="s">
        <v>7010</v>
      </c>
      <c r="AN554" s="3" t="s">
        <v>7010</v>
      </c>
      <c r="AO554" s="3" t="s">
        <v>7010</v>
      </c>
      <c r="AP554" s="74" t="s">
        <v>7015</v>
      </c>
      <c r="AU554">
        <v>553</v>
      </c>
      <c r="AV554" t="s">
        <v>4718</v>
      </c>
      <c r="AW554" t="s">
        <v>2279</v>
      </c>
      <c r="AX554">
        <f t="shared" si="34"/>
        <v>10</v>
      </c>
      <c r="AY554" s="30" t="s">
        <v>4719</v>
      </c>
      <c r="BC554" s="3" t="s">
        <v>7010</v>
      </c>
      <c r="BD554" s="3" t="s">
        <v>7010</v>
      </c>
      <c r="BE554" s="3" t="s">
        <v>7010</v>
      </c>
      <c r="BF554" s="3" t="s">
        <v>7010</v>
      </c>
      <c r="BG554" s="3" t="s">
        <v>7010</v>
      </c>
      <c r="BH554" s="3" t="s">
        <v>7010</v>
      </c>
      <c r="BI554" s="3" t="s">
        <v>7010</v>
      </c>
      <c r="BJ554" s="3" t="s">
        <v>7010</v>
      </c>
      <c r="BK554" s="74" t="str">
        <f t="shared" si="35"/>
        <v>No</v>
      </c>
    </row>
    <row r="555" spans="7:63">
      <c r="G555">
        <v>554</v>
      </c>
      <c r="H555" s="7" t="s">
        <v>1066</v>
      </c>
      <c r="I555" t="s">
        <v>29</v>
      </c>
      <c r="J555">
        <f>LEN(H555)</f>
        <v>12</v>
      </c>
      <c r="K555" s="49" t="s">
        <v>3873</v>
      </c>
      <c r="O555" s="3" t="s">
        <v>7010</v>
      </c>
      <c r="P555" s="3" t="s">
        <v>7010</v>
      </c>
      <c r="Q555" s="3" t="s">
        <v>7010</v>
      </c>
      <c r="R555" s="3" t="s">
        <v>7010</v>
      </c>
      <c r="S555" s="3" t="s">
        <v>7010</v>
      </c>
      <c r="T555" s="3" t="s">
        <v>7015</v>
      </c>
      <c r="U555" s="3" t="s">
        <v>7010</v>
      </c>
      <c r="V555" s="3" t="s">
        <v>7010</v>
      </c>
      <c r="W555" s="74" t="str">
        <f t="shared" si="33"/>
        <v>Yes</v>
      </c>
      <c r="Z555">
        <v>554</v>
      </c>
      <c r="AA555" s="55" t="s">
        <v>4721</v>
      </c>
      <c r="AC555">
        <f t="shared" si="32"/>
        <v>6</v>
      </c>
      <c r="AD555" s="30" t="s">
        <v>4722</v>
      </c>
      <c r="AF555" t="s">
        <v>7971</v>
      </c>
      <c r="AH555" s="3" t="s">
        <v>7015</v>
      </c>
      <c r="AI555" s="3" t="s">
        <v>7010</v>
      </c>
      <c r="AJ555" s="3" t="s">
        <v>7010</v>
      </c>
      <c r="AK555" s="3" t="s">
        <v>7015</v>
      </c>
      <c r="AL555" s="3" t="s">
        <v>7010</v>
      </c>
      <c r="AM555" s="3" t="s">
        <v>7010</v>
      </c>
      <c r="AN555" s="3" t="s">
        <v>7010</v>
      </c>
      <c r="AO555" s="3" t="s">
        <v>7010</v>
      </c>
      <c r="AP555" s="74" t="s">
        <v>7015</v>
      </c>
      <c r="AU555">
        <v>554</v>
      </c>
      <c r="AV555" t="s">
        <v>4723</v>
      </c>
      <c r="AW555" t="s">
        <v>2279</v>
      </c>
      <c r="AX555">
        <f t="shared" si="34"/>
        <v>8</v>
      </c>
      <c r="AY555" s="30" t="s">
        <v>4724</v>
      </c>
      <c r="BC555" s="3" t="s">
        <v>7010</v>
      </c>
      <c r="BD555" s="3" t="s">
        <v>7010</v>
      </c>
      <c r="BE555" s="3" t="s">
        <v>7015</v>
      </c>
      <c r="BF555" s="3" t="s">
        <v>7010</v>
      </c>
      <c r="BG555" s="3" t="s">
        <v>7010</v>
      </c>
      <c r="BH555" s="3" t="s">
        <v>7010</v>
      </c>
      <c r="BI555" s="3" t="s">
        <v>7010</v>
      </c>
      <c r="BJ555" s="3" t="s">
        <v>7010</v>
      </c>
      <c r="BK555" s="74" t="str">
        <f t="shared" si="35"/>
        <v>Yes</v>
      </c>
    </row>
    <row r="556" spans="7:63">
      <c r="G556">
        <v>555</v>
      </c>
      <c r="H556" s="7" t="s">
        <v>370</v>
      </c>
      <c r="I556" t="s">
        <v>29</v>
      </c>
      <c r="J556">
        <f>LEN(H556)</f>
        <v>11</v>
      </c>
      <c r="K556" s="49" t="s">
        <v>2397</v>
      </c>
      <c r="O556" s="3" t="s">
        <v>7010</v>
      </c>
      <c r="P556" s="3" t="s">
        <v>7010</v>
      </c>
      <c r="Q556" s="3" t="s">
        <v>7010</v>
      </c>
      <c r="R556" s="3" t="s">
        <v>7010</v>
      </c>
      <c r="S556" s="3" t="s">
        <v>7010</v>
      </c>
      <c r="T556" s="3" t="s">
        <v>7015</v>
      </c>
      <c r="U556" s="3" t="s">
        <v>7010</v>
      </c>
      <c r="V556" s="3" t="s">
        <v>7015</v>
      </c>
      <c r="W556" s="74" t="str">
        <f t="shared" si="33"/>
        <v>Yes</v>
      </c>
      <c r="Z556">
        <v>555</v>
      </c>
      <c r="AA556" s="55" t="s">
        <v>4726</v>
      </c>
      <c r="AC556">
        <f t="shared" si="32"/>
        <v>8</v>
      </c>
      <c r="AD556" s="30" t="s">
        <v>4727</v>
      </c>
      <c r="AF556" t="s">
        <v>7972</v>
      </c>
      <c r="AH556" s="3" t="s">
        <v>7015</v>
      </c>
      <c r="AI556" s="3" t="s">
        <v>7010</v>
      </c>
      <c r="AJ556" s="3" t="s">
        <v>7010</v>
      </c>
      <c r="AK556" s="3" t="s">
        <v>7015</v>
      </c>
      <c r="AL556" s="3" t="s">
        <v>7010</v>
      </c>
      <c r="AM556" s="3" t="s">
        <v>7010</v>
      </c>
      <c r="AN556" s="3" t="s">
        <v>7010</v>
      </c>
      <c r="AO556" s="3" t="s">
        <v>7010</v>
      </c>
      <c r="AP556" s="74" t="s">
        <v>7015</v>
      </c>
      <c r="AU556">
        <v>555</v>
      </c>
      <c r="AV556" t="s">
        <v>4728</v>
      </c>
      <c r="AW556" t="s">
        <v>2279</v>
      </c>
      <c r="AX556">
        <f t="shared" si="34"/>
        <v>17</v>
      </c>
      <c r="AY556" s="30" t="s">
        <v>4729</v>
      </c>
      <c r="BC556" s="3" t="s">
        <v>7010</v>
      </c>
      <c r="BD556" s="3" t="s">
        <v>7010</v>
      </c>
      <c r="BE556" s="3" t="s">
        <v>7010</v>
      </c>
      <c r="BF556" s="3" t="s">
        <v>7010</v>
      </c>
      <c r="BG556" s="3" t="s">
        <v>7010</v>
      </c>
      <c r="BH556" s="3" t="s">
        <v>7010</v>
      </c>
      <c r="BI556" s="3" t="s">
        <v>7010</v>
      </c>
      <c r="BJ556" s="3" t="s">
        <v>7010</v>
      </c>
      <c r="BK556" s="74" t="str">
        <f t="shared" si="35"/>
        <v>No</v>
      </c>
    </row>
    <row r="557" spans="7:63">
      <c r="G557">
        <v>556</v>
      </c>
      <c r="H557" s="9" t="s">
        <v>469</v>
      </c>
      <c r="I557" t="s">
        <v>29</v>
      </c>
      <c r="J557">
        <f>LEN(H557)</f>
        <v>11</v>
      </c>
      <c r="K557" s="49" t="s">
        <v>2793</v>
      </c>
      <c r="O557" s="3" t="s">
        <v>7010</v>
      </c>
      <c r="P557" s="3" t="s">
        <v>7010</v>
      </c>
      <c r="Q557" s="3" t="s">
        <v>7010</v>
      </c>
      <c r="R557" s="3" t="s">
        <v>7015</v>
      </c>
      <c r="S557" s="3" t="s">
        <v>7010</v>
      </c>
      <c r="T557" s="3" t="s">
        <v>7015</v>
      </c>
      <c r="U557" s="3" t="s">
        <v>7010</v>
      </c>
      <c r="V557" s="3" t="s">
        <v>7010</v>
      </c>
      <c r="W557" s="74" t="str">
        <f t="shared" si="33"/>
        <v>Yes</v>
      </c>
      <c r="Z557">
        <v>556</v>
      </c>
      <c r="AA557" s="55" t="s">
        <v>4731</v>
      </c>
      <c r="AC557">
        <f t="shared" si="32"/>
        <v>7</v>
      </c>
      <c r="AD557" s="30" t="s">
        <v>4732</v>
      </c>
      <c r="AF557" t="s">
        <v>7973</v>
      </c>
      <c r="AH557" s="3" t="s">
        <v>7015</v>
      </c>
      <c r="AI557" s="3" t="s">
        <v>7010</v>
      </c>
      <c r="AJ557" s="3" t="s">
        <v>7010</v>
      </c>
      <c r="AK557" s="3" t="s">
        <v>7015</v>
      </c>
      <c r="AL557" s="3" t="s">
        <v>7010</v>
      </c>
      <c r="AM557" s="3" t="s">
        <v>7010</v>
      </c>
      <c r="AN557" s="3" t="s">
        <v>7010</v>
      </c>
      <c r="AO557" s="3" t="s">
        <v>7010</v>
      </c>
      <c r="AP557" s="74" t="s">
        <v>7015</v>
      </c>
      <c r="AU557">
        <v>556</v>
      </c>
      <c r="AV557" t="s">
        <v>4733</v>
      </c>
      <c r="AW557" t="s">
        <v>2279</v>
      </c>
      <c r="AX557">
        <f t="shared" si="34"/>
        <v>10</v>
      </c>
      <c r="AY557" s="30" t="s">
        <v>4734</v>
      </c>
      <c r="BC557" s="3" t="s">
        <v>7010</v>
      </c>
      <c r="BD557" s="3" t="s">
        <v>7010</v>
      </c>
      <c r="BE557" s="3" t="s">
        <v>7010</v>
      </c>
      <c r="BF557" s="3" t="s">
        <v>7010</v>
      </c>
      <c r="BG557" s="3" t="s">
        <v>7010</v>
      </c>
      <c r="BH557" s="3" t="s">
        <v>7010</v>
      </c>
      <c r="BI557" s="3" t="s">
        <v>7010</v>
      </c>
      <c r="BJ557" s="3" t="s">
        <v>7010</v>
      </c>
      <c r="BK557" s="74" t="str">
        <f t="shared" si="35"/>
        <v>No</v>
      </c>
    </row>
    <row r="558" spans="7:63">
      <c r="G558">
        <v>557</v>
      </c>
      <c r="H558" s="7" t="s">
        <v>395</v>
      </c>
      <c r="I558" t="s">
        <v>29</v>
      </c>
      <c r="J558">
        <f>LEN(H558)</f>
        <v>16</v>
      </c>
      <c r="K558" s="49" t="s">
        <v>2497</v>
      </c>
      <c r="O558" s="3" t="s">
        <v>7010</v>
      </c>
      <c r="P558" s="3" t="s">
        <v>7010</v>
      </c>
      <c r="Q558" s="3" t="s">
        <v>7010</v>
      </c>
      <c r="R558" s="3" t="s">
        <v>7010</v>
      </c>
      <c r="S558" s="3" t="s">
        <v>7010</v>
      </c>
      <c r="T558" s="3" t="s">
        <v>7010</v>
      </c>
      <c r="U558" s="3" t="s">
        <v>7010</v>
      </c>
      <c r="V558" s="3" t="s">
        <v>7010</v>
      </c>
      <c r="W558" s="74" t="str">
        <f t="shared" si="33"/>
        <v>No</v>
      </c>
      <c r="Z558">
        <v>557</v>
      </c>
      <c r="AA558" s="55" t="s">
        <v>4736</v>
      </c>
      <c r="AC558">
        <f t="shared" si="32"/>
        <v>7</v>
      </c>
      <c r="AD558" s="30" t="s">
        <v>4737</v>
      </c>
      <c r="AF558" t="s">
        <v>7974</v>
      </c>
      <c r="AH558" s="3" t="s">
        <v>7015</v>
      </c>
      <c r="AI558" s="3" t="s">
        <v>7010</v>
      </c>
      <c r="AJ558" s="3" t="s">
        <v>7010</v>
      </c>
      <c r="AK558" s="3" t="s">
        <v>7015</v>
      </c>
      <c r="AL558" s="3" t="s">
        <v>7010</v>
      </c>
      <c r="AM558" s="3" t="s">
        <v>7010</v>
      </c>
      <c r="AN558" s="3" t="s">
        <v>7010</v>
      </c>
      <c r="AO558" s="3" t="s">
        <v>7010</v>
      </c>
      <c r="AP558" s="74" t="s">
        <v>7015</v>
      </c>
      <c r="AU558">
        <v>557</v>
      </c>
      <c r="AV558" t="s">
        <v>4738</v>
      </c>
      <c r="AW558" t="s">
        <v>2279</v>
      </c>
      <c r="AX558">
        <f t="shared" si="34"/>
        <v>9</v>
      </c>
      <c r="AY558" s="30" t="s">
        <v>4739</v>
      </c>
      <c r="BC558" s="3" t="s">
        <v>7010</v>
      </c>
      <c r="BD558" s="3" t="s">
        <v>7010</v>
      </c>
      <c r="BE558" s="3" t="s">
        <v>7015</v>
      </c>
      <c r="BF558" s="3" t="s">
        <v>7010</v>
      </c>
      <c r="BG558" s="3" t="s">
        <v>7010</v>
      </c>
      <c r="BH558" s="3" t="s">
        <v>7010</v>
      </c>
      <c r="BI558" s="3" t="s">
        <v>7010</v>
      </c>
      <c r="BJ558" s="3" t="s">
        <v>7010</v>
      </c>
      <c r="BK558" s="74" t="str">
        <f t="shared" si="35"/>
        <v>Yes</v>
      </c>
    </row>
    <row r="559" spans="7:63">
      <c r="G559">
        <v>558</v>
      </c>
      <c r="H559" s="7" t="s">
        <v>526</v>
      </c>
      <c r="I559" t="s">
        <v>29</v>
      </c>
      <c r="J559">
        <f>LEN(H559)</f>
        <v>10</v>
      </c>
      <c r="K559" s="49" t="s">
        <v>3021</v>
      </c>
      <c r="O559" s="3" t="s">
        <v>7010</v>
      </c>
      <c r="P559" s="3" t="s">
        <v>7010</v>
      </c>
      <c r="Q559" s="3" t="s">
        <v>7010</v>
      </c>
      <c r="R559" s="3" t="s">
        <v>7010</v>
      </c>
      <c r="S559" s="3" t="s">
        <v>7010</v>
      </c>
      <c r="T559" s="3" t="s">
        <v>7010</v>
      </c>
      <c r="U559" s="3" t="s">
        <v>7010</v>
      </c>
      <c r="V559" s="3" t="s">
        <v>7010</v>
      </c>
      <c r="W559" s="74" t="str">
        <f t="shared" si="33"/>
        <v>No</v>
      </c>
      <c r="Z559">
        <v>558</v>
      </c>
      <c r="AA559" s="55" t="s">
        <v>4742</v>
      </c>
      <c r="AC559">
        <f t="shared" si="32"/>
        <v>7</v>
      </c>
      <c r="AD559" s="30" t="s">
        <v>4743</v>
      </c>
      <c r="AF559" t="s">
        <v>7975</v>
      </c>
      <c r="AH559" s="3" t="s">
        <v>7015</v>
      </c>
      <c r="AI559" s="3" t="s">
        <v>7010</v>
      </c>
      <c r="AJ559" s="3" t="s">
        <v>7010</v>
      </c>
      <c r="AK559" s="3" t="s">
        <v>7015</v>
      </c>
      <c r="AL559" s="3" t="s">
        <v>7010</v>
      </c>
      <c r="AM559" s="3" t="s">
        <v>7010</v>
      </c>
      <c r="AN559" s="3" t="s">
        <v>7010</v>
      </c>
      <c r="AO559" s="3" t="s">
        <v>7010</v>
      </c>
      <c r="AP559" s="74" t="s">
        <v>7015</v>
      </c>
      <c r="AU559">
        <v>558</v>
      </c>
      <c r="AV559" t="s">
        <v>4744</v>
      </c>
      <c r="AW559" t="s">
        <v>2279</v>
      </c>
      <c r="AX559">
        <f t="shared" si="34"/>
        <v>13</v>
      </c>
      <c r="AY559" s="30" t="s">
        <v>4745</v>
      </c>
      <c r="BC559" s="3" t="s">
        <v>7010</v>
      </c>
      <c r="BD559" s="3" t="s">
        <v>7010</v>
      </c>
      <c r="BE559" s="3" t="s">
        <v>7010</v>
      </c>
      <c r="BF559" s="3" t="s">
        <v>7010</v>
      </c>
      <c r="BG559" s="3" t="s">
        <v>7010</v>
      </c>
      <c r="BH559" s="3" t="s">
        <v>7010</v>
      </c>
      <c r="BI559" s="3" t="s">
        <v>7010</v>
      </c>
      <c r="BJ559" s="3" t="s">
        <v>7010</v>
      </c>
      <c r="BK559" s="74" t="str">
        <f t="shared" si="35"/>
        <v>No</v>
      </c>
    </row>
    <row r="560" spans="7:63">
      <c r="G560">
        <v>559</v>
      </c>
      <c r="H560" s="7" t="s">
        <v>1957</v>
      </c>
      <c r="I560" t="s">
        <v>29</v>
      </c>
      <c r="J560">
        <f>LEN(H560)</f>
        <v>12</v>
      </c>
      <c r="K560" s="49" t="s">
        <v>6210</v>
      </c>
      <c r="O560" s="3" t="s">
        <v>7010</v>
      </c>
      <c r="P560" s="3" t="s">
        <v>7010</v>
      </c>
      <c r="Q560" s="3" t="s">
        <v>7010</v>
      </c>
      <c r="R560" s="3" t="s">
        <v>7015</v>
      </c>
      <c r="S560" s="3" t="s">
        <v>7010</v>
      </c>
      <c r="T560" s="3" t="s">
        <v>7010</v>
      </c>
      <c r="U560" s="3" t="s">
        <v>7010</v>
      </c>
      <c r="V560" s="3" t="s">
        <v>7010</v>
      </c>
      <c r="W560" s="74" t="str">
        <f t="shared" si="33"/>
        <v>Yes</v>
      </c>
      <c r="Z560">
        <v>559</v>
      </c>
      <c r="AA560" s="55" t="s">
        <v>4747</v>
      </c>
      <c r="AC560">
        <f t="shared" si="32"/>
        <v>6</v>
      </c>
      <c r="AD560" s="30" t="s">
        <v>4748</v>
      </c>
      <c r="AF560" t="s">
        <v>7976</v>
      </c>
      <c r="AH560" s="3" t="s">
        <v>7015</v>
      </c>
      <c r="AI560" s="3" t="s">
        <v>7010</v>
      </c>
      <c r="AJ560" s="3" t="s">
        <v>7010</v>
      </c>
      <c r="AK560" s="3" t="s">
        <v>7015</v>
      </c>
      <c r="AL560" s="3" t="s">
        <v>7010</v>
      </c>
      <c r="AM560" s="3" t="s">
        <v>7010</v>
      </c>
      <c r="AN560" s="3" t="s">
        <v>7010</v>
      </c>
      <c r="AO560" s="3" t="s">
        <v>7010</v>
      </c>
      <c r="AP560" s="74" t="s">
        <v>7015</v>
      </c>
      <c r="AU560">
        <v>559</v>
      </c>
      <c r="AV560" t="s">
        <v>4749</v>
      </c>
      <c r="AW560" t="s">
        <v>2279</v>
      </c>
      <c r="AX560">
        <f t="shared" si="34"/>
        <v>10</v>
      </c>
      <c r="AY560" s="30" t="s">
        <v>4750</v>
      </c>
      <c r="BC560" s="3" t="s">
        <v>7010</v>
      </c>
      <c r="BD560" s="3" t="s">
        <v>7010</v>
      </c>
      <c r="BE560" s="3" t="s">
        <v>7010</v>
      </c>
      <c r="BF560" s="3" t="s">
        <v>7010</v>
      </c>
      <c r="BG560" s="3" t="s">
        <v>7010</v>
      </c>
      <c r="BH560" s="3" t="s">
        <v>7010</v>
      </c>
      <c r="BI560" s="3" t="s">
        <v>7010</v>
      </c>
      <c r="BJ560" s="3" t="s">
        <v>7010</v>
      </c>
      <c r="BK560" s="74" t="str">
        <f t="shared" si="35"/>
        <v>No</v>
      </c>
    </row>
    <row r="561" spans="7:63">
      <c r="G561">
        <v>560</v>
      </c>
      <c r="H561" s="7" t="s">
        <v>430</v>
      </c>
      <c r="I561" t="s">
        <v>29</v>
      </c>
      <c r="J561">
        <f>LEN(H561)</f>
        <v>13</v>
      </c>
      <c r="K561" s="49" t="s">
        <v>2637</v>
      </c>
      <c r="O561" s="3" t="s">
        <v>7010</v>
      </c>
      <c r="P561" s="3" t="s">
        <v>7010</v>
      </c>
      <c r="Q561" s="3" t="s">
        <v>7010</v>
      </c>
      <c r="R561" s="3" t="s">
        <v>7010</v>
      </c>
      <c r="S561" s="3" t="s">
        <v>7010</v>
      </c>
      <c r="T561" s="3" t="s">
        <v>7015</v>
      </c>
      <c r="U561" s="3" t="s">
        <v>7010</v>
      </c>
      <c r="V561" s="3" t="s">
        <v>7010</v>
      </c>
      <c r="W561" s="74" t="str">
        <f t="shared" si="33"/>
        <v>Yes</v>
      </c>
      <c r="Z561">
        <v>560</v>
      </c>
      <c r="AA561" s="55" t="s">
        <v>4752</v>
      </c>
      <c r="AC561">
        <f t="shared" si="32"/>
        <v>5</v>
      </c>
      <c r="AD561" s="30" t="s">
        <v>4753</v>
      </c>
      <c r="AF561" t="s">
        <v>7977</v>
      </c>
      <c r="AH561" s="3" t="s">
        <v>7015</v>
      </c>
      <c r="AI561" s="3" t="s">
        <v>7010</v>
      </c>
      <c r="AJ561" s="3" t="s">
        <v>7010</v>
      </c>
      <c r="AK561" s="3" t="s">
        <v>7015</v>
      </c>
      <c r="AL561" s="3" t="s">
        <v>7010</v>
      </c>
      <c r="AM561" s="3" t="s">
        <v>7010</v>
      </c>
      <c r="AN561" s="3" t="s">
        <v>7010</v>
      </c>
      <c r="AO561" s="3" t="s">
        <v>7010</v>
      </c>
      <c r="AP561" s="74" t="s">
        <v>7015</v>
      </c>
      <c r="AU561">
        <v>560</v>
      </c>
      <c r="AV561" t="s">
        <v>4754</v>
      </c>
      <c r="AW561" t="s">
        <v>2279</v>
      </c>
      <c r="AX561">
        <f t="shared" si="34"/>
        <v>9</v>
      </c>
      <c r="AY561" s="30" t="s">
        <v>4755</v>
      </c>
      <c r="BC561" s="3" t="s">
        <v>7015</v>
      </c>
      <c r="BD561" s="3" t="s">
        <v>7010</v>
      </c>
      <c r="BE561" s="3" t="s">
        <v>7015</v>
      </c>
      <c r="BF561" s="3" t="s">
        <v>7010</v>
      </c>
      <c r="BG561" s="3" t="s">
        <v>7010</v>
      </c>
      <c r="BH561" s="3" t="s">
        <v>7010</v>
      </c>
      <c r="BI561" s="3" t="s">
        <v>7010</v>
      </c>
      <c r="BJ561" s="3" t="s">
        <v>7010</v>
      </c>
      <c r="BK561" s="74" t="str">
        <f t="shared" si="35"/>
        <v>Yes</v>
      </c>
    </row>
    <row r="562" spans="7:63">
      <c r="G562">
        <v>561</v>
      </c>
      <c r="H562" s="7" t="s">
        <v>1953</v>
      </c>
      <c r="I562" t="s">
        <v>29</v>
      </c>
      <c r="J562">
        <f>LEN(H562)</f>
        <v>13</v>
      </c>
      <c r="K562" s="49" t="s">
        <v>6200</v>
      </c>
      <c r="O562" s="3" t="s">
        <v>7010</v>
      </c>
      <c r="P562" s="3" t="s">
        <v>7010</v>
      </c>
      <c r="Q562" s="3" t="s">
        <v>7010</v>
      </c>
      <c r="R562" s="3" t="s">
        <v>7010</v>
      </c>
      <c r="S562" s="3" t="s">
        <v>7010</v>
      </c>
      <c r="T562" s="3" t="s">
        <v>7010</v>
      </c>
      <c r="U562" s="3" t="s">
        <v>7010</v>
      </c>
      <c r="V562" s="3" t="s">
        <v>7010</v>
      </c>
      <c r="W562" s="74" t="str">
        <f t="shared" si="33"/>
        <v>No</v>
      </c>
      <c r="Z562">
        <v>561</v>
      </c>
      <c r="AA562" s="55" t="s">
        <v>4758</v>
      </c>
      <c r="AC562">
        <f t="shared" si="32"/>
        <v>6</v>
      </c>
      <c r="AD562" s="30" t="s">
        <v>4759</v>
      </c>
      <c r="AF562" t="s">
        <v>7978</v>
      </c>
      <c r="AH562" s="3" t="s">
        <v>7015</v>
      </c>
      <c r="AI562" s="3" t="s">
        <v>7010</v>
      </c>
      <c r="AJ562" s="3" t="s">
        <v>7010</v>
      </c>
      <c r="AK562" s="3" t="s">
        <v>7015</v>
      </c>
      <c r="AL562" s="3" t="s">
        <v>7010</v>
      </c>
      <c r="AM562" s="3" t="s">
        <v>7010</v>
      </c>
      <c r="AN562" s="3" t="s">
        <v>7010</v>
      </c>
      <c r="AO562" s="3" t="s">
        <v>7010</v>
      </c>
      <c r="AP562" s="74" t="s">
        <v>7015</v>
      </c>
      <c r="AU562">
        <v>561</v>
      </c>
      <c r="AV562" t="s">
        <v>4760</v>
      </c>
      <c r="AW562" t="s">
        <v>2279</v>
      </c>
      <c r="AX562">
        <f t="shared" si="34"/>
        <v>8</v>
      </c>
      <c r="AY562" s="30" t="s">
        <v>4761</v>
      </c>
      <c r="BC562" s="3" t="s">
        <v>7010</v>
      </c>
      <c r="BD562" s="3" t="s">
        <v>7010</v>
      </c>
      <c r="BE562" s="3" t="s">
        <v>7010</v>
      </c>
      <c r="BF562" s="3" t="s">
        <v>7010</v>
      </c>
      <c r="BG562" s="3" t="s">
        <v>7010</v>
      </c>
      <c r="BH562" s="3" t="s">
        <v>7010</v>
      </c>
      <c r="BI562" s="3" t="s">
        <v>7010</v>
      </c>
      <c r="BJ562" s="3" t="s">
        <v>7010</v>
      </c>
      <c r="BK562" s="74" t="str">
        <f t="shared" si="35"/>
        <v>No</v>
      </c>
    </row>
    <row r="563" spans="7:63">
      <c r="G563">
        <v>562</v>
      </c>
      <c r="H563" s="7" t="s">
        <v>2233</v>
      </c>
      <c r="I563" t="s">
        <v>29</v>
      </c>
      <c r="J563">
        <f>LEN(H563)</f>
        <v>14</v>
      </c>
      <c r="K563" s="49" t="s">
        <v>6904</v>
      </c>
      <c r="O563" s="3" t="s">
        <v>7010</v>
      </c>
      <c r="P563" s="3" t="s">
        <v>7010</v>
      </c>
      <c r="Q563" s="3" t="s">
        <v>7010</v>
      </c>
      <c r="R563" s="3" t="s">
        <v>7010</v>
      </c>
      <c r="S563" s="3" t="s">
        <v>7010</v>
      </c>
      <c r="T563" s="3" t="s">
        <v>7015</v>
      </c>
      <c r="U563" s="3" t="s">
        <v>7010</v>
      </c>
      <c r="V563" s="3" t="s">
        <v>7010</v>
      </c>
      <c r="W563" s="74" t="str">
        <f t="shared" si="33"/>
        <v>Yes</v>
      </c>
      <c r="Z563">
        <v>562</v>
      </c>
      <c r="AA563" s="55" t="s">
        <v>4764</v>
      </c>
      <c r="AC563">
        <f t="shared" si="32"/>
        <v>8</v>
      </c>
      <c r="AD563" s="30" t="s">
        <v>4765</v>
      </c>
      <c r="AF563" t="s">
        <v>7979</v>
      </c>
      <c r="AH563" s="3" t="s">
        <v>7015</v>
      </c>
      <c r="AI563" s="3" t="s">
        <v>7010</v>
      </c>
      <c r="AJ563" s="3" t="s">
        <v>7010</v>
      </c>
      <c r="AK563" s="3" t="s">
        <v>7015</v>
      </c>
      <c r="AL563" s="3" t="s">
        <v>7010</v>
      </c>
      <c r="AM563" s="3" t="s">
        <v>7010</v>
      </c>
      <c r="AN563" s="3" t="s">
        <v>7010</v>
      </c>
      <c r="AO563" s="3" t="s">
        <v>7010</v>
      </c>
      <c r="AP563" s="74" t="s">
        <v>7015</v>
      </c>
      <c r="AU563">
        <v>562</v>
      </c>
      <c r="AV563" t="s">
        <v>4766</v>
      </c>
      <c r="AW563" t="s">
        <v>2279</v>
      </c>
      <c r="AX563">
        <f t="shared" si="34"/>
        <v>10</v>
      </c>
      <c r="AY563" s="30" t="s">
        <v>4767</v>
      </c>
      <c r="BC563" s="3" t="s">
        <v>7010</v>
      </c>
      <c r="BD563" s="3" t="s">
        <v>7010</v>
      </c>
      <c r="BE563" s="3" t="s">
        <v>7010</v>
      </c>
      <c r="BF563" s="3" t="s">
        <v>7010</v>
      </c>
      <c r="BG563" s="3" t="s">
        <v>7010</v>
      </c>
      <c r="BH563" s="3" t="s">
        <v>7010</v>
      </c>
      <c r="BI563" s="3" t="s">
        <v>7010</v>
      </c>
      <c r="BJ563" s="3" t="s">
        <v>7010</v>
      </c>
      <c r="BK563" s="74" t="str">
        <f t="shared" si="35"/>
        <v>No</v>
      </c>
    </row>
    <row r="564" spans="7:63">
      <c r="G564">
        <v>563</v>
      </c>
      <c r="H564" s="7" t="s">
        <v>601</v>
      </c>
      <c r="I564" t="s">
        <v>29</v>
      </c>
      <c r="J564">
        <f>LEN(H564)</f>
        <v>18</v>
      </c>
      <c r="K564" s="49" t="s">
        <v>3321</v>
      </c>
      <c r="O564" s="3" t="s">
        <v>7010</v>
      </c>
      <c r="P564" s="3" t="s">
        <v>7010</v>
      </c>
      <c r="Q564" s="3" t="s">
        <v>7010</v>
      </c>
      <c r="R564" s="3" t="s">
        <v>7010</v>
      </c>
      <c r="S564" s="3" t="s">
        <v>7010</v>
      </c>
      <c r="T564" s="3" t="s">
        <v>7015</v>
      </c>
      <c r="U564" s="3" t="s">
        <v>7010</v>
      </c>
      <c r="V564" s="3" t="s">
        <v>7010</v>
      </c>
      <c r="W564" s="74" t="str">
        <f t="shared" si="33"/>
        <v>Yes</v>
      </c>
      <c r="Z564">
        <v>563</v>
      </c>
      <c r="AA564" s="55" t="s">
        <v>4769</v>
      </c>
      <c r="AC564">
        <f t="shared" si="32"/>
        <v>6</v>
      </c>
      <c r="AD564" s="30" t="s">
        <v>4770</v>
      </c>
      <c r="AF564" t="s">
        <v>7980</v>
      </c>
      <c r="AH564" s="3" t="s">
        <v>7015</v>
      </c>
      <c r="AI564" s="3" t="s">
        <v>7010</v>
      </c>
      <c r="AJ564" s="3" t="s">
        <v>7010</v>
      </c>
      <c r="AK564" s="3" t="s">
        <v>7015</v>
      </c>
      <c r="AL564" s="3" t="s">
        <v>7010</v>
      </c>
      <c r="AM564" s="3" t="s">
        <v>7010</v>
      </c>
      <c r="AN564" s="3" t="s">
        <v>7010</v>
      </c>
      <c r="AO564" s="3" t="s">
        <v>7010</v>
      </c>
      <c r="AP564" s="74" t="s">
        <v>7015</v>
      </c>
      <c r="AU564">
        <v>563</v>
      </c>
      <c r="AV564" t="s">
        <v>4771</v>
      </c>
      <c r="AW564" t="s">
        <v>2279</v>
      </c>
      <c r="AX564">
        <f t="shared" si="34"/>
        <v>8</v>
      </c>
      <c r="AY564" s="30" t="s">
        <v>4772</v>
      </c>
      <c r="BC564" s="3" t="s">
        <v>7015</v>
      </c>
      <c r="BD564" s="3" t="s">
        <v>7010</v>
      </c>
      <c r="BE564" s="3" t="s">
        <v>7015</v>
      </c>
      <c r="BF564" s="3" t="s">
        <v>7010</v>
      </c>
      <c r="BG564" s="3" t="s">
        <v>7010</v>
      </c>
      <c r="BH564" s="3" t="s">
        <v>7010</v>
      </c>
      <c r="BI564" s="3" t="s">
        <v>7010</v>
      </c>
      <c r="BJ564" s="3" t="s">
        <v>7010</v>
      </c>
      <c r="BK564" s="74" t="str">
        <f t="shared" si="35"/>
        <v>Yes</v>
      </c>
    </row>
    <row r="565" spans="7:63">
      <c r="G565">
        <v>564</v>
      </c>
      <c r="H565" s="7" t="s">
        <v>471</v>
      </c>
      <c r="I565" t="s">
        <v>29</v>
      </c>
      <c r="J565">
        <f>LEN(H565)</f>
        <v>17</v>
      </c>
      <c r="K565" s="49" t="s">
        <v>2801</v>
      </c>
      <c r="O565" s="3" t="s">
        <v>7010</v>
      </c>
      <c r="P565" s="3" t="s">
        <v>7010</v>
      </c>
      <c r="Q565" s="3" t="s">
        <v>7010</v>
      </c>
      <c r="R565" s="3" t="s">
        <v>7015</v>
      </c>
      <c r="S565" s="3" t="s">
        <v>7010</v>
      </c>
      <c r="T565" s="3" t="s">
        <v>7015</v>
      </c>
      <c r="U565" s="3" t="s">
        <v>7010</v>
      </c>
      <c r="V565" s="3" t="s">
        <v>7010</v>
      </c>
      <c r="W565" s="74" t="str">
        <f t="shared" si="33"/>
        <v>Yes</v>
      </c>
      <c r="Z565">
        <v>564</v>
      </c>
      <c r="AA565" s="55" t="s">
        <v>4774</v>
      </c>
      <c r="AC565">
        <f t="shared" si="32"/>
        <v>6</v>
      </c>
      <c r="AD565" s="30" t="s">
        <v>4775</v>
      </c>
      <c r="AF565" t="s">
        <v>7981</v>
      </c>
      <c r="AH565" s="3" t="s">
        <v>7015</v>
      </c>
      <c r="AI565" s="3" t="s">
        <v>7010</v>
      </c>
      <c r="AJ565" s="3" t="s">
        <v>7010</v>
      </c>
      <c r="AK565" s="3" t="s">
        <v>7015</v>
      </c>
      <c r="AL565" s="3" t="s">
        <v>7010</v>
      </c>
      <c r="AM565" s="3" t="s">
        <v>7010</v>
      </c>
      <c r="AN565" s="3" t="s">
        <v>7010</v>
      </c>
      <c r="AO565" s="3" t="s">
        <v>7010</v>
      </c>
      <c r="AP565" s="74" t="s">
        <v>7015</v>
      </c>
      <c r="AU565">
        <v>564</v>
      </c>
      <c r="AV565" t="s">
        <v>4776</v>
      </c>
      <c r="AW565" t="s">
        <v>2279</v>
      </c>
      <c r="AX565">
        <f t="shared" si="34"/>
        <v>10</v>
      </c>
      <c r="AY565" s="30" t="s">
        <v>4777</v>
      </c>
      <c r="BC565" s="3" t="s">
        <v>7010</v>
      </c>
      <c r="BD565" s="3" t="s">
        <v>7010</v>
      </c>
      <c r="BE565" s="3" t="s">
        <v>7010</v>
      </c>
      <c r="BF565" s="3" t="s">
        <v>7010</v>
      </c>
      <c r="BG565" s="3" t="s">
        <v>7010</v>
      </c>
      <c r="BH565" s="3" t="s">
        <v>7010</v>
      </c>
      <c r="BI565" s="3" t="s">
        <v>7010</v>
      </c>
      <c r="BJ565" s="3" t="s">
        <v>7010</v>
      </c>
      <c r="BK565" s="74" t="str">
        <f t="shared" si="35"/>
        <v>No</v>
      </c>
    </row>
    <row r="566" spans="7:63">
      <c r="G566">
        <v>565</v>
      </c>
      <c r="H566" s="7" t="s">
        <v>2231</v>
      </c>
      <c r="I566" t="s">
        <v>29</v>
      </c>
      <c r="J566">
        <f>LEN(H566)</f>
        <v>12</v>
      </c>
      <c r="K566" s="49" t="s">
        <v>6899</v>
      </c>
      <c r="O566" s="3" t="s">
        <v>7010</v>
      </c>
      <c r="P566" s="3" t="s">
        <v>7010</v>
      </c>
      <c r="Q566" s="3" t="s">
        <v>7010</v>
      </c>
      <c r="R566" s="3" t="s">
        <v>7010</v>
      </c>
      <c r="S566" s="3" t="s">
        <v>7010</v>
      </c>
      <c r="T566" s="3" t="s">
        <v>7015</v>
      </c>
      <c r="U566" s="3" t="s">
        <v>7010</v>
      </c>
      <c r="V566" s="3" t="s">
        <v>7010</v>
      </c>
      <c r="W566" s="74" t="str">
        <f t="shared" si="33"/>
        <v>Yes</v>
      </c>
      <c r="Z566">
        <v>565</v>
      </c>
      <c r="AA566" s="55" t="s">
        <v>4779</v>
      </c>
      <c r="AC566">
        <f t="shared" si="32"/>
        <v>7</v>
      </c>
      <c r="AD566" s="30" t="s">
        <v>4780</v>
      </c>
      <c r="AF566" t="s">
        <v>7982</v>
      </c>
      <c r="AH566" s="3" t="s">
        <v>7015</v>
      </c>
      <c r="AI566" s="3" t="s">
        <v>7010</v>
      </c>
      <c r="AJ566" s="3" t="s">
        <v>7010</v>
      </c>
      <c r="AK566" s="3" t="s">
        <v>7015</v>
      </c>
      <c r="AL566" s="3" t="s">
        <v>7010</v>
      </c>
      <c r="AM566" s="3" t="s">
        <v>7010</v>
      </c>
      <c r="AN566" s="3" t="s">
        <v>7010</v>
      </c>
      <c r="AO566" s="3" t="s">
        <v>7010</v>
      </c>
      <c r="AP566" s="74" t="s">
        <v>7015</v>
      </c>
      <c r="AU566">
        <v>565</v>
      </c>
      <c r="AV566" t="s">
        <v>4781</v>
      </c>
      <c r="AW566" t="s">
        <v>2279</v>
      </c>
      <c r="AX566">
        <f t="shared" si="34"/>
        <v>11</v>
      </c>
      <c r="AY566" s="30" t="s">
        <v>4782</v>
      </c>
      <c r="BC566" s="3" t="s">
        <v>7010</v>
      </c>
      <c r="BD566" s="3" t="s">
        <v>7010</v>
      </c>
      <c r="BE566" s="3" t="s">
        <v>7010</v>
      </c>
      <c r="BF566" s="3" t="s">
        <v>7010</v>
      </c>
      <c r="BG566" s="3" t="s">
        <v>7010</v>
      </c>
      <c r="BH566" s="3" t="s">
        <v>7010</v>
      </c>
      <c r="BI566" s="3" t="s">
        <v>7010</v>
      </c>
      <c r="BJ566" s="3" t="s">
        <v>7010</v>
      </c>
      <c r="BK566" s="74" t="str">
        <f t="shared" si="35"/>
        <v>No</v>
      </c>
    </row>
    <row r="567" spans="7:63">
      <c r="G567">
        <v>566</v>
      </c>
      <c r="H567" s="7" t="s">
        <v>2125</v>
      </c>
      <c r="I567" t="s">
        <v>29</v>
      </c>
      <c r="J567">
        <f>LEN(H567)</f>
        <v>24</v>
      </c>
      <c r="K567" s="49" t="s">
        <v>6638</v>
      </c>
      <c r="O567" s="3" t="s">
        <v>7010</v>
      </c>
      <c r="P567" s="3" t="s">
        <v>7010</v>
      </c>
      <c r="Q567" s="3" t="s">
        <v>7010</v>
      </c>
      <c r="R567" s="3" t="s">
        <v>7010</v>
      </c>
      <c r="S567" s="3" t="s">
        <v>7010</v>
      </c>
      <c r="T567" s="3" t="s">
        <v>7015</v>
      </c>
      <c r="U567" s="3" t="s">
        <v>7010</v>
      </c>
      <c r="V567" s="3" t="s">
        <v>7010</v>
      </c>
      <c r="W567" s="74" t="str">
        <f t="shared" si="33"/>
        <v>Yes</v>
      </c>
      <c r="Z567">
        <v>566</v>
      </c>
      <c r="AA567" s="55" t="s">
        <v>4785</v>
      </c>
      <c r="AC567">
        <f t="shared" si="32"/>
        <v>7</v>
      </c>
      <c r="AD567" s="30" t="s">
        <v>4786</v>
      </c>
      <c r="AF567" t="s">
        <v>7983</v>
      </c>
      <c r="AH567" s="3" t="s">
        <v>7015</v>
      </c>
      <c r="AI567" s="3" t="s">
        <v>7010</v>
      </c>
      <c r="AJ567" s="3" t="s">
        <v>7010</v>
      </c>
      <c r="AK567" s="3" t="s">
        <v>7015</v>
      </c>
      <c r="AL567" s="3" t="s">
        <v>7010</v>
      </c>
      <c r="AM567" s="3" t="s">
        <v>7010</v>
      </c>
      <c r="AN567" s="3" t="s">
        <v>7010</v>
      </c>
      <c r="AO567" s="3" t="s">
        <v>7010</v>
      </c>
      <c r="AP567" s="74" t="s">
        <v>7015</v>
      </c>
      <c r="AU567">
        <v>566</v>
      </c>
      <c r="AV567" t="s">
        <v>4787</v>
      </c>
      <c r="AW567" t="s">
        <v>2279</v>
      </c>
      <c r="AX567">
        <f t="shared" si="34"/>
        <v>8</v>
      </c>
      <c r="AY567" s="30" t="s">
        <v>4788</v>
      </c>
      <c r="BC567" s="3" t="s">
        <v>7010</v>
      </c>
      <c r="BD567" s="3" t="s">
        <v>7010</v>
      </c>
      <c r="BE567" s="3" t="s">
        <v>7010</v>
      </c>
      <c r="BF567" s="3" t="s">
        <v>7010</v>
      </c>
      <c r="BG567" s="3" t="s">
        <v>7010</v>
      </c>
      <c r="BH567" s="3" t="s">
        <v>7010</v>
      </c>
      <c r="BI567" s="3" t="s">
        <v>7010</v>
      </c>
      <c r="BJ567" s="3" t="s">
        <v>7010</v>
      </c>
      <c r="BK567" s="74" t="str">
        <f t="shared" si="35"/>
        <v>No</v>
      </c>
    </row>
    <row r="568" spans="7:63">
      <c r="G568">
        <v>567</v>
      </c>
      <c r="H568" s="7" t="s">
        <v>2055</v>
      </c>
      <c r="I568" t="s">
        <v>29</v>
      </c>
      <c r="J568">
        <f>LEN(H568)</f>
        <v>13</v>
      </c>
      <c r="K568" s="49" t="s">
        <v>6465</v>
      </c>
      <c r="O568" s="3" t="s">
        <v>7010</v>
      </c>
      <c r="P568" s="3" t="s">
        <v>7010</v>
      </c>
      <c r="Q568" s="3" t="s">
        <v>7010</v>
      </c>
      <c r="R568" s="3" t="s">
        <v>7010</v>
      </c>
      <c r="S568" s="3" t="s">
        <v>7010</v>
      </c>
      <c r="T568" s="3" t="s">
        <v>7015</v>
      </c>
      <c r="U568" s="3" t="s">
        <v>7010</v>
      </c>
      <c r="V568" s="3" t="s">
        <v>7010</v>
      </c>
      <c r="W568" s="74" t="str">
        <f t="shared" si="33"/>
        <v>Yes</v>
      </c>
      <c r="Z568">
        <v>567</v>
      </c>
      <c r="AA568" s="55" t="s">
        <v>4790</v>
      </c>
      <c r="AC568">
        <f t="shared" si="32"/>
        <v>8</v>
      </c>
      <c r="AD568" s="30" t="s">
        <v>4791</v>
      </c>
      <c r="AF568" t="s">
        <v>7984</v>
      </c>
      <c r="AH568" s="3" t="s">
        <v>7015</v>
      </c>
      <c r="AI568" s="3" t="s">
        <v>7010</v>
      </c>
      <c r="AJ568" s="3" t="s">
        <v>7010</v>
      </c>
      <c r="AK568" s="3" t="s">
        <v>7015</v>
      </c>
      <c r="AL568" s="3" t="s">
        <v>7010</v>
      </c>
      <c r="AM568" s="3" t="s">
        <v>7010</v>
      </c>
      <c r="AN568" s="3" t="s">
        <v>7010</v>
      </c>
      <c r="AO568" s="3" t="s">
        <v>7010</v>
      </c>
      <c r="AP568" s="74" t="s">
        <v>7015</v>
      </c>
      <c r="AU568">
        <v>567</v>
      </c>
      <c r="AV568" t="s">
        <v>4792</v>
      </c>
      <c r="AW568" t="s">
        <v>2279</v>
      </c>
      <c r="AX568">
        <f t="shared" si="34"/>
        <v>8</v>
      </c>
      <c r="AY568" s="31" t="s">
        <v>4793</v>
      </c>
      <c r="BC568" s="3" t="s">
        <v>7010</v>
      </c>
      <c r="BD568" s="3" t="s">
        <v>7010</v>
      </c>
      <c r="BE568" s="3" t="s">
        <v>7010</v>
      </c>
      <c r="BF568" s="3" t="s">
        <v>7010</v>
      </c>
      <c r="BG568" s="3" t="s">
        <v>7010</v>
      </c>
      <c r="BH568" s="3" t="s">
        <v>7010</v>
      </c>
      <c r="BI568" s="3" t="s">
        <v>7010</v>
      </c>
      <c r="BJ568" s="3" t="s">
        <v>7010</v>
      </c>
      <c r="BK568" s="74" t="str">
        <f t="shared" si="35"/>
        <v>No</v>
      </c>
    </row>
    <row r="569" spans="7:63">
      <c r="G569">
        <v>568</v>
      </c>
      <c r="H569" s="7" t="s">
        <v>2117</v>
      </c>
      <c r="I569" t="s">
        <v>29</v>
      </c>
      <c r="J569">
        <f>LEN(H569)</f>
        <v>15</v>
      </c>
      <c r="K569" s="49" t="s">
        <v>6618</v>
      </c>
      <c r="O569" s="3" t="s">
        <v>7010</v>
      </c>
      <c r="P569" s="3" t="s">
        <v>7010</v>
      </c>
      <c r="Q569" s="3" t="s">
        <v>7010</v>
      </c>
      <c r="R569" s="3" t="s">
        <v>7010</v>
      </c>
      <c r="S569" s="3" t="s">
        <v>7010</v>
      </c>
      <c r="T569" s="3" t="s">
        <v>7015</v>
      </c>
      <c r="U569" s="3" t="s">
        <v>7010</v>
      </c>
      <c r="V569" s="3" t="s">
        <v>7010</v>
      </c>
      <c r="W569" s="74" t="str">
        <f t="shared" si="33"/>
        <v>Yes</v>
      </c>
      <c r="Z569">
        <v>568</v>
      </c>
      <c r="AA569" s="55" t="s">
        <v>4795</v>
      </c>
      <c r="AC569">
        <f t="shared" si="32"/>
        <v>7</v>
      </c>
      <c r="AD569" s="30" t="s">
        <v>4796</v>
      </c>
      <c r="AF569" t="s">
        <v>7985</v>
      </c>
      <c r="AH569" s="3" t="s">
        <v>7015</v>
      </c>
      <c r="AI569" s="3" t="s">
        <v>7010</v>
      </c>
      <c r="AJ569" s="3" t="s">
        <v>7010</v>
      </c>
      <c r="AK569" s="3" t="s">
        <v>7015</v>
      </c>
      <c r="AL569" s="3" t="s">
        <v>7010</v>
      </c>
      <c r="AM569" s="3" t="s">
        <v>7010</v>
      </c>
      <c r="AN569" s="3" t="s">
        <v>7010</v>
      </c>
      <c r="AO569" s="3" t="s">
        <v>7010</v>
      </c>
      <c r="AP569" s="74" t="s">
        <v>7015</v>
      </c>
      <c r="AU569">
        <v>568</v>
      </c>
      <c r="AV569" t="s">
        <v>4797</v>
      </c>
      <c r="AW569" t="s">
        <v>2279</v>
      </c>
      <c r="AX569">
        <f t="shared" si="34"/>
        <v>9</v>
      </c>
      <c r="AY569" s="30" t="s">
        <v>4798</v>
      </c>
      <c r="BC569" s="3" t="s">
        <v>7010</v>
      </c>
      <c r="BD569" s="3" t="s">
        <v>7010</v>
      </c>
      <c r="BE569" s="3" t="s">
        <v>7015</v>
      </c>
      <c r="BF569" s="3" t="s">
        <v>7010</v>
      </c>
      <c r="BG569" s="3" t="s">
        <v>7010</v>
      </c>
      <c r="BH569" s="3" t="s">
        <v>7010</v>
      </c>
      <c r="BI569" s="3" t="s">
        <v>7010</v>
      </c>
      <c r="BJ569" s="3" t="s">
        <v>7010</v>
      </c>
      <c r="BK569" s="74" t="str">
        <f t="shared" si="35"/>
        <v>Yes</v>
      </c>
    </row>
    <row r="570" spans="7:63">
      <c r="G570">
        <v>569</v>
      </c>
      <c r="H570" s="7" t="s">
        <v>2155</v>
      </c>
      <c r="I570" t="s">
        <v>29</v>
      </c>
      <c r="J570">
        <f>LEN(H570)</f>
        <v>14</v>
      </c>
      <c r="K570" s="49" t="s">
        <v>6712</v>
      </c>
      <c r="O570" s="3" t="s">
        <v>7010</v>
      </c>
      <c r="P570" s="3" t="s">
        <v>7010</v>
      </c>
      <c r="Q570" s="3" t="s">
        <v>7010</v>
      </c>
      <c r="R570" s="3" t="s">
        <v>7010</v>
      </c>
      <c r="S570" s="3" t="s">
        <v>7010</v>
      </c>
      <c r="T570" s="3" t="s">
        <v>7010</v>
      </c>
      <c r="U570" s="3" t="s">
        <v>7010</v>
      </c>
      <c r="V570" s="3" t="s">
        <v>7010</v>
      </c>
      <c r="W570" s="74" t="str">
        <f t="shared" si="33"/>
        <v>No</v>
      </c>
      <c r="Z570">
        <v>569</v>
      </c>
      <c r="AA570" s="55" t="s">
        <v>4800</v>
      </c>
      <c r="AC570">
        <f t="shared" si="32"/>
        <v>10</v>
      </c>
      <c r="AD570" s="30" t="s">
        <v>4801</v>
      </c>
      <c r="AF570" s="54" t="s">
        <v>7986</v>
      </c>
      <c r="AH570" s="3" t="s">
        <v>7015</v>
      </c>
      <c r="AI570" s="3" t="s">
        <v>7010</v>
      </c>
      <c r="AJ570" s="3" t="s">
        <v>7010</v>
      </c>
      <c r="AK570" s="3" t="s">
        <v>7015</v>
      </c>
      <c r="AL570" s="3" t="s">
        <v>7010</v>
      </c>
      <c r="AM570" s="3" t="s">
        <v>7010</v>
      </c>
      <c r="AN570" s="3" t="s">
        <v>7010</v>
      </c>
      <c r="AO570" s="3" t="s">
        <v>7010</v>
      </c>
      <c r="AP570" s="74" t="s">
        <v>7015</v>
      </c>
      <c r="AU570">
        <v>569</v>
      </c>
      <c r="AV570" t="s">
        <v>4802</v>
      </c>
      <c r="AW570" t="s">
        <v>2279</v>
      </c>
      <c r="AX570">
        <f t="shared" si="34"/>
        <v>13</v>
      </c>
      <c r="AY570" s="30" t="s">
        <v>4803</v>
      </c>
      <c r="BC570" s="3" t="s">
        <v>7010</v>
      </c>
      <c r="BD570" s="3" t="s">
        <v>7010</v>
      </c>
      <c r="BE570" s="3" t="s">
        <v>7010</v>
      </c>
      <c r="BF570" s="3" t="s">
        <v>7010</v>
      </c>
      <c r="BG570" s="3" t="s">
        <v>7010</v>
      </c>
      <c r="BH570" s="3" t="s">
        <v>7010</v>
      </c>
      <c r="BI570" s="3" t="s">
        <v>7010</v>
      </c>
      <c r="BJ570" s="3" t="s">
        <v>7010</v>
      </c>
      <c r="BK570" s="74" t="str">
        <f t="shared" si="35"/>
        <v>No</v>
      </c>
    </row>
    <row r="571" spans="7:63">
      <c r="G571">
        <v>570</v>
      </c>
      <c r="H571" s="7" t="s">
        <v>2229</v>
      </c>
      <c r="I571" t="s">
        <v>29</v>
      </c>
      <c r="J571">
        <f>LEN(H571)</f>
        <v>13</v>
      </c>
      <c r="K571" s="49" t="s">
        <v>6894</v>
      </c>
      <c r="O571" s="3" t="s">
        <v>7010</v>
      </c>
      <c r="P571" s="3" t="s">
        <v>7010</v>
      </c>
      <c r="Q571" s="3" t="s">
        <v>7010</v>
      </c>
      <c r="R571" s="3" t="s">
        <v>7010</v>
      </c>
      <c r="S571" s="3" t="s">
        <v>7010</v>
      </c>
      <c r="T571" s="3" t="s">
        <v>7010</v>
      </c>
      <c r="U571" s="3" t="s">
        <v>7010</v>
      </c>
      <c r="V571" s="3" t="s">
        <v>7010</v>
      </c>
      <c r="W571" s="74" t="str">
        <f t="shared" si="33"/>
        <v>No</v>
      </c>
      <c r="Z571">
        <v>570</v>
      </c>
      <c r="AA571" s="55" t="s">
        <v>4806</v>
      </c>
      <c r="AC571">
        <f t="shared" si="32"/>
        <v>6</v>
      </c>
      <c r="AD571" s="30" t="s">
        <v>4807</v>
      </c>
      <c r="AF571" t="s">
        <v>7987</v>
      </c>
      <c r="AH571" s="3" t="s">
        <v>7015</v>
      </c>
      <c r="AI571" s="3" t="s">
        <v>7010</v>
      </c>
      <c r="AJ571" s="3" t="s">
        <v>7010</v>
      </c>
      <c r="AK571" s="3" t="s">
        <v>7015</v>
      </c>
      <c r="AL571" s="3" t="s">
        <v>7010</v>
      </c>
      <c r="AM571" s="3" t="s">
        <v>7010</v>
      </c>
      <c r="AN571" s="3" t="s">
        <v>7010</v>
      </c>
      <c r="AO571" s="3" t="s">
        <v>7010</v>
      </c>
      <c r="AP571" s="74" t="s">
        <v>7015</v>
      </c>
      <c r="AU571">
        <v>570</v>
      </c>
      <c r="AV571" t="s">
        <v>4808</v>
      </c>
      <c r="AW571" t="s">
        <v>2279</v>
      </c>
      <c r="AX571">
        <f t="shared" si="34"/>
        <v>9</v>
      </c>
      <c r="AY571" s="31" t="s">
        <v>4809</v>
      </c>
      <c r="BC571" s="3" t="s">
        <v>7010</v>
      </c>
      <c r="BD571" s="3" t="s">
        <v>7010</v>
      </c>
      <c r="BE571" s="3" t="s">
        <v>7010</v>
      </c>
      <c r="BF571" s="3" t="s">
        <v>7010</v>
      </c>
      <c r="BG571" s="3" t="s">
        <v>7010</v>
      </c>
      <c r="BH571" s="3" t="s">
        <v>7010</v>
      </c>
      <c r="BI571" s="3" t="s">
        <v>7010</v>
      </c>
      <c r="BJ571" s="3" t="s">
        <v>7010</v>
      </c>
      <c r="BK571" s="74" t="str">
        <f t="shared" si="35"/>
        <v>No</v>
      </c>
    </row>
    <row r="572" spans="7:63">
      <c r="G572">
        <v>571</v>
      </c>
      <c r="H572" s="7" t="s">
        <v>1072</v>
      </c>
      <c r="I572" t="s">
        <v>29</v>
      </c>
      <c r="J572">
        <f>LEN(H572)</f>
        <v>10</v>
      </c>
      <c r="K572" s="49" t="s">
        <v>3892</v>
      </c>
      <c r="O572" s="3" t="s">
        <v>7015</v>
      </c>
      <c r="P572" s="3" t="s">
        <v>7010</v>
      </c>
      <c r="Q572" s="3" t="s">
        <v>7015</v>
      </c>
      <c r="R572" s="3" t="s">
        <v>7015</v>
      </c>
      <c r="S572" s="3" t="s">
        <v>7010</v>
      </c>
      <c r="T572" s="3" t="s">
        <v>7015</v>
      </c>
      <c r="U572" s="3" t="s">
        <v>7010</v>
      </c>
      <c r="V572" s="3" t="s">
        <v>7015</v>
      </c>
      <c r="W572" s="74" t="str">
        <f t="shared" si="33"/>
        <v>Yes</v>
      </c>
      <c r="Z572">
        <v>571</v>
      </c>
      <c r="AA572" s="55" t="s">
        <v>4811</v>
      </c>
      <c r="AC572">
        <f t="shared" si="32"/>
        <v>6</v>
      </c>
      <c r="AD572" s="30" t="s">
        <v>4812</v>
      </c>
      <c r="AF572" t="s">
        <v>7988</v>
      </c>
      <c r="AH572" s="3" t="s">
        <v>7015</v>
      </c>
      <c r="AI572" s="3" t="s">
        <v>7010</v>
      </c>
      <c r="AJ572" s="3" t="s">
        <v>7010</v>
      </c>
      <c r="AK572" s="3" t="s">
        <v>7015</v>
      </c>
      <c r="AL572" s="3" t="s">
        <v>7010</v>
      </c>
      <c r="AM572" s="3" t="s">
        <v>7010</v>
      </c>
      <c r="AN572" s="3" t="s">
        <v>7010</v>
      </c>
      <c r="AO572" s="3" t="s">
        <v>7010</v>
      </c>
      <c r="AP572" s="74" t="s">
        <v>7015</v>
      </c>
      <c r="AU572">
        <v>571</v>
      </c>
      <c r="AV572" t="s">
        <v>4813</v>
      </c>
      <c r="AW572" t="s">
        <v>2279</v>
      </c>
      <c r="AX572">
        <f t="shared" si="34"/>
        <v>12</v>
      </c>
      <c r="AY572" s="30" t="s">
        <v>4814</v>
      </c>
      <c r="BC572" s="3" t="s">
        <v>7010</v>
      </c>
      <c r="BD572" s="3" t="s">
        <v>7010</v>
      </c>
      <c r="BE572" s="3" t="s">
        <v>7015</v>
      </c>
      <c r="BF572" s="3" t="s">
        <v>7010</v>
      </c>
      <c r="BG572" s="3" t="s">
        <v>7010</v>
      </c>
      <c r="BH572" s="3" t="s">
        <v>7010</v>
      </c>
      <c r="BI572" s="3" t="s">
        <v>7010</v>
      </c>
      <c r="BJ572" s="3" t="s">
        <v>7010</v>
      </c>
      <c r="BK572" s="74" t="str">
        <f t="shared" si="35"/>
        <v>Yes</v>
      </c>
    </row>
    <row r="573" spans="7:63">
      <c r="G573">
        <v>572</v>
      </c>
      <c r="H573" s="7" t="s">
        <v>1892</v>
      </c>
      <c r="I573" t="s">
        <v>29</v>
      </c>
      <c r="J573">
        <f>LEN(H573)</f>
        <v>11</v>
      </c>
      <c r="K573" s="49" t="s">
        <v>6034</v>
      </c>
      <c r="O573" s="3" t="s">
        <v>7010</v>
      </c>
      <c r="P573" s="3" t="s">
        <v>7010</v>
      </c>
      <c r="Q573" s="3" t="s">
        <v>7010</v>
      </c>
      <c r="R573" s="3" t="s">
        <v>7010</v>
      </c>
      <c r="S573" s="3" t="s">
        <v>7010</v>
      </c>
      <c r="T573" s="3" t="s">
        <v>7010</v>
      </c>
      <c r="U573" s="3" t="s">
        <v>7010</v>
      </c>
      <c r="V573" s="3" t="s">
        <v>7010</v>
      </c>
      <c r="W573" s="74" t="str">
        <f t="shared" si="33"/>
        <v>No</v>
      </c>
      <c r="Z573">
        <v>572</v>
      </c>
      <c r="AA573" s="55" t="s">
        <v>4816</v>
      </c>
      <c r="AC573">
        <f t="shared" si="32"/>
        <v>8</v>
      </c>
      <c r="AD573" s="30" t="s">
        <v>4817</v>
      </c>
      <c r="AF573" t="s">
        <v>7989</v>
      </c>
      <c r="AH573" s="3" t="s">
        <v>7015</v>
      </c>
      <c r="AI573" s="3" t="s">
        <v>7010</v>
      </c>
      <c r="AJ573" s="3" t="s">
        <v>7010</v>
      </c>
      <c r="AK573" s="3" t="s">
        <v>7015</v>
      </c>
      <c r="AL573" s="3" t="s">
        <v>7010</v>
      </c>
      <c r="AM573" s="3" t="s">
        <v>7010</v>
      </c>
      <c r="AN573" s="3" t="s">
        <v>7010</v>
      </c>
      <c r="AO573" s="3" t="s">
        <v>7010</v>
      </c>
      <c r="AP573" s="74" t="s">
        <v>7015</v>
      </c>
      <c r="AU573">
        <v>572</v>
      </c>
      <c r="AV573" t="s">
        <v>4818</v>
      </c>
      <c r="AW573" t="s">
        <v>2279</v>
      </c>
      <c r="AX573">
        <f t="shared" si="34"/>
        <v>9</v>
      </c>
      <c r="AY573" s="30" t="s">
        <v>4819</v>
      </c>
      <c r="BC573" s="3" t="s">
        <v>7010</v>
      </c>
      <c r="BD573" s="3" t="s">
        <v>7010</v>
      </c>
      <c r="BE573" s="3" t="s">
        <v>7010</v>
      </c>
      <c r="BF573" s="3" t="s">
        <v>7010</v>
      </c>
      <c r="BG573" s="3" t="s">
        <v>7010</v>
      </c>
      <c r="BH573" s="3" t="s">
        <v>7010</v>
      </c>
      <c r="BI573" s="3" t="s">
        <v>7010</v>
      </c>
      <c r="BJ573" s="3" t="s">
        <v>7010</v>
      </c>
      <c r="BK573" s="74" t="str">
        <f t="shared" si="35"/>
        <v>No</v>
      </c>
    </row>
    <row r="574" spans="7:63">
      <c r="G574">
        <v>573</v>
      </c>
      <c r="H574" t="s">
        <v>6978</v>
      </c>
      <c r="I574" t="s">
        <v>29</v>
      </c>
      <c r="J574">
        <f>LEN(H574)</f>
        <v>9</v>
      </c>
      <c r="K574" s="49" t="s">
        <v>6979</v>
      </c>
      <c r="O574" s="3" t="s">
        <v>7010</v>
      </c>
      <c r="P574" s="3" t="s">
        <v>7010</v>
      </c>
      <c r="Q574" s="3" t="s">
        <v>7010</v>
      </c>
      <c r="R574" s="3" t="s">
        <v>7015</v>
      </c>
      <c r="S574" s="3" t="s">
        <v>7015</v>
      </c>
      <c r="T574" s="3" t="s">
        <v>7015</v>
      </c>
      <c r="U574" s="3" t="s">
        <v>7010</v>
      </c>
      <c r="V574" s="3" t="s">
        <v>7010</v>
      </c>
      <c r="W574" s="74" t="str">
        <f t="shared" si="33"/>
        <v>Yes</v>
      </c>
      <c r="Z574">
        <v>573</v>
      </c>
      <c r="AA574" s="55" t="s">
        <v>4821</v>
      </c>
      <c r="AC574">
        <f t="shared" si="32"/>
        <v>6</v>
      </c>
      <c r="AD574" s="30" t="s">
        <v>4822</v>
      </c>
      <c r="AF574" t="s">
        <v>7990</v>
      </c>
      <c r="AH574" s="3" t="s">
        <v>7015</v>
      </c>
      <c r="AI574" s="3" t="s">
        <v>7010</v>
      </c>
      <c r="AJ574" s="3" t="s">
        <v>7010</v>
      </c>
      <c r="AK574" s="3" t="s">
        <v>7015</v>
      </c>
      <c r="AL574" s="3" t="s">
        <v>7010</v>
      </c>
      <c r="AM574" s="3" t="s">
        <v>7010</v>
      </c>
      <c r="AN574" s="3" t="s">
        <v>7010</v>
      </c>
      <c r="AO574" s="3" t="s">
        <v>7010</v>
      </c>
      <c r="AP574" s="74" t="s">
        <v>7015</v>
      </c>
      <c r="AU574">
        <v>573</v>
      </c>
      <c r="AV574" t="s">
        <v>4823</v>
      </c>
      <c r="AW574" t="s">
        <v>2279</v>
      </c>
      <c r="AX574">
        <f t="shared" si="34"/>
        <v>9</v>
      </c>
      <c r="AY574" s="30" t="s">
        <v>4824</v>
      </c>
      <c r="BC574" s="3" t="s">
        <v>7010</v>
      </c>
      <c r="BD574" s="3" t="s">
        <v>7010</v>
      </c>
      <c r="BE574" s="3" t="s">
        <v>7010</v>
      </c>
      <c r="BF574" s="3" t="s">
        <v>7010</v>
      </c>
      <c r="BG574" s="3" t="s">
        <v>7010</v>
      </c>
      <c r="BH574" s="3" t="s">
        <v>7010</v>
      </c>
      <c r="BI574" s="3" t="s">
        <v>7010</v>
      </c>
      <c r="BJ574" s="3" t="s">
        <v>7010</v>
      </c>
      <c r="BK574" s="74" t="str">
        <f t="shared" si="35"/>
        <v>No</v>
      </c>
    </row>
    <row r="575" spans="7:63">
      <c r="G575">
        <v>574</v>
      </c>
      <c r="H575" s="7" t="s">
        <v>2113</v>
      </c>
      <c r="I575" t="s">
        <v>29</v>
      </c>
      <c r="J575">
        <f>LEN(H575)</f>
        <v>22</v>
      </c>
      <c r="K575" s="49" t="s">
        <v>6608</v>
      </c>
      <c r="O575" s="3" t="s">
        <v>7010</v>
      </c>
      <c r="P575" s="3" t="s">
        <v>7010</v>
      </c>
      <c r="Q575" s="3" t="s">
        <v>7010</v>
      </c>
      <c r="R575" s="3" t="s">
        <v>7010</v>
      </c>
      <c r="S575" s="3" t="s">
        <v>7010</v>
      </c>
      <c r="T575" s="3" t="s">
        <v>7010</v>
      </c>
      <c r="U575" s="3" t="s">
        <v>7010</v>
      </c>
      <c r="V575" s="3" t="s">
        <v>7010</v>
      </c>
      <c r="W575" s="74" t="str">
        <f t="shared" si="33"/>
        <v>No</v>
      </c>
      <c r="Z575">
        <v>574</v>
      </c>
      <c r="AA575" s="55" t="s">
        <v>4826</v>
      </c>
      <c r="AC575">
        <f t="shared" si="32"/>
        <v>6</v>
      </c>
      <c r="AD575" s="30" t="s">
        <v>4827</v>
      </c>
      <c r="AF575" t="s">
        <v>7991</v>
      </c>
      <c r="AH575" s="3" t="s">
        <v>7015</v>
      </c>
      <c r="AI575" s="3" t="s">
        <v>7010</v>
      </c>
      <c r="AJ575" s="3" t="s">
        <v>7010</v>
      </c>
      <c r="AK575" s="3" t="s">
        <v>7015</v>
      </c>
      <c r="AL575" s="3" t="s">
        <v>7010</v>
      </c>
      <c r="AM575" s="3" t="s">
        <v>7010</v>
      </c>
      <c r="AN575" s="3" t="s">
        <v>7010</v>
      </c>
      <c r="AO575" s="3" t="s">
        <v>7010</v>
      </c>
      <c r="AP575" s="74" t="s">
        <v>7015</v>
      </c>
      <c r="AU575">
        <v>574</v>
      </c>
      <c r="AV575" t="s">
        <v>4828</v>
      </c>
      <c r="AW575" t="s">
        <v>2279</v>
      </c>
      <c r="AX575">
        <f t="shared" si="34"/>
        <v>14</v>
      </c>
      <c r="AY575" s="30" t="s">
        <v>4829</v>
      </c>
      <c r="BC575" s="3" t="s">
        <v>7010</v>
      </c>
      <c r="BD575" s="3" t="s">
        <v>7010</v>
      </c>
      <c r="BE575" s="3" t="s">
        <v>7010</v>
      </c>
      <c r="BF575" s="3" t="s">
        <v>7010</v>
      </c>
      <c r="BG575" s="3" t="s">
        <v>7010</v>
      </c>
      <c r="BH575" s="3" t="s">
        <v>7010</v>
      </c>
      <c r="BI575" s="3" t="s">
        <v>7010</v>
      </c>
      <c r="BJ575" s="3" t="s">
        <v>7010</v>
      </c>
      <c r="BK575" s="74" t="str">
        <f t="shared" si="35"/>
        <v>No</v>
      </c>
    </row>
    <row r="576" spans="7:63">
      <c r="G576">
        <v>575</v>
      </c>
      <c r="H576" s="7" t="s">
        <v>392</v>
      </c>
      <c r="I576" t="s">
        <v>29</v>
      </c>
      <c r="J576">
        <f>LEN(H576)</f>
        <v>11</v>
      </c>
      <c r="K576" s="49" t="s">
        <v>2485</v>
      </c>
      <c r="O576" s="3" t="s">
        <v>7010</v>
      </c>
      <c r="P576" s="3" t="s">
        <v>7010</v>
      </c>
      <c r="Q576" s="3" t="s">
        <v>7010</v>
      </c>
      <c r="R576" s="3" t="s">
        <v>7010</v>
      </c>
      <c r="S576" s="3" t="s">
        <v>7010</v>
      </c>
      <c r="T576" s="3" t="s">
        <v>7010</v>
      </c>
      <c r="U576" s="3" t="s">
        <v>7010</v>
      </c>
      <c r="V576" s="3" t="s">
        <v>7010</v>
      </c>
      <c r="W576" s="74" t="str">
        <f t="shared" si="33"/>
        <v>No</v>
      </c>
      <c r="Z576">
        <v>575</v>
      </c>
      <c r="AA576" s="55" t="s">
        <v>4831</v>
      </c>
      <c r="AC576">
        <f t="shared" si="32"/>
        <v>6</v>
      </c>
      <c r="AD576" s="30" t="s">
        <v>4832</v>
      </c>
      <c r="AF576" t="s">
        <v>7992</v>
      </c>
      <c r="AH576" s="3" t="s">
        <v>7015</v>
      </c>
      <c r="AI576" s="3" t="s">
        <v>7010</v>
      </c>
      <c r="AJ576" s="3" t="s">
        <v>7010</v>
      </c>
      <c r="AK576" s="3" t="s">
        <v>7015</v>
      </c>
      <c r="AL576" s="3" t="s">
        <v>7010</v>
      </c>
      <c r="AM576" s="3" t="s">
        <v>7010</v>
      </c>
      <c r="AN576" s="3" t="s">
        <v>7010</v>
      </c>
      <c r="AO576" s="3" t="s">
        <v>7010</v>
      </c>
      <c r="AP576" s="74" t="s">
        <v>7015</v>
      </c>
      <c r="AU576">
        <v>575</v>
      </c>
      <c r="AV576" t="s">
        <v>4833</v>
      </c>
      <c r="AW576" t="s">
        <v>2279</v>
      </c>
      <c r="AX576">
        <f t="shared" si="34"/>
        <v>14</v>
      </c>
      <c r="AY576" s="30" t="s">
        <v>4834</v>
      </c>
      <c r="BC576" s="3" t="s">
        <v>7010</v>
      </c>
      <c r="BD576" s="3" t="s">
        <v>7010</v>
      </c>
      <c r="BE576" s="3" t="s">
        <v>7010</v>
      </c>
      <c r="BF576" s="3" t="s">
        <v>7010</v>
      </c>
      <c r="BG576" s="3" t="s">
        <v>7010</v>
      </c>
      <c r="BH576" s="3" t="s">
        <v>7010</v>
      </c>
      <c r="BI576" s="3" t="s">
        <v>7010</v>
      </c>
      <c r="BJ576" s="3" t="s">
        <v>7010</v>
      </c>
      <c r="BK576" s="74" t="str">
        <f t="shared" si="35"/>
        <v>No</v>
      </c>
    </row>
    <row r="577" spans="7:63">
      <c r="G577">
        <v>576</v>
      </c>
      <c r="H577" s="7" t="s">
        <v>362</v>
      </c>
      <c r="I577" t="s">
        <v>29</v>
      </c>
      <c r="J577">
        <f>LEN(H577)</f>
        <v>10</v>
      </c>
      <c r="K577" s="49" t="s">
        <v>2369</v>
      </c>
      <c r="O577" s="3" t="s">
        <v>7010</v>
      </c>
      <c r="P577" s="3" t="s">
        <v>7010</v>
      </c>
      <c r="Q577" s="3" t="s">
        <v>7010</v>
      </c>
      <c r="R577" s="3" t="s">
        <v>7010</v>
      </c>
      <c r="S577" s="3" t="s">
        <v>7010</v>
      </c>
      <c r="T577" s="3" t="s">
        <v>7015</v>
      </c>
      <c r="U577" s="3" t="s">
        <v>7010</v>
      </c>
      <c r="V577" s="3" t="s">
        <v>7010</v>
      </c>
      <c r="W577" s="74" t="str">
        <f t="shared" si="33"/>
        <v>Yes</v>
      </c>
      <c r="Z577">
        <v>576</v>
      </c>
      <c r="AA577" s="55" t="s">
        <v>4836</v>
      </c>
      <c r="AC577">
        <f t="shared" si="32"/>
        <v>6</v>
      </c>
      <c r="AD577" s="30" t="s">
        <v>4837</v>
      </c>
      <c r="AF577" t="s">
        <v>7993</v>
      </c>
      <c r="AH577" s="3" t="s">
        <v>7015</v>
      </c>
      <c r="AI577" s="3" t="s">
        <v>7010</v>
      </c>
      <c r="AJ577" s="3" t="s">
        <v>7010</v>
      </c>
      <c r="AK577" s="3" t="s">
        <v>7015</v>
      </c>
      <c r="AL577" s="3" t="s">
        <v>7010</v>
      </c>
      <c r="AM577" s="3" t="s">
        <v>7010</v>
      </c>
      <c r="AN577" s="3" t="s">
        <v>7010</v>
      </c>
      <c r="AO577" s="3" t="s">
        <v>7010</v>
      </c>
      <c r="AP577" s="74" t="s">
        <v>7015</v>
      </c>
      <c r="AU577">
        <v>576</v>
      </c>
      <c r="AV577" t="s">
        <v>4838</v>
      </c>
      <c r="AW577" t="s">
        <v>2279</v>
      </c>
      <c r="AX577">
        <f t="shared" si="34"/>
        <v>8</v>
      </c>
      <c r="AY577" s="30" t="s">
        <v>4839</v>
      </c>
      <c r="BC577" s="3" t="s">
        <v>7010</v>
      </c>
      <c r="BD577" s="3" t="s">
        <v>7010</v>
      </c>
      <c r="BE577" s="3" t="s">
        <v>7010</v>
      </c>
      <c r="BF577" s="3" t="s">
        <v>7010</v>
      </c>
      <c r="BG577" s="3" t="s">
        <v>7010</v>
      </c>
      <c r="BH577" s="3" t="s">
        <v>7010</v>
      </c>
      <c r="BI577" s="3" t="s">
        <v>7010</v>
      </c>
      <c r="BJ577" s="3" t="s">
        <v>7010</v>
      </c>
      <c r="BK577" s="74" t="str">
        <f t="shared" si="35"/>
        <v>No</v>
      </c>
    </row>
    <row r="578" spans="7:63">
      <c r="G578">
        <v>577</v>
      </c>
      <c r="H578" s="7" t="s">
        <v>622</v>
      </c>
      <c r="I578" t="s">
        <v>29</v>
      </c>
      <c r="J578">
        <f>LEN(H578)</f>
        <v>17</v>
      </c>
      <c r="K578" s="49" t="s">
        <v>3405</v>
      </c>
      <c r="O578" s="3" t="s">
        <v>7010</v>
      </c>
      <c r="P578" s="3" t="s">
        <v>7010</v>
      </c>
      <c r="Q578" s="3" t="s">
        <v>7010</v>
      </c>
      <c r="R578" s="3" t="s">
        <v>7010</v>
      </c>
      <c r="S578" s="3" t="s">
        <v>7010</v>
      </c>
      <c r="T578" s="3" t="s">
        <v>7010</v>
      </c>
      <c r="U578" s="3" t="s">
        <v>7010</v>
      </c>
      <c r="V578" s="3" t="s">
        <v>7010</v>
      </c>
      <c r="W578" s="74" t="str">
        <f t="shared" si="33"/>
        <v>No</v>
      </c>
      <c r="Z578">
        <v>577</v>
      </c>
      <c r="AA578" s="55" t="s">
        <v>4841</v>
      </c>
      <c r="AC578">
        <f t="shared" ref="AC578:AC641" si="36">LEN(AA578)</f>
        <v>6</v>
      </c>
      <c r="AD578" s="30" t="s">
        <v>4842</v>
      </c>
      <c r="AF578" t="s">
        <v>7994</v>
      </c>
      <c r="AH578" s="3" t="s">
        <v>7015</v>
      </c>
      <c r="AI578" s="3" t="s">
        <v>7010</v>
      </c>
      <c r="AJ578" s="3" t="s">
        <v>7010</v>
      </c>
      <c r="AK578" s="3" t="s">
        <v>7015</v>
      </c>
      <c r="AL578" s="3" t="s">
        <v>7010</v>
      </c>
      <c r="AM578" s="3" t="s">
        <v>7010</v>
      </c>
      <c r="AN578" s="3" t="s">
        <v>7010</v>
      </c>
      <c r="AO578" s="3" t="s">
        <v>7010</v>
      </c>
      <c r="AP578" s="74" t="s">
        <v>7015</v>
      </c>
      <c r="AU578">
        <v>577</v>
      </c>
      <c r="AV578" t="s">
        <v>4843</v>
      </c>
      <c r="AW578" t="s">
        <v>2279</v>
      </c>
      <c r="AX578">
        <f t="shared" si="34"/>
        <v>8</v>
      </c>
      <c r="AY578" s="30" t="s">
        <v>4844</v>
      </c>
      <c r="BC578" s="3" t="s">
        <v>7010</v>
      </c>
      <c r="BD578" s="3" t="s">
        <v>7010</v>
      </c>
      <c r="BE578" s="3" t="s">
        <v>7010</v>
      </c>
      <c r="BF578" s="3" t="s">
        <v>7010</v>
      </c>
      <c r="BG578" s="3" t="s">
        <v>7010</v>
      </c>
      <c r="BH578" s="3" t="s">
        <v>7010</v>
      </c>
      <c r="BI578" s="3" t="s">
        <v>7010</v>
      </c>
      <c r="BJ578" s="3" t="s">
        <v>7010</v>
      </c>
      <c r="BK578" s="74" t="str">
        <f t="shared" si="35"/>
        <v>No</v>
      </c>
    </row>
    <row r="579" spans="7:63">
      <c r="G579">
        <v>578</v>
      </c>
      <c r="H579" s="7" t="s">
        <v>636</v>
      </c>
      <c r="I579" t="s">
        <v>29</v>
      </c>
      <c r="J579">
        <f>LEN(H579)</f>
        <v>18</v>
      </c>
      <c r="K579" s="49" t="s">
        <v>3461</v>
      </c>
      <c r="O579" s="3" t="s">
        <v>7010</v>
      </c>
      <c r="P579" s="3" t="s">
        <v>7010</v>
      </c>
      <c r="Q579" s="3" t="s">
        <v>7010</v>
      </c>
      <c r="R579" s="3" t="s">
        <v>7010</v>
      </c>
      <c r="S579" s="3" t="s">
        <v>7010</v>
      </c>
      <c r="T579" s="3" t="s">
        <v>7010</v>
      </c>
      <c r="U579" s="3" t="s">
        <v>7010</v>
      </c>
      <c r="V579" s="3" t="s">
        <v>7010</v>
      </c>
      <c r="W579" s="74" t="str">
        <f t="shared" ref="W579:W642" si="37">IF(COUNTIF(O579:V579, "Yes") &gt; 0, "Yes", "No")</f>
        <v>No</v>
      </c>
      <c r="Z579">
        <v>578</v>
      </c>
      <c r="AA579" s="55" t="s">
        <v>4846</v>
      </c>
      <c r="AC579">
        <f t="shared" si="36"/>
        <v>7</v>
      </c>
      <c r="AD579" s="30" t="s">
        <v>4847</v>
      </c>
      <c r="AF579" t="s">
        <v>7995</v>
      </c>
      <c r="AH579" s="3" t="s">
        <v>7015</v>
      </c>
      <c r="AI579" s="3" t="s">
        <v>7010</v>
      </c>
      <c r="AJ579" s="3" t="s">
        <v>7010</v>
      </c>
      <c r="AK579" s="3" t="s">
        <v>7015</v>
      </c>
      <c r="AL579" s="3" t="s">
        <v>7010</v>
      </c>
      <c r="AM579" s="3" t="s">
        <v>7010</v>
      </c>
      <c r="AN579" s="3" t="s">
        <v>7010</v>
      </c>
      <c r="AO579" s="3" t="s">
        <v>7010</v>
      </c>
      <c r="AP579" s="74" t="s">
        <v>7015</v>
      </c>
      <c r="AU579">
        <v>578</v>
      </c>
      <c r="AV579" t="s">
        <v>4848</v>
      </c>
      <c r="AW579" t="s">
        <v>2279</v>
      </c>
      <c r="AX579">
        <f t="shared" ref="AX579:AX642" si="38">LEN(AV579)</f>
        <v>8</v>
      </c>
      <c r="AY579" s="30" t="s">
        <v>4849</v>
      </c>
      <c r="BC579" s="3" t="s">
        <v>7010</v>
      </c>
      <c r="BD579" s="3" t="s">
        <v>7010</v>
      </c>
      <c r="BE579" s="3" t="s">
        <v>7010</v>
      </c>
      <c r="BF579" s="3" t="s">
        <v>7010</v>
      </c>
      <c r="BG579" s="3" t="s">
        <v>7010</v>
      </c>
      <c r="BH579" s="3" t="s">
        <v>7010</v>
      </c>
      <c r="BI579" s="3" t="s">
        <v>7010</v>
      </c>
      <c r="BJ579" s="3" t="s">
        <v>7010</v>
      </c>
      <c r="BK579" s="74" t="str">
        <f t="shared" ref="BK579:BK642" si="39">IF(COUNTIF(BC579:BJ579, "Yes") &gt; 0, "Yes", "No")</f>
        <v>No</v>
      </c>
    </row>
    <row r="580" spans="7:63">
      <c r="G580">
        <v>579</v>
      </c>
      <c r="H580" s="7" t="s">
        <v>408</v>
      </c>
      <c r="I580" t="s">
        <v>29</v>
      </c>
      <c r="J580">
        <f>LEN(H580)</f>
        <v>10</v>
      </c>
      <c r="K580" s="49" t="s">
        <v>2549</v>
      </c>
      <c r="O580" s="3" t="s">
        <v>7015</v>
      </c>
      <c r="P580" s="3" t="s">
        <v>7010</v>
      </c>
      <c r="Q580" s="3" t="s">
        <v>7010</v>
      </c>
      <c r="R580" s="3" t="s">
        <v>7015</v>
      </c>
      <c r="S580" s="3" t="s">
        <v>7010</v>
      </c>
      <c r="T580" s="3" t="s">
        <v>7015</v>
      </c>
      <c r="U580" s="3" t="s">
        <v>7010</v>
      </c>
      <c r="V580" s="3" t="s">
        <v>7010</v>
      </c>
      <c r="W580" s="74" t="str">
        <f t="shared" si="37"/>
        <v>Yes</v>
      </c>
      <c r="Z580">
        <v>579</v>
      </c>
      <c r="AA580" s="55" t="s">
        <v>4851</v>
      </c>
      <c r="AC580">
        <f t="shared" si="36"/>
        <v>6</v>
      </c>
      <c r="AD580" s="30" t="s">
        <v>4852</v>
      </c>
      <c r="AF580" t="s">
        <v>7996</v>
      </c>
      <c r="AH580" s="3" t="s">
        <v>7015</v>
      </c>
      <c r="AI580" s="3" t="s">
        <v>7010</v>
      </c>
      <c r="AJ580" s="3" t="s">
        <v>7010</v>
      </c>
      <c r="AK580" s="3" t="s">
        <v>7015</v>
      </c>
      <c r="AL580" s="3" t="s">
        <v>7010</v>
      </c>
      <c r="AM580" s="3" t="s">
        <v>7010</v>
      </c>
      <c r="AN580" s="3" t="s">
        <v>7010</v>
      </c>
      <c r="AO580" s="3" t="s">
        <v>7010</v>
      </c>
      <c r="AP580" s="74" t="s">
        <v>7015</v>
      </c>
      <c r="AU580">
        <v>579</v>
      </c>
      <c r="AV580" t="s">
        <v>4853</v>
      </c>
      <c r="AW580" t="s">
        <v>2279</v>
      </c>
      <c r="AX580">
        <f t="shared" si="38"/>
        <v>23</v>
      </c>
      <c r="AY580" s="30" t="s">
        <v>4854</v>
      </c>
      <c r="BC580" s="3" t="s">
        <v>7010</v>
      </c>
      <c r="BD580" s="3" t="s">
        <v>7010</v>
      </c>
      <c r="BE580" s="3" t="s">
        <v>7010</v>
      </c>
      <c r="BF580" s="3" t="s">
        <v>7010</v>
      </c>
      <c r="BG580" s="3" t="s">
        <v>7010</v>
      </c>
      <c r="BH580" s="3" t="s">
        <v>7010</v>
      </c>
      <c r="BI580" s="3" t="s">
        <v>7010</v>
      </c>
      <c r="BJ580" s="3" t="s">
        <v>7010</v>
      </c>
      <c r="BK580" s="74" t="str">
        <f t="shared" si="39"/>
        <v>No</v>
      </c>
    </row>
    <row r="581" spans="7:63">
      <c r="G581">
        <v>580</v>
      </c>
      <c r="H581" s="7" t="s">
        <v>400</v>
      </c>
      <c r="I581" t="s">
        <v>29</v>
      </c>
      <c r="J581">
        <f>LEN(H581)</f>
        <v>11</v>
      </c>
      <c r="K581" s="49" t="s">
        <v>2517</v>
      </c>
      <c r="O581" s="3" t="s">
        <v>7010</v>
      </c>
      <c r="P581" s="3" t="s">
        <v>7010</v>
      </c>
      <c r="Q581" s="3" t="s">
        <v>7010</v>
      </c>
      <c r="R581" s="3" t="s">
        <v>7010</v>
      </c>
      <c r="S581" s="3" t="s">
        <v>7010</v>
      </c>
      <c r="T581" s="3" t="s">
        <v>7015</v>
      </c>
      <c r="U581" s="3" t="s">
        <v>7010</v>
      </c>
      <c r="V581" s="3" t="s">
        <v>7010</v>
      </c>
      <c r="W581" s="74" t="str">
        <f t="shared" si="37"/>
        <v>Yes</v>
      </c>
      <c r="Z581">
        <v>580</v>
      </c>
      <c r="AA581" s="55" t="s">
        <v>4856</v>
      </c>
      <c r="AC581">
        <f t="shared" si="36"/>
        <v>5</v>
      </c>
      <c r="AD581" s="30" t="s">
        <v>4857</v>
      </c>
      <c r="AF581" t="s">
        <v>7997</v>
      </c>
      <c r="AH581" s="3" t="s">
        <v>7015</v>
      </c>
      <c r="AI581" s="3" t="s">
        <v>7010</v>
      </c>
      <c r="AJ581" s="3" t="s">
        <v>7010</v>
      </c>
      <c r="AK581" s="3" t="s">
        <v>7015</v>
      </c>
      <c r="AL581" s="3" t="s">
        <v>7010</v>
      </c>
      <c r="AM581" s="3" t="s">
        <v>7010</v>
      </c>
      <c r="AN581" s="3" t="s">
        <v>7010</v>
      </c>
      <c r="AO581" s="3" t="s">
        <v>7010</v>
      </c>
      <c r="AP581" s="74" t="s">
        <v>7015</v>
      </c>
      <c r="AU581">
        <v>580</v>
      </c>
      <c r="AV581" t="s">
        <v>4858</v>
      </c>
      <c r="AW581" t="s">
        <v>2279</v>
      </c>
      <c r="AX581">
        <f t="shared" si="38"/>
        <v>8</v>
      </c>
      <c r="AY581" s="30" t="s">
        <v>4859</v>
      </c>
      <c r="BC581" s="3" t="s">
        <v>7010</v>
      </c>
      <c r="BD581" s="3" t="s">
        <v>7010</v>
      </c>
      <c r="BE581" s="3" t="s">
        <v>7010</v>
      </c>
      <c r="BF581" s="3" t="s">
        <v>7010</v>
      </c>
      <c r="BG581" s="3" t="s">
        <v>7010</v>
      </c>
      <c r="BH581" s="3" t="s">
        <v>7010</v>
      </c>
      <c r="BI581" s="3" t="s">
        <v>7010</v>
      </c>
      <c r="BJ581" s="3" t="s">
        <v>7010</v>
      </c>
      <c r="BK581" s="74" t="str">
        <f t="shared" si="39"/>
        <v>No</v>
      </c>
    </row>
    <row r="582" spans="7:63">
      <c r="G582">
        <v>581</v>
      </c>
      <c r="H582" s="7" t="s">
        <v>585</v>
      </c>
      <c r="I582" t="s">
        <v>29</v>
      </c>
      <c r="J582">
        <f>LEN(H582)</f>
        <v>14</v>
      </c>
      <c r="K582" s="49" t="s">
        <v>3257</v>
      </c>
      <c r="O582" s="3" t="s">
        <v>7010</v>
      </c>
      <c r="P582" s="3" t="s">
        <v>7010</v>
      </c>
      <c r="Q582" s="3" t="s">
        <v>7010</v>
      </c>
      <c r="R582" s="3" t="s">
        <v>7010</v>
      </c>
      <c r="S582" s="3" t="s">
        <v>7010</v>
      </c>
      <c r="T582" s="3" t="s">
        <v>7015</v>
      </c>
      <c r="U582" s="3" t="s">
        <v>7010</v>
      </c>
      <c r="V582" s="3" t="s">
        <v>7010</v>
      </c>
      <c r="W582" s="74" t="str">
        <f t="shared" si="37"/>
        <v>Yes</v>
      </c>
      <c r="Z582">
        <v>581</v>
      </c>
      <c r="AA582" s="55" t="s">
        <v>4861</v>
      </c>
      <c r="AC582">
        <f t="shared" si="36"/>
        <v>8</v>
      </c>
      <c r="AD582" s="30" t="s">
        <v>4862</v>
      </c>
      <c r="AF582" t="s">
        <v>7998</v>
      </c>
      <c r="AH582" s="3" t="s">
        <v>7015</v>
      </c>
      <c r="AI582" s="3" t="s">
        <v>7010</v>
      </c>
      <c r="AJ582" s="3" t="s">
        <v>7010</v>
      </c>
      <c r="AK582" s="3" t="s">
        <v>7015</v>
      </c>
      <c r="AL582" s="3" t="s">
        <v>7010</v>
      </c>
      <c r="AM582" s="3" t="s">
        <v>7010</v>
      </c>
      <c r="AN582" s="3" t="s">
        <v>7010</v>
      </c>
      <c r="AO582" s="3" t="s">
        <v>7010</v>
      </c>
      <c r="AP582" s="74" t="s">
        <v>7015</v>
      </c>
      <c r="AU582">
        <v>581</v>
      </c>
      <c r="AV582" t="s">
        <v>4863</v>
      </c>
      <c r="AW582" t="s">
        <v>2279</v>
      </c>
      <c r="AX582">
        <f t="shared" si="38"/>
        <v>8</v>
      </c>
      <c r="AY582" s="30" t="s">
        <v>4864</v>
      </c>
      <c r="BC582" s="3" t="s">
        <v>7015</v>
      </c>
      <c r="BD582" s="3" t="s">
        <v>7010</v>
      </c>
      <c r="BE582" s="3" t="s">
        <v>7015</v>
      </c>
      <c r="BF582" s="3" t="s">
        <v>7010</v>
      </c>
      <c r="BG582" s="3" t="s">
        <v>7010</v>
      </c>
      <c r="BH582" s="3" t="s">
        <v>7010</v>
      </c>
      <c r="BI582" s="3" t="s">
        <v>7010</v>
      </c>
      <c r="BJ582" s="3" t="s">
        <v>7010</v>
      </c>
      <c r="BK582" s="74" t="str">
        <f t="shared" si="39"/>
        <v>Yes</v>
      </c>
    </row>
    <row r="583" spans="7:63">
      <c r="G583">
        <v>582</v>
      </c>
      <c r="H583" s="7" t="s">
        <v>581</v>
      </c>
      <c r="I583" t="s">
        <v>29</v>
      </c>
      <c r="J583">
        <f>LEN(H583)</f>
        <v>13</v>
      </c>
      <c r="K583" s="49" t="s">
        <v>3241</v>
      </c>
      <c r="O583" s="3" t="s">
        <v>7010</v>
      </c>
      <c r="P583" s="3" t="s">
        <v>7010</v>
      </c>
      <c r="Q583" s="3" t="s">
        <v>7010</v>
      </c>
      <c r="R583" s="3" t="s">
        <v>7015</v>
      </c>
      <c r="S583" s="3" t="s">
        <v>7010</v>
      </c>
      <c r="T583" s="3" t="s">
        <v>7015</v>
      </c>
      <c r="U583" s="3" t="s">
        <v>7010</v>
      </c>
      <c r="V583" s="3" t="s">
        <v>7010</v>
      </c>
      <c r="W583" s="74" t="str">
        <f t="shared" si="37"/>
        <v>Yes</v>
      </c>
      <c r="Z583">
        <v>582</v>
      </c>
      <c r="AA583" s="55" t="s">
        <v>4866</v>
      </c>
      <c r="AC583">
        <f t="shared" si="36"/>
        <v>7</v>
      </c>
      <c r="AD583" s="30" t="s">
        <v>4867</v>
      </c>
      <c r="AF583" t="s">
        <v>7999</v>
      </c>
      <c r="AH583" s="3" t="s">
        <v>7015</v>
      </c>
      <c r="AI583" s="3" t="s">
        <v>7010</v>
      </c>
      <c r="AJ583" s="3" t="s">
        <v>7010</v>
      </c>
      <c r="AK583" s="3" t="s">
        <v>7015</v>
      </c>
      <c r="AL583" s="3" t="s">
        <v>7010</v>
      </c>
      <c r="AM583" s="3" t="s">
        <v>7010</v>
      </c>
      <c r="AN583" s="3" t="s">
        <v>7010</v>
      </c>
      <c r="AO583" s="3" t="s">
        <v>7010</v>
      </c>
      <c r="AP583" s="74" t="s">
        <v>7015</v>
      </c>
      <c r="AU583">
        <v>582</v>
      </c>
      <c r="AV583" t="s">
        <v>4868</v>
      </c>
      <c r="AW583" t="s">
        <v>2279</v>
      </c>
      <c r="AX583">
        <f t="shared" si="38"/>
        <v>10</v>
      </c>
      <c r="AY583" s="30" t="s">
        <v>4869</v>
      </c>
      <c r="BC583" s="3" t="s">
        <v>7010</v>
      </c>
      <c r="BD583" s="3" t="s">
        <v>7010</v>
      </c>
      <c r="BE583" s="3" t="s">
        <v>7010</v>
      </c>
      <c r="BF583" s="3" t="s">
        <v>7010</v>
      </c>
      <c r="BG583" s="3" t="s">
        <v>7010</v>
      </c>
      <c r="BH583" s="3" t="s">
        <v>7010</v>
      </c>
      <c r="BI583" s="3" t="s">
        <v>7010</v>
      </c>
      <c r="BJ583" s="3" t="s">
        <v>7010</v>
      </c>
      <c r="BK583" s="74" t="str">
        <f t="shared" si="39"/>
        <v>No</v>
      </c>
    </row>
    <row r="584" spans="7:63">
      <c r="G584">
        <v>583</v>
      </c>
      <c r="H584" s="7" t="s">
        <v>586</v>
      </c>
      <c r="I584" t="s">
        <v>29</v>
      </c>
      <c r="J584">
        <f>LEN(H584)</f>
        <v>11</v>
      </c>
      <c r="K584" s="49" t="s">
        <v>3261</v>
      </c>
      <c r="O584" s="3" t="s">
        <v>7010</v>
      </c>
      <c r="P584" s="3" t="s">
        <v>7010</v>
      </c>
      <c r="Q584" s="3" t="s">
        <v>7010</v>
      </c>
      <c r="R584" s="3" t="s">
        <v>7010</v>
      </c>
      <c r="S584" s="3" t="s">
        <v>7010</v>
      </c>
      <c r="T584" s="3" t="s">
        <v>7015</v>
      </c>
      <c r="U584" s="3" t="s">
        <v>7010</v>
      </c>
      <c r="V584" s="3" t="s">
        <v>7010</v>
      </c>
      <c r="W584" s="74" t="str">
        <f t="shared" si="37"/>
        <v>Yes</v>
      </c>
      <c r="Z584">
        <v>583</v>
      </c>
      <c r="AA584" s="55" t="s">
        <v>4871</v>
      </c>
      <c r="AC584">
        <f t="shared" si="36"/>
        <v>7</v>
      </c>
      <c r="AD584" s="30" t="s">
        <v>4872</v>
      </c>
      <c r="AF584" t="s">
        <v>8000</v>
      </c>
      <c r="AH584" s="3" t="s">
        <v>7015</v>
      </c>
      <c r="AI584" s="3" t="s">
        <v>7010</v>
      </c>
      <c r="AJ584" s="3" t="s">
        <v>7010</v>
      </c>
      <c r="AK584" s="3" t="s">
        <v>7015</v>
      </c>
      <c r="AL584" s="3" t="s">
        <v>7010</v>
      </c>
      <c r="AM584" s="3" t="s">
        <v>7010</v>
      </c>
      <c r="AN584" s="3" t="s">
        <v>7010</v>
      </c>
      <c r="AO584" s="3" t="s">
        <v>7010</v>
      </c>
      <c r="AP584" s="74" t="s">
        <v>7015</v>
      </c>
      <c r="AU584">
        <v>583</v>
      </c>
      <c r="AV584" t="s">
        <v>4873</v>
      </c>
      <c r="AW584" t="s">
        <v>2279</v>
      </c>
      <c r="AX584">
        <f t="shared" si="38"/>
        <v>10</v>
      </c>
      <c r="AY584" s="30" t="s">
        <v>4874</v>
      </c>
      <c r="BC584" s="3" t="s">
        <v>7010</v>
      </c>
      <c r="BD584" s="3" t="s">
        <v>7010</v>
      </c>
      <c r="BE584" s="3" t="s">
        <v>7010</v>
      </c>
      <c r="BF584" s="3" t="s">
        <v>7010</v>
      </c>
      <c r="BG584" s="3" t="s">
        <v>7010</v>
      </c>
      <c r="BH584" s="3" t="s">
        <v>7010</v>
      </c>
      <c r="BI584" s="3" t="s">
        <v>7010</v>
      </c>
      <c r="BJ584" s="3" t="s">
        <v>7010</v>
      </c>
      <c r="BK584" s="74" t="str">
        <f t="shared" si="39"/>
        <v>No</v>
      </c>
    </row>
    <row r="585" spans="7:63">
      <c r="G585">
        <v>584</v>
      </c>
      <c r="H585" s="7" t="s">
        <v>599</v>
      </c>
      <c r="I585" t="s">
        <v>29</v>
      </c>
      <c r="J585">
        <f>LEN(H585)</f>
        <v>16</v>
      </c>
      <c r="K585" s="49" t="s">
        <v>3313</v>
      </c>
      <c r="O585" s="3" t="s">
        <v>7010</v>
      </c>
      <c r="P585" s="3" t="s">
        <v>7010</v>
      </c>
      <c r="Q585" s="3" t="s">
        <v>7010</v>
      </c>
      <c r="R585" s="3" t="s">
        <v>7015</v>
      </c>
      <c r="S585" s="3" t="s">
        <v>7010</v>
      </c>
      <c r="T585" s="3" t="s">
        <v>7010</v>
      </c>
      <c r="U585" s="3" t="s">
        <v>7010</v>
      </c>
      <c r="V585" s="3" t="s">
        <v>7010</v>
      </c>
      <c r="W585" s="74" t="str">
        <f t="shared" si="37"/>
        <v>Yes</v>
      </c>
      <c r="Z585">
        <v>584</v>
      </c>
      <c r="AA585" s="55" t="s">
        <v>4876</v>
      </c>
      <c r="AC585">
        <f t="shared" si="36"/>
        <v>7</v>
      </c>
      <c r="AD585" s="30" t="s">
        <v>4877</v>
      </c>
      <c r="AF585" t="s">
        <v>8001</v>
      </c>
      <c r="AH585" s="3" t="s">
        <v>7015</v>
      </c>
      <c r="AI585" s="3" t="s">
        <v>7010</v>
      </c>
      <c r="AJ585" s="3" t="s">
        <v>7010</v>
      </c>
      <c r="AK585" s="3" t="s">
        <v>7015</v>
      </c>
      <c r="AL585" s="3" t="s">
        <v>7010</v>
      </c>
      <c r="AM585" s="3" t="s">
        <v>7010</v>
      </c>
      <c r="AN585" s="3" t="s">
        <v>7010</v>
      </c>
      <c r="AO585" s="3" t="s">
        <v>7010</v>
      </c>
      <c r="AP585" s="74" t="s">
        <v>7015</v>
      </c>
      <c r="AU585">
        <v>584</v>
      </c>
      <c r="AV585" t="s">
        <v>4878</v>
      </c>
      <c r="AW585" t="s">
        <v>2279</v>
      </c>
      <c r="AX585">
        <f t="shared" si="38"/>
        <v>12</v>
      </c>
      <c r="AY585" s="30" t="s">
        <v>4879</v>
      </c>
      <c r="BC585" s="3" t="s">
        <v>7010</v>
      </c>
      <c r="BD585" s="3" t="s">
        <v>7010</v>
      </c>
      <c r="BE585" s="3" t="s">
        <v>7010</v>
      </c>
      <c r="BF585" s="3" t="s">
        <v>7010</v>
      </c>
      <c r="BG585" s="3" t="s">
        <v>7010</v>
      </c>
      <c r="BH585" s="3" t="s">
        <v>7010</v>
      </c>
      <c r="BI585" s="3" t="s">
        <v>7010</v>
      </c>
      <c r="BJ585" s="3" t="s">
        <v>7010</v>
      </c>
      <c r="BK585" s="74" t="str">
        <f t="shared" si="39"/>
        <v>No</v>
      </c>
    </row>
    <row r="586" spans="7:63">
      <c r="G586">
        <v>585</v>
      </c>
      <c r="H586" s="7" t="s">
        <v>598</v>
      </c>
      <c r="I586" t="s">
        <v>29</v>
      </c>
      <c r="J586">
        <f>LEN(H586)</f>
        <v>12</v>
      </c>
      <c r="K586" s="49" t="s">
        <v>3309</v>
      </c>
      <c r="O586" s="3" t="s">
        <v>7010</v>
      </c>
      <c r="P586" s="3" t="s">
        <v>7010</v>
      </c>
      <c r="Q586" s="3" t="s">
        <v>7010</v>
      </c>
      <c r="R586" s="3" t="s">
        <v>7010</v>
      </c>
      <c r="S586" s="3" t="s">
        <v>7010</v>
      </c>
      <c r="T586" s="3" t="s">
        <v>7015</v>
      </c>
      <c r="U586" s="3" t="s">
        <v>7010</v>
      </c>
      <c r="V586" s="3" t="s">
        <v>7010</v>
      </c>
      <c r="W586" s="74" t="str">
        <f t="shared" si="37"/>
        <v>Yes</v>
      </c>
      <c r="Z586">
        <v>585</v>
      </c>
      <c r="AA586" s="55" t="s">
        <v>4881</v>
      </c>
      <c r="AC586">
        <f t="shared" si="36"/>
        <v>8</v>
      </c>
      <c r="AD586" s="30" t="s">
        <v>4882</v>
      </c>
      <c r="AF586" t="s">
        <v>8002</v>
      </c>
      <c r="AH586" s="3" t="s">
        <v>7015</v>
      </c>
      <c r="AI586" s="3" t="s">
        <v>7010</v>
      </c>
      <c r="AJ586" s="3" t="s">
        <v>7010</v>
      </c>
      <c r="AK586" s="3" t="s">
        <v>7015</v>
      </c>
      <c r="AL586" s="3" t="s">
        <v>7010</v>
      </c>
      <c r="AM586" s="3" t="s">
        <v>7010</v>
      </c>
      <c r="AN586" s="3" t="s">
        <v>7010</v>
      </c>
      <c r="AO586" s="3" t="s">
        <v>7010</v>
      </c>
      <c r="AP586" s="74" t="s">
        <v>7015</v>
      </c>
      <c r="AU586">
        <v>585</v>
      </c>
      <c r="AV586" t="s">
        <v>4883</v>
      </c>
      <c r="AW586" t="s">
        <v>2279</v>
      </c>
      <c r="AX586">
        <f t="shared" si="38"/>
        <v>8</v>
      </c>
      <c r="AY586" s="30" t="s">
        <v>4884</v>
      </c>
      <c r="BC586" s="3" t="s">
        <v>7010</v>
      </c>
      <c r="BD586" s="3" t="s">
        <v>7010</v>
      </c>
      <c r="BE586" s="3" t="s">
        <v>7010</v>
      </c>
      <c r="BF586" s="3" t="s">
        <v>7010</v>
      </c>
      <c r="BG586" s="3" t="s">
        <v>7010</v>
      </c>
      <c r="BH586" s="3" t="s">
        <v>7010</v>
      </c>
      <c r="BI586" s="3" t="s">
        <v>7010</v>
      </c>
      <c r="BJ586" s="3" t="s">
        <v>7010</v>
      </c>
      <c r="BK586" s="74" t="str">
        <f t="shared" si="39"/>
        <v>No</v>
      </c>
    </row>
    <row r="587" spans="7:63">
      <c r="G587">
        <v>586</v>
      </c>
      <c r="H587" s="7" t="s">
        <v>588</v>
      </c>
      <c r="I587" t="s">
        <v>29</v>
      </c>
      <c r="J587">
        <f>LEN(H587)</f>
        <v>15</v>
      </c>
      <c r="K587" s="49" t="s">
        <v>3269</v>
      </c>
      <c r="O587" s="3" t="s">
        <v>7010</v>
      </c>
      <c r="P587" s="3" t="s">
        <v>7010</v>
      </c>
      <c r="Q587" s="3" t="s">
        <v>7010</v>
      </c>
      <c r="R587" s="3" t="s">
        <v>7015</v>
      </c>
      <c r="S587" s="3" t="s">
        <v>7010</v>
      </c>
      <c r="T587" s="3" t="s">
        <v>7015</v>
      </c>
      <c r="U587" s="3" t="s">
        <v>7010</v>
      </c>
      <c r="V587" s="3" t="s">
        <v>7010</v>
      </c>
      <c r="W587" s="74" t="str">
        <f t="shared" si="37"/>
        <v>Yes</v>
      </c>
      <c r="Z587">
        <v>586</v>
      </c>
      <c r="AA587" s="55" t="s">
        <v>4886</v>
      </c>
      <c r="AC587">
        <f t="shared" si="36"/>
        <v>6</v>
      </c>
      <c r="AD587" s="30" t="s">
        <v>4887</v>
      </c>
      <c r="AF587" t="s">
        <v>8003</v>
      </c>
      <c r="AH587" s="3" t="s">
        <v>7015</v>
      </c>
      <c r="AI587" s="3" t="s">
        <v>7010</v>
      </c>
      <c r="AJ587" s="3" t="s">
        <v>7010</v>
      </c>
      <c r="AK587" s="3" t="s">
        <v>7015</v>
      </c>
      <c r="AL587" s="3" t="s">
        <v>7010</v>
      </c>
      <c r="AM587" s="3" t="s">
        <v>7010</v>
      </c>
      <c r="AN587" s="3" t="s">
        <v>7010</v>
      </c>
      <c r="AO587" s="3" t="s">
        <v>7010</v>
      </c>
      <c r="AP587" s="74" t="s">
        <v>7015</v>
      </c>
      <c r="AU587">
        <v>586</v>
      </c>
      <c r="AV587" t="s">
        <v>4888</v>
      </c>
      <c r="AW587" t="s">
        <v>2279</v>
      </c>
      <c r="AX587">
        <f t="shared" si="38"/>
        <v>8</v>
      </c>
      <c r="AY587" s="30" t="s">
        <v>4889</v>
      </c>
      <c r="BC587" s="3" t="s">
        <v>7010</v>
      </c>
      <c r="BD587" s="3" t="s">
        <v>7010</v>
      </c>
      <c r="BE587" s="3" t="s">
        <v>7010</v>
      </c>
      <c r="BF587" s="3" t="s">
        <v>7010</v>
      </c>
      <c r="BG587" s="3" t="s">
        <v>7010</v>
      </c>
      <c r="BH587" s="3" t="s">
        <v>7010</v>
      </c>
      <c r="BI587" s="3" t="s">
        <v>7010</v>
      </c>
      <c r="BJ587" s="3" t="s">
        <v>7010</v>
      </c>
      <c r="BK587" s="74" t="str">
        <f t="shared" si="39"/>
        <v>No</v>
      </c>
    </row>
    <row r="588" spans="7:63">
      <c r="G588">
        <v>587</v>
      </c>
      <c r="H588" s="7" t="s">
        <v>580</v>
      </c>
      <c r="I588" t="s">
        <v>29</v>
      </c>
      <c r="J588">
        <f>LEN(H588)</f>
        <v>15</v>
      </c>
      <c r="K588" s="49" t="s">
        <v>3237</v>
      </c>
      <c r="O588" s="3" t="s">
        <v>7010</v>
      </c>
      <c r="P588" s="3" t="s">
        <v>7010</v>
      </c>
      <c r="Q588" s="3" t="s">
        <v>7010</v>
      </c>
      <c r="R588" s="3" t="s">
        <v>7015</v>
      </c>
      <c r="S588" s="3" t="s">
        <v>7010</v>
      </c>
      <c r="T588" s="3" t="s">
        <v>7015</v>
      </c>
      <c r="U588" s="3" t="s">
        <v>7010</v>
      </c>
      <c r="V588" s="3" t="s">
        <v>7010</v>
      </c>
      <c r="W588" s="74" t="str">
        <f t="shared" si="37"/>
        <v>Yes</v>
      </c>
      <c r="Z588">
        <v>587</v>
      </c>
      <c r="AA588" s="55" t="s">
        <v>4891</v>
      </c>
      <c r="AC588">
        <f t="shared" si="36"/>
        <v>6</v>
      </c>
      <c r="AD588" s="30" t="s">
        <v>4892</v>
      </c>
      <c r="AF588" t="s">
        <v>8004</v>
      </c>
      <c r="AH588" s="3" t="s">
        <v>7015</v>
      </c>
      <c r="AI588" s="3" t="s">
        <v>7010</v>
      </c>
      <c r="AJ588" s="3" t="s">
        <v>7010</v>
      </c>
      <c r="AK588" s="3" t="s">
        <v>7015</v>
      </c>
      <c r="AL588" s="3" t="s">
        <v>7010</v>
      </c>
      <c r="AM588" s="3" t="s">
        <v>7010</v>
      </c>
      <c r="AN588" s="3" t="s">
        <v>7010</v>
      </c>
      <c r="AO588" s="3" t="s">
        <v>7010</v>
      </c>
      <c r="AP588" s="74" t="s">
        <v>7015</v>
      </c>
      <c r="AU588">
        <v>587</v>
      </c>
      <c r="AV588" t="s">
        <v>4893</v>
      </c>
      <c r="AW588" t="s">
        <v>2279</v>
      </c>
      <c r="AX588">
        <f t="shared" si="38"/>
        <v>8</v>
      </c>
      <c r="AY588" s="30" t="s">
        <v>4894</v>
      </c>
      <c r="BC588" s="3" t="s">
        <v>7010</v>
      </c>
      <c r="BD588" s="3" t="s">
        <v>7010</v>
      </c>
      <c r="BE588" s="3" t="s">
        <v>7010</v>
      </c>
      <c r="BF588" s="3" t="s">
        <v>7010</v>
      </c>
      <c r="BG588" s="3" t="s">
        <v>7010</v>
      </c>
      <c r="BH588" s="3" t="s">
        <v>7010</v>
      </c>
      <c r="BI588" s="3" t="s">
        <v>7010</v>
      </c>
      <c r="BJ588" s="3" t="s">
        <v>7010</v>
      </c>
      <c r="BK588" s="74" t="str">
        <f t="shared" si="39"/>
        <v>No</v>
      </c>
    </row>
    <row r="589" spans="7:63">
      <c r="G589">
        <v>588</v>
      </c>
      <c r="H589" s="7" t="s">
        <v>582</v>
      </c>
      <c r="I589" t="s">
        <v>29</v>
      </c>
      <c r="J589">
        <f>LEN(H589)</f>
        <v>11</v>
      </c>
      <c r="K589" s="49" t="s">
        <v>3245</v>
      </c>
      <c r="O589" s="3" t="s">
        <v>7010</v>
      </c>
      <c r="P589" s="3" t="s">
        <v>7010</v>
      </c>
      <c r="Q589" s="3" t="s">
        <v>7010</v>
      </c>
      <c r="R589" s="3" t="s">
        <v>7010</v>
      </c>
      <c r="S589" s="3" t="s">
        <v>7010</v>
      </c>
      <c r="T589" s="3" t="s">
        <v>7015</v>
      </c>
      <c r="U589" s="3" t="s">
        <v>7010</v>
      </c>
      <c r="V589" s="3" t="s">
        <v>7010</v>
      </c>
      <c r="W589" s="74" t="str">
        <f t="shared" si="37"/>
        <v>Yes</v>
      </c>
      <c r="Z589">
        <v>588</v>
      </c>
      <c r="AA589" s="55" t="s">
        <v>4896</v>
      </c>
      <c r="AC589">
        <f t="shared" si="36"/>
        <v>6</v>
      </c>
      <c r="AD589" s="30" t="s">
        <v>4897</v>
      </c>
      <c r="AF589" t="s">
        <v>8005</v>
      </c>
      <c r="AH589" s="3" t="s">
        <v>7015</v>
      </c>
      <c r="AI589" s="3" t="s">
        <v>7010</v>
      </c>
      <c r="AJ589" s="3" t="s">
        <v>7010</v>
      </c>
      <c r="AK589" s="3" t="s">
        <v>7015</v>
      </c>
      <c r="AL589" s="3" t="s">
        <v>7010</v>
      </c>
      <c r="AM589" s="3" t="s">
        <v>7010</v>
      </c>
      <c r="AN589" s="3" t="s">
        <v>7010</v>
      </c>
      <c r="AO589" s="3" t="s">
        <v>7010</v>
      </c>
      <c r="AP589" s="74" t="s">
        <v>7015</v>
      </c>
      <c r="AU589">
        <v>588</v>
      </c>
      <c r="AV589" t="s">
        <v>4898</v>
      </c>
      <c r="AW589" t="s">
        <v>2279</v>
      </c>
      <c r="AX589">
        <f t="shared" si="38"/>
        <v>8</v>
      </c>
      <c r="AY589" s="30" t="s">
        <v>4899</v>
      </c>
      <c r="BC589" s="3" t="s">
        <v>7010</v>
      </c>
      <c r="BD589" s="3" t="s">
        <v>7010</v>
      </c>
      <c r="BE589" s="3" t="s">
        <v>7010</v>
      </c>
      <c r="BF589" s="3" t="s">
        <v>7010</v>
      </c>
      <c r="BG589" s="3" t="s">
        <v>7010</v>
      </c>
      <c r="BH589" s="3" t="s">
        <v>7010</v>
      </c>
      <c r="BI589" s="3" t="s">
        <v>7010</v>
      </c>
      <c r="BJ589" s="3" t="s">
        <v>7010</v>
      </c>
      <c r="BK589" s="74" t="str">
        <f t="shared" si="39"/>
        <v>No</v>
      </c>
    </row>
    <row r="590" spans="7:63">
      <c r="G590">
        <v>589</v>
      </c>
      <c r="H590" s="7" t="s">
        <v>590</v>
      </c>
      <c r="I590" t="s">
        <v>29</v>
      </c>
      <c r="J590">
        <f>LEN(H590)</f>
        <v>12</v>
      </c>
      <c r="K590" s="49" t="s">
        <v>3277</v>
      </c>
      <c r="O590" s="3" t="s">
        <v>7010</v>
      </c>
      <c r="P590" s="3" t="s">
        <v>7010</v>
      </c>
      <c r="Q590" s="3" t="s">
        <v>7010</v>
      </c>
      <c r="R590" s="3" t="s">
        <v>7010</v>
      </c>
      <c r="S590" s="3" t="s">
        <v>7010</v>
      </c>
      <c r="T590" s="3" t="s">
        <v>7015</v>
      </c>
      <c r="U590" s="3" t="s">
        <v>7010</v>
      </c>
      <c r="V590" s="3" t="s">
        <v>7010</v>
      </c>
      <c r="W590" s="74" t="str">
        <f t="shared" si="37"/>
        <v>Yes</v>
      </c>
      <c r="Z590">
        <v>589</v>
      </c>
      <c r="AA590" s="55" t="s">
        <v>4901</v>
      </c>
      <c r="AC590">
        <f t="shared" si="36"/>
        <v>6</v>
      </c>
      <c r="AD590" s="30" t="s">
        <v>4902</v>
      </c>
      <c r="AF590" t="s">
        <v>8006</v>
      </c>
      <c r="AH590" s="3" t="s">
        <v>7015</v>
      </c>
      <c r="AI590" s="3" t="s">
        <v>7010</v>
      </c>
      <c r="AJ590" s="3" t="s">
        <v>7010</v>
      </c>
      <c r="AK590" s="3" t="s">
        <v>7015</v>
      </c>
      <c r="AL590" s="3" t="s">
        <v>7010</v>
      </c>
      <c r="AM590" s="3" t="s">
        <v>7010</v>
      </c>
      <c r="AN590" s="3" t="s">
        <v>7010</v>
      </c>
      <c r="AO590" s="3" t="s">
        <v>7010</v>
      </c>
      <c r="AP590" s="74" t="s">
        <v>7015</v>
      </c>
      <c r="AU590">
        <v>589</v>
      </c>
      <c r="AV590" t="s">
        <v>4903</v>
      </c>
      <c r="AW590" t="s">
        <v>2279</v>
      </c>
      <c r="AX590">
        <f t="shared" si="38"/>
        <v>9</v>
      </c>
      <c r="AY590" s="30" t="s">
        <v>4904</v>
      </c>
      <c r="BC590" s="3" t="s">
        <v>7010</v>
      </c>
      <c r="BD590" s="3" t="s">
        <v>7010</v>
      </c>
      <c r="BE590" s="3" t="s">
        <v>7010</v>
      </c>
      <c r="BF590" s="3" t="s">
        <v>7010</v>
      </c>
      <c r="BG590" s="3" t="s">
        <v>7010</v>
      </c>
      <c r="BH590" s="3" t="s">
        <v>7010</v>
      </c>
      <c r="BI590" s="3" t="s">
        <v>7010</v>
      </c>
      <c r="BJ590" s="3" t="s">
        <v>7010</v>
      </c>
      <c r="BK590" s="74" t="str">
        <f t="shared" si="39"/>
        <v>No</v>
      </c>
    </row>
    <row r="591" spans="7:63">
      <c r="G591">
        <v>590</v>
      </c>
      <c r="H591" s="7" t="s">
        <v>587</v>
      </c>
      <c r="I591" t="s">
        <v>29</v>
      </c>
      <c r="J591">
        <f>LEN(H591)</f>
        <v>15</v>
      </c>
      <c r="K591" s="49" t="s">
        <v>3265</v>
      </c>
      <c r="O591" s="3" t="s">
        <v>7010</v>
      </c>
      <c r="P591" s="3" t="s">
        <v>7010</v>
      </c>
      <c r="Q591" s="3" t="s">
        <v>7010</v>
      </c>
      <c r="R591" s="3" t="s">
        <v>7010</v>
      </c>
      <c r="S591" s="3" t="s">
        <v>7010</v>
      </c>
      <c r="T591" s="3" t="s">
        <v>7010</v>
      </c>
      <c r="U591" s="3" t="s">
        <v>7010</v>
      </c>
      <c r="V591" s="3" t="s">
        <v>7010</v>
      </c>
      <c r="W591" s="74" t="str">
        <f t="shared" si="37"/>
        <v>No</v>
      </c>
      <c r="Z591">
        <v>590</v>
      </c>
      <c r="AA591" s="55" t="s">
        <v>4906</v>
      </c>
      <c r="AC591">
        <f t="shared" si="36"/>
        <v>6</v>
      </c>
      <c r="AD591" s="30" t="s">
        <v>4907</v>
      </c>
      <c r="AF591" t="s">
        <v>8007</v>
      </c>
      <c r="AH591" s="3" t="s">
        <v>7015</v>
      </c>
      <c r="AI591" s="3" t="s">
        <v>7010</v>
      </c>
      <c r="AJ591" s="3" t="s">
        <v>7010</v>
      </c>
      <c r="AK591" s="3" t="s">
        <v>7015</v>
      </c>
      <c r="AL591" s="3" t="s">
        <v>7010</v>
      </c>
      <c r="AM591" s="3" t="s">
        <v>7010</v>
      </c>
      <c r="AN591" s="3" t="s">
        <v>7010</v>
      </c>
      <c r="AO591" s="3" t="s">
        <v>7010</v>
      </c>
      <c r="AP591" s="74" t="s">
        <v>7015</v>
      </c>
      <c r="AU591">
        <v>590</v>
      </c>
      <c r="AV591" t="s">
        <v>4908</v>
      </c>
      <c r="AW591" t="s">
        <v>2279</v>
      </c>
      <c r="AX591">
        <f t="shared" si="38"/>
        <v>9</v>
      </c>
      <c r="AY591" s="30" t="s">
        <v>4909</v>
      </c>
      <c r="BC591" s="3" t="s">
        <v>7010</v>
      </c>
      <c r="BD591" s="3" t="s">
        <v>7010</v>
      </c>
      <c r="BE591" s="3" t="s">
        <v>7010</v>
      </c>
      <c r="BF591" s="3" t="s">
        <v>7010</v>
      </c>
      <c r="BG591" s="3" t="s">
        <v>7010</v>
      </c>
      <c r="BH591" s="3" t="s">
        <v>7010</v>
      </c>
      <c r="BI591" s="3" t="s">
        <v>7010</v>
      </c>
      <c r="BJ591" s="3" t="s">
        <v>7010</v>
      </c>
      <c r="BK591" s="74" t="str">
        <f t="shared" si="39"/>
        <v>No</v>
      </c>
    </row>
    <row r="592" spans="7:63">
      <c r="G592">
        <v>591</v>
      </c>
      <c r="H592" s="7" t="s">
        <v>1610</v>
      </c>
      <c r="I592" t="s">
        <v>29</v>
      </c>
      <c r="J592">
        <f>LEN(H592)</f>
        <v>14</v>
      </c>
      <c r="K592" s="49" t="s">
        <v>5253</v>
      </c>
      <c r="O592" s="3" t="s">
        <v>7010</v>
      </c>
      <c r="P592" s="3" t="s">
        <v>7010</v>
      </c>
      <c r="Q592" s="3" t="s">
        <v>7010</v>
      </c>
      <c r="R592" s="3" t="s">
        <v>7010</v>
      </c>
      <c r="S592" s="3" t="s">
        <v>7010</v>
      </c>
      <c r="T592" s="3" t="s">
        <v>7010</v>
      </c>
      <c r="U592" s="3" t="s">
        <v>7010</v>
      </c>
      <c r="V592" s="3" t="s">
        <v>7010</v>
      </c>
      <c r="W592" s="74" t="str">
        <f t="shared" si="37"/>
        <v>No</v>
      </c>
      <c r="Z592">
        <v>591</v>
      </c>
      <c r="AA592" s="55" t="s">
        <v>4911</v>
      </c>
      <c r="AC592">
        <f t="shared" si="36"/>
        <v>8</v>
      </c>
      <c r="AD592" s="30" t="s">
        <v>4912</v>
      </c>
      <c r="AF592" t="s">
        <v>8008</v>
      </c>
      <c r="AH592" s="3" t="s">
        <v>7015</v>
      </c>
      <c r="AI592" s="3" t="s">
        <v>7010</v>
      </c>
      <c r="AJ592" s="3" t="s">
        <v>7010</v>
      </c>
      <c r="AK592" s="3" t="s">
        <v>7015</v>
      </c>
      <c r="AL592" s="3" t="s">
        <v>7010</v>
      </c>
      <c r="AM592" s="3" t="s">
        <v>7010</v>
      </c>
      <c r="AN592" s="3" t="s">
        <v>7010</v>
      </c>
      <c r="AO592" s="3" t="s">
        <v>7010</v>
      </c>
      <c r="AP592" s="74" t="s">
        <v>7015</v>
      </c>
      <c r="AU592">
        <v>591</v>
      </c>
      <c r="AV592" t="s">
        <v>4913</v>
      </c>
      <c r="AW592" t="s">
        <v>2279</v>
      </c>
      <c r="AX592">
        <f t="shared" si="38"/>
        <v>8</v>
      </c>
      <c r="AY592" s="30" t="s">
        <v>4914</v>
      </c>
      <c r="BC592" s="3" t="s">
        <v>7010</v>
      </c>
      <c r="BD592" s="3" t="s">
        <v>7010</v>
      </c>
      <c r="BE592" s="3" t="s">
        <v>7010</v>
      </c>
      <c r="BF592" s="3" t="s">
        <v>7010</v>
      </c>
      <c r="BG592" s="3" t="s">
        <v>7010</v>
      </c>
      <c r="BH592" s="3" t="s">
        <v>7010</v>
      </c>
      <c r="BI592" s="3" t="s">
        <v>7010</v>
      </c>
      <c r="BJ592" s="3" t="s">
        <v>7010</v>
      </c>
      <c r="BK592" s="74" t="str">
        <f t="shared" si="39"/>
        <v>No</v>
      </c>
    </row>
    <row r="593" spans="7:63">
      <c r="G593">
        <v>592</v>
      </c>
      <c r="H593" s="7" t="s">
        <v>1492</v>
      </c>
      <c r="I593" t="s">
        <v>29</v>
      </c>
      <c r="J593">
        <f>LEN(H593)</f>
        <v>9</v>
      </c>
      <c r="K593" s="49" t="s">
        <v>4954</v>
      </c>
      <c r="O593" s="3" t="s">
        <v>7010</v>
      </c>
      <c r="P593" s="3" t="s">
        <v>7010</v>
      </c>
      <c r="Q593" s="3" t="s">
        <v>7010</v>
      </c>
      <c r="R593" s="3" t="s">
        <v>7010</v>
      </c>
      <c r="S593" s="3" t="s">
        <v>7010</v>
      </c>
      <c r="T593" s="3" t="s">
        <v>7010</v>
      </c>
      <c r="U593" s="3" t="s">
        <v>7010</v>
      </c>
      <c r="V593" s="3" t="s">
        <v>7010</v>
      </c>
      <c r="W593" s="74" t="str">
        <f t="shared" si="37"/>
        <v>No</v>
      </c>
      <c r="Z593">
        <v>592</v>
      </c>
      <c r="AA593" s="55" t="s">
        <v>4916</v>
      </c>
      <c r="AC593">
        <f t="shared" si="36"/>
        <v>7</v>
      </c>
      <c r="AD593" s="30" t="s">
        <v>4917</v>
      </c>
      <c r="AF593" t="s">
        <v>8009</v>
      </c>
      <c r="AH593" s="3" t="s">
        <v>7015</v>
      </c>
      <c r="AI593" s="3" t="s">
        <v>7010</v>
      </c>
      <c r="AJ593" s="3" t="s">
        <v>7010</v>
      </c>
      <c r="AK593" s="3" t="s">
        <v>7015</v>
      </c>
      <c r="AL593" s="3" t="s">
        <v>7010</v>
      </c>
      <c r="AM593" s="3" t="s">
        <v>7010</v>
      </c>
      <c r="AN593" s="3" t="s">
        <v>7010</v>
      </c>
      <c r="AO593" s="3" t="s">
        <v>7010</v>
      </c>
      <c r="AP593" s="74" t="s">
        <v>7015</v>
      </c>
      <c r="AU593">
        <v>592</v>
      </c>
      <c r="AV593" t="s">
        <v>4918</v>
      </c>
      <c r="AW593" t="s">
        <v>2279</v>
      </c>
      <c r="AX593">
        <f t="shared" si="38"/>
        <v>8</v>
      </c>
      <c r="AY593" s="30" t="s">
        <v>4919</v>
      </c>
      <c r="BC593" s="3" t="s">
        <v>7010</v>
      </c>
      <c r="BD593" s="3" t="s">
        <v>7010</v>
      </c>
      <c r="BE593" s="3" t="s">
        <v>7010</v>
      </c>
      <c r="BF593" s="3" t="s">
        <v>7010</v>
      </c>
      <c r="BG593" s="3" t="s">
        <v>7010</v>
      </c>
      <c r="BH593" s="3" t="s">
        <v>7010</v>
      </c>
      <c r="BI593" s="3" t="s">
        <v>7010</v>
      </c>
      <c r="BJ593" s="3" t="s">
        <v>7010</v>
      </c>
      <c r="BK593" s="74" t="str">
        <f t="shared" si="39"/>
        <v>No</v>
      </c>
    </row>
    <row r="594" spans="7:63">
      <c r="G594">
        <v>593</v>
      </c>
      <c r="H594" s="7" t="s">
        <v>1452</v>
      </c>
      <c r="I594" t="s">
        <v>29</v>
      </c>
      <c r="J594">
        <f>LEN(H594)</f>
        <v>9</v>
      </c>
      <c r="K594" s="49" t="s">
        <v>4855</v>
      </c>
      <c r="O594" s="3" t="s">
        <v>7010</v>
      </c>
      <c r="P594" s="3" t="s">
        <v>7010</v>
      </c>
      <c r="Q594" s="3" t="s">
        <v>7010</v>
      </c>
      <c r="R594" s="3" t="s">
        <v>7010</v>
      </c>
      <c r="S594" s="3" t="s">
        <v>7010</v>
      </c>
      <c r="T594" s="3" t="s">
        <v>7010</v>
      </c>
      <c r="U594" s="3" t="s">
        <v>7010</v>
      </c>
      <c r="V594" s="3" t="s">
        <v>7010</v>
      </c>
      <c r="W594" s="74" t="str">
        <f t="shared" si="37"/>
        <v>No</v>
      </c>
      <c r="Z594">
        <v>593</v>
      </c>
      <c r="AA594" s="55">
        <v>999999999</v>
      </c>
      <c r="AC594">
        <f t="shared" si="36"/>
        <v>9</v>
      </c>
      <c r="AD594" s="30" t="s">
        <v>4921</v>
      </c>
      <c r="AF594" t="s">
        <v>8010</v>
      </c>
      <c r="AH594" s="3" t="s">
        <v>7015</v>
      </c>
      <c r="AI594" s="3" t="s">
        <v>7010</v>
      </c>
      <c r="AJ594" s="3" t="s">
        <v>7010</v>
      </c>
      <c r="AK594" s="3" t="s">
        <v>7015</v>
      </c>
      <c r="AL594" s="3" t="s">
        <v>7010</v>
      </c>
      <c r="AM594" s="3" t="s">
        <v>7010</v>
      </c>
      <c r="AN594" s="3" t="s">
        <v>7010</v>
      </c>
      <c r="AO594" s="3" t="s">
        <v>7010</v>
      </c>
      <c r="AP594" s="74" t="s">
        <v>7015</v>
      </c>
      <c r="AU594">
        <v>593</v>
      </c>
      <c r="AV594" t="s">
        <v>4922</v>
      </c>
      <c r="AW594" t="s">
        <v>2279</v>
      </c>
      <c r="AX594">
        <f t="shared" si="38"/>
        <v>8</v>
      </c>
      <c r="AY594" s="30" t="s">
        <v>4923</v>
      </c>
      <c r="BC594" s="3" t="s">
        <v>7010</v>
      </c>
      <c r="BD594" s="3" t="s">
        <v>7010</v>
      </c>
      <c r="BE594" s="3" t="s">
        <v>7010</v>
      </c>
      <c r="BF594" s="3" t="s">
        <v>7010</v>
      </c>
      <c r="BG594" s="3" t="s">
        <v>7010</v>
      </c>
      <c r="BH594" s="3" t="s">
        <v>7010</v>
      </c>
      <c r="BI594" s="3" t="s">
        <v>7010</v>
      </c>
      <c r="BJ594" s="3" t="s">
        <v>7010</v>
      </c>
      <c r="BK594" s="74" t="str">
        <f t="shared" si="39"/>
        <v>No</v>
      </c>
    </row>
    <row r="595" spans="7:63">
      <c r="G595">
        <v>594</v>
      </c>
      <c r="H595" s="7" t="s">
        <v>1392</v>
      </c>
      <c r="I595" t="s">
        <v>29</v>
      </c>
      <c r="J595">
        <f>LEN(H595)</f>
        <v>12</v>
      </c>
      <c r="K595" s="49" t="s">
        <v>4701</v>
      </c>
      <c r="O595" s="3" t="s">
        <v>7010</v>
      </c>
      <c r="P595" s="3" t="s">
        <v>7010</v>
      </c>
      <c r="Q595" s="3" t="s">
        <v>7010</v>
      </c>
      <c r="R595" s="3" t="s">
        <v>7010</v>
      </c>
      <c r="S595" s="3" t="s">
        <v>7010</v>
      </c>
      <c r="T595" s="3" t="s">
        <v>7010</v>
      </c>
      <c r="U595" s="3" t="s">
        <v>7010</v>
      </c>
      <c r="V595" s="3" t="s">
        <v>7010</v>
      </c>
      <c r="W595" s="74" t="str">
        <f t="shared" si="37"/>
        <v>No</v>
      </c>
      <c r="Z595">
        <v>594</v>
      </c>
      <c r="AA595" s="55" t="s">
        <v>4925</v>
      </c>
      <c r="AC595">
        <f t="shared" si="36"/>
        <v>6</v>
      </c>
      <c r="AD595" s="30" t="s">
        <v>4926</v>
      </c>
      <c r="AF595" t="s">
        <v>8011</v>
      </c>
      <c r="AH595" s="3" t="s">
        <v>7015</v>
      </c>
      <c r="AI595" s="3" t="s">
        <v>7010</v>
      </c>
      <c r="AJ595" s="3" t="s">
        <v>7010</v>
      </c>
      <c r="AK595" s="3" t="s">
        <v>7015</v>
      </c>
      <c r="AL595" s="3" t="s">
        <v>7010</v>
      </c>
      <c r="AM595" s="3" t="s">
        <v>7010</v>
      </c>
      <c r="AN595" s="3" t="s">
        <v>7010</v>
      </c>
      <c r="AO595" s="3" t="s">
        <v>7010</v>
      </c>
      <c r="AP595" s="74" t="s">
        <v>7015</v>
      </c>
      <c r="AU595">
        <v>594</v>
      </c>
      <c r="AV595" t="s">
        <v>4927</v>
      </c>
      <c r="AW595" t="s">
        <v>2279</v>
      </c>
      <c r="AX595">
        <f t="shared" si="38"/>
        <v>8</v>
      </c>
      <c r="AY595" s="30" t="s">
        <v>4928</v>
      </c>
      <c r="BC595" s="3" t="s">
        <v>7010</v>
      </c>
      <c r="BD595" s="3" t="s">
        <v>7010</v>
      </c>
      <c r="BE595" s="3" t="s">
        <v>7010</v>
      </c>
      <c r="BF595" s="3" t="s">
        <v>7010</v>
      </c>
      <c r="BG595" s="3" t="s">
        <v>7010</v>
      </c>
      <c r="BH595" s="3" t="s">
        <v>7010</v>
      </c>
      <c r="BI595" s="3" t="s">
        <v>7010</v>
      </c>
      <c r="BJ595" s="3" t="s">
        <v>7010</v>
      </c>
      <c r="BK595" s="74" t="str">
        <f t="shared" si="39"/>
        <v>No</v>
      </c>
    </row>
    <row r="596" spans="7:63">
      <c r="G596">
        <v>595</v>
      </c>
      <c r="H596" s="7" t="s">
        <v>1596</v>
      </c>
      <c r="I596" t="s">
        <v>29</v>
      </c>
      <c r="J596">
        <f>LEN(H596)</f>
        <v>16</v>
      </c>
      <c r="K596" s="49" t="s">
        <v>5218</v>
      </c>
      <c r="O596" s="3" t="s">
        <v>7010</v>
      </c>
      <c r="P596" s="3" t="s">
        <v>7010</v>
      </c>
      <c r="Q596" s="3" t="s">
        <v>7010</v>
      </c>
      <c r="R596" s="3" t="s">
        <v>7010</v>
      </c>
      <c r="S596" s="3" t="s">
        <v>7010</v>
      </c>
      <c r="T596" s="3" t="s">
        <v>7010</v>
      </c>
      <c r="U596" s="3" t="s">
        <v>7010</v>
      </c>
      <c r="V596" s="3" t="s">
        <v>7010</v>
      </c>
      <c r="W596" s="74" t="str">
        <f t="shared" si="37"/>
        <v>No</v>
      </c>
      <c r="Z596">
        <v>595</v>
      </c>
      <c r="AA596" s="55" t="s">
        <v>4930</v>
      </c>
      <c r="AC596">
        <f t="shared" si="36"/>
        <v>7</v>
      </c>
      <c r="AD596" s="30" t="s">
        <v>4931</v>
      </c>
      <c r="AF596" t="s">
        <v>8012</v>
      </c>
      <c r="AH596" s="3" t="s">
        <v>7015</v>
      </c>
      <c r="AI596" s="3" t="s">
        <v>7010</v>
      </c>
      <c r="AJ596" s="3" t="s">
        <v>7010</v>
      </c>
      <c r="AK596" s="3" t="s">
        <v>7015</v>
      </c>
      <c r="AL596" s="3" t="s">
        <v>7010</v>
      </c>
      <c r="AM596" s="3" t="s">
        <v>7010</v>
      </c>
      <c r="AN596" s="3" t="s">
        <v>7010</v>
      </c>
      <c r="AO596" s="3" t="s">
        <v>7010</v>
      </c>
      <c r="AP596" s="74" t="s">
        <v>7015</v>
      </c>
      <c r="AU596">
        <v>595</v>
      </c>
      <c r="AV596" t="s">
        <v>4932</v>
      </c>
      <c r="AW596" t="s">
        <v>2279</v>
      </c>
      <c r="AX596">
        <f t="shared" si="38"/>
        <v>9</v>
      </c>
      <c r="AY596" s="30" t="s">
        <v>4933</v>
      </c>
      <c r="BC596" s="3" t="s">
        <v>7010</v>
      </c>
      <c r="BD596" s="3" t="s">
        <v>7010</v>
      </c>
      <c r="BE596" s="3" t="s">
        <v>7010</v>
      </c>
      <c r="BF596" s="3" t="s">
        <v>7010</v>
      </c>
      <c r="BG596" s="3" t="s">
        <v>7010</v>
      </c>
      <c r="BH596" s="3" t="s">
        <v>7010</v>
      </c>
      <c r="BI596" s="3" t="s">
        <v>7010</v>
      </c>
      <c r="BJ596" s="3" t="s">
        <v>7010</v>
      </c>
      <c r="BK596" s="74" t="str">
        <f t="shared" si="39"/>
        <v>No</v>
      </c>
    </row>
    <row r="597" spans="7:63">
      <c r="G597">
        <v>596</v>
      </c>
      <c r="H597" s="7" t="s">
        <v>1672</v>
      </c>
      <c r="I597" t="s">
        <v>29</v>
      </c>
      <c r="J597">
        <f>LEN(H597)</f>
        <v>12</v>
      </c>
      <c r="K597" s="49" t="s">
        <v>5410</v>
      </c>
      <c r="O597" s="3" t="s">
        <v>7010</v>
      </c>
      <c r="P597" s="3" t="s">
        <v>7010</v>
      </c>
      <c r="Q597" s="3" t="s">
        <v>7010</v>
      </c>
      <c r="R597" s="3" t="s">
        <v>7010</v>
      </c>
      <c r="S597" s="3" t="s">
        <v>7010</v>
      </c>
      <c r="T597" s="3" t="s">
        <v>7010</v>
      </c>
      <c r="U597" s="3" t="s">
        <v>7010</v>
      </c>
      <c r="V597" s="3" t="s">
        <v>7010</v>
      </c>
      <c r="W597" s="74" t="str">
        <f t="shared" si="37"/>
        <v>No</v>
      </c>
      <c r="Z597">
        <v>596</v>
      </c>
      <c r="AA597" s="55" t="s">
        <v>4935</v>
      </c>
      <c r="AC597">
        <f t="shared" si="36"/>
        <v>8</v>
      </c>
      <c r="AD597" s="30" t="s">
        <v>4936</v>
      </c>
      <c r="AF597" t="s">
        <v>8013</v>
      </c>
      <c r="AH597" s="3" t="s">
        <v>7015</v>
      </c>
      <c r="AI597" s="3" t="s">
        <v>7010</v>
      </c>
      <c r="AJ597" s="3" t="s">
        <v>7010</v>
      </c>
      <c r="AK597" s="3" t="s">
        <v>7015</v>
      </c>
      <c r="AL597" s="3" t="s">
        <v>7010</v>
      </c>
      <c r="AM597" s="3" t="s">
        <v>7010</v>
      </c>
      <c r="AN597" s="3" t="s">
        <v>7010</v>
      </c>
      <c r="AO597" s="3" t="s">
        <v>7010</v>
      </c>
      <c r="AP597" s="74" t="s">
        <v>7015</v>
      </c>
      <c r="AU597">
        <v>596</v>
      </c>
      <c r="AV597" t="s">
        <v>4937</v>
      </c>
      <c r="AW597" t="s">
        <v>2279</v>
      </c>
      <c r="AX597">
        <f t="shared" si="38"/>
        <v>9</v>
      </c>
      <c r="AY597" s="30" t="s">
        <v>4938</v>
      </c>
      <c r="BC597" s="3" t="s">
        <v>7010</v>
      </c>
      <c r="BD597" s="3" t="s">
        <v>7010</v>
      </c>
      <c r="BE597" s="3" t="s">
        <v>7015</v>
      </c>
      <c r="BF597" s="3" t="s">
        <v>7010</v>
      </c>
      <c r="BG597" s="3" t="s">
        <v>7010</v>
      </c>
      <c r="BH597" s="3" t="s">
        <v>7010</v>
      </c>
      <c r="BI597" s="3" t="s">
        <v>7010</v>
      </c>
      <c r="BJ597" s="3" t="s">
        <v>7010</v>
      </c>
      <c r="BK597" s="74" t="str">
        <f t="shared" si="39"/>
        <v>Yes</v>
      </c>
    </row>
    <row r="598" spans="7:63">
      <c r="G598">
        <v>597</v>
      </c>
      <c r="H598" s="7" t="s">
        <v>440</v>
      </c>
      <c r="I598" t="s">
        <v>29</v>
      </c>
      <c r="J598">
        <f>LEN(H598)</f>
        <v>11</v>
      </c>
      <c r="K598" s="49" t="s">
        <v>2677</v>
      </c>
      <c r="O598" s="3" t="s">
        <v>7010</v>
      </c>
      <c r="P598" s="3" t="s">
        <v>7010</v>
      </c>
      <c r="Q598" s="3" t="s">
        <v>7010</v>
      </c>
      <c r="R598" s="3" t="s">
        <v>7010</v>
      </c>
      <c r="S598" s="3" t="s">
        <v>7010</v>
      </c>
      <c r="T598" s="3" t="s">
        <v>7010</v>
      </c>
      <c r="U598" s="3" t="s">
        <v>7010</v>
      </c>
      <c r="V598" s="3" t="s">
        <v>7010</v>
      </c>
      <c r="W598" s="74" t="str">
        <f t="shared" si="37"/>
        <v>No</v>
      </c>
      <c r="Z598">
        <v>597</v>
      </c>
      <c r="AA598" s="55" t="s">
        <v>4940</v>
      </c>
      <c r="AC598">
        <f t="shared" si="36"/>
        <v>8</v>
      </c>
      <c r="AD598" s="30" t="s">
        <v>4941</v>
      </c>
      <c r="AF598" t="s">
        <v>8014</v>
      </c>
      <c r="AH598" s="3" t="s">
        <v>7015</v>
      </c>
      <c r="AI598" s="3" t="s">
        <v>7010</v>
      </c>
      <c r="AJ598" s="3" t="s">
        <v>7010</v>
      </c>
      <c r="AK598" s="3" t="s">
        <v>7015</v>
      </c>
      <c r="AL598" s="3" t="s">
        <v>7010</v>
      </c>
      <c r="AM598" s="3" t="s">
        <v>7010</v>
      </c>
      <c r="AN598" s="3" t="s">
        <v>7010</v>
      </c>
      <c r="AO598" s="3" t="s">
        <v>7010</v>
      </c>
      <c r="AP598" s="74" t="s">
        <v>7015</v>
      </c>
      <c r="AU598">
        <v>597</v>
      </c>
      <c r="AV598" t="s">
        <v>4942</v>
      </c>
      <c r="AW598" t="s">
        <v>2279</v>
      </c>
      <c r="AX598">
        <f t="shared" si="38"/>
        <v>8</v>
      </c>
      <c r="AY598" s="30" t="s">
        <v>4943</v>
      </c>
      <c r="BC598" s="3" t="s">
        <v>7010</v>
      </c>
      <c r="BD598" s="3" t="s">
        <v>7010</v>
      </c>
      <c r="BE598" s="3" t="s">
        <v>7010</v>
      </c>
      <c r="BF598" s="3" t="s">
        <v>7010</v>
      </c>
      <c r="BG598" s="3" t="s">
        <v>7010</v>
      </c>
      <c r="BH598" s="3" t="s">
        <v>7010</v>
      </c>
      <c r="BI598" s="3" t="s">
        <v>7010</v>
      </c>
      <c r="BJ598" s="3" t="s">
        <v>7010</v>
      </c>
      <c r="BK598" s="74" t="str">
        <f t="shared" si="39"/>
        <v>No</v>
      </c>
    </row>
    <row r="599" spans="7:63">
      <c r="G599">
        <v>598</v>
      </c>
      <c r="H599" s="7" t="s">
        <v>458</v>
      </c>
      <c r="I599" t="s">
        <v>29</v>
      </c>
      <c r="J599">
        <f>LEN(H599)</f>
        <v>13</v>
      </c>
      <c r="K599" s="49" t="s">
        <v>2749</v>
      </c>
      <c r="O599" s="3" t="s">
        <v>7010</v>
      </c>
      <c r="P599" s="3" t="s">
        <v>7010</v>
      </c>
      <c r="Q599" s="3" t="s">
        <v>7010</v>
      </c>
      <c r="R599" s="3" t="s">
        <v>7010</v>
      </c>
      <c r="S599" s="3" t="s">
        <v>7010</v>
      </c>
      <c r="T599" s="3" t="s">
        <v>7010</v>
      </c>
      <c r="U599" s="3" t="s">
        <v>7010</v>
      </c>
      <c r="V599" s="3" t="s">
        <v>7010</v>
      </c>
      <c r="W599" s="74" t="str">
        <f t="shared" si="37"/>
        <v>No</v>
      </c>
      <c r="Z599">
        <v>598</v>
      </c>
      <c r="AA599" s="55" t="s">
        <v>4945</v>
      </c>
      <c r="AC599">
        <f t="shared" si="36"/>
        <v>10</v>
      </c>
      <c r="AD599" s="30" t="s">
        <v>4946</v>
      </c>
      <c r="AF599" t="s">
        <v>8015</v>
      </c>
      <c r="AH599" s="3" t="s">
        <v>7015</v>
      </c>
      <c r="AI599" s="3" t="s">
        <v>7010</v>
      </c>
      <c r="AJ599" s="3" t="s">
        <v>7010</v>
      </c>
      <c r="AK599" s="3" t="s">
        <v>7015</v>
      </c>
      <c r="AL599" s="3" t="s">
        <v>7010</v>
      </c>
      <c r="AM599" s="3" t="s">
        <v>7010</v>
      </c>
      <c r="AN599" s="3" t="s">
        <v>7010</v>
      </c>
      <c r="AO599" s="3" t="s">
        <v>7010</v>
      </c>
      <c r="AP599" s="74" t="s">
        <v>7015</v>
      </c>
      <c r="AU599">
        <v>598</v>
      </c>
      <c r="AV599" t="s">
        <v>4947</v>
      </c>
      <c r="AW599" t="s">
        <v>2279</v>
      </c>
      <c r="AX599">
        <f t="shared" si="38"/>
        <v>8</v>
      </c>
      <c r="AY599" s="31" t="s">
        <v>4948</v>
      </c>
      <c r="BC599" s="3" t="s">
        <v>7010</v>
      </c>
      <c r="BD599" s="3" t="s">
        <v>7010</v>
      </c>
      <c r="BE599" s="3" t="s">
        <v>7010</v>
      </c>
      <c r="BF599" s="3" t="s">
        <v>7010</v>
      </c>
      <c r="BG599" s="3" t="s">
        <v>7010</v>
      </c>
      <c r="BH599" s="3" t="s">
        <v>7010</v>
      </c>
      <c r="BI599" s="3" t="s">
        <v>7010</v>
      </c>
      <c r="BJ599" s="3" t="s">
        <v>7010</v>
      </c>
      <c r="BK599" s="74" t="str">
        <f t="shared" si="39"/>
        <v>No</v>
      </c>
    </row>
    <row r="600" spans="7:63">
      <c r="G600">
        <v>599</v>
      </c>
      <c r="H600" s="7" t="s">
        <v>449</v>
      </c>
      <c r="I600" t="s">
        <v>29</v>
      </c>
      <c r="J600">
        <f>LEN(H600)</f>
        <v>15</v>
      </c>
      <c r="K600" s="49" t="s">
        <v>2713</v>
      </c>
      <c r="O600" s="3" t="s">
        <v>7010</v>
      </c>
      <c r="P600" s="3" t="s">
        <v>7010</v>
      </c>
      <c r="Q600" s="3" t="s">
        <v>7010</v>
      </c>
      <c r="R600" s="3" t="s">
        <v>7010</v>
      </c>
      <c r="S600" s="3" t="s">
        <v>7010</v>
      </c>
      <c r="T600" s="3" t="s">
        <v>7010</v>
      </c>
      <c r="U600" s="3" t="s">
        <v>7010</v>
      </c>
      <c r="V600" s="3" t="s">
        <v>7010</v>
      </c>
      <c r="W600" s="74" t="str">
        <f t="shared" si="37"/>
        <v>No</v>
      </c>
      <c r="Z600">
        <v>599</v>
      </c>
      <c r="AA600" s="55" t="s">
        <v>4950</v>
      </c>
      <c r="AC600">
        <f t="shared" si="36"/>
        <v>5</v>
      </c>
      <c r="AD600" s="30" t="s">
        <v>4951</v>
      </c>
      <c r="AF600" t="s">
        <v>8016</v>
      </c>
      <c r="AH600" s="3" t="s">
        <v>7015</v>
      </c>
      <c r="AI600" s="3" t="s">
        <v>7010</v>
      </c>
      <c r="AJ600" s="3" t="s">
        <v>7010</v>
      </c>
      <c r="AK600" s="3" t="s">
        <v>7015</v>
      </c>
      <c r="AL600" s="3" t="s">
        <v>7010</v>
      </c>
      <c r="AM600" s="3" t="s">
        <v>7010</v>
      </c>
      <c r="AN600" s="3" t="s">
        <v>7010</v>
      </c>
      <c r="AO600" s="3" t="s">
        <v>7010</v>
      </c>
      <c r="AP600" s="74" t="s">
        <v>7015</v>
      </c>
      <c r="AU600">
        <v>599</v>
      </c>
      <c r="AV600" t="s">
        <v>4952</v>
      </c>
      <c r="AW600" t="s">
        <v>2279</v>
      </c>
      <c r="AX600">
        <f t="shared" si="38"/>
        <v>11</v>
      </c>
      <c r="AY600" s="30" t="s">
        <v>4953</v>
      </c>
      <c r="BC600" s="3" t="s">
        <v>7010</v>
      </c>
      <c r="BD600" s="3" t="s">
        <v>7010</v>
      </c>
      <c r="BE600" s="3" t="s">
        <v>7010</v>
      </c>
      <c r="BF600" s="3" t="s">
        <v>7010</v>
      </c>
      <c r="BG600" s="3" t="s">
        <v>7010</v>
      </c>
      <c r="BH600" s="3" t="s">
        <v>7010</v>
      </c>
      <c r="BI600" s="3" t="s">
        <v>7010</v>
      </c>
      <c r="BJ600" s="3" t="s">
        <v>7010</v>
      </c>
      <c r="BK600" s="74" t="str">
        <f t="shared" si="39"/>
        <v>No</v>
      </c>
    </row>
    <row r="601" spans="7:63">
      <c r="G601">
        <v>600</v>
      </c>
      <c r="H601" s="7" t="s">
        <v>456</v>
      </c>
      <c r="I601" t="s">
        <v>29</v>
      </c>
      <c r="J601">
        <f>LEN(H601)</f>
        <v>14</v>
      </c>
      <c r="K601" s="49" t="s">
        <v>2741</v>
      </c>
      <c r="O601" s="3" t="s">
        <v>7010</v>
      </c>
      <c r="P601" s="3" t="s">
        <v>7010</v>
      </c>
      <c r="Q601" s="3" t="s">
        <v>7010</v>
      </c>
      <c r="R601" s="3" t="s">
        <v>7010</v>
      </c>
      <c r="S601" s="3" t="s">
        <v>7010</v>
      </c>
      <c r="T601" s="3" t="s">
        <v>7010</v>
      </c>
      <c r="U601" s="3" t="s">
        <v>7010</v>
      </c>
      <c r="V601" s="3" t="s">
        <v>7010</v>
      </c>
      <c r="W601" s="74" t="str">
        <f t="shared" si="37"/>
        <v>No</v>
      </c>
      <c r="Z601">
        <v>600</v>
      </c>
      <c r="AA601" s="55" t="s">
        <v>4955</v>
      </c>
      <c r="AC601">
        <f t="shared" si="36"/>
        <v>8</v>
      </c>
      <c r="AD601" s="30" t="s">
        <v>4956</v>
      </c>
      <c r="AF601" t="s">
        <v>8017</v>
      </c>
      <c r="AH601" s="3" t="s">
        <v>7015</v>
      </c>
      <c r="AI601" s="3" t="s">
        <v>7010</v>
      </c>
      <c r="AJ601" s="3" t="s">
        <v>7010</v>
      </c>
      <c r="AK601" s="3" t="s">
        <v>7015</v>
      </c>
      <c r="AL601" s="3" t="s">
        <v>7010</v>
      </c>
      <c r="AM601" s="3" t="s">
        <v>7010</v>
      </c>
      <c r="AN601" s="3" t="s">
        <v>7010</v>
      </c>
      <c r="AO601" s="3" t="s">
        <v>7010</v>
      </c>
      <c r="AP601" s="74" t="s">
        <v>7015</v>
      </c>
      <c r="AU601">
        <v>600</v>
      </c>
      <c r="AV601" t="s">
        <v>4957</v>
      </c>
      <c r="AW601" t="s">
        <v>2279</v>
      </c>
      <c r="AX601">
        <f t="shared" si="38"/>
        <v>8</v>
      </c>
      <c r="AY601" s="31" t="s">
        <v>4958</v>
      </c>
      <c r="BC601" s="3" t="s">
        <v>7015</v>
      </c>
      <c r="BD601" s="3" t="s">
        <v>7010</v>
      </c>
      <c r="BE601" s="3" t="s">
        <v>7015</v>
      </c>
      <c r="BF601" s="3" t="s">
        <v>7010</v>
      </c>
      <c r="BG601" s="3" t="s">
        <v>7010</v>
      </c>
      <c r="BH601" s="3" t="s">
        <v>7010</v>
      </c>
      <c r="BI601" s="3" t="s">
        <v>7010</v>
      </c>
      <c r="BJ601" s="3" t="s">
        <v>7010</v>
      </c>
      <c r="BK601" s="74" t="str">
        <f t="shared" si="39"/>
        <v>Yes</v>
      </c>
    </row>
    <row r="602" spans="7:63">
      <c r="G602">
        <v>601</v>
      </c>
      <c r="H602" s="7" t="s">
        <v>445</v>
      </c>
      <c r="I602" t="s">
        <v>29</v>
      </c>
      <c r="J602">
        <f>LEN(H602)</f>
        <v>11</v>
      </c>
      <c r="K602" s="49" t="s">
        <v>2697</v>
      </c>
      <c r="O602" s="3" t="s">
        <v>7010</v>
      </c>
      <c r="P602" s="3" t="s">
        <v>7010</v>
      </c>
      <c r="Q602" s="3" t="s">
        <v>7010</v>
      </c>
      <c r="R602" s="3" t="s">
        <v>7010</v>
      </c>
      <c r="S602" s="3" t="s">
        <v>7010</v>
      </c>
      <c r="T602" s="3" t="s">
        <v>7010</v>
      </c>
      <c r="U602" s="3" t="s">
        <v>7010</v>
      </c>
      <c r="V602" s="3" t="s">
        <v>7010</v>
      </c>
      <c r="W602" s="74" t="str">
        <f t="shared" si="37"/>
        <v>No</v>
      </c>
      <c r="Z602">
        <v>601</v>
      </c>
      <c r="AA602" s="55" t="s">
        <v>4960</v>
      </c>
      <c r="AC602">
        <f t="shared" si="36"/>
        <v>7</v>
      </c>
      <c r="AD602" s="30" t="s">
        <v>4961</v>
      </c>
      <c r="AF602" t="s">
        <v>8018</v>
      </c>
      <c r="AH602" s="3" t="s">
        <v>7015</v>
      </c>
      <c r="AI602" s="3" t="s">
        <v>7010</v>
      </c>
      <c r="AJ602" s="3" t="s">
        <v>7010</v>
      </c>
      <c r="AK602" s="3" t="s">
        <v>7015</v>
      </c>
      <c r="AL602" s="3" t="s">
        <v>7010</v>
      </c>
      <c r="AM602" s="3" t="s">
        <v>7010</v>
      </c>
      <c r="AN602" s="3" t="s">
        <v>7010</v>
      </c>
      <c r="AO602" s="3" t="s">
        <v>7010</v>
      </c>
      <c r="AP602" s="74" t="s">
        <v>7015</v>
      </c>
      <c r="AU602">
        <v>601</v>
      </c>
      <c r="AV602" t="s">
        <v>4962</v>
      </c>
      <c r="AW602" t="s">
        <v>2279</v>
      </c>
      <c r="AX602">
        <f t="shared" si="38"/>
        <v>11</v>
      </c>
      <c r="AY602" s="30" t="s">
        <v>4963</v>
      </c>
      <c r="BC602" s="3" t="s">
        <v>7010</v>
      </c>
      <c r="BD602" s="3" t="s">
        <v>7010</v>
      </c>
      <c r="BE602" s="3" t="s">
        <v>7010</v>
      </c>
      <c r="BF602" s="3" t="s">
        <v>7010</v>
      </c>
      <c r="BG602" s="3" t="s">
        <v>7010</v>
      </c>
      <c r="BH602" s="3" t="s">
        <v>7010</v>
      </c>
      <c r="BI602" s="3" t="s">
        <v>7010</v>
      </c>
      <c r="BJ602" s="3" t="s">
        <v>7010</v>
      </c>
      <c r="BK602" s="74" t="str">
        <f t="shared" si="39"/>
        <v>No</v>
      </c>
    </row>
    <row r="603" spans="7:63">
      <c r="G603">
        <v>602</v>
      </c>
      <c r="H603" s="7" t="s">
        <v>2175</v>
      </c>
      <c r="I603" t="s">
        <v>29</v>
      </c>
      <c r="J603">
        <f>LEN(H603)</f>
        <v>16</v>
      </c>
      <c r="K603" s="49" t="s">
        <v>6762</v>
      </c>
      <c r="O603" s="3" t="s">
        <v>7010</v>
      </c>
      <c r="P603" s="3" t="s">
        <v>7010</v>
      </c>
      <c r="Q603" s="3" t="s">
        <v>7010</v>
      </c>
      <c r="R603" s="3" t="s">
        <v>7010</v>
      </c>
      <c r="S603" s="3" t="s">
        <v>7010</v>
      </c>
      <c r="T603" s="3" t="s">
        <v>7010</v>
      </c>
      <c r="U603" s="3" t="s">
        <v>7010</v>
      </c>
      <c r="V603" s="3" t="s">
        <v>7010</v>
      </c>
      <c r="W603" s="74" t="str">
        <f t="shared" si="37"/>
        <v>No</v>
      </c>
      <c r="Z603">
        <v>602</v>
      </c>
      <c r="AA603" s="55" t="s">
        <v>4965</v>
      </c>
      <c r="AC603">
        <f t="shared" si="36"/>
        <v>7</v>
      </c>
      <c r="AD603" s="30" t="s">
        <v>4966</v>
      </c>
      <c r="AF603" t="s">
        <v>8019</v>
      </c>
      <c r="AH603" s="3" t="s">
        <v>7015</v>
      </c>
      <c r="AI603" s="3" t="s">
        <v>7010</v>
      </c>
      <c r="AJ603" s="3" t="s">
        <v>7010</v>
      </c>
      <c r="AK603" s="3" t="s">
        <v>7015</v>
      </c>
      <c r="AL603" s="3" t="s">
        <v>7010</v>
      </c>
      <c r="AM603" s="3" t="s">
        <v>7010</v>
      </c>
      <c r="AN603" s="3" t="s">
        <v>7010</v>
      </c>
      <c r="AO603" s="3" t="s">
        <v>7010</v>
      </c>
      <c r="AP603" s="74" t="s">
        <v>7015</v>
      </c>
      <c r="AU603">
        <v>602</v>
      </c>
      <c r="AV603" t="s">
        <v>4967</v>
      </c>
      <c r="AW603" t="s">
        <v>2279</v>
      </c>
      <c r="AX603">
        <f t="shared" si="38"/>
        <v>8</v>
      </c>
      <c r="AY603" s="30" t="s">
        <v>4968</v>
      </c>
      <c r="BC603" s="3" t="s">
        <v>7010</v>
      </c>
      <c r="BD603" s="3" t="s">
        <v>7010</v>
      </c>
      <c r="BE603" s="3" t="s">
        <v>7010</v>
      </c>
      <c r="BF603" s="3" t="s">
        <v>7010</v>
      </c>
      <c r="BG603" s="3" t="s">
        <v>7010</v>
      </c>
      <c r="BH603" s="3" t="s">
        <v>7010</v>
      </c>
      <c r="BI603" s="3" t="s">
        <v>7010</v>
      </c>
      <c r="BJ603" s="3" t="s">
        <v>7010</v>
      </c>
      <c r="BK603" s="74" t="str">
        <f t="shared" si="39"/>
        <v>No</v>
      </c>
    </row>
    <row r="604" spans="7:63">
      <c r="G604">
        <v>603</v>
      </c>
      <c r="H604" s="7" t="s">
        <v>424</v>
      </c>
      <c r="I604" t="s">
        <v>29</v>
      </c>
      <c r="J604">
        <f>LEN(H604)</f>
        <v>11</v>
      </c>
      <c r="K604" s="49" t="s">
        <v>2613</v>
      </c>
      <c r="O604" s="3" t="s">
        <v>7010</v>
      </c>
      <c r="P604" s="3" t="s">
        <v>7010</v>
      </c>
      <c r="Q604" s="3" t="s">
        <v>7010</v>
      </c>
      <c r="R604" s="3" t="s">
        <v>7010</v>
      </c>
      <c r="S604" s="3" t="s">
        <v>7010</v>
      </c>
      <c r="T604" s="3" t="s">
        <v>7010</v>
      </c>
      <c r="U604" s="3" t="s">
        <v>7010</v>
      </c>
      <c r="V604" s="3" t="s">
        <v>7010</v>
      </c>
      <c r="W604" s="74" t="str">
        <f t="shared" si="37"/>
        <v>No</v>
      </c>
      <c r="Z604">
        <v>603</v>
      </c>
      <c r="AA604" s="55" t="s">
        <v>4971</v>
      </c>
      <c r="AC604">
        <f t="shared" si="36"/>
        <v>7</v>
      </c>
      <c r="AD604" s="30" t="s">
        <v>4972</v>
      </c>
      <c r="AF604" t="s">
        <v>8020</v>
      </c>
      <c r="AH604" s="3" t="s">
        <v>7015</v>
      </c>
      <c r="AI604" s="3" t="s">
        <v>7010</v>
      </c>
      <c r="AJ604" s="3" t="s">
        <v>7010</v>
      </c>
      <c r="AK604" s="3" t="s">
        <v>7015</v>
      </c>
      <c r="AL604" s="3" t="s">
        <v>7010</v>
      </c>
      <c r="AM604" s="3" t="s">
        <v>7010</v>
      </c>
      <c r="AN604" s="3" t="s">
        <v>7010</v>
      </c>
      <c r="AO604" s="3" t="s">
        <v>7010</v>
      </c>
      <c r="AP604" s="74" t="s">
        <v>7015</v>
      </c>
      <c r="AU604">
        <v>603</v>
      </c>
      <c r="AV604" t="s">
        <v>4973</v>
      </c>
      <c r="AW604" t="s">
        <v>2279</v>
      </c>
      <c r="AX604">
        <f t="shared" si="38"/>
        <v>8</v>
      </c>
      <c r="AY604" s="30" t="s">
        <v>4974</v>
      </c>
      <c r="BC604" s="3" t="s">
        <v>7010</v>
      </c>
      <c r="BD604" s="3" t="s">
        <v>7010</v>
      </c>
      <c r="BE604" s="3" t="s">
        <v>7010</v>
      </c>
      <c r="BF604" s="3" t="s">
        <v>7010</v>
      </c>
      <c r="BG604" s="3" t="s">
        <v>7010</v>
      </c>
      <c r="BH604" s="3" t="s">
        <v>7010</v>
      </c>
      <c r="BI604" s="3" t="s">
        <v>7010</v>
      </c>
      <c r="BJ604" s="3" t="s">
        <v>7010</v>
      </c>
      <c r="BK604" s="74" t="str">
        <f t="shared" si="39"/>
        <v>No</v>
      </c>
    </row>
    <row r="605" spans="7:63">
      <c r="G605">
        <v>604</v>
      </c>
      <c r="H605" s="7" t="s">
        <v>2145</v>
      </c>
      <c r="I605" t="s">
        <v>29</v>
      </c>
      <c r="J605">
        <f>LEN(H605)</f>
        <v>13</v>
      </c>
      <c r="K605" s="49" t="s">
        <v>6687</v>
      </c>
      <c r="O605" s="3" t="s">
        <v>7010</v>
      </c>
      <c r="P605" s="3" t="s">
        <v>7010</v>
      </c>
      <c r="Q605" s="3" t="s">
        <v>7010</v>
      </c>
      <c r="R605" s="3" t="s">
        <v>7010</v>
      </c>
      <c r="S605" s="3" t="s">
        <v>7010</v>
      </c>
      <c r="T605" s="3" t="s">
        <v>7010</v>
      </c>
      <c r="U605" s="3" t="s">
        <v>7010</v>
      </c>
      <c r="V605" s="3" t="s">
        <v>7010</v>
      </c>
      <c r="W605" s="74" t="str">
        <f t="shared" si="37"/>
        <v>No</v>
      </c>
      <c r="Z605">
        <v>604</v>
      </c>
      <c r="AA605" s="55" t="s">
        <v>4976</v>
      </c>
      <c r="AC605">
        <f t="shared" si="36"/>
        <v>7</v>
      </c>
      <c r="AD605" s="30" t="s">
        <v>4977</v>
      </c>
      <c r="AF605" t="s">
        <v>8021</v>
      </c>
      <c r="AH605" s="3" t="s">
        <v>7015</v>
      </c>
      <c r="AI605" s="3" t="s">
        <v>7010</v>
      </c>
      <c r="AJ605" s="3" t="s">
        <v>7010</v>
      </c>
      <c r="AK605" s="3" t="s">
        <v>7015</v>
      </c>
      <c r="AL605" s="3" t="s">
        <v>7010</v>
      </c>
      <c r="AM605" s="3" t="s">
        <v>7010</v>
      </c>
      <c r="AN605" s="3" t="s">
        <v>7010</v>
      </c>
      <c r="AO605" s="3" t="s">
        <v>7010</v>
      </c>
      <c r="AP605" s="74" t="s">
        <v>7015</v>
      </c>
      <c r="AU605">
        <v>604</v>
      </c>
      <c r="AV605" t="s">
        <v>4978</v>
      </c>
      <c r="AW605" t="s">
        <v>2279</v>
      </c>
      <c r="AX605">
        <f t="shared" si="38"/>
        <v>8</v>
      </c>
      <c r="AY605" s="30" t="s">
        <v>4979</v>
      </c>
      <c r="BC605" s="3" t="s">
        <v>7010</v>
      </c>
      <c r="BD605" s="3" t="s">
        <v>7010</v>
      </c>
      <c r="BE605" s="3" t="s">
        <v>7010</v>
      </c>
      <c r="BF605" s="3" t="s">
        <v>7010</v>
      </c>
      <c r="BG605" s="3" t="s">
        <v>7010</v>
      </c>
      <c r="BH605" s="3" t="s">
        <v>7010</v>
      </c>
      <c r="BI605" s="3" t="s">
        <v>7010</v>
      </c>
      <c r="BJ605" s="3" t="s">
        <v>7010</v>
      </c>
      <c r="BK605" s="74" t="str">
        <f t="shared" si="39"/>
        <v>No</v>
      </c>
    </row>
    <row r="606" spans="7:63">
      <c r="G606">
        <v>605</v>
      </c>
      <c r="H606" s="7" t="s">
        <v>397</v>
      </c>
      <c r="I606" t="s">
        <v>29</v>
      </c>
      <c r="J606">
        <f>LEN(H606)</f>
        <v>12</v>
      </c>
      <c r="K606" s="49" t="s">
        <v>2505</v>
      </c>
      <c r="O606" s="3" t="s">
        <v>7010</v>
      </c>
      <c r="P606" s="3" t="s">
        <v>7010</v>
      </c>
      <c r="Q606" s="3" t="s">
        <v>7010</v>
      </c>
      <c r="R606" s="3" t="s">
        <v>7010</v>
      </c>
      <c r="S606" s="3" t="s">
        <v>7010</v>
      </c>
      <c r="T606" s="3" t="s">
        <v>7010</v>
      </c>
      <c r="U606" s="3" t="s">
        <v>7010</v>
      </c>
      <c r="V606" s="3" t="s">
        <v>7010</v>
      </c>
      <c r="W606" s="74" t="str">
        <f t="shared" si="37"/>
        <v>No</v>
      </c>
      <c r="Z606">
        <v>605</v>
      </c>
      <c r="AA606" s="55" t="s">
        <v>4982</v>
      </c>
      <c r="AC606">
        <f t="shared" si="36"/>
        <v>6</v>
      </c>
      <c r="AD606" s="30" t="s">
        <v>4983</v>
      </c>
      <c r="AF606" t="s">
        <v>8022</v>
      </c>
      <c r="AH606" s="3" t="s">
        <v>7015</v>
      </c>
      <c r="AI606" s="3" t="s">
        <v>7010</v>
      </c>
      <c r="AJ606" s="3" t="s">
        <v>7010</v>
      </c>
      <c r="AK606" s="3" t="s">
        <v>7015</v>
      </c>
      <c r="AL606" s="3" t="s">
        <v>7010</v>
      </c>
      <c r="AM606" s="3" t="s">
        <v>7010</v>
      </c>
      <c r="AN606" s="3" t="s">
        <v>7010</v>
      </c>
      <c r="AO606" s="3" t="s">
        <v>7010</v>
      </c>
      <c r="AP606" s="74" t="s">
        <v>7015</v>
      </c>
      <c r="AU606">
        <v>605</v>
      </c>
      <c r="AV606" t="s">
        <v>4984</v>
      </c>
      <c r="AW606" t="s">
        <v>2279</v>
      </c>
      <c r="AX606">
        <f t="shared" si="38"/>
        <v>10</v>
      </c>
      <c r="AY606" s="30" t="s">
        <v>4985</v>
      </c>
      <c r="BC606" s="3" t="s">
        <v>7010</v>
      </c>
      <c r="BD606" s="3" t="s">
        <v>7010</v>
      </c>
      <c r="BE606" s="3" t="s">
        <v>7010</v>
      </c>
      <c r="BF606" s="3" t="s">
        <v>7010</v>
      </c>
      <c r="BG606" s="3" t="s">
        <v>7010</v>
      </c>
      <c r="BH606" s="3" t="s">
        <v>7010</v>
      </c>
      <c r="BI606" s="3" t="s">
        <v>7010</v>
      </c>
      <c r="BJ606" s="3" t="s">
        <v>7010</v>
      </c>
      <c r="BK606" s="74" t="str">
        <f t="shared" si="39"/>
        <v>No</v>
      </c>
    </row>
    <row r="607" spans="7:63">
      <c r="G607">
        <v>606</v>
      </c>
      <c r="H607" s="7" t="s">
        <v>2165</v>
      </c>
      <c r="I607" t="s">
        <v>29</v>
      </c>
      <c r="J607">
        <f>LEN(H607)</f>
        <v>13</v>
      </c>
      <c r="K607" s="49" t="s">
        <v>6737</v>
      </c>
      <c r="O607" s="3" t="s">
        <v>7010</v>
      </c>
      <c r="P607" s="3" t="s">
        <v>7010</v>
      </c>
      <c r="Q607" s="3" t="s">
        <v>7010</v>
      </c>
      <c r="R607" s="3" t="s">
        <v>7010</v>
      </c>
      <c r="S607" s="3" t="s">
        <v>7010</v>
      </c>
      <c r="T607" s="3" t="s">
        <v>7015</v>
      </c>
      <c r="U607" s="3" t="s">
        <v>7010</v>
      </c>
      <c r="V607" s="3" t="s">
        <v>7010</v>
      </c>
      <c r="W607" s="74" t="str">
        <f t="shared" si="37"/>
        <v>Yes</v>
      </c>
      <c r="Z607">
        <v>606</v>
      </c>
      <c r="AA607" s="55" t="s">
        <v>4987</v>
      </c>
      <c r="AC607">
        <f t="shared" si="36"/>
        <v>8</v>
      </c>
      <c r="AD607" s="30" t="s">
        <v>4988</v>
      </c>
      <c r="AF607" t="s">
        <v>8023</v>
      </c>
      <c r="AH607" s="3" t="s">
        <v>7015</v>
      </c>
      <c r="AI607" s="3" t="s">
        <v>7010</v>
      </c>
      <c r="AJ607" s="3" t="s">
        <v>7010</v>
      </c>
      <c r="AK607" s="3" t="s">
        <v>7015</v>
      </c>
      <c r="AL607" s="3" t="s">
        <v>7010</v>
      </c>
      <c r="AM607" s="3" t="s">
        <v>7010</v>
      </c>
      <c r="AN607" s="3" t="s">
        <v>7010</v>
      </c>
      <c r="AO607" s="3" t="s">
        <v>7010</v>
      </c>
      <c r="AP607" s="74" t="s">
        <v>7015</v>
      </c>
      <c r="AU607">
        <v>606</v>
      </c>
      <c r="AV607" t="s">
        <v>4989</v>
      </c>
      <c r="AW607" t="s">
        <v>2279</v>
      </c>
      <c r="AX607">
        <f t="shared" si="38"/>
        <v>14</v>
      </c>
      <c r="AY607" s="30" t="s">
        <v>4990</v>
      </c>
      <c r="BC607" s="3" t="s">
        <v>7010</v>
      </c>
      <c r="BD607" s="3" t="s">
        <v>7010</v>
      </c>
      <c r="BE607" s="3" t="s">
        <v>7010</v>
      </c>
      <c r="BF607" s="3" t="s">
        <v>7010</v>
      </c>
      <c r="BG607" s="3" t="s">
        <v>7010</v>
      </c>
      <c r="BH607" s="3" t="s">
        <v>7010</v>
      </c>
      <c r="BI607" s="3" t="s">
        <v>7010</v>
      </c>
      <c r="BJ607" s="3" t="s">
        <v>7010</v>
      </c>
      <c r="BK607" s="74" t="str">
        <f t="shared" si="39"/>
        <v>No</v>
      </c>
    </row>
    <row r="608" spans="7:63">
      <c r="G608">
        <v>607</v>
      </c>
      <c r="H608" s="7" t="s">
        <v>2023</v>
      </c>
      <c r="I608" t="s">
        <v>29</v>
      </c>
      <c r="J608">
        <f>LEN(H608)</f>
        <v>9</v>
      </c>
      <c r="K608" s="49" t="s">
        <v>6387</v>
      </c>
      <c r="O608" s="3" t="s">
        <v>7010</v>
      </c>
      <c r="P608" s="3" t="s">
        <v>7010</v>
      </c>
      <c r="Q608" s="3" t="s">
        <v>7010</v>
      </c>
      <c r="R608" s="3" t="s">
        <v>7010</v>
      </c>
      <c r="S608" s="3" t="s">
        <v>7010</v>
      </c>
      <c r="T608" s="3" t="s">
        <v>7015</v>
      </c>
      <c r="U608" s="3" t="s">
        <v>7010</v>
      </c>
      <c r="V608" s="3" t="s">
        <v>7010</v>
      </c>
      <c r="W608" s="74" t="str">
        <f t="shared" si="37"/>
        <v>Yes</v>
      </c>
      <c r="Z608">
        <v>607</v>
      </c>
      <c r="AA608" s="55" t="s">
        <v>4992</v>
      </c>
      <c r="AC608">
        <f t="shared" si="36"/>
        <v>8</v>
      </c>
      <c r="AD608" s="30" t="s">
        <v>4993</v>
      </c>
      <c r="AF608" t="s">
        <v>8024</v>
      </c>
      <c r="AH608" s="3" t="s">
        <v>7015</v>
      </c>
      <c r="AI608" s="3" t="s">
        <v>7010</v>
      </c>
      <c r="AJ608" s="3" t="s">
        <v>7010</v>
      </c>
      <c r="AK608" s="3" t="s">
        <v>7015</v>
      </c>
      <c r="AL608" s="3" t="s">
        <v>7010</v>
      </c>
      <c r="AM608" s="3" t="s">
        <v>7010</v>
      </c>
      <c r="AN608" s="3" t="s">
        <v>7010</v>
      </c>
      <c r="AO608" s="3" t="s">
        <v>7010</v>
      </c>
      <c r="AP608" s="74" t="s">
        <v>7015</v>
      </c>
      <c r="AU608">
        <v>607</v>
      </c>
      <c r="AV608" t="s">
        <v>4994</v>
      </c>
      <c r="AW608" t="s">
        <v>2279</v>
      </c>
      <c r="AX608">
        <f t="shared" si="38"/>
        <v>10</v>
      </c>
      <c r="AY608" s="30" t="s">
        <v>4995</v>
      </c>
      <c r="BC608" s="3" t="s">
        <v>7010</v>
      </c>
      <c r="BD608" s="3" t="s">
        <v>7010</v>
      </c>
      <c r="BE608" s="3" t="s">
        <v>7015</v>
      </c>
      <c r="BF608" s="3" t="s">
        <v>7010</v>
      </c>
      <c r="BG608" s="3" t="s">
        <v>7010</v>
      </c>
      <c r="BH608" s="3" t="s">
        <v>7010</v>
      </c>
      <c r="BI608" s="3" t="s">
        <v>7010</v>
      </c>
      <c r="BJ608" s="3" t="s">
        <v>7010</v>
      </c>
      <c r="BK608" s="74" t="str">
        <f t="shared" si="39"/>
        <v>Yes</v>
      </c>
    </row>
    <row r="609" spans="7:63">
      <c r="G609">
        <v>608</v>
      </c>
      <c r="H609" s="7" t="s">
        <v>1947</v>
      </c>
      <c r="I609" t="s">
        <v>29</v>
      </c>
      <c r="J609">
        <f>LEN(H609)</f>
        <v>10</v>
      </c>
      <c r="K609" s="49" t="s">
        <v>6185</v>
      </c>
      <c r="O609" s="3" t="s">
        <v>7015</v>
      </c>
      <c r="P609" s="3" t="s">
        <v>7010</v>
      </c>
      <c r="Q609" s="3" t="s">
        <v>7010</v>
      </c>
      <c r="R609" s="3" t="s">
        <v>7015</v>
      </c>
      <c r="S609" s="3" t="s">
        <v>7010</v>
      </c>
      <c r="T609" s="3" t="s">
        <v>7015</v>
      </c>
      <c r="U609" s="3" t="s">
        <v>7010</v>
      </c>
      <c r="V609" s="3" t="s">
        <v>7010</v>
      </c>
      <c r="W609" s="74" t="str">
        <f t="shared" si="37"/>
        <v>Yes</v>
      </c>
      <c r="Z609">
        <v>608</v>
      </c>
      <c r="AA609" s="55" t="s">
        <v>4997</v>
      </c>
      <c r="AC609">
        <f t="shared" si="36"/>
        <v>6</v>
      </c>
      <c r="AD609" s="30" t="s">
        <v>4998</v>
      </c>
      <c r="AF609" t="s">
        <v>8025</v>
      </c>
      <c r="AH609" s="3" t="s">
        <v>7015</v>
      </c>
      <c r="AI609" s="3" t="s">
        <v>7010</v>
      </c>
      <c r="AJ609" s="3" t="s">
        <v>7010</v>
      </c>
      <c r="AK609" s="3" t="s">
        <v>7015</v>
      </c>
      <c r="AL609" s="3" t="s">
        <v>7010</v>
      </c>
      <c r="AM609" s="3" t="s">
        <v>7010</v>
      </c>
      <c r="AN609" s="3" t="s">
        <v>7010</v>
      </c>
      <c r="AO609" s="3" t="s">
        <v>7010</v>
      </c>
      <c r="AP609" s="74" t="s">
        <v>7015</v>
      </c>
      <c r="AU609">
        <v>608</v>
      </c>
      <c r="AV609" t="s">
        <v>4999</v>
      </c>
      <c r="AW609" t="s">
        <v>2279</v>
      </c>
      <c r="AX609">
        <f t="shared" si="38"/>
        <v>9</v>
      </c>
      <c r="AY609" s="30" t="s">
        <v>5000</v>
      </c>
      <c r="BC609" s="3" t="s">
        <v>7010</v>
      </c>
      <c r="BD609" s="3" t="s">
        <v>7010</v>
      </c>
      <c r="BE609" s="3" t="s">
        <v>7015</v>
      </c>
      <c r="BF609" s="3" t="s">
        <v>7010</v>
      </c>
      <c r="BG609" s="3" t="s">
        <v>7010</v>
      </c>
      <c r="BH609" s="3" t="s">
        <v>7010</v>
      </c>
      <c r="BI609" s="3" t="s">
        <v>7010</v>
      </c>
      <c r="BJ609" s="3" t="s">
        <v>7010</v>
      </c>
      <c r="BK609" s="74" t="str">
        <f t="shared" si="39"/>
        <v>Yes</v>
      </c>
    </row>
    <row r="610" spans="7:63">
      <c r="G610">
        <v>609</v>
      </c>
      <c r="H610" s="7" t="s">
        <v>1949</v>
      </c>
      <c r="I610" t="s">
        <v>29</v>
      </c>
      <c r="J610">
        <f>LEN(H610)</f>
        <v>12</v>
      </c>
      <c r="K610" s="49" t="s">
        <v>6190</v>
      </c>
      <c r="O610" s="3" t="s">
        <v>7010</v>
      </c>
      <c r="P610" s="3" t="s">
        <v>7010</v>
      </c>
      <c r="Q610" s="3" t="s">
        <v>7010</v>
      </c>
      <c r="R610" s="3" t="s">
        <v>7015</v>
      </c>
      <c r="S610" s="3" t="s">
        <v>7010</v>
      </c>
      <c r="T610" s="3" t="s">
        <v>7015</v>
      </c>
      <c r="U610" s="3" t="s">
        <v>7010</v>
      </c>
      <c r="V610" s="3" t="s">
        <v>7010</v>
      </c>
      <c r="W610" s="74" t="str">
        <f t="shared" si="37"/>
        <v>Yes</v>
      </c>
      <c r="Z610">
        <v>609</v>
      </c>
      <c r="AA610" s="55" t="s">
        <v>5002</v>
      </c>
      <c r="AC610">
        <f t="shared" si="36"/>
        <v>6</v>
      </c>
      <c r="AD610" s="30" t="s">
        <v>5003</v>
      </c>
      <c r="AF610" t="s">
        <v>8026</v>
      </c>
      <c r="AH610" s="3" t="s">
        <v>7015</v>
      </c>
      <c r="AI610" s="3" t="s">
        <v>7010</v>
      </c>
      <c r="AJ610" s="3" t="s">
        <v>7010</v>
      </c>
      <c r="AK610" s="3" t="s">
        <v>7015</v>
      </c>
      <c r="AL610" s="3" t="s">
        <v>7010</v>
      </c>
      <c r="AM610" s="3" t="s">
        <v>7010</v>
      </c>
      <c r="AN610" s="3" t="s">
        <v>7010</v>
      </c>
      <c r="AO610" s="3" t="s">
        <v>7010</v>
      </c>
      <c r="AP610" s="74" t="s">
        <v>7015</v>
      </c>
      <c r="AU610">
        <v>609</v>
      </c>
      <c r="AV610" t="s">
        <v>5004</v>
      </c>
      <c r="AW610" t="s">
        <v>2279</v>
      </c>
      <c r="AX610">
        <f t="shared" si="38"/>
        <v>8</v>
      </c>
      <c r="AY610" s="30" t="s">
        <v>5005</v>
      </c>
      <c r="BC610" s="3" t="s">
        <v>7010</v>
      </c>
      <c r="BD610" s="3" t="s">
        <v>7010</v>
      </c>
      <c r="BE610" s="3" t="s">
        <v>7010</v>
      </c>
      <c r="BF610" s="3" t="s">
        <v>7010</v>
      </c>
      <c r="BG610" s="3" t="s">
        <v>7010</v>
      </c>
      <c r="BH610" s="3" t="s">
        <v>7010</v>
      </c>
      <c r="BI610" s="3" t="s">
        <v>7010</v>
      </c>
      <c r="BJ610" s="3" t="s">
        <v>7010</v>
      </c>
      <c r="BK610" s="74" t="str">
        <f t="shared" si="39"/>
        <v>No</v>
      </c>
    </row>
    <row r="611" spans="7:63">
      <c r="G611">
        <v>610</v>
      </c>
      <c r="H611" s="7" t="s">
        <v>1078</v>
      </c>
      <c r="I611" t="s">
        <v>29</v>
      </c>
      <c r="J611">
        <f>LEN(H611)</f>
        <v>12</v>
      </c>
      <c r="K611" s="49" t="s">
        <v>3907</v>
      </c>
      <c r="O611" s="3" t="s">
        <v>7010</v>
      </c>
      <c r="P611" s="3" t="s">
        <v>7010</v>
      </c>
      <c r="Q611" s="3" t="s">
        <v>7010</v>
      </c>
      <c r="R611" s="3" t="s">
        <v>7010</v>
      </c>
      <c r="S611" s="3" t="s">
        <v>7010</v>
      </c>
      <c r="T611" s="3" t="s">
        <v>7010</v>
      </c>
      <c r="U611" s="3" t="s">
        <v>7010</v>
      </c>
      <c r="V611" s="3" t="s">
        <v>7010</v>
      </c>
      <c r="W611" s="74" t="str">
        <f t="shared" si="37"/>
        <v>No</v>
      </c>
      <c r="Z611">
        <v>610</v>
      </c>
      <c r="AA611" s="55" t="s">
        <v>5007</v>
      </c>
      <c r="AC611">
        <f t="shared" si="36"/>
        <v>6</v>
      </c>
      <c r="AD611" s="30" t="s">
        <v>5008</v>
      </c>
      <c r="AF611" t="s">
        <v>8027</v>
      </c>
      <c r="AH611" s="3" t="s">
        <v>7015</v>
      </c>
      <c r="AI611" s="3" t="s">
        <v>7010</v>
      </c>
      <c r="AJ611" s="3" t="s">
        <v>7010</v>
      </c>
      <c r="AK611" s="3" t="s">
        <v>7015</v>
      </c>
      <c r="AL611" s="3" t="s">
        <v>7010</v>
      </c>
      <c r="AM611" s="3" t="s">
        <v>7010</v>
      </c>
      <c r="AN611" s="3" t="s">
        <v>7010</v>
      </c>
      <c r="AO611" s="3" t="s">
        <v>7010</v>
      </c>
      <c r="AP611" s="74" t="s">
        <v>7015</v>
      </c>
      <c r="AU611">
        <v>610</v>
      </c>
      <c r="AV611" t="s">
        <v>5009</v>
      </c>
      <c r="AW611" t="s">
        <v>2279</v>
      </c>
      <c r="AX611">
        <f t="shared" si="38"/>
        <v>9</v>
      </c>
      <c r="AY611" s="30" t="s">
        <v>5010</v>
      </c>
      <c r="BC611" s="3" t="s">
        <v>7010</v>
      </c>
      <c r="BD611" s="3" t="s">
        <v>7010</v>
      </c>
      <c r="BE611" s="3" t="s">
        <v>7010</v>
      </c>
      <c r="BF611" s="3" t="s">
        <v>7010</v>
      </c>
      <c r="BG611" s="3" t="s">
        <v>7010</v>
      </c>
      <c r="BH611" s="3" t="s">
        <v>7010</v>
      </c>
      <c r="BI611" s="3" t="s">
        <v>7010</v>
      </c>
      <c r="BJ611" s="3" t="s">
        <v>7010</v>
      </c>
      <c r="BK611" s="74" t="str">
        <f t="shared" si="39"/>
        <v>No</v>
      </c>
    </row>
    <row r="612" spans="7:63">
      <c r="G612">
        <v>611</v>
      </c>
      <c r="H612" s="7" t="s">
        <v>4783</v>
      </c>
      <c r="I612" t="s">
        <v>29</v>
      </c>
      <c r="J612">
        <f>LEN(H612)</f>
        <v>10</v>
      </c>
      <c r="K612" s="49" t="s">
        <v>4784</v>
      </c>
      <c r="O612" s="3" t="s">
        <v>7010</v>
      </c>
      <c r="P612" s="3" t="s">
        <v>7010</v>
      </c>
      <c r="Q612" s="3" t="s">
        <v>7010</v>
      </c>
      <c r="R612" s="3" t="s">
        <v>7010</v>
      </c>
      <c r="S612" s="3" t="s">
        <v>7010</v>
      </c>
      <c r="T612" s="3" t="s">
        <v>7010</v>
      </c>
      <c r="U612" s="3" t="s">
        <v>7010</v>
      </c>
      <c r="V612" s="3" t="s">
        <v>7010</v>
      </c>
      <c r="W612" s="74" t="str">
        <f t="shared" si="37"/>
        <v>No</v>
      </c>
      <c r="Z612">
        <v>611</v>
      </c>
      <c r="AA612" s="55" t="s">
        <v>5012</v>
      </c>
      <c r="AC612">
        <f t="shared" si="36"/>
        <v>8</v>
      </c>
      <c r="AD612" s="30" t="s">
        <v>5013</v>
      </c>
      <c r="AF612" t="s">
        <v>8028</v>
      </c>
      <c r="AH612" s="3" t="s">
        <v>7015</v>
      </c>
      <c r="AI612" s="3" t="s">
        <v>7010</v>
      </c>
      <c r="AJ612" s="3" t="s">
        <v>7010</v>
      </c>
      <c r="AK612" s="3" t="s">
        <v>7015</v>
      </c>
      <c r="AL612" s="3" t="s">
        <v>7010</v>
      </c>
      <c r="AM612" s="3" t="s">
        <v>7010</v>
      </c>
      <c r="AN612" s="3" t="s">
        <v>7010</v>
      </c>
      <c r="AO612" s="3" t="s">
        <v>7010</v>
      </c>
      <c r="AP612" s="74" t="s">
        <v>7015</v>
      </c>
      <c r="AU612">
        <v>611</v>
      </c>
      <c r="AV612" t="s">
        <v>5014</v>
      </c>
      <c r="AW612" t="s">
        <v>2279</v>
      </c>
      <c r="AX612">
        <f t="shared" si="38"/>
        <v>8</v>
      </c>
      <c r="AY612" s="30" t="s">
        <v>5015</v>
      </c>
      <c r="BC612" s="3" t="s">
        <v>7010</v>
      </c>
      <c r="BD612" s="3" t="s">
        <v>7010</v>
      </c>
      <c r="BE612" s="3" t="s">
        <v>7010</v>
      </c>
      <c r="BF612" s="3" t="s">
        <v>7010</v>
      </c>
      <c r="BG612" s="3" t="s">
        <v>7010</v>
      </c>
      <c r="BH612" s="3" t="s">
        <v>7010</v>
      </c>
      <c r="BI612" s="3" t="s">
        <v>7010</v>
      </c>
      <c r="BJ612" s="3" t="s">
        <v>7010</v>
      </c>
      <c r="BK612" s="74" t="str">
        <f t="shared" si="39"/>
        <v>No</v>
      </c>
    </row>
    <row r="613" spans="7:63">
      <c r="G613">
        <v>612</v>
      </c>
      <c r="H613" s="7" t="s">
        <v>4220</v>
      </c>
      <c r="I613" t="s">
        <v>29</v>
      </c>
      <c r="J613">
        <f>LEN(H613)</f>
        <v>11</v>
      </c>
      <c r="K613" s="49" t="s">
        <v>4221</v>
      </c>
      <c r="O613" s="3" t="s">
        <v>7010</v>
      </c>
      <c r="P613" s="3" t="s">
        <v>7010</v>
      </c>
      <c r="Q613" s="3" t="s">
        <v>7010</v>
      </c>
      <c r="R613" s="3" t="s">
        <v>7010</v>
      </c>
      <c r="S613" s="3" t="s">
        <v>7010</v>
      </c>
      <c r="T613" s="3" t="s">
        <v>7010</v>
      </c>
      <c r="U613" s="3" t="s">
        <v>7010</v>
      </c>
      <c r="V613" s="3" t="s">
        <v>7010</v>
      </c>
      <c r="W613" s="74" t="str">
        <f t="shared" si="37"/>
        <v>No</v>
      </c>
      <c r="Z613">
        <v>612</v>
      </c>
      <c r="AA613" s="55" t="s">
        <v>5017</v>
      </c>
      <c r="AC613">
        <f t="shared" si="36"/>
        <v>6</v>
      </c>
      <c r="AD613" s="30" t="s">
        <v>5018</v>
      </c>
      <c r="AF613" t="s">
        <v>8029</v>
      </c>
      <c r="AH613" s="3" t="s">
        <v>7015</v>
      </c>
      <c r="AI613" s="3" t="s">
        <v>7010</v>
      </c>
      <c r="AJ613" s="3" t="s">
        <v>7010</v>
      </c>
      <c r="AK613" s="3" t="s">
        <v>7015</v>
      </c>
      <c r="AL613" s="3" t="s">
        <v>7010</v>
      </c>
      <c r="AM613" s="3" t="s">
        <v>7010</v>
      </c>
      <c r="AN613" s="3" t="s">
        <v>7010</v>
      </c>
      <c r="AO613" s="3" t="s">
        <v>7010</v>
      </c>
      <c r="AP613" s="74" t="s">
        <v>7015</v>
      </c>
      <c r="AU613">
        <v>612</v>
      </c>
      <c r="AV613" t="s">
        <v>5019</v>
      </c>
      <c r="AW613" t="s">
        <v>2279</v>
      </c>
      <c r="AX613">
        <f t="shared" si="38"/>
        <v>10</v>
      </c>
      <c r="AY613" s="30" t="s">
        <v>5020</v>
      </c>
      <c r="BC613" s="3" t="s">
        <v>7010</v>
      </c>
      <c r="BD613" s="3" t="s">
        <v>7010</v>
      </c>
      <c r="BE613" s="3" t="s">
        <v>7010</v>
      </c>
      <c r="BF613" s="3" t="s">
        <v>7010</v>
      </c>
      <c r="BG613" s="3" t="s">
        <v>7010</v>
      </c>
      <c r="BH613" s="3" t="s">
        <v>7010</v>
      </c>
      <c r="BI613" s="3" t="s">
        <v>7010</v>
      </c>
      <c r="BJ613" s="3" t="s">
        <v>7010</v>
      </c>
      <c r="BK613" s="74" t="str">
        <f t="shared" si="39"/>
        <v>No</v>
      </c>
    </row>
    <row r="614" spans="7:63">
      <c r="G614">
        <v>613</v>
      </c>
      <c r="H614" s="7" t="s">
        <v>4969</v>
      </c>
      <c r="I614" t="s">
        <v>29</v>
      </c>
      <c r="J614">
        <f>LEN(H614)</f>
        <v>13</v>
      </c>
      <c r="K614" s="49" t="s">
        <v>4970</v>
      </c>
      <c r="O614" s="3" t="s">
        <v>7010</v>
      </c>
      <c r="P614" s="3" t="s">
        <v>7010</v>
      </c>
      <c r="Q614" s="3" t="s">
        <v>7010</v>
      </c>
      <c r="R614" s="3" t="s">
        <v>7010</v>
      </c>
      <c r="S614" s="3" t="s">
        <v>7010</v>
      </c>
      <c r="T614" s="3" t="s">
        <v>7010</v>
      </c>
      <c r="U614" s="3" t="s">
        <v>7010</v>
      </c>
      <c r="V614" s="3" t="s">
        <v>7010</v>
      </c>
      <c r="W614" s="74" t="str">
        <f t="shared" si="37"/>
        <v>No</v>
      </c>
      <c r="Z614">
        <v>613</v>
      </c>
      <c r="AA614" s="55" t="s">
        <v>5022</v>
      </c>
      <c r="AC614">
        <f t="shared" si="36"/>
        <v>7</v>
      </c>
      <c r="AD614" s="30" t="s">
        <v>5023</v>
      </c>
      <c r="AF614" t="s">
        <v>8030</v>
      </c>
      <c r="AH614" s="3" t="s">
        <v>7015</v>
      </c>
      <c r="AI614" s="3" t="s">
        <v>7010</v>
      </c>
      <c r="AJ614" s="3" t="s">
        <v>7010</v>
      </c>
      <c r="AK614" s="3" t="s">
        <v>7015</v>
      </c>
      <c r="AL614" s="3" t="s">
        <v>7010</v>
      </c>
      <c r="AM614" s="3" t="s">
        <v>7010</v>
      </c>
      <c r="AN614" s="3" t="s">
        <v>7010</v>
      </c>
      <c r="AO614" s="3" t="s">
        <v>7010</v>
      </c>
      <c r="AP614" s="74" t="s">
        <v>7015</v>
      </c>
      <c r="AU614">
        <v>613</v>
      </c>
      <c r="AV614" t="s">
        <v>5024</v>
      </c>
      <c r="AW614" t="s">
        <v>2279</v>
      </c>
      <c r="AX614">
        <f t="shared" si="38"/>
        <v>16</v>
      </c>
      <c r="AY614" s="30" t="s">
        <v>5025</v>
      </c>
      <c r="BC614" s="3" t="s">
        <v>7010</v>
      </c>
      <c r="BD614" s="3" t="s">
        <v>7010</v>
      </c>
      <c r="BE614" s="3" t="s">
        <v>7010</v>
      </c>
      <c r="BF614" s="3" t="s">
        <v>7010</v>
      </c>
      <c r="BG614" s="3" t="s">
        <v>7010</v>
      </c>
      <c r="BH614" s="3" t="s">
        <v>7010</v>
      </c>
      <c r="BI614" s="3" t="s">
        <v>7010</v>
      </c>
      <c r="BJ614" s="3" t="s">
        <v>7010</v>
      </c>
      <c r="BK614" s="74" t="str">
        <f t="shared" si="39"/>
        <v>No</v>
      </c>
    </row>
    <row r="615" spans="7:63">
      <c r="G615">
        <v>614</v>
      </c>
      <c r="H615" s="7" t="s">
        <v>4410</v>
      </c>
      <c r="I615" t="s">
        <v>29</v>
      </c>
      <c r="J615">
        <f>LEN(H615)</f>
        <v>10</v>
      </c>
      <c r="K615" s="49" t="s">
        <v>4411</v>
      </c>
      <c r="O615" s="3" t="s">
        <v>7010</v>
      </c>
      <c r="P615" s="3" t="s">
        <v>7010</v>
      </c>
      <c r="Q615" s="3" t="s">
        <v>7010</v>
      </c>
      <c r="R615" s="3" t="s">
        <v>7010</v>
      </c>
      <c r="S615" s="3" t="s">
        <v>7010</v>
      </c>
      <c r="T615" s="3" t="s">
        <v>7010</v>
      </c>
      <c r="U615" s="3" t="s">
        <v>7010</v>
      </c>
      <c r="V615" s="3" t="s">
        <v>7010</v>
      </c>
      <c r="W615" s="74" t="str">
        <f t="shared" si="37"/>
        <v>No</v>
      </c>
      <c r="Z615">
        <v>614</v>
      </c>
      <c r="AA615" s="55" t="s">
        <v>5027</v>
      </c>
      <c r="AC615">
        <f t="shared" si="36"/>
        <v>5</v>
      </c>
      <c r="AD615" s="30" t="s">
        <v>5028</v>
      </c>
      <c r="AF615" t="s">
        <v>8031</v>
      </c>
      <c r="AH615" s="3" t="s">
        <v>7015</v>
      </c>
      <c r="AI615" s="3" t="s">
        <v>7010</v>
      </c>
      <c r="AJ615" s="3" t="s">
        <v>7010</v>
      </c>
      <c r="AK615" s="3" t="s">
        <v>7015</v>
      </c>
      <c r="AL615" s="3" t="s">
        <v>7010</v>
      </c>
      <c r="AM615" s="3" t="s">
        <v>7010</v>
      </c>
      <c r="AN615" s="3" t="s">
        <v>7010</v>
      </c>
      <c r="AO615" s="3" t="s">
        <v>7010</v>
      </c>
      <c r="AP615" s="74" t="s">
        <v>7015</v>
      </c>
      <c r="AU615">
        <v>614</v>
      </c>
      <c r="AV615" t="s">
        <v>5029</v>
      </c>
      <c r="AW615" t="s">
        <v>2279</v>
      </c>
      <c r="AX615">
        <f t="shared" si="38"/>
        <v>13</v>
      </c>
      <c r="AY615" s="30" t="s">
        <v>5030</v>
      </c>
      <c r="BC615" s="3" t="s">
        <v>7010</v>
      </c>
      <c r="BD615" s="3" t="s">
        <v>7010</v>
      </c>
      <c r="BE615" s="3" t="s">
        <v>7010</v>
      </c>
      <c r="BF615" s="3" t="s">
        <v>7010</v>
      </c>
      <c r="BG615" s="3" t="s">
        <v>7010</v>
      </c>
      <c r="BH615" s="3" t="s">
        <v>7010</v>
      </c>
      <c r="BI615" s="3" t="s">
        <v>7010</v>
      </c>
      <c r="BJ615" s="3" t="s">
        <v>7010</v>
      </c>
      <c r="BK615" s="74" t="str">
        <f t="shared" si="39"/>
        <v>No</v>
      </c>
    </row>
    <row r="616" spans="7:63">
      <c r="G616">
        <v>615</v>
      </c>
      <c r="H616" s="9" t="s">
        <v>550</v>
      </c>
      <c r="I616" t="s">
        <v>29</v>
      </c>
      <c r="J616">
        <f>LEN(H616)</f>
        <v>9</v>
      </c>
      <c r="K616" s="49" t="s">
        <v>3117</v>
      </c>
      <c r="O616" s="3" t="s">
        <v>7010</v>
      </c>
      <c r="P616" s="3" t="s">
        <v>7010</v>
      </c>
      <c r="Q616" s="3" t="s">
        <v>7010</v>
      </c>
      <c r="R616" s="3" t="s">
        <v>7010</v>
      </c>
      <c r="S616" s="3" t="s">
        <v>7010</v>
      </c>
      <c r="T616" s="3" t="s">
        <v>7010</v>
      </c>
      <c r="U616" s="3" t="s">
        <v>7010</v>
      </c>
      <c r="V616" s="3" t="s">
        <v>7010</v>
      </c>
      <c r="W616" s="74" t="str">
        <f t="shared" si="37"/>
        <v>No</v>
      </c>
      <c r="Z616">
        <v>615</v>
      </c>
      <c r="AA616" s="55" t="s">
        <v>5032</v>
      </c>
      <c r="AC616">
        <f t="shared" si="36"/>
        <v>9</v>
      </c>
      <c r="AD616" s="30" t="s">
        <v>5033</v>
      </c>
      <c r="AF616" t="s">
        <v>8032</v>
      </c>
      <c r="AH616" s="3" t="s">
        <v>7015</v>
      </c>
      <c r="AI616" s="3" t="s">
        <v>7010</v>
      </c>
      <c r="AJ616" s="3" t="s">
        <v>7010</v>
      </c>
      <c r="AK616" s="3" t="s">
        <v>7015</v>
      </c>
      <c r="AL616" s="3" t="s">
        <v>7010</v>
      </c>
      <c r="AM616" s="3" t="s">
        <v>7010</v>
      </c>
      <c r="AN616" s="3" t="s">
        <v>7010</v>
      </c>
      <c r="AO616" s="3" t="s">
        <v>7010</v>
      </c>
      <c r="AP616" s="74" t="s">
        <v>7015</v>
      </c>
      <c r="AU616">
        <v>615</v>
      </c>
      <c r="AV616" t="s">
        <v>5034</v>
      </c>
      <c r="AW616" t="s">
        <v>2279</v>
      </c>
      <c r="AX616">
        <f t="shared" si="38"/>
        <v>10</v>
      </c>
      <c r="AY616" s="30" t="s">
        <v>5035</v>
      </c>
      <c r="BC616" s="3" t="s">
        <v>7010</v>
      </c>
      <c r="BD616" s="3" t="s">
        <v>7010</v>
      </c>
      <c r="BE616" s="3" t="s">
        <v>7010</v>
      </c>
      <c r="BF616" s="3" t="s">
        <v>7010</v>
      </c>
      <c r="BG616" s="3" t="s">
        <v>7010</v>
      </c>
      <c r="BH616" s="3" t="s">
        <v>7010</v>
      </c>
      <c r="BI616" s="3" t="s">
        <v>7010</v>
      </c>
      <c r="BJ616" s="3" t="s">
        <v>7010</v>
      </c>
      <c r="BK616" s="74" t="str">
        <f t="shared" si="39"/>
        <v>No</v>
      </c>
    </row>
    <row r="617" spans="7:63">
      <c r="G617">
        <v>616</v>
      </c>
      <c r="H617" s="7" t="s">
        <v>1638</v>
      </c>
      <c r="I617" t="s">
        <v>29</v>
      </c>
      <c r="J617">
        <f>LEN(H617)</f>
        <v>13</v>
      </c>
      <c r="K617" s="49" t="s">
        <v>5325</v>
      </c>
      <c r="O617" s="3" t="s">
        <v>7010</v>
      </c>
      <c r="P617" s="3" t="s">
        <v>7010</v>
      </c>
      <c r="Q617" s="3" t="s">
        <v>7010</v>
      </c>
      <c r="R617" s="3" t="s">
        <v>7010</v>
      </c>
      <c r="S617" s="3" t="s">
        <v>7010</v>
      </c>
      <c r="T617" s="3" t="s">
        <v>7010</v>
      </c>
      <c r="U617" s="3" t="s">
        <v>7015</v>
      </c>
      <c r="V617" s="3" t="s">
        <v>7010</v>
      </c>
      <c r="W617" s="74" t="str">
        <f t="shared" si="37"/>
        <v>Yes</v>
      </c>
      <c r="Z617">
        <v>616</v>
      </c>
      <c r="AA617" s="55" t="s">
        <v>5037</v>
      </c>
      <c r="AC617">
        <f t="shared" si="36"/>
        <v>8</v>
      </c>
      <c r="AD617" s="30" t="s">
        <v>5038</v>
      </c>
      <c r="AF617" t="s">
        <v>8033</v>
      </c>
      <c r="AH617" s="3" t="s">
        <v>7015</v>
      </c>
      <c r="AI617" s="3" t="s">
        <v>7010</v>
      </c>
      <c r="AJ617" s="3" t="s">
        <v>7010</v>
      </c>
      <c r="AK617" s="3" t="s">
        <v>7015</v>
      </c>
      <c r="AL617" s="3" t="s">
        <v>7010</v>
      </c>
      <c r="AM617" s="3" t="s">
        <v>7010</v>
      </c>
      <c r="AN617" s="3" t="s">
        <v>7010</v>
      </c>
      <c r="AO617" s="3" t="s">
        <v>7010</v>
      </c>
      <c r="AP617" s="74" t="s">
        <v>7015</v>
      </c>
      <c r="AU617">
        <v>616</v>
      </c>
      <c r="AV617" t="s">
        <v>5039</v>
      </c>
      <c r="AW617" t="s">
        <v>2279</v>
      </c>
      <c r="AX617">
        <f t="shared" si="38"/>
        <v>14</v>
      </c>
      <c r="AY617" s="31" t="s">
        <v>5040</v>
      </c>
      <c r="BC617" s="3" t="s">
        <v>7010</v>
      </c>
      <c r="BD617" s="3" t="s">
        <v>7010</v>
      </c>
      <c r="BE617" s="3" t="s">
        <v>7010</v>
      </c>
      <c r="BF617" s="3" t="s">
        <v>7010</v>
      </c>
      <c r="BG617" s="3" t="s">
        <v>7010</v>
      </c>
      <c r="BH617" s="3" t="s">
        <v>7010</v>
      </c>
      <c r="BI617" s="3" t="s">
        <v>7010</v>
      </c>
      <c r="BJ617" s="3" t="s">
        <v>7010</v>
      </c>
      <c r="BK617" s="74" t="str">
        <f t="shared" si="39"/>
        <v>No</v>
      </c>
    </row>
    <row r="618" spans="7:63">
      <c r="G618">
        <v>617</v>
      </c>
      <c r="H618" s="7" t="s">
        <v>1340</v>
      </c>
      <c r="I618" t="s">
        <v>29</v>
      </c>
      <c r="J618">
        <f>LEN(H618)</f>
        <v>10</v>
      </c>
      <c r="K618" s="49" t="s">
        <v>4565</v>
      </c>
      <c r="O618" s="3" t="s">
        <v>7010</v>
      </c>
      <c r="P618" s="3" t="s">
        <v>7010</v>
      </c>
      <c r="Q618" s="3" t="s">
        <v>7010</v>
      </c>
      <c r="R618" s="3" t="s">
        <v>7010</v>
      </c>
      <c r="S618" s="3" t="s">
        <v>7010</v>
      </c>
      <c r="T618" s="3" t="s">
        <v>7010</v>
      </c>
      <c r="U618" s="3" t="s">
        <v>7010</v>
      </c>
      <c r="V618" s="3" t="s">
        <v>7010</v>
      </c>
      <c r="W618" s="74" t="str">
        <f t="shared" si="37"/>
        <v>No</v>
      </c>
      <c r="Z618">
        <v>617</v>
      </c>
      <c r="AA618" s="55" t="s">
        <v>5043</v>
      </c>
      <c r="AC618">
        <f t="shared" si="36"/>
        <v>7</v>
      </c>
      <c r="AD618" s="30" t="s">
        <v>5044</v>
      </c>
      <c r="AF618" t="s">
        <v>8034</v>
      </c>
      <c r="AH618" s="3" t="s">
        <v>7015</v>
      </c>
      <c r="AI618" s="3" t="s">
        <v>7010</v>
      </c>
      <c r="AJ618" s="3" t="s">
        <v>7010</v>
      </c>
      <c r="AK618" s="3" t="s">
        <v>7015</v>
      </c>
      <c r="AL618" s="3" t="s">
        <v>7010</v>
      </c>
      <c r="AM618" s="3" t="s">
        <v>7010</v>
      </c>
      <c r="AN618" s="3" t="s">
        <v>7010</v>
      </c>
      <c r="AO618" s="3" t="s">
        <v>7010</v>
      </c>
      <c r="AP618" s="74" t="s">
        <v>7015</v>
      </c>
      <c r="AU618">
        <v>617</v>
      </c>
      <c r="AV618" t="s">
        <v>5045</v>
      </c>
      <c r="AW618" t="s">
        <v>2279</v>
      </c>
      <c r="AX618">
        <f t="shared" si="38"/>
        <v>11</v>
      </c>
      <c r="AY618" s="30" t="s">
        <v>5046</v>
      </c>
      <c r="BC618" s="3" t="s">
        <v>7015</v>
      </c>
      <c r="BD618" s="3" t="s">
        <v>7010</v>
      </c>
      <c r="BE618" s="3" t="s">
        <v>7015</v>
      </c>
      <c r="BF618" s="3" t="s">
        <v>7010</v>
      </c>
      <c r="BG618" s="3" t="s">
        <v>7010</v>
      </c>
      <c r="BH618" s="3" t="s">
        <v>7010</v>
      </c>
      <c r="BI618" s="3" t="s">
        <v>7010</v>
      </c>
      <c r="BJ618" s="3" t="s">
        <v>7010</v>
      </c>
      <c r="BK618" s="74" t="str">
        <f t="shared" si="39"/>
        <v>Yes</v>
      </c>
    </row>
    <row r="619" spans="7:63">
      <c r="G619">
        <v>618</v>
      </c>
      <c r="H619" s="7" t="s">
        <v>1304</v>
      </c>
      <c r="I619" t="s">
        <v>29</v>
      </c>
      <c r="J619">
        <f>LEN(H619)</f>
        <v>13</v>
      </c>
      <c r="K619" s="49" t="s">
        <v>4477</v>
      </c>
      <c r="O619" s="3" t="s">
        <v>7010</v>
      </c>
      <c r="P619" s="3" t="s">
        <v>7010</v>
      </c>
      <c r="Q619" s="3" t="s">
        <v>7010</v>
      </c>
      <c r="R619" s="3" t="s">
        <v>7010</v>
      </c>
      <c r="S619" s="3" t="s">
        <v>7010</v>
      </c>
      <c r="T619" s="3" t="s">
        <v>7010</v>
      </c>
      <c r="U619" s="3" t="s">
        <v>7010</v>
      </c>
      <c r="V619" s="3" t="s">
        <v>7010</v>
      </c>
      <c r="W619" s="74" t="str">
        <f t="shared" si="37"/>
        <v>No</v>
      </c>
      <c r="Z619">
        <v>618</v>
      </c>
      <c r="AA619" s="55" t="s">
        <v>5048</v>
      </c>
      <c r="AC619">
        <f t="shared" si="36"/>
        <v>7</v>
      </c>
      <c r="AD619" s="30" t="s">
        <v>5049</v>
      </c>
      <c r="AF619" t="s">
        <v>8035</v>
      </c>
      <c r="AH619" s="3" t="s">
        <v>7015</v>
      </c>
      <c r="AI619" s="3" t="s">
        <v>7010</v>
      </c>
      <c r="AJ619" s="3" t="s">
        <v>7010</v>
      </c>
      <c r="AK619" s="3" t="s">
        <v>7015</v>
      </c>
      <c r="AL619" s="3" t="s">
        <v>7010</v>
      </c>
      <c r="AM619" s="3" t="s">
        <v>7010</v>
      </c>
      <c r="AN619" s="3" t="s">
        <v>7010</v>
      </c>
      <c r="AO619" s="3" t="s">
        <v>7010</v>
      </c>
      <c r="AP619" s="74" t="s">
        <v>7015</v>
      </c>
      <c r="AU619">
        <v>618</v>
      </c>
      <c r="AV619" t="s">
        <v>5050</v>
      </c>
      <c r="AW619" t="s">
        <v>2279</v>
      </c>
      <c r="AX619">
        <f t="shared" si="38"/>
        <v>10</v>
      </c>
      <c r="AY619" s="30" t="s">
        <v>5051</v>
      </c>
      <c r="BC619" s="3" t="s">
        <v>7010</v>
      </c>
      <c r="BD619" s="3" t="s">
        <v>7010</v>
      </c>
      <c r="BE619" s="3" t="s">
        <v>7010</v>
      </c>
      <c r="BF619" s="3" t="s">
        <v>7010</v>
      </c>
      <c r="BG619" s="3" t="s">
        <v>7010</v>
      </c>
      <c r="BH619" s="3" t="s">
        <v>7010</v>
      </c>
      <c r="BI619" s="3" t="s">
        <v>7010</v>
      </c>
      <c r="BJ619" s="3" t="s">
        <v>7010</v>
      </c>
      <c r="BK619" s="74" t="str">
        <f t="shared" si="39"/>
        <v>No</v>
      </c>
    </row>
    <row r="620" spans="7:63">
      <c r="G620">
        <v>619</v>
      </c>
      <c r="H620" s="7" t="s">
        <v>1354</v>
      </c>
      <c r="I620" t="s">
        <v>29</v>
      </c>
      <c r="J620">
        <f>LEN(H620)</f>
        <v>10</v>
      </c>
      <c r="K620" s="49" t="s">
        <v>4600</v>
      </c>
      <c r="O620" s="3" t="s">
        <v>7010</v>
      </c>
      <c r="P620" s="3" t="s">
        <v>7010</v>
      </c>
      <c r="Q620" s="3" t="s">
        <v>7010</v>
      </c>
      <c r="R620" s="3" t="s">
        <v>7010</v>
      </c>
      <c r="S620" s="3" t="s">
        <v>7010</v>
      </c>
      <c r="T620" s="3" t="s">
        <v>7010</v>
      </c>
      <c r="U620" s="3" t="s">
        <v>7010</v>
      </c>
      <c r="V620" s="3" t="s">
        <v>7010</v>
      </c>
      <c r="W620" s="74" t="str">
        <f t="shared" si="37"/>
        <v>No</v>
      </c>
      <c r="Z620">
        <v>619</v>
      </c>
      <c r="AA620" s="55" t="s">
        <v>5053</v>
      </c>
      <c r="AC620">
        <f t="shared" si="36"/>
        <v>6</v>
      </c>
      <c r="AD620" s="30" t="s">
        <v>5054</v>
      </c>
      <c r="AF620" t="s">
        <v>8036</v>
      </c>
      <c r="AH620" s="3" t="s">
        <v>7015</v>
      </c>
      <c r="AI620" s="3" t="s">
        <v>7010</v>
      </c>
      <c r="AJ620" s="3" t="s">
        <v>7010</v>
      </c>
      <c r="AK620" s="3" t="s">
        <v>7015</v>
      </c>
      <c r="AL620" s="3" t="s">
        <v>7010</v>
      </c>
      <c r="AM620" s="3" t="s">
        <v>7010</v>
      </c>
      <c r="AN620" s="3" t="s">
        <v>7010</v>
      </c>
      <c r="AO620" s="3" t="s">
        <v>7010</v>
      </c>
      <c r="AP620" s="74" t="s">
        <v>7015</v>
      </c>
      <c r="AU620">
        <v>619</v>
      </c>
      <c r="AV620" t="s">
        <v>5055</v>
      </c>
      <c r="AW620" t="s">
        <v>2279</v>
      </c>
      <c r="AX620">
        <f t="shared" si="38"/>
        <v>8</v>
      </c>
      <c r="AY620" s="30" t="s">
        <v>5056</v>
      </c>
      <c r="BC620" s="3" t="s">
        <v>7010</v>
      </c>
      <c r="BD620" s="3" t="s">
        <v>7010</v>
      </c>
      <c r="BE620" s="3" t="s">
        <v>7010</v>
      </c>
      <c r="BF620" s="3" t="s">
        <v>7010</v>
      </c>
      <c r="BG620" s="3" t="s">
        <v>7010</v>
      </c>
      <c r="BH620" s="3" t="s">
        <v>7010</v>
      </c>
      <c r="BI620" s="3" t="s">
        <v>7010</v>
      </c>
      <c r="BJ620" s="3" t="s">
        <v>7010</v>
      </c>
      <c r="BK620" s="74" t="str">
        <f t="shared" si="39"/>
        <v>No</v>
      </c>
    </row>
    <row r="621" spans="7:63">
      <c r="G621">
        <v>620</v>
      </c>
      <c r="H621" s="7" t="s">
        <v>1540</v>
      </c>
      <c r="I621" t="s">
        <v>29</v>
      </c>
      <c r="J621">
        <f>LEN(H621)</f>
        <v>12</v>
      </c>
      <c r="K621" s="49" t="s">
        <v>5077</v>
      </c>
      <c r="O621" s="3" t="s">
        <v>7010</v>
      </c>
      <c r="P621" s="3" t="s">
        <v>7010</v>
      </c>
      <c r="Q621" s="3" t="s">
        <v>7010</v>
      </c>
      <c r="R621" s="3" t="s">
        <v>7010</v>
      </c>
      <c r="S621" s="3" t="s">
        <v>7010</v>
      </c>
      <c r="T621" s="3" t="s">
        <v>7010</v>
      </c>
      <c r="U621" s="3" t="s">
        <v>7015</v>
      </c>
      <c r="V621" s="3" t="s">
        <v>7010</v>
      </c>
      <c r="W621" s="74" t="str">
        <f t="shared" si="37"/>
        <v>Yes</v>
      </c>
      <c r="Z621">
        <v>620</v>
      </c>
      <c r="AA621" s="55" t="s">
        <v>5058</v>
      </c>
      <c r="AC621">
        <f t="shared" si="36"/>
        <v>8</v>
      </c>
      <c r="AD621" s="30" t="s">
        <v>5059</v>
      </c>
      <c r="AF621" t="s">
        <v>8037</v>
      </c>
      <c r="AH621" s="3" t="s">
        <v>7015</v>
      </c>
      <c r="AI621" s="3" t="s">
        <v>7010</v>
      </c>
      <c r="AJ621" s="3" t="s">
        <v>7010</v>
      </c>
      <c r="AK621" s="3" t="s">
        <v>7015</v>
      </c>
      <c r="AL621" s="3" t="s">
        <v>7010</v>
      </c>
      <c r="AM621" s="3" t="s">
        <v>7010</v>
      </c>
      <c r="AN621" s="3" t="s">
        <v>7010</v>
      </c>
      <c r="AO621" s="3" t="s">
        <v>7010</v>
      </c>
      <c r="AP621" s="74" t="s">
        <v>7015</v>
      </c>
      <c r="AU621">
        <v>620</v>
      </c>
      <c r="AV621" t="s">
        <v>5060</v>
      </c>
      <c r="AW621" t="s">
        <v>2279</v>
      </c>
      <c r="AX621">
        <f t="shared" si="38"/>
        <v>8</v>
      </c>
      <c r="AY621" s="30" t="s">
        <v>5061</v>
      </c>
      <c r="BC621" s="3" t="s">
        <v>7010</v>
      </c>
      <c r="BD621" s="3" t="s">
        <v>7010</v>
      </c>
      <c r="BE621" s="3" t="s">
        <v>7010</v>
      </c>
      <c r="BF621" s="3" t="s">
        <v>7010</v>
      </c>
      <c r="BG621" s="3" t="s">
        <v>7010</v>
      </c>
      <c r="BH621" s="3" t="s">
        <v>7010</v>
      </c>
      <c r="BI621" s="3" t="s">
        <v>7010</v>
      </c>
      <c r="BJ621" s="3" t="s">
        <v>7010</v>
      </c>
      <c r="BK621" s="74" t="str">
        <f t="shared" si="39"/>
        <v>No</v>
      </c>
    </row>
    <row r="622" spans="7:63">
      <c r="G622">
        <v>621</v>
      </c>
      <c r="H622" s="7" t="s">
        <v>1264</v>
      </c>
      <c r="I622" t="s">
        <v>29</v>
      </c>
      <c r="J622">
        <f>LEN(H622)</f>
        <v>9</v>
      </c>
      <c r="K622" s="49" t="s">
        <v>4375</v>
      </c>
      <c r="O622" s="3" t="s">
        <v>7010</v>
      </c>
      <c r="P622" s="3" t="s">
        <v>7010</v>
      </c>
      <c r="Q622" s="3" t="s">
        <v>7010</v>
      </c>
      <c r="R622" s="3" t="s">
        <v>7010</v>
      </c>
      <c r="S622" s="3" t="s">
        <v>7010</v>
      </c>
      <c r="T622" s="3" t="s">
        <v>7015</v>
      </c>
      <c r="U622" s="3" t="s">
        <v>7010</v>
      </c>
      <c r="V622" s="3" t="s">
        <v>7010</v>
      </c>
      <c r="W622" s="74" t="str">
        <f t="shared" si="37"/>
        <v>Yes</v>
      </c>
      <c r="Z622">
        <v>621</v>
      </c>
      <c r="AA622" s="55" t="s">
        <v>5063</v>
      </c>
      <c r="AC622">
        <f t="shared" si="36"/>
        <v>6</v>
      </c>
      <c r="AD622" s="30" t="s">
        <v>5064</v>
      </c>
      <c r="AF622" t="s">
        <v>8038</v>
      </c>
      <c r="AH622" s="3" t="s">
        <v>7015</v>
      </c>
      <c r="AI622" s="3" t="s">
        <v>7010</v>
      </c>
      <c r="AJ622" s="3" t="s">
        <v>7010</v>
      </c>
      <c r="AK622" s="3" t="s">
        <v>7015</v>
      </c>
      <c r="AL622" s="3" t="s">
        <v>7010</v>
      </c>
      <c r="AM622" s="3" t="s">
        <v>7010</v>
      </c>
      <c r="AN622" s="3" t="s">
        <v>7010</v>
      </c>
      <c r="AO622" s="3" t="s">
        <v>7010</v>
      </c>
      <c r="AP622" s="74" t="s">
        <v>7015</v>
      </c>
      <c r="AU622">
        <v>621</v>
      </c>
      <c r="AV622" t="s">
        <v>5065</v>
      </c>
      <c r="AW622" t="s">
        <v>2279</v>
      </c>
      <c r="AX622">
        <f t="shared" si="38"/>
        <v>10</v>
      </c>
      <c r="AY622" s="31" t="s">
        <v>5066</v>
      </c>
      <c r="BC622" s="3" t="s">
        <v>7015</v>
      </c>
      <c r="BD622" s="3" t="s">
        <v>7010</v>
      </c>
      <c r="BE622" s="3" t="s">
        <v>7015</v>
      </c>
      <c r="BF622" s="3" t="s">
        <v>7010</v>
      </c>
      <c r="BG622" s="3" t="s">
        <v>7010</v>
      </c>
      <c r="BH622" s="3" t="s">
        <v>7010</v>
      </c>
      <c r="BI622" s="3" t="s">
        <v>7010</v>
      </c>
      <c r="BJ622" s="3" t="s">
        <v>7010</v>
      </c>
      <c r="BK622" s="74" t="str">
        <f t="shared" si="39"/>
        <v>Yes</v>
      </c>
    </row>
    <row r="623" spans="7:63">
      <c r="G623">
        <v>622</v>
      </c>
      <c r="H623" s="7" t="s">
        <v>1684</v>
      </c>
      <c r="I623" t="s">
        <v>29</v>
      </c>
      <c r="J623">
        <f>LEN(H623)</f>
        <v>10</v>
      </c>
      <c r="K623" s="49" t="s">
        <v>5440</v>
      </c>
      <c r="O623" s="3" t="s">
        <v>7010</v>
      </c>
      <c r="P623" s="3" t="s">
        <v>7010</v>
      </c>
      <c r="Q623" s="3" t="s">
        <v>7010</v>
      </c>
      <c r="R623" s="3" t="s">
        <v>7010</v>
      </c>
      <c r="S623" s="3" t="s">
        <v>7010</v>
      </c>
      <c r="T623" s="3" t="s">
        <v>7010</v>
      </c>
      <c r="U623" s="3" t="s">
        <v>7015</v>
      </c>
      <c r="V623" s="3" t="s">
        <v>7015</v>
      </c>
      <c r="W623" s="74" t="str">
        <f t="shared" si="37"/>
        <v>Yes</v>
      </c>
      <c r="Z623">
        <v>622</v>
      </c>
      <c r="AA623" s="55" t="s">
        <v>5068</v>
      </c>
      <c r="AC623">
        <f t="shared" si="36"/>
        <v>6</v>
      </c>
      <c r="AD623" s="30" t="s">
        <v>5069</v>
      </c>
      <c r="AF623" t="s">
        <v>8039</v>
      </c>
      <c r="AH623" s="3" t="s">
        <v>7015</v>
      </c>
      <c r="AI623" s="3" t="s">
        <v>7010</v>
      </c>
      <c r="AJ623" s="3" t="s">
        <v>7010</v>
      </c>
      <c r="AK623" s="3" t="s">
        <v>7015</v>
      </c>
      <c r="AL623" s="3" t="s">
        <v>7010</v>
      </c>
      <c r="AM623" s="3" t="s">
        <v>7010</v>
      </c>
      <c r="AN623" s="3" t="s">
        <v>7010</v>
      </c>
      <c r="AO623" s="3" t="s">
        <v>7010</v>
      </c>
      <c r="AP623" s="74" t="s">
        <v>7015</v>
      </c>
      <c r="AU623">
        <v>622</v>
      </c>
      <c r="AV623" t="s">
        <v>5070</v>
      </c>
      <c r="AW623" t="s">
        <v>2279</v>
      </c>
      <c r="AX623">
        <f t="shared" si="38"/>
        <v>10</v>
      </c>
      <c r="AY623" s="30" t="s">
        <v>5071</v>
      </c>
      <c r="BC623" s="3" t="s">
        <v>7010</v>
      </c>
      <c r="BD623" s="3" t="s">
        <v>7010</v>
      </c>
      <c r="BE623" s="3" t="s">
        <v>7010</v>
      </c>
      <c r="BF623" s="3" t="s">
        <v>7010</v>
      </c>
      <c r="BG623" s="3" t="s">
        <v>7010</v>
      </c>
      <c r="BH623" s="3" t="s">
        <v>7010</v>
      </c>
      <c r="BI623" s="3" t="s">
        <v>7010</v>
      </c>
      <c r="BJ623" s="3" t="s">
        <v>7010</v>
      </c>
      <c r="BK623" s="74" t="str">
        <f t="shared" si="39"/>
        <v>No</v>
      </c>
    </row>
    <row r="624" spans="7:63">
      <c r="G624">
        <v>623</v>
      </c>
      <c r="H624" s="7" t="s">
        <v>1580</v>
      </c>
      <c r="I624" t="s">
        <v>29</v>
      </c>
      <c r="J624">
        <f>LEN(H624)</f>
        <v>11</v>
      </c>
      <c r="K624" s="49" t="s">
        <v>5178</v>
      </c>
      <c r="O624" s="3" t="s">
        <v>7010</v>
      </c>
      <c r="P624" s="3" t="s">
        <v>7010</v>
      </c>
      <c r="Q624" s="3" t="s">
        <v>7010</v>
      </c>
      <c r="R624" s="3" t="s">
        <v>7010</v>
      </c>
      <c r="S624" s="3" t="s">
        <v>7010</v>
      </c>
      <c r="T624" s="3" t="s">
        <v>7010</v>
      </c>
      <c r="U624" s="3" t="s">
        <v>7015</v>
      </c>
      <c r="V624" s="3" t="s">
        <v>7015</v>
      </c>
      <c r="W624" s="74" t="str">
        <f t="shared" si="37"/>
        <v>Yes</v>
      </c>
      <c r="Z624">
        <v>623</v>
      </c>
      <c r="AA624" s="55" t="s">
        <v>5073</v>
      </c>
      <c r="AC624">
        <f t="shared" si="36"/>
        <v>10</v>
      </c>
      <c r="AD624" s="30" t="s">
        <v>5074</v>
      </c>
      <c r="AF624" t="s">
        <v>8040</v>
      </c>
      <c r="AH624" s="3" t="s">
        <v>7015</v>
      </c>
      <c r="AI624" s="3" t="s">
        <v>7010</v>
      </c>
      <c r="AJ624" s="3" t="s">
        <v>7010</v>
      </c>
      <c r="AK624" s="3" t="s">
        <v>7015</v>
      </c>
      <c r="AL624" s="3" t="s">
        <v>7010</v>
      </c>
      <c r="AM624" s="3" t="s">
        <v>7010</v>
      </c>
      <c r="AN624" s="3" t="s">
        <v>7010</v>
      </c>
      <c r="AO624" s="3" t="s">
        <v>7010</v>
      </c>
      <c r="AP624" s="74" t="s">
        <v>7015</v>
      </c>
      <c r="AU624">
        <v>623</v>
      </c>
      <c r="AV624" t="s">
        <v>5075</v>
      </c>
      <c r="AW624" t="s">
        <v>2279</v>
      </c>
      <c r="AX624">
        <f t="shared" si="38"/>
        <v>10</v>
      </c>
      <c r="AY624" s="30" t="s">
        <v>5076</v>
      </c>
      <c r="BC624" s="3" t="s">
        <v>7010</v>
      </c>
      <c r="BD624" s="3" t="s">
        <v>7010</v>
      </c>
      <c r="BE624" s="3" t="s">
        <v>7010</v>
      </c>
      <c r="BF624" s="3" t="s">
        <v>7010</v>
      </c>
      <c r="BG624" s="3" t="s">
        <v>7010</v>
      </c>
      <c r="BH624" s="3" t="s">
        <v>7010</v>
      </c>
      <c r="BI624" s="3" t="s">
        <v>7010</v>
      </c>
      <c r="BJ624" s="3" t="s">
        <v>7010</v>
      </c>
      <c r="BK624" s="74" t="str">
        <f t="shared" si="39"/>
        <v>No</v>
      </c>
    </row>
    <row r="625" spans="7:63">
      <c r="G625">
        <v>624</v>
      </c>
      <c r="H625" s="7" t="s">
        <v>500</v>
      </c>
      <c r="I625" t="s">
        <v>29</v>
      </c>
      <c r="J625">
        <f>LEN(H625)</f>
        <v>8</v>
      </c>
      <c r="K625" s="49" t="s">
        <v>2917</v>
      </c>
      <c r="O625" s="3" t="s">
        <v>7010</v>
      </c>
      <c r="P625" s="3" t="s">
        <v>7010</v>
      </c>
      <c r="Q625" s="3" t="s">
        <v>7010</v>
      </c>
      <c r="R625" s="3" t="s">
        <v>7010</v>
      </c>
      <c r="S625" s="3" t="s">
        <v>7010</v>
      </c>
      <c r="T625" s="3" t="s">
        <v>7010</v>
      </c>
      <c r="U625" s="3" t="s">
        <v>7010</v>
      </c>
      <c r="V625" s="3" t="s">
        <v>7010</v>
      </c>
      <c r="W625" s="74" t="str">
        <f t="shared" si="37"/>
        <v>No</v>
      </c>
      <c r="Z625">
        <v>624</v>
      </c>
      <c r="AA625" s="55" t="s">
        <v>5078</v>
      </c>
      <c r="AC625">
        <f t="shared" si="36"/>
        <v>6</v>
      </c>
      <c r="AD625" s="30" t="s">
        <v>5079</v>
      </c>
      <c r="AF625" t="s">
        <v>8041</v>
      </c>
      <c r="AH625" s="3" t="s">
        <v>7015</v>
      </c>
      <c r="AI625" s="3" t="s">
        <v>7010</v>
      </c>
      <c r="AJ625" s="3" t="s">
        <v>7010</v>
      </c>
      <c r="AK625" s="3" t="s">
        <v>7015</v>
      </c>
      <c r="AL625" s="3" t="s">
        <v>7010</v>
      </c>
      <c r="AM625" s="3" t="s">
        <v>7010</v>
      </c>
      <c r="AN625" s="3" t="s">
        <v>7010</v>
      </c>
      <c r="AO625" s="3" t="s">
        <v>7010</v>
      </c>
      <c r="AP625" s="74" t="s">
        <v>7015</v>
      </c>
      <c r="AU625">
        <v>624</v>
      </c>
      <c r="AV625" t="s">
        <v>5080</v>
      </c>
      <c r="AW625" t="s">
        <v>2279</v>
      </c>
      <c r="AX625">
        <f t="shared" si="38"/>
        <v>8</v>
      </c>
      <c r="AY625" s="30" t="s">
        <v>5081</v>
      </c>
      <c r="BC625" s="3" t="s">
        <v>7010</v>
      </c>
      <c r="BD625" s="3" t="s">
        <v>7010</v>
      </c>
      <c r="BE625" s="3" t="s">
        <v>7010</v>
      </c>
      <c r="BF625" s="3" t="s">
        <v>7010</v>
      </c>
      <c r="BG625" s="3" t="s">
        <v>7010</v>
      </c>
      <c r="BH625" s="3" t="s">
        <v>7010</v>
      </c>
      <c r="BI625" s="3" t="s">
        <v>7010</v>
      </c>
      <c r="BJ625" s="3" t="s">
        <v>7010</v>
      </c>
      <c r="BK625" s="74" t="str">
        <f t="shared" si="39"/>
        <v>No</v>
      </c>
    </row>
    <row r="626" spans="7:63">
      <c r="G626">
        <v>625</v>
      </c>
      <c r="H626" s="7" t="s">
        <v>2151</v>
      </c>
      <c r="I626" t="s">
        <v>29</v>
      </c>
      <c r="J626">
        <f>LEN(H626)</f>
        <v>10</v>
      </c>
      <c r="K626" s="49" t="s">
        <v>6702</v>
      </c>
      <c r="O626" s="3" t="s">
        <v>7010</v>
      </c>
      <c r="P626" s="3" t="s">
        <v>7010</v>
      </c>
      <c r="Q626" s="3" t="s">
        <v>7010</v>
      </c>
      <c r="R626" s="3" t="s">
        <v>7010</v>
      </c>
      <c r="S626" s="3" t="s">
        <v>7010</v>
      </c>
      <c r="T626" s="3" t="s">
        <v>7015</v>
      </c>
      <c r="U626" s="3" t="s">
        <v>7010</v>
      </c>
      <c r="V626" s="3" t="s">
        <v>7010</v>
      </c>
      <c r="W626" s="74" t="str">
        <f t="shared" si="37"/>
        <v>Yes</v>
      </c>
      <c r="Z626">
        <v>625</v>
      </c>
      <c r="AA626" s="55" t="s">
        <v>5084</v>
      </c>
      <c r="AC626">
        <f t="shared" si="36"/>
        <v>6</v>
      </c>
      <c r="AD626" s="30" t="s">
        <v>5085</v>
      </c>
      <c r="AF626" t="s">
        <v>8042</v>
      </c>
      <c r="AH626" s="3" t="s">
        <v>7015</v>
      </c>
      <c r="AI626" s="3" t="s">
        <v>7010</v>
      </c>
      <c r="AJ626" s="3" t="s">
        <v>7010</v>
      </c>
      <c r="AK626" s="3" t="s">
        <v>7015</v>
      </c>
      <c r="AL626" s="3" t="s">
        <v>7010</v>
      </c>
      <c r="AM626" s="3" t="s">
        <v>7010</v>
      </c>
      <c r="AN626" s="3" t="s">
        <v>7010</v>
      </c>
      <c r="AO626" s="3" t="s">
        <v>7010</v>
      </c>
      <c r="AP626" s="74" t="s">
        <v>7015</v>
      </c>
      <c r="AU626">
        <v>625</v>
      </c>
      <c r="AV626" t="s">
        <v>5086</v>
      </c>
      <c r="AW626" t="s">
        <v>2279</v>
      </c>
      <c r="AX626">
        <f t="shared" si="38"/>
        <v>8</v>
      </c>
      <c r="AY626" s="30" t="s">
        <v>5087</v>
      </c>
      <c r="BC626" s="3" t="s">
        <v>7010</v>
      </c>
      <c r="BD626" s="3" t="s">
        <v>7010</v>
      </c>
      <c r="BE626" s="3" t="s">
        <v>7010</v>
      </c>
      <c r="BF626" s="3" t="s">
        <v>7010</v>
      </c>
      <c r="BG626" s="3" t="s">
        <v>7010</v>
      </c>
      <c r="BH626" s="3" t="s">
        <v>7010</v>
      </c>
      <c r="BI626" s="3" t="s">
        <v>7010</v>
      </c>
      <c r="BJ626" s="3" t="s">
        <v>7010</v>
      </c>
      <c r="BK626" s="74" t="str">
        <f t="shared" si="39"/>
        <v>No</v>
      </c>
    </row>
    <row r="627" spans="7:63">
      <c r="G627">
        <v>626</v>
      </c>
      <c r="H627" s="7" t="s">
        <v>2153</v>
      </c>
      <c r="I627" t="s">
        <v>29</v>
      </c>
      <c r="J627">
        <f>LEN(H627)</f>
        <v>8</v>
      </c>
      <c r="K627" s="49" t="s">
        <v>6707</v>
      </c>
      <c r="O627" s="3" t="s">
        <v>7010</v>
      </c>
      <c r="P627" s="3" t="s">
        <v>7010</v>
      </c>
      <c r="Q627" s="3" t="s">
        <v>7010</v>
      </c>
      <c r="R627" s="3" t="s">
        <v>7015</v>
      </c>
      <c r="S627" s="3" t="s">
        <v>7010</v>
      </c>
      <c r="T627" s="3" t="s">
        <v>7015</v>
      </c>
      <c r="U627" s="3" t="s">
        <v>7010</v>
      </c>
      <c r="V627" s="3" t="s">
        <v>7010</v>
      </c>
      <c r="W627" s="74" t="str">
        <f t="shared" si="37"/>
        <v>Yes</v>
      </c>
      <c r="Z627">
        <v>626</v>
      </c>
      <c r="AA627" s="55" t="s">
        <v>5089</v>
      </c>
      <c r="AC627">
        <f t="shared" si="36"/>
        <v>6</v>
      </c>
      <c r="AD627" s="30" t="s">
        <v>5090</v>
      </c>
      <c r="AF627" t="s">
        <v>8043</v>
      </c>
      <c r="AH627" s="3" t="s">
        <v>7015</v>
      </c>
      <c r="AI627" s="3" t="s">
        <v>7010</v>
      </c>
      <c r="AJ627" s="3" t="s">
        <v>7010</v>
      </c>
      <c r="AK627" s="3" t="s">
        <v>7015</v>
      </c>
      <c r="AL627" s="3" t="s">
        <v>7010</v>
      </c>
      <c r="AM627" s="3" t="s">
        <v>7010</v>
      </c>
      <c r="AN627" s="3" t="s">
        <v>7010</v>
      </c>
      <c r="AO627" s="3" t="s">
        <v>7010</v>
      </c>
      <c r="AP627" s="74" t="s">
        <v>7015</v>
      </c>
      <c r="AU627">
        <v>626</v>
      </c>
      <c r="AV627" t="s">
        <v>5091</v>
      </c>
      <c r="AW627" t="s">
        <v>2279</v>
      </c>
      <c r="AX627">
        <f t="shared" si="38"/>
        <v>8</v>
      </c>
      <c r="AY627" s="30" t="s">
        <v>5092</v>
      </c>
      <c r="BC627" s="3" t="s">
        <v>7010</v>
      </c>
      <c r="BD627" s="3" t="s">
        <v>7010</v>
      </c>
      <c r="BE627" s="3" t="s">
        <v>7010</v>
      </c>
      <c r="BF627" s="3" t="s">
        <v>7010</v>
      </c>
      <c r="BG627" s="3" t="s">
        <v>7010</v>
      </c>
      <c r="BH627" s="3" t="s">
        <v>7010</v>
      </c>
      <c r="BI627" s="3" t="s">
        <v>7010</v>
      </c>
      <c r="BJ627" s="3" t="s">
        <v>7010</v>
      </c>
      <c r="BK627" s="74" t="str">
        <f t="shared" si="39"/>
        <v>No</v>
      </c>
    </row>
    <row r="628" spans="7:63">
      <c r="G628">
        <v>627</v>
      </c>
      <c r="H628" s="7" t="s">
        <v>1578</v>
      </c>
      <c r="I628" t="s">
        <v>29</v>
      </c>
      <c r="J628">
        <f>LEN(H628)</f>
        <v>14</v>
      </c>
      <c r="K628" s="49" t="s">
        <v>5173</v>
      </c>
      <c r="O628" s="3" t="s">
        <v>7010</v>
      </c>
      <c r="P628" s="3" t="s">
        <v>7010</v>
      </c>
      <c r="Q628" s="3" t="s">
        <v>7010</v>
      </c>
      <c r="R628" s="3" t="s">
        <v>7010</v>
      </c>
      <c r="S628" s="3" t="s">
        <v>7010</v>
      </c>
      <c r="T628" s="3" t="s">
        <v>7010</v>
      </c>
      <c r="U628" s="3" t="s">
        <v>7015</v>
      </c>
      <c r="V628" s="3" t="s">
        <v>7010</v>
      </c>
      <c r="W628" s="74" t="str">
        <f t="shared" si="37"/>
        <v>Yes</v>
      </c>
      <c r="Z628">
        <v>627</v>
      </c>
      <c r="AA628" s="55" t="s">
        <v>5094</v>
      </c>
      <c r="AC628">
        <f t="shared" si="36"/>
        <v>6</v>
      </c>
      <c r="AD628" s="30" t="s">
        <v>5095</v>
      </c>
      <c r="AF628" t="s">
        <v>8044</v>
      </c>
      <c r="AH628" s="3" t="s">
        <v>7015</v>
      </c>
      <c r="AI628" s="3" t="s">
        <v>7010</v>
      </c>
      <c r="AJ628" s="3" t="s">
        <v>7010</v>
      </c>
      <c r="AK628" s="3" t="s">
        <v>7015</v>
      </c>
      <c r="AL628" s="3" t="s">
        <v>7010</v>
      </c>
      <c r="AM628" s="3" t="s">
        <v>7010</v>
      </c>
      <c r="AN628" s="3" t="s">
        <v>7010</v>
      </c>
      <c r="AO628" s="3" t="s">
        <v>7010</v>
      </c>
      <c r="AP628" s="74" t="s">
        <v>7015</v>
      </c>
      <c r="AU628">
        <v>627</v>
      </c>
      <c r="AV628" t="s">
        <v>5096</v>
      </c>
      <c r="AW628" t="s">
        <v>2279</v>
      </c>
      <c r="AX628">
        <f t="shared" si="38"/>
        <v>8</v>
      </c>
      <c r="AY628" s="30" t="s">
        <v>5097</v>
      </c>
      <c r="BC628" s="3" t="s">
        <v>7010</v>
      </c>
      <c r="BD628" s="3" t="s">
        <v>7010</v>
      </c>
      <c r="BE628" s="3" t="s">
        <v>7010</v>
      </c>
      <c r="BF628" s="3" t="s">
        <v>7010</v>
      </c>
      <c r="BG628" s="3" t="s">
        <v>7010</v>
      </c>
      <c r="BH628" s="3" t="s">
        <v>7010</v>
      </c>
      <c r="BI628" s="3" t="s">
        <v>7010</v>
      </c>
      <c r="BJ628" s="3" t="s">
        <v>7010</v>
      </c>
      <c r="BK628" s="74" t="str">
        <f t="shared" si="39"/>
        <v>No</v>
      </c>
    </row>
    <row r="629" spans="7:63">
      <c r="G629">
        <v>628</v>
      </c>
      <c r="H629" s="7" t="s">
        <v>1692</v>
      </c>
      <c r="I629" t="s">
        <v>29</v>
      </c>
      <c r="J629">
        <f>LEN(H629)</f>
        <v>16</v>
      </c>
      <c r="K629" s="49" t="s">
        <v>5460</v>
      </c>
      <c r="O629" s="3" t="s">
        <v>7010</v>
      </c>
      <c r="P629" s="3" t="s">
        <v>7010</v>
      </c>
      <c r="Q629" s="3" t="s">
        <v>7010</v>
      </c>
      <c r="R629" s="3" t="s">
        <v>7010</v>
      </c>
      <c r="S629" s="3" t="s">
        <v>7010</v>
      </c>
      <c r="T629" s="3" t="s">
        <v>7010</v>
      </c>
      <c r="U629" s="3" t="s">
        <v>7015</v>
      </c>
      <c r="V629" s="3" t="s">
        <v>7010</v>
      </c>
      <c r="W629" s="74" t="str">
        <f t="shared" si="37"/>
        <v>Yes</v>
      </c>
      <c r="Z629">
        <v>628</v>
      </c>
      <c r="AA629" s="55" t="s">
        <v>5099</v>
      </c>
      <c r="AC629">
        <f t="shared" si="36"/>
        <v>9</v>
      </c>
      <c r="AD629" s="30" t="s">
        <v>5100</v>
      </c>
      <c r="AF629" t="s">
        <v>8045</v>
      </c>
      <c r="AH629" s="3" t="s">
        <v>7015</v>
      </c>
      <c r="AI629" s="3" t="s">
        <v>7010</v>
      </c>
      <c r="AJ629" s="3" t="s">
        <v>7010</v>
      </c>
      <c r="AK629" s="3" t="s">
        <v>7015</v>
      </c>
      <c r="AL629" s="3" t="s">
        <v>7010</v>
      </c>
      <c r="AM629" s="3" t="s">
        <v>7010</v>
      </c>
      <c r="AN629" s="3" t="s">
        <v>7010</v>
      </c>
      <c r="AO629" s="3" t="s">
        <v>7010</v>
      </c>
      <c r="AP629" s="74" t="s">
        <v>7015</v>
      </c>
      <c r="AU629">
        <v>628</v>
      </c>
      <c r="AV629" t="s">
        <v>5101</v>
      </c>
      <c r="AW629" t="s">
        <v>2279</v>
      </c>
      <c r="AX629">
        <f t="shared" si="38"/>
        <v>8</v>
      </c>
      <c r="AY629" s="30" t="s">
        <v>5102</v>
      </c>
      <c r="BC629" s="3" t="s">
        <v>7010</v>
      </c>
      <c r="BD629" s="3" t="s">
        <v>7010</v>
      </c>
      <c r="BE629" s="3" t="s">
        <v>7015</v>
      </c>
      <c r="BF629" s="3" t="s">
        <v>7010</v>
      </c>
      <c r="BG629" s="3" t="s">
        <v>7010</v>
      </c>
      <c r="BH629" s="3" t="s">
        <v>7010</v>
      </c>
      <c r="BI629" s="3" t="s">
        <v>7010</v>
      </c>
      <c r="BJ629" s="3" t="s">
        <v>7010</v>
      </c>
      <c r="BK629" s="74" t="str">
        <f t="shared" si="39"/>
        <v>Yes</v>
      </c>
    </row>
    <row r="630" spans="7:63">
      <c r="G630">
        <v>629</v>
      </c>
      <c r="H630" s="7" t="s">
        <v>1262</v>
      </c>
      <c r="I630" t="s">
        <v>29</v>
      </c>
      <c r="J630">
        <f>LEN(H630)</f>
        <v>12</v>
      </c>
      <c r="K630" s="49" t="s">
        <v>4370</v>
      </c>
      <c r="O630" s="3" t="s">
        <v>7010</v>
      </c>
      <c r="P630" s="3" t="s">
        <v>7010</v>
      </c>
      <c r="Q630" s="3" t="s">
        <v>7010</v>
      </c>
      <c r="R630" s="3" t="s">
        <v>7010</v>
      </c>
      <c r="S630" s="3" t="s">
        <v>7010</v>
      </c>
      <c r="T630" s="3" t="s">
        <v>7010</v>
      </c>
      <c r="U630" s="3" t="s">
        <v>7010</v>
      </c>
      <c r="V630" s="3" t="s">
        <v>7010</v>
      </c>
      <c r="W630" s="74" t="str">
        <f t="shared" si="37"/>
        <v>No</v>
      </c>
      <c r="Z630">
        <v>629</v>
      </c>
      <c r="AA630" s="55" t="s">
        <v>5104</v>
      </c>
      <c r="AC630">
        <f t="shared" si="36"/>
        <v>6</v>
      </c>
      <c r="AD630" s="31" t="s">
        <v>5105</v>
      </c>
      <c r="AF630" t="s">
        <v>8046</v>
      </c>
      <c r="AH630" s="3" t="s">
        <v>7015</v>
      </c>
      <c r="AI630" s="3" t="s">
        <v>7010</v>
      </c>
      <c r="AJ630" s="3" t="s">
        <v>7010</v>
      </c>
      <c r="AK630" s="3" t="s">
        <v>7015</v>
      </c>
      <c r="AL630" s="3" t="s">
        <v>7010</v>
      </c>
      <c r="AM630" s="3" t="s">
        <v>7010</v>
      </c>
      <c r="AN630" s="3" t="s">
        <v>7010</v>
      </c>
      <c r="AO630" s="3" t="s">
        <v>7010</v>
      </c>
      <c r="AP630" s="74" t="s">
        <v>7015</v>
      </c>
      <c r="AU630">
        <v>629</v>
      </c>
      <c r="AV630" t="s">
        <v>5106</v>
      </c>
      <c r="AW630" t="s">
        <v>2279</v>
      </c>
      <c r="AX630">
        <f t="shared" si="38"/>
        <v>8</v>
      </c>
      <c r="AY630" s="30" t="s">
        <v>5107</v>
      </c>
      <c r="BC630" s="3" t="s">
        <v>7015</v>
      </c>
      <c r="BD630" s="3" t="s">
        <v>7010</v>
      </c>
      <c r="BE630" s="3" t="s">
        <v>7015</v>
      </c>
      <c r="BF630" s="3" t="s">
        <v>7010</v>
      </c>
      <c r="BG630" s="3" t="s">
        <v>7010</v>
      </c>
      <c r="BH630" s="3" t="s">
        <v>7010</v>
      </c>
      <c r="BI630" s="3" t="s">
        <v>7010</v>
      </c>
      <c r="BJ630" s="3" t="s">
        <v>7010</v>
      </c>
      <c r="BK630" s="74" t="str">
        <f t="shared" si="39"/>
        <v>Yes</v>
      </c>
    </row>
    <row r="631" spans="7:63">
      <c r="G631">
        <v>630</v>
      </c>
      <c r="H631" s="7" t="s">
        <v>549</v>
      </c>
      <c r="I631" t="s">
        <v>29</v>
      </c>
      <c r="J631">
        <f>LEN(H631)</f>
        <v>11</v>
      </c>
      <c r="K631" s="49" t="s">
        <v>3113</v>
      </c>
      <c r="O631" s="3" t="s">
        <v>7010</v>
      </c>
      <c r="P631" s="3" t="s">
        <v>7010</v>
      </c>
      <c r="Q631" s="3" t="s">
        <v>7010</v>
      </c>
      <c r="R631" s="3" t="s">
        <v>7010</v>
      </c>
      <c r="S631" s="3" t="s">
        <v>7010</v>
      </c>
      <c r="T631" s="3" t="s">
        <v>7010</v>
      </c>
      <c r="U631" s="3" t="s">
        <v>7010</v>
      </c>
      <c r="V631" s="3" t="s">
        <v>7010</v>
      </c>
      <c r="W631" s="74" t="str">
        <f t="shared" si="37"/>
        <v>No</v>
      </c>
      <c r="Z631">
        <v>630</v>
      </c>
      <c r="AA631" s="55" t="s">
        <v>5109</v>
      </c>
      <c r="AC631">
        <f t="shared" si="36"/>
        <v>7</v>
      </c>
      <c r="AD631" s="30" t="s">
        <v>5110</v>
      </c>
      <c r="AF631" t="s">
        <v>8047</v>
      </c>
      <c r="AH631" s="3" t="s">
        <v>7015</v>
      </c>
      <c r="AI631" s="3" t="s">
        <v>7010</v>
      </c>
      <c r="AJ631" s="3" t="s">
        <v>7010</v>
      </c>
      <c r="AK631" s="3" t="s">
        <v>7015</v>
      </c>
      <c r="AL631" s="3" t="s">
        <v>7010</v>
      </c>
      <c r="AM631" s="3" t="s">
        <v>7010</v>
      </c>
      <c r="AN631" s="3" t="s">
        <v>7010</v>
      </c>
      <c r="AO631" s="3" t="s">
        <v>7010</v>
      </c>
      <c r="AP631" s="74" t="s">
        <v>7015</v>
      </c>
      <c r="AU631">
        <v>630</v>
      </c>
      <c r="AV631" t="s">
        <v>5111</v>
      </c>
      <c r="AW631" t="s">
        <v>2279</v>
      </c>
      <c r="AX631">
        <f t="shared" si="38"/>
        <v>11</v>
      </c>
      <c r="AY631" s="30" t="s">
        <v>5112</v>
      </c>
      <c r="BC631" s="3" t="s">
        <v>7010</v>
      </c>
      <c r="BD631" s="3" t="s">
        <v>7010</v>
      </c>
      <c r="BE631" s="3" t="s">
        <v>7010</v>
      </c>
      <c r="BF631" s="3" t="s">
        <v>7010</v>
      </c>
      <c r="BG631" s="3" t="s">
        <v>7010</v>
      </c>
      <c r="BH631" s="3" t="s">
        <v>7010</v>
      </c>
      <c r="BI631" s="3" t="s">
        <v>7010</v>
      </c>
      <c r="BJ631" s="3" t="s">
        <v>7010</v>
      </c>
      <c r="BK631" s="74" t="str">
        <f t="shared" si="39"/>
        <v>No</v>
      </c>
    </row>
    <row r="632" spans="7:63">
      <c r="G632">
        <v>631</v>
      </c>
      <c r="H632" s="7" t="s">
        <v>1532</v>
      </c>
      <c r="I632" t="s">
        <v>29</v>
      </c>
      <c r="J632">
        <f>LEN(H632)</f>
        <v>11</v>
      </c>
      <c r="K632" s="49" t="s">
        <v>5057</v>
      </c>
      <c r="O632" s="3" t="s">
        <v>7010</v>
      </c>
      <c r="P632" s="3" t="s">
        <v>7010</v>
      </c>
      <c r="Q632" s="3" t="s">
        <v>7010</v>
      </c>
      <c r="R632" s="3" t="s">
        <v>7010</v>
      </c>
      <c r="S632" s="3" t="s">
        <v>7010</v>
      </c>
      <c r="T632" s="3" t="s">
        <v>7010</v>
      </c>
      <c r="U632" s="3" t="s">
        <v>7015</v>
      </c>
      <c r="V632" s="3" t="s">
        <v>7010</v>
      </c>
      <c r="W632" s="74" t="str">
        <f t="shared" si="37"/>
        <v>Yes</v>
      </c>
      <c r="Z632">
        <v>631</v>
      </c>
      <c r="AA632" s="55" t="s">
        <v>5114</v>
      </c>
      <c r="AC632">
        <f t="shared" si="36"/>
        <v>5</v>
      </c>
      <c r="AD632" s="30" t="s">
        <v>5115</v>
      </c>
      <c r="AF632" t="s">
        <v>8048</v>
      </c>
      <c r="AH632" s="3" t="s">
        <v>7015</v>
      </c>
      <c r="AI632" s="3" t="s">
        <v>7010</v>
      </c>
      <c r="AJ632" s="3" t="s">
        <v>7010</v>
      </c>
      <c r="AK632" s="3" t="s">
        <v>7015</v>
      </c>
      <c r="AL632" s="3" t="s">
        <v>7010</v>
      </c>
      <c r="AM632" s="3" t="s">
        <v>7010</v>
      </c>
      <c r="AN632" s="3" t="s">
        <v>7010</v>
      </c>
      <c r="AO632" s="3" t="s">
        <v>7010</v>
      </c>
      <c r="AP632" s="74" t="s">
        <v>7015</v>
      </c>
      <c r="AU632">
        <v>631</v>
      </c>
      <c r="AV632" t="s">
        <v>5116</v>
      </c>
      <c r="AW632" t="s">
        <v>2279</v>
      </c>
      <c r="AX632">
        <f t="shared" si="38"/>
        <v>8</v>
      </c>
      <c r="AY632" s="30" t="s">
        <v>5117</v>
      </c>
      <c r="BC632" s="3" t="s">
        <v>7010</v>
      </c>
      <c r="BD632" s="3" t="s">
        <v>7010</v>
      </c>
      <c r="BE632" s="3" t="s">
        <v>7010</v>
      </c>
      <c r="BF632" s="3" t="s">
        <v>7010</v>
      </c>
      <c r="BG632" s="3" t="s">
        <v>7010</v>
      </c>
      <c r="BH632" s="3" t="s">
        <v>7010</v>
      </c>
      <c r="BI632" s="3" t="s">
        <v>7010</v>
      </c>
      <c r="BJ632" s="3" t="s">
        <v>7010</v>
      </c>
      <c r="BK632" s="74" t="str">
        <f t="shared" si="39"/>
        <v>No</v>
      </c>
    </row>
    <row r="633" spans="7:63">
      <c r="G633">
        <v>632</v>
      </c>
      <c r="H633" s="7" t="s">
        <v>1248</v>
      </c>
      <c r="I633" t="s">
        <v>29</v>
      </c>
      <c r="J633">
        <f>LEN(H633)</f>
        <v>9</v>
      </c>
      <c r="K633" s="49" t="s">
        <v>4336</v>
      </c>
      <c r="O633" s="3" t="s">
        <v>7010</v>
      </c>
      <c r="P633" s="3" t="s">
        <v>7010</v>
      </c>
      <c r="Q633" s="3" t="s">
        <v>7010</v>
      </c>
      <c r="R633" s="3" t="s">
        <v>7010</v>
      </c>
      <c r="S633" s="3" t="s">
        <v>7010</v>
      </c>
      <c r="T633" s="3" t="s">
        <v>7010</v>
      </c>
      <c r="U633" s="3" t="s">
        <v>7010</v>
      </c>
      <c r="V633" s="3" t="s">
        <v>7010</v>
      </c>
      <c r="W633" s="74" t="str">
        <f t="shared" si="37"/>
        <v>No</v>
      </c>
      <c r="Z633">
        <v>632</v>
      </c>
      <c r="AA633" s="55" t="s">
        <v>5119</v>
      </c>
      <c r="AC633">
        <f t="shared" si="36"/>
        <v>5</v>
      </c>
      <c r="AD633" s="30" t="s">
        <v>5120</v>
      </c>
      <c r="AF633" t="s">
        <v>8049</v>
      </c>
      <c r="AH633" s="3" t="s">
        <v>7015</v>
      </c>
      <c r="AI633" s="3" t="s">
        <v>7010</v>
      </c>
      <c r="AJ633" s="3" t="s">
        <v>7010</v>
      </c>
      <c r="AK633" s="3" t="s">
        <v>7015</v>
      </c>
      <c r="AL633" s="3" t="s">
        <v>7010</v>
      </c>
      <c r="AM633" s="3" t="s">
        <v>7010</v>
      </c>
      <c r="AN633" s="3" t="s">
        <v>7010</v>
      </c>
      <c r="AO633" s="3" t="s">
        <v>7010</v>
      </c>
      <c r="AP633" s="74" t="s">
        <v>7015</v>
      </c>
      <c r="AU633">
        <v>632</v>
      </c>
      <c r="AV633" t="s">
        <v>5121</v>
      </c>
      <c r="AW633" t="s">
        <v>2279</v>
      </c>
      <c r="AX633">
        <f t="shared" si="38"/>
        <v>10</v>
      </c>
      <c r="AY633" s="30" t="s">
        <v>5122</v>
      </c>
      <c r="BC633" s="3" t="s">
        <v>7010</v>
      </c>
      <c r="BD633" s="3" t="s">
        <v>7010</v>
      </c>
      <c r="BE633" s="3" t="s">
        <v>7010</v>
      </c>
      <c r="BF633" s="3" t="s">
        <v>7010</v>
      </c>
      <c r="BG633" s="3" t="s">
        <v>7010</v>
      </c>
      <c r="BH633" s="3" t="s">
        <v>7010</v>
      </c>
      <c r="BI633" s="3" t="s">
        <v>7010</v>
      </c>
      <c r="BJ633" s="3" t="s">
        <v>7010</v>
      </c>
      <c r="BK633" s="74" t="str">
        <f t="shared" si="39"/>
        <v>No</v>
      </c>
    </row>
    <row r="634" spans="7:63">
      <c r="G634">
        <v>633</v>
      </c>
      <c r="H634" s="7" t="s">
        <v>1410</v>
      </c>
      <c r="I634" t="s">
        <v>29</v>
      </c>
      <c r="J634">
        <f>LEN(H634)</f>
        <v>11</v>
      </c>
      <c r="K634" s="49" t="s">
        <v>4746</v>
      </c>
      <c r="O634" s="3" t="s">
        <v>7010</v>
      </c>
      <c r="P634" s="3" t="s">
        <v>7010</v>
      </c>
      <c r="Q634" s="3" t="s">
        <v>7010</v>
      </c>
      <c r="R634" s="3" t="s">
        <v>7010</v>
      </c>
      <c r="S634" s="3" t="s">
        <v>7010</v>
      </c>
      <c r="T634" s="3" t="s">
        <v>7010</v>
      </c>
      <c r="U634" s="3" t="s">
        <v>7010</v>
      </c>
      <c r="V634" s="3" t="s">
        <v>7010</v>
      </c>
      <c r="W634" s="74" t="str">
        <f t="shared" si="37"/>
        <v>No</v>
      </c>
      <c r="Z634">
        <v>633</v>
      </c>
      <c r="AA634" s="55" t="s">
        <v>5124</v>
      </c>
      <c r="AC634">
        <f t="shared" si="36"/>
        <v>6</v>
      </c>
      <c r="AD634" s="30" t="s">
        <v>5125</v>
      </c>
      <c r="AF634" t="s">
        <v>8050</v>
      </c>
      <c r="AH634" s="3" t="s">
        <v>7015</v>
      </c>
      <c r="AI634" s="3" t="s">
        <v>7010</v>
      </c>
      <c r="AJ634" s="3" t="s">
        <v>7010</v>
      </c>
      <c r="AK634" s="3" t="s">
        <v>7015</v>
      </c>
      <c r="AL634" s="3" t="s">
        <v>7010</v>
      </c>
      <c r="AM634" s="3" t="s">
        <v>7010</v>
      </c>
      <c r="AN634" s="3" t="s">
        <v>7010</v>
      </c>
      <c r="AO634" s="3" t="s">
        <v>7010</v>
      </c>
      <c r="AP634" s="74" t="s">
        <v>7015</v>
      </c>
      <c r="AU634">
        <v>633</v>
      </c>
      <c r="AV634" t="s">
        <v>5126</v>
      </c>
      <c r="AW634" t="s">
        <v>2279</v>
      </c>
      <c r="AX634">
        <f t="shared" si="38"/>
        <v>10</v>
      </c>
      <c r="AY634" s="30" t="s">
        <v>5127</v>
      </c>
      <c r="BC634" s="3" t="s">
        <v>7010</v>
      </c>
      <c r="BD634" s="3" t="s">
        <v>7010</v>
      </c>
      <c r="BE634" s="3" t="s">
        <v>7015</v>
      </c>
      <c r="BF634" s="3" t="s">
        <v>7010</v>
      </c>
      <c r="BG634" s="3" t="s">
        <v>7010</v>
      </c>
      <c r="BH634" s="3" t="s">
        <v>7010</v>
      </c>
      <c r="BI634" s="3" t="s">
        <v>7010</v>
      </c>
      <c r="BJ634" s="3" t="s">
        <v>7010</v>
      </c>
      <c r="BK634" s="74" t="str">
        <f t="shared" si="39"/>
        <v>Yes</v>
      </c>
    </row>
    <row r="635" spans="7:63">
      <c r="G635">
        <v>634</v>
      </c>
      <c r="H635" s="7" t="s">
        <v>1630</v>
      </c>
      <c r="I635" t="s">
        <v>29</v>
      </c>
      <c r="J635">
        <f>LEN(H635)</f>
        <v>13</v>
      </c>
      <c r="K635" s="49" t="s">
        <v>5305</v>
      </c>
      <c r="O635" s="3" t="s">
        <v>7010</v>
      </c>
      <c r="P635" s="3" t="s">
        <v>7010</v>
      </c>
      <c r="Q635" s="3" t="s">
        <v>7010</v>
      </c>
      <c r="R635" s="3" t="s">
        <v>7010</v>
      </c>
      <c r="S635" s="3" t="s">
        <v>7010</v>
      </c>
      <c r="T635" s="3" t="s">
        <v>7010</v>
      </c>
      <c r="U635" s="3" t="s">
        <v>7010</v>
      </c>
      <c r="V635" s="3" t="s">
        <v>7010</v>
      </c>
      <c r="W635" s="74" t="str">
        <f t="shared" si="37"/>
        <v>No</v>
      </c>
      <c r="Z635">
        <v>634</v>
      </c>
      <c r="AA635" s="55" t="s">
        <v>5129</v>
      </c>
      <c r="AC635">
        <f t="shared" si="36"/>
        <v>7</v>
      </c>
      <c r="AD635" s="30" t="s">
        <v>5130</v>
      </c>
      <c r="AF635" t="s">
        <v>8051</v>
      </c>
      <c r="AH635" s="3" t="s">
        <v>7015</v>
      </c>
      <c r="AI635" s="3" t="s">
        <v>7010</v>
      </c>
      <c r="AJ635" s="3" t="s">
        <v>7010</v>
      </c>
      <c r="AK635" s="3" t="s">
        <v>7015</v>
      </c>
      <c r="AL635" s="3" t="s">
        <v>7010</v>
      </c>
      <c r="AM635" s="3" t="s">
        <v>7010</v>
      </c>
      <c r="AN635" s="3" t="s">
        <v>7010</v>
      </c>
      <c r="AO635" s="3" t="s">
        <v>7010</v>
      </c>
      <c r="AP635" s="74" t="s">
        <v>7015</v>
      </c>
      <c r="AU635">
        <v>634</v>
      </c>
      <c r="AV635" t="s">
        <v>5131</v>
      </c>
      <c r="AW635" t="s">
        <v>2279</v>
      </c>
      <c r="AX635">
        <f t="shared" si="38"/>
        <v>11</v>
      </c>
      <c r="AY635" s="30" t="s">
        <v>5132</v>
      </c>
      <c r="BC635" s="3" t="s">
        <v>7010</v>
      </c>
      <c r="BD635" s="3" t="s">
        <v>7010</v>
      </c>
      <c r="BE635" s="3" t="s">
        <v>7015</v>
      </c>
      <c r="BF635" s="3" t="s">
        <v>7010</v>
      </c>
      <c r="BG635" s="3" t="s">
        <v>7010</v>
      </c>
      <c r="BH635" s="3" t="s">
        <v>7010</v>
      </c>
      <c r="BI635" s="3" t="s">
        <v>7010</v>
      </c>
      <c r="BJ635" s="3" t="s">
        <v>7010</v>
      </c>
      <c r="BK635" s="74" t="str">
        <f t="shared" si="39"/>
        <v>Yes</v>
      </c>
    </row>
    <row r="636" spans="7:63">
      <c r="G636">
        <v>635</v>
      </c>
      <c r="H636" s="7" t="s">
        <v>1326</v>
      </c>
      <c r="I636" t="s">
        <v>29</v>
      </c>
      <c r="J636">
        <f>LEN(H636)</f>
        <v>10</v>
      </c>
      <c r="K636" s="49" t="s">
        <v>4530</v>
      </c>
      <c r="O636" s="3" t="s">
        <v>7010</v>
      </c>
      <c r="P636" s="3" t="s">
        <v>7010</v>
      </c>
      <c r="Q636" s="3" t="s">
        <v>7010</v>
      </c>
      <c r="R636" s="3" t="s">
        <v>7010</v>
      </c>
      <c r="S636" s="3" t="s">
        <v>7010</v>
      </c>
      <c r="T636" s="3" t="s">
        <v>7010</v>
      </c>
      <c r="U636" s="3" t="s">
        <v>7010</v>
      </c>
      <c r="V636" s="3" t="s">
        <v>7010</v>
      </c>
      <c r="W636" s="74" t="str">
        <f t="shared" si="37"/>
        <v>No</v>
      </c>
      <c r="Z636">
        <v>635</v>
      </c>
      <c r="AA636" s="55" t="s">
        <v>5134</v>
      </c>
      <c r="AC636">
        <f t="shared" si="36"/>
        <v>6</v>
      </c>
      <c r="AD636" s="30" t="s">
        <v>5135</v>
      </c>
      <c r="AF636" t="s">
        <v>8052</v>
      </c>
      <c r="AH636" s="3" t="s">
        <v>7015</v>
      </c>
      <c r="AI636" s="3" t="s">
        <v>7010</v>
      </c>
      <c r="AJ636" s="3" t="s">
        <v>7010</v>
      </c>
      <c r="AK636" s="3" t="s">
        <v>7015</v>
      </c>
      <c r="AL636" s="3" t="s">
        <v>7010</v>
      </c>
      <c r="AM636" s="3" t="s">
        <v>7010</v>
      </c>
      <c r="AN636" s="3" t="s">
        <v>7010</v>
      </c>
      <c r="AO636" s="3" t="s">
        <v>7010</v>
      </c>
      <c r="AP636" s="74" t="s">
        <v>7015</v>
      </c>
      <c r="AU636">
        <v>635</v>
      </c>
      <c r="AV636" t="s">
        <v>5136</v>
      </c>
      <c r="AW636" t="s">
        <v>2279</v>
      </c>
      <c r="AX636">
        <f t="shared" si="38"/>
        <v>12</v>
      </c>
      <c r="AY636" s="30" t="s">
        <v>5137</v>
      </c>
      <c r="BC636" s="3" t="s">
        <v>7010</v>
      </c>
      <c r="BD636" s="3" t="s">
        <v>7010</v>
      </c>
      <c r="BE636" s="3" t="s">
        <v>7010</v>
      </c>
      <c r="BF636" s="3" t="s">
        <v>7010</v>
      </c>
      <c r="BG636" s="3" t="s">
        <v>7010</v>
      </c>
      <c r="BH636" s="3" t="s">
        <v>7010</v>
      </c>
      <c r="BI636" s="3" t="s">
        <v>7010</v>
      </c>
      <c r="BJ636" s="3" t="s">
        <v>7010</v>
      </c>
      <c r="BK636" s="74" t="str">
        <f t="shared" si="39"/>
        <v>No</v>
      </c>
    </row>
    <row r="637" spans="7:63">
      <c r="G637">
        <v>636</v>
      </c>
      <c r="H637" s="7" t="s">
        <v>1646</v>
      </c>
      <c r="I637" t="s">
        <v>29</v>
      </c>
      <c r="J637">
        <f>LEN(H637)</f>
        <v>12</v>
      </c>
      <c r="K637" s="49" t="s">
        <v>5346</v>
      </c>
      <c r="O637" s="3" t="s">
        <v>7010</v>
      </c>
      <c r="P637" s="3" t="s">
        <v>7010</v>
      </c>
      <c r="Q637" s="3" t="s">
        <v>7010</v>
      </c>
      <c r="R637" s="3" t="s">
        <v>7010</v>
      </c>
      <c r="S637" s="3" t="s">
        <v>7010</v>
      </c>
      <c r="T637" s="3" t="s">
        <v>7010</v>
      </c>
      <c r="U637" s="3" t="s">
        <v>7010</v>
      </c>
      <c r="V637" s="3" t="s">
        <v>7010</v>
      </c>
      <c r="W637" s="74" t="str">
        <f t="shared" si="37"/>
        <v>No</v>
      </c>
      <c r="Z637">
        <v>636</v>
      </c>
      <c r="AA637" s="55" t="s">
        <v>5139</v>
      </c>
      <c r="AC637">
        <f t="shared" si="36"/>
        <v>5</v>
      </c>
      <c r="AD637" s="30" t="s">
        <v>5140</v>
      </c>
      <c r="AF637" t="s">
        <v>8053</v>
      </c>
      <c r="AH637" s="3" t="s">
        <v>7015</v>
      </c>
      <c r="AI637" s="3" t="s">
        <v>7010</v>
      </c>
      <c r="AJ637" s="3" t="s">
        <v>7010</v>
      </c>
      <c r="AK637" s="3" t="s">
        <v>7015</v>
      </c>
      <c r="AL637" s="3" t="s">
        <v>7010</v>
      </c>
      <c r="AM637" s="3" t="s">
        <v>7010</v>
      </c>
      <c r="AN637" s="3" t="s">
        <v>7010</v>
      </c>
      <c r="AO637" s="3" t="s">
        <v>7010</v>
      </c>
      <c r="AP637" s="74" t="s">
        <v>7015</v>
      </c>
      <c r="AU637">
        <v>636</v>
      </c>
      <c r="AV637" t="s">
        <v>5141</v>
      </c>
      <c r="AW637" t="s">
        <v>2279</v>
      </c>
      <c r="AX637">
        <f t="shared" si="38"/>
        <v>9</v>
      </c>
      <c r="AY637" s="30" t="s">
        <v>5142</v>
      </c>
      <c r="BC637" s="3" t="s">
        <v>7010</v>
      </c>
      <c r="BD637" s="3" t="s">
        <v>7010</v>
      </c>
      <c r="BE637" s="3" t="s">
        <v>7010</v>
      </c>
      <c r="BF637" s="3" t="s">
        <v>7010</v>
      </c>
      <c r="BG637" s="3" t="s">
        <v>7010</v>
      </c>
      <c r="BH637" s="3" t="s">
        <v>7010</v>
      </c>
      <c r="BI637" s="3" t="s">
        <v>7010</v>
      </c>
      <c r="BJ637" s="3" t="s">
        <v>7010</v>
      </c>
      <c r="BK637" s="74" t="str">
        <f t="shared" si="39"/>
        <v>No</v>
      </c>
    </row>
    <row r="638" spans="7:63">
      <c r="G638">
        <v>637</v>
      </c>
      <c r="H638" s="7" t="s">
        <v>1302</v>
      </c>
      <c r="I638" t="s">
        <v>29</v>
      </c>
      <c r="J638">
        <f>LEN(H638)</f>
        <v>9</v>
      </c>
      <c r="K638" s="49" t="s">
        <v>4472</v>
      </c>
      <c r="O638" s="3" t="s">
        <v>7010</v>
      </c>
      <c r="P638" s="3" t="s">
        <v>7010</v>
      </c>
      <c r="Q638" s="3" t="s">
        <v>7010</v>
      </c>
      <c r="R638" s="3" t="s">
        <v>7010</v>
      </c>
      <c r="S638" s="3" t="s">
        <v>7010</v>
      </c>
      <c r="T638" s="3" t="s">
        <v>7010</v>
      </c>
      <c r="U638" s="3" t="s">
        <v>7010</v>
      </c>
      <c r="V638" s="3" t="s">
        <v>7010</v>
      </c>
      <c r="W638" s="74" t="str">
        <f t="shared" si="37"/>
        <v>No</v>
      </c>
      <c r="Z638">
        <v>637</v>
      </c>
      <c r="AA638" s="55" t="s">
        <v>5144</v>
      </c>
      <c r="AC638">
        <f t="shared" si="36"/>
        <v>8</v>
      </c>
      <c r="AD638" s="30" t="s">
        <v>5145</v>
      </c>
      <c r="AF638" t="s">
        <v>8054</v>
      </c>
      <c r="AH638" s="3" t="s">
        <v>7015</v>
      </c>
      <c r="AI638" s="3" t="s">
        <v>7010</v>
      </c>
      <c r="AJ638" s="3" t="s">
        <v>7010</v>
      </c>
      <c r="AK638" s="3" t="s">
        <v>7015</v>
      </c>
      <c r="AL638" s="3" t="s">
        <v>7010</v>
      </c>
      <c r="AM638" s="3" t="s">
        <v>7010</v>
      </c>
      <c r="AN638" s="3" t="s">
        <v>7010</v>
      </c>
      <c r="AO638" s="3" t="s">
        <v>7010</v>
      </c>
      <c r="AP638" s="74" t="s">
        <v>7015</v>
      </c>
      <c r="AU638">
        <v>637</v>
      </c>
      <c r="AV638" t="s">
        <v>5146</v>
      </c>
      <c r="AW638" t="s">
        <v>2279</v>
      </c>
      <c r="AX638">
        <f t="shared" si="38"/>
        <v>11</v>
      </c>
      <c r="AY638" s="30" t="s">
        <v>5147</v>
      </c>
      <c r="BC638" s="3" t="s">
        <v>7010</v>
      </c>
      <c r="BD638" s="3" t="s">
        <v>7010</v>
      </c>
      <c r="BE638" s="3" t="s">
        <v>7010</v>
      </c>
      <c r="BF638" s="3" t="s">
        <v>7010</v>
      </c>
      <c r="BG638" s="3" t="s">
        <v>7010</v>
      </c>
      <c r="BH638" s="3" t="s">
        <v>7010</v>
      </c>
      <c r="BI638" s="3" t="s">
        <v>7010</v>
      </c>
      <c r="BJ638" s="3" t="s">
        <v>7010</v>
      </c>
      <c r="BK638" s="74" t="str">
        <f t="shared" si="39"/>
        <v>No</v>
      </c>
    </row>
    <row r="639" spans="7:63">
      <c r="G639">
        <v>638</v>
      </c>
      <c r="H639" s="7" t="s">
        <v>1548</v>
      </c>
      <c r="I639" t="s">
        <v>29</v>
      </c>
      <c r="J639">
        <f>LEN(H639)</f>
        <v>14</v>
      </c>
      <c r="K639" s="49" t="s">
        <v>5098</v>
      </c>
      <c r="O639" s="3" t="s">
        <v>7010</v>
      </c>
      <c r="P639" s="3" t="s">
        <v>7010</v>
      </c>
      <c r="Q639" s="3" t="s">
        <v>7010</v>
      </c>
      <c r="R639" s="3" t="s">
        <v>7010</v>
      </c>
      <c r="S639" s="3" t="s">
        <v>7010</v>
      </c>
      <c r="T639" s="3" t="s">
        <v>7010</v>
      </c>
      <c r="U639" s="3" t="s">
        <v>7010</v>
      </c>
      <c r="V639" s="3" t="s">
        <v>7010</v>
      </c>
      <c r="W639" s="74" t="str">
        <f t="shared" si="37"/>
        <v>No</v>
      </c>
      <c r="Z639">
        <v>638</v>
      </c>
      <c r="AA639" s="55" t="s">
        <v>5149</v>
      </c>
      <c r="AC639">
        <f t="shared" si="36"/>
        <v>5</v>
      </c>
      <c r="AD639" s="30" t="s">
        <v>5150</v>
      </c>
      <c r="AF639" t="s">
        <v>8055</v>
      </c>
      <c r="AH639" s="3" t="s">
        <v>7015</v>
      </c>
      <c r="AI639" s="3" t="s">
        <v>7010</v>
      </c>
      <c r="AJ639" s="3" t="s">
        <v>7010</v>
      </c>
      <c r="AK639" s="3" t="s">
        <v>7015</v>
      </c>
      <c r="AL639" s="3" t="s">
        <v>7010</v>
      </c>
      <c r="AM639" s="3" t="s">
        <v>7010</v>
      </c>
      <c r="AN639" s="3" t="s">
        <v>7010</v>
      </c>
      <c r="AO639" s="3" t="s">
        <v>7010</v>
      </c>
      <c r="AP639" s="74" t="s">
        <v>7015</v>
      </c>
      <c r="AU639">
        <v>638</v>
      </c>
      <c r="AV639" t="s">
        <v>5151</v>
      </c>
      <c r="AW639" t="s">
        <v>2279</v>
      </c>
      <c r="AX639">
        <f t="shared" si="38"/>
        <v>9</v>
      </c>
      <c r="AY639" s="30" t="s">
        <v>5152</v>
      </c>
      <c r="BC639" s="3" t="s">
        <v>7010</v>
      </c>
      <c r="BD639" s="3" t="s">
        <v>7010</v>
      </c>
      <c r="BE639" s="3" t="s">
        <v>7010</v>
      </c>
      <c r="BF639" s="3" t="s">
        <v>7010</v>
      </c>
      <c r="BG639" s="3" t="s">
        <v>7010</v>
      </c>
      <c r="BH639" s="3" t="s">
        <v>7010</v>
      </c>
      <c r="BI639" s="3" t="s">
        <v>7010</v>
      </c>
      <c r="BJ639" s="3" t="s">
        <v>7010</v>
      </c>
      <c r="BK639" s="74" t="str">
        <f t="shared" si="39"/>
        <v>No</v>
      </c>
    </row>
    <row r="640" spans="7:63">
      <c r="G640">
        <v>639</v>
      </c>
      <c r="H640" s="7" t="s">
        <v>1462</v>
      </c>
      <c r="I640" t="s">
        <v>29</v>
      </c>
      <c r="J640">
        <f>LEN(H640)</f>
        <v>8</v>
      </c>
      <c r="K640" s="49" t="s">
        <v>4880</v>
      </c>
      <c r="O640" s="3" t="s">
        <v>7010</v>
      </c>
      <c r="P640" s="3" t="s">
        <v>7010</v>
      </c>
      <c r="Q640" s="3" t="s">
        <v>7010</v>
      </c>
      <c r="R640" s="3" t="s">
        <v>7010</v>
      </c>
      <c r="S640" s="3" t="s">
        <v>7010</v>
      </c>
      <c r="T640" s="3" t="s">
        <v>7010</v>
      </c>
      <c r="U640" s="3" t="s">
        <v>7010</v>
      </c>
      <c r="V640" s="3" t="s">
        <v>7010</v>
      </c>
      <c r="W640" s="74" t="str">
        <f t="shared" si="37"/>
        <v>No</v>
      </c>
      <c r="Z640">
        <v>639</v>
      </c>
      <c r="AA640" s="55" t="s">
        <v>5154</v>
      </c>
      <c r="AC640">
        <f t="shared" si="36"/>
        <v>7</v>
      </c>
      <c r="AD640" s="30" t="s">
        <v>5155</v>
      </c>
      <c r="AF640" t="s">
        <v>8056</v>
      </c>
      <c r="AH640" s="3" t="s">
        <v>7015</v>
      </c>
      <c r="AI640" s="3" t="s">
        <v>7010</v>
      </c>
      <c r="AJ640" s="3" t="s">
        <v>7010</v>
      </c>
      <c r="AK640" s="3" t="s">
        <v>7015</v>
      </c>
      <c r="AL640" s="3" t="s">
        <v>7010</v>
      </c>
      <c r="AM640" s="3" t="s">
        <v>7010</v>
      </c>
      <c r="AN640" s="3" t="s">
        <v>7010</v>
      </c>
      <c r="AO640" s="3" t="s">
        <v>7010</v>
      </c>
      <c r="AP640" s="74" t="s">
        <v>7015</v>
      </c>
      <c r="AU640">
        <v>639</v>
      </c>
      <c r="AV640" t="s">
        <v>5156</v>
      </c>
      <c r="AW640" t="s">
        <v>2279</v>
      </c>
      <c r="AX640">
        <f t="shared" si="38"/>
        <v>9</v>
      </c>
      <c r="AY640" s="30" t="s">
        <v>5157</v>
      </c>
      <c r="BC640" s="3" t="s">
        <v>7010</v>
      </c>
      <c r="BD640" s="3" t="s">
        <v>7010</v>
      </c>
      <c r="BE640" s="3" t="s">
        <v>7010</v>
      </c>
      <c r="BF640" s="3" t="s">
        <v>7010</v>
      </c>
      <c r="BG640" s="3" t="s">
        <v>7010</v>
      </c>
      <c r="BH640" s="3" t="s">
        <v>7010</v>
      </c>
      <c r="BI640" s="3" t="s">
        <v>7010</v>
      </c>
      <c r="BJ640" s="3" t="s">
        <v>7010</v>
      </c>
      <c r="BK640" s="74" t="str">
        <f t="shared" si="39"/>
        <v>No</v>
      </c>
    </row>
    <row r="641" spans="7:63">
      <c r="G641">
        <v>640</v>
      </c>
      <c r="H641" s="7" t="s">
        <v>1344</v>
      </c>
      <c r="I641" t="s">
        <v>29</v>
      </c>
      <c r="J641">
        <f>LEN(H641)</f>
        <v>9</v>
      </c>
      <c r="K641" s="49" t="s">
        <v>4575</v>
      </c>
      <c r="O641" s="3" t="s">
        <v>7010</v>
      </c>
      <c r="P641" s="3" t="s">
        <v>7010</v>
      </c>
      <c r="Q641" s="3" t="s">
        <v>7010</v>
      </c>
      <c r="R641" s="3" t="s">
        <v>7010</v>
      </c>
      <c r="S641" s="3" t="s">
        <v>7010</v>
      </c>
      <c r="T641" s="3" t="s">
        <v>7010</v>
      </c>
      <c r="U641" s="3" t="s">
        <v>7010</v>
      </c>
      <c r="V641" s="3" t="s">
        <v>7010</v>
      </c>
      <c r="W641" s="74" t="str">
        <f t="shared" si="37"/>
        <v>No</v>
      </c>
      <c r="Z641">
        <v>640</v>
      </c>
      <c r="AA641" s="55" t="s">
        <v>5159</v>
      </c>
      <c r="AC641">
        <f t="shared" si="36"/>
        <v>7</v>
      </c>
      <c r="AD641" s="30" t="s">
        <v>5160</v>
      </c>
      <c r="AF641" t="s">
        <v>8057</v>
      </c>
      <c r="AH641" s="3" t="s">
        <v>7015</v>
      </c>
      <c r="AI641" s="3" t="s">
        <v>7010</v>
      </c>
      <c r="AJ641" s="3" t="s">
        <v>7010</v>
      </c>
      <c r="AK641" s="3" t="s">
        <v>7015</v>
      </c>
      <c r="AL641" s="3" t="s">
        <v>7010</v>
      </c>
      <c r="AM641" s="3" t="s">
        <v>7010</v>
      </c>
      <c r="AN641" s="3" t="s">
        <v>7010</v>
      </c>
      <c r="AO641" s="3" t="s">
        <v>7010</v>
      </c>
      <c r="AP641" s="74" t="s">
        <v>7015</v>
      </c>
      <c r="AU641">
        <v>640</v>
      </c>
      <c r="AV641" t="s">
        <v>5161</v>
      </c>
      <c r="AW641" t="s">
        <v>2279</v>
      </c>
      <c r="AX641">
        <f t="shared" si="38"/>
        <v>9</v>
      </c>
      <c r="AY641" s="30" t="s">
        <v>5162</v>
      </c>
      <c r="BC641" s="3" t="s">
        <v>7010</v>
      </c>
      <c r="BD641" s="3" t="s">
        <v>7010</v>
      </c>
      <c r="BE641" s="3" t="s">
        <v>7010</v>
      </c>
      <c r="BF641" s="3" t="s">
        <v>7010</v>
      </c>
      <c r="BG641" s="3" t="s">
        <v>7010</v>
      </c>
      <c r="BH641" s="3" t="s">
        <v>7010</v>
      </c>
      <c r="BI641" s="3" t="s">
        <v>7010</v>
      </c>
      <c r="BJ641" s="3" t="s">
        <v>7010</v>
      </c>
      <c r="BK641" s="74" t="str">
        <f t="shared" si="39"/>
        <v>No</v>
      </c>
    </row>
    <row r="642" spans="7:63">
      <c r="G642">
        <v>641</v>
      </c>
      <c r="H642" t="s">
        <v>6948</v>
      </c>
      <c r="I642" t="s">
        <v>29</v>
      </c>
      <c r="J642">
        <f>LEN(H642)</f>
        <v>12</v>
      </c>
      <c r="K642" s="49" t="s">
        <v>6949</v>
      </c>
      <c r="O642" s="3" t="s">
        <v>7010</v>
      </c>
      <c r="P642" s="3" t="s">
        <v>7010</v>
      </c>
      <c r="Q642" s="3" t="s">
        <v>7010</v>
      </c>
      <c r="R642" s="3" t="s">
        <v>7010</v>
      </c>
      <c r="S642" s="3" t="s">
        <v>7010</v>
      </c>
      <c r="T642" s="3" t="s">
        <v>7010</v>
      </c>
      <c r="U642" s="3" t="s">
        <v>7010</v>
      </c>
      <c r="V642" s="3" t="s">
        <v>7010</v>
      </c>
      <c r="W642" s="74" t="str">
        <f t="shared" si="37"/>
        <v>No</v>
      </c>
      <c r="Z642">
        <v>641</v>
      </c>
      <c r="AA642" s="55" t="s">
        <v>5164</v>
      </c>
      <c r="AC642">
        <f t="shared" ref="AC642:AC705" si="40">LEN(AA642)</f>
        <v>9</v>
      </c>
      <c r="AD642" s="30" t="s">
        <v>5165</v>
      </c>
      <c r="AF642" t="s">
        <v>8058</v>
      </c>
      <c r="AH642" s="3" t="s">
        <v>7015</v>
      </c>
      <c r="AI642" s="3" t="s">
        <v>7010</v>
      </c>
      <c r="AJ642" s="3" t="s">
        <v>7010</v>
      </c>
      <c r="AK642" s="3" t="s">
        <v>7015</v>
      </c>
      <c r="AL642" s="3" t="s">
        <v>7010</v>
      </c>
      <c r="AM642" s="3" t="s">
        <v>7010</v>
      </c>
      <c r="AN642" s="3" t="s">
        <v>7010</v>
      </c>
      <c r="AO642" s="3" t="s">
        <v>7010</v>
      </c>
      <c r="AP642" s="74" t="s">
        <v>7015</v>
      </c>
      <c r="AU642">
        <v>641</v>
      </c>
      <c r="AV642" t="s">
        <v>5166</v>
      </c>
      <c r="AW642" t="s">
        <v>2279</v>
      </c>
      <c r="AX642">
        <f t="shared" si="38"/>
        <v>8</v>
      </c>
      <c r="AY642" s="30" t="s">
        <v>5167</v>
      </c>
      <c r="BC642" s="3" t="s">
        <v>7010</v>
      </c>
      <c r="BD642" s="3" t="s">
        <v>7010</v>
      </c>
      <c r="BE642" s="3" t="s">
        <v>7010</v>
      </c>
      <c r="BF642" s="3" t="s">
        <v>7010</v>
      </c>
      <c r="BG642" s="3" t="s">
        <v>7010</v>
      </c>
      <c r="BH642" s="3" t="s">
        <v>7010</v>
      </c>
      <c r="BI642" s="3" t="s">
        <v>7010</v>
      </c>
      <c r="BJ642" s="3" t="s">
        <v>7010</v>
      </c>
      <c r="BK642" s="74" t="str">
        <f t="shared" si="39"/>
        <v>No</v>
      </c>
    </row>
    <row r="643" spans="7:63">
      <c r="G643">
        <v>642</v>
      </c>
      <c r="H643" s="7" t="s">
        <v>475</v>
      </c>
      <c r="I643" t="s">
        <v>29</v>
      </c>
      <c r="J643">
        <f>LEN(H643)</f>
        <v>12</v>
      </c>
      <c r="K643" s="49" t="s">
        <v>2817</v>
      </c>
      <c r="O643" s="3" t="s">
        <v>7010</v>
      </c>
      <c r="P643" s="3" t="s">
        <v>7010</v>
      </c>
      <c r="Q643" s="3" t="s">
        <v>7010</v>
      </c>
      <c r="R643" s="3" t="s">
        <v>7010</v>
      </c>
      <c r="S643" s="3" t="s">
        <v>7010</v>
      </c>
      <c r="T643" s="3" t="s">
        <v>7015</v>
      </c>
      <c r="U643" s="3" t="s">
        <v>7010</v>
      </c>
      <c r="V643" s="3" t="s">
        <v>7015</v>
      </c>
      <c r="W643" s="74" t="str">
        <f t="shared" ref="W643:W706" si="41">IF(COUNTIF(O643:V643, "Yes") &gt; 0, "Yes", "No")</f>
        <v>Yes</v>
      </c>
      <c r="Z643">
        <v>642</v>
      </c>
      <c r="AA643" s="55" t="s">
        <v>5169</v>
      </c>
      <c r="AC643">
        <f t="shared" si="40"/>
        <v>8</v>
      </c>
      <c r="AD643" s="30" t="s">
        <v>5170</v>
      </c>
      <c r="AF643" t="s">
        <v>8059</v>
      </c>
      <c r="AH643" s="3" t="s">
        <v>7015</v>
      </c>
      <c r="AI643" s="3" t="s">
        <v>7010</v>
      </c>
      <c r="AJ643" s="3" t="s">
        <v>7010</v>
      </c>
      <c r="AK643" s="3" t="s">
        <v>7015</v>
      </c>
      <c r="AL643" s="3" t="s">
        <v>7010</v>
      </c>
      <c r="AM643" s="3" t="s">
        <v>7010</v>
      </c>
      <c r="AN643" s="3" t="s">
        <v>7010</v>
      </c>
      <c r="AO643" s="3" t="s">
        <v>7010</v>
      </c>
      <c r="AP643" s="74" t="s">
        <v>7015</v>
      </c>
      <c r="AU643">
        <v>642</v>
      </c>
      <c r="AV643" t="s">
        <v>5171</v>
      </c>
      <c r="AW643" t="s">
        <v>2279</v>
      </c>
      <c r="AX643">
        <f t="shared" ref="AX643:AX706" si="42">LEN(AV643)</f>
        <v>8</v>
      </c>
      <c r="AY643" s="30" t="s">
        <v>5172</v>
      </c>
      <c r="BC643" s="3" t="s">
        <v>7010</v>
      </c>
      <c r="BD643" s="3" t="s">
        <v>7010</v>
      </c>
      <c r="BE643" s="3" t="s">
        <v>7010</v>
      </c>
      <c r="BF643" s="3" t="s">
        <v>7010</v>
      </c>
      <c r="BG643" s="3" t="s">
        <v>7010</v>
      </c>
      <c r="BH643" s="3" t="s">
        <v>7010</v>
      </c>
      <c r="BI643" s="3" t="s">
        <v>7010</v>
      </c>
      <c r="BJ643" s="3" t="s">
        <v>7010</v>
      </c>
      <c r="BK643" s="74" t="str">
        <f t="shared" ref="BK643:BK706" si="43">IF(COUNTIF(BC643:BJ643, "Yes") &gt; 0, "Yes", "No")</f>
        <v>No</v>
      </c>
    </row>
    <row r="644" spans="7:63">
      <c r="G644">
        <v>643</v>
      </c>
      <c r="H644" s="7" t="s">
        <v>1494</v>
      </c>
      <c r="I644" t="s">
        <v>29</v>
      </c>
      <c r="J644">
        <f>LEN(H644)</f>
        <v>17</v>
      </c>
      <c r="K644" s="49" t="s">
        <v>4959</v>
      </c>
      <c r="O644" s="3" t="s">
        <v>7010</v>
      </c>
      <c r="P644" s="3" t="s">
        <v>7010</v>
      </c>
      <c r="Q644" s="3" t="s">
        <v>7010</v>
      </c>
      <c r="R644" s="3" t="s">
        <v>7010</v>
      </c>
      <c r="S644" s="3" t="s">
        <v>7010</v>
      </c>
      <c r="T644" s="3" t="s">
        <v>7010</v>
      </c>
      <c r="U644" s="3" t="s">
        <v>7010</v>
      </c>
      <c r="V644" s="3" t="s">
        <v>7010</v>
      </c>
      <c r="W644" s="74" t="str">
        <f t="shared" si="41"/>
        <v>No</v>
      </c>
      <c r="Z644">
        <v>643</v>
      </c>
      <c r="AA644" s="55" t="s">
        <v>5174</v>
      </c>
      <c r="AC644">
        <f t="shared" si="40"/>
        <v>6</v>
      </c>
      <c r="AD644" s="30" t="s">
        <v>5175</v>
      </c>
      <c r="AF644" t="s">
        <v>8060</v>
      </c>
      <c r="AH644" s="3" t="s">
        <v>7015</v>
      </c>
      <c r="AI644" s="3" t="s">
        <v>7010</v>
      </c>
      <c r="AJ644" s="3" t="s">
        <v>7010</v>
      </c>
      <c r="AK644" s="3" t="s">
        <v>7015</v>
      </c>
      <c r="AL644" s="3" t="s">
        <v>7010</v>
      </c>
      <c r="AM644" s="3" t="s">
        <v>7010</v>
      </c>
      <c r="AN644" s="3" t="s">
        <v>7010</v>
      </c>
      <c r="AO644" s="3" t="s">
        <v>7010</v>
      </c>
      <c r="AP644" s="74" t="s">
        <v>7015</v>
      </c>
      <c r="AU644">
        <v>643</v>
      </c>
      <c r="AV644" t="s">
        <v>5176</v>
      </c>
      <c r="AW644" t="s">
        <v>2279</v>
      </c>
      <c r="AX644">
        <f t="shared" si="42"/>
        <v>8</v>
      </c>
      <c r="AY644" s="30" t="s">
        <v>5177</v>
      </c>
      <c r="BC644" s="3" t="s">
        <v>7010</v>
      </c>
      <c r="BD644" s="3" t="s">
        <v>7010</v>
      </c>
      <c r="BE644" s="3" t="s">
        <v>7010</v>
      </c>
      <c r="BF644" s="3" t="s">
        <v>7010</v>
      </c>
      <c r="BG644" s="3" t="s">
        <v>7010</v>
      </c>
      <c r="BH644" s="3" t="s">
        <v>7010</v>
      </c>
      <c r="BI644" s="3" t="s">
        <v>7010</v>
      </c>
      <c r="BJ644" s="3" t="s">
        <v>7010</v>
      </c>
      <c r="BK644" s="74" t="str">
        <f t="shared" si="43"/>
        <v>No</v>
      </c>
    </row>
    <row r="645" spans="7:63">
      <c r="G645">
        <v>644</v>
      </c>
      <c r="H645" s="7" t="s">
        <v>1296</v>
      </c>
      <c r="I645" t="s">
        <v>29</v>
      </c>
      <c r="J645">
        <f>LEN(H645)</f>
        <v>10</v>
      </c>
      <c r="K645" s="49" t="s">
        <v>4456</v>
      </c>
      <c r="O645" s="3" t="s">
        <v>7010</v>
      </c>
      <c r="P645" s="3" t="s">
        <v>7010</v>
      </c>
      <c r="Q645" s="3" t="s">
        <v>7010</v>
      </c>
      <c r="R645" s="3" t="s">
        <v>7010</v>
      </c>
      <c r="S645" s="3" t="s">
        <v>7010</v>
      </c>
      <c r="T645" s="3" t="s">
        <v>7010</v>
      </c>
      <c r="U645" s="3" t="s">
        <v>7010</v>
      </c>
      <c r="V645" s="3" t="s">
        <v>7010</v>
      </c>
      <c r="W645" s="74" t="str">
        <f t="shared" si="41"/>
        <v>No</v>
      </c>
      <c r="Z645">
        <v>644</v>
      </c>
      <c r="AA645" s="55" t="s">
        <v>5179</v>
      </c>
      <c r="AC645">
        <f t="shared" si="40"/>
        <v>6</v>
      </c>
      <c r="AD645" s="30" t="s">
        <v>5180</v>
      </c>
      <c r="AF645" t="s">
        <v>8061</v>
      </c>
      <c r="AH645" s="3" t="s">
        <v>7015</v>
      </c>
      <c r="AI645" s="3" t="s">
        <v>7010</v>
      </c>
      <c r="AJ645" s="3" t="s">
        <v>7010</v>
      </c>
      <c r="AK645" s="3" t="s">
        <v>7015</v>
      </c>
      <c r="AL645" s="3" t="s">
        <v>7010</v>
      </c>
      <c r="AM645" s="3" t="s">
        <v>7010</v>
      </c>
      <c r="AN645" s="3" t="s">
        <v>7010</v>
      </c>
      <c r="AO645" s="3" t="s">
        <v>7010</v>
      </c>
      <c r="AP645" s="74" t="s">
        <v>7015</v>
      </c>
      <c r="AU645">
        <v>644</v>
      </c>
      <c r="AV645" t="s">
        <v>5181</v>
      </c>
      <c r="AW645" t="s">
        <v>2279</v>
      </c>
      <c r="AX645">
        <f t="shared" si="42"/>
        <v>8</v>
      </c>
      <c r="AY645" s="30" t="s">
        <v>5182</v>
      </c>
      <c r="BC645" s="3" t="s">
        <v>7010</v>
      </c>
      <c r="BD645" s="3" t="s">
        <v>7010</v>
      </c>
      <c r="BE645" s="3" t="s">
        <v>7015</v>
      </c>
      <c r="BF645" s="3" t="s">
        <v>7010</v>
      </c>
      <c r="BG645" s="3" t="s">
        <v>7010</v>
      </c>
      <c r="BH645" s="3" t="s">
        <v>7010</v>
      </c>
      <c r="BI645" s="3" t="s">
        <v>7010</v>
      </c>
      <c r="BJ645" s="3" t="s">
        <v>7010</v>
      </c>
      <c r="BK645" s="74" t="str">
        <f t="shared" si="43"/>
        <v>Yes</v>
      </c>
    </row>
    <row r="646" spans="7:63">
      <c r="G646">
        <v>645</v>
      </c>
      <c r="H646" s="7" t="s">
        <v>1198</v>
      </c>
      <c r="I646" t="s">
        <v>29</v>
      </c>
      <c r="J646">
        <f>LEN(H646)</f>
        <v>13</v>
      </c>
      <c r="K646" s="49" t="s">
        <v>4210</v>
      </c>
      <c r="O646" s="3" t="s">
        <v>7010</v>
      </c>
      <c r="P646" s="3" t="s">
        <v>7010</v>
      </c>
      <c r="Q646" s="3" t="s">
        <v>7010</v>
      </c>
      <c r="R646" s="3" t="s">
        <v>7010</v>
      </c>
      <c r="S646" s="3" t="s">
        <v>7010</v>
      </c>
      <c r="T646" s="3" t="s">
        <v>7010</v>
      </c>
      <c r="U646" s="3" t="s">
        <v>7010</v>
      </c>
      <c r="V646" s="3" t="s">
        <v>7010</v>
      </c>
      <c r="W646" s="74" t="str">
        <f t="shared" si="41"/>
        <v>No</v>
      </c>
      <c r="Z646">
        <v>645</v>
      </c>
      <c r="AA646" s="55" t="s">
        <v>5184</v>
      </c>
      <c r="AC646">
        <f t="shared" si="40"/>
        <v>8</v>
      </c>
      <c r="AD646" s="30" t="s">
        <v>5185</v>
      </c>
      <c r="AF646" t="s">
        <v>8062</v>
      </c>
      <c r="AH646" s="3" t="s">
        <v>7015</v>
      </c>
      <c r="AI646" s="3" t="s">
        <v>7010</v>
      </c>
      <c r="AJ646" s="3" t="s">
        <v>7010</v>
      </c>
      <c r="AK646" s="3" t="s">
        <v>7015</v>
      </c>
      <c r="AL646" s="3" t="s">
        <v>7010</v>
      </c>
      <c r="AM646" s="3" t="s">
        <v>7010</v>
      </c>
      <c r="AN646" s="3" t="s">
        <v>7010</v>
      </c>
      <c r="AO646" s="3" t="s">
        <v>7010</v>
      </c>
      <c r="AP646" s="74" t="s">
        <v>7015</v>
      </c>
      <c r="AU646">
        <v>645</v>
      </c>
      <c r="AV646" t="s">
        <v>5186</v>
      </c>
      <c r="AW646" t="s">
        <v>2279</v>
      </c>
      <c r="AX646">
        <f t="shared" si="42"/>
        <v>10</v>
      </c>
      <c r="AY646" s="30" t="s">
        <v>5187</v>
      </c>
      <c r="BC646" s="3" t="s">
        <v>7010</v>
      </c>
      <c r="BD646" s="3" t="s">
        <v>7010</v>
      </c>
      <c r="BE646" s="3" t="s">
        <v>7010</v>
      </c>
      <c r="BF646" s="3" t="s">
        <v>7010</v>
      </c>
      <c r="BG646" s="3" t="s">
        <v>7010</v>
      </c>
      <c r="BH646" s="3" t="s">
        <v>7010</v>
      </c>
      <c r="BI646" s="3" t="s">
        <v>7010</v>
      </c>
      <c r="BJ646" s="3" t="s">
        <v>7010</v>
      </c>
      <c r="BK646" s="74" t="str">
        <f t="shared" si="43"/>
        <v>No</v>
      </c>
    </row>
    <row r="647" spans="7:63">
      <c r="G647">
        <v>646</v>
      </c>
      <c r="H647" s="7" t="s">
        <v>1602</v>
      </c>
      <c r="I647" t="s">
        <v>29</v>
      </c>
      <c r="J647">
        <f>LEN(H647)</f>
        <v>14</v>
      </c>
      <c r="K647" s="49" t="s">
        <v>5233</v>
      </c>
      <c r="O647" s="3" t="s">
        <v>7010</v>
      </c>
      <c r="P647" s="3" t="s">
        <v>7010</v>
      </c>
      <c r="Q647" s="3" t="s">
        <v>7010</v>
      </c>
      <c r="R647" s="3" t="s">
        <v>7010</v>
      </c>
      <c r="S647" s="3" t="s">
        <v>7010</v>
      </c>
      <c r="T647" s="3" t="s">
        <v>7010</v>
      </c>
      <c r="U647" s="3" t="s">
        <v>7015</v>
      </c>
      <c r="V647" s="3" t="s">
        <v>7010</v>
      </c>
      <c r="W647" s="74" t="str">
        <f t="shared" si="41"/>
        <v>Yes</v>
      </c>
      <c r="Z647">
        <v>646</v>
      </c>
      <c r="AA647" s="55" t="s">
        <v>5189</v>
      </c>
      <c r="AC647">
        <f t="shared" si="40"/>
        <v>7</v>
      </c>
      <c r="AD647" s="30" t="s">
        <v>5190</v>
      </c>
      <c r="AF647" t="s">
        <v>8063</v>
      </c>
      <c r="AH647" s="3" t="s">
        <v>7015</v>
      </c>
      <c r="AI647" s="3" t="s">
        <v>7010</v>
      </c>
      <c r="AJ647" s="3" t="s">
        <v>7010</v>
      </c>
      <c r="AK647" s="3" t="s">
        <v>7015</v>
      </c>
      <c r="AL647" s="3" t="s">
        <v>7010</v>
      </c>
      <c r="AM647" s="3" t="s">
        <v>7010</v>
      </c>
      <c r="AN647" s="3" t="s">
        <v>7010</v>
      </c>
      <c r="AO647" s="3" t="s">
        <v>7010</v>
      </c>
      <c r="AP647" s="74" t="s">
        <v>7015</v>
      </c>
      <c r="AU647">
        <v>646</v>
      </c>
      <c r="AV647" t="s">
        <v>5191</v>
      </c>
      <c r="AW647" t="s">
        <v>2279</v>
      </c>
      <c r="AX647">
        <f t="shared" si="42"/>
        <v>12</v>
      </c>
      <c r="AY647" s="30" t="s">
        <v>5192</v>
      </c>
      <c r="BC647" s="3" t="s">
        <v>7010</v>
      </c>
      <c r="BD647" s="3" t="s">
        <v>7010</v>
      </c>
      <c r="BE647" s="3" t="s">
        <v>7010</v>
      </c>
      <c r="BF647" s="3" t="s">
        <v>7010</v>
      </c>
      <c r="BG647" s="3" t="s">
        <v>7010</v>
      </c>
      <c r="BH647" s="3" t="s">
        <v>7010</v>
      </c>
      <c r="BI647" s="3" t="s">
        <v>7010</v>
      </c>
      <c r="BJ647" s="3" t="s">
        <v>7010</v>
      </c>
      <c r="BK647" s="74" t="str">
        <f t="shared" si="43"/>
        <v>No</v>
      </c>
    </row>
    <row r="648" spans="7:63">
      <c r="G648">
        <v>647</v>
      </c>
      <c r="H648" s="7" t="s">
        <v>4756</v>
      </c>
      <c r="I648" t="s">
        <v>29</v>
      </c>
      <c r="J648">
        <f>LEN(H648)</f>
        <v>14</v>
      </c>
      <c r="K648" s="49" t="s">
        <v>4757</v>
      </c>
      <c r="O648" s="3" t="s">
        <v>7010</v>
      </c>
      <c r="P648" s="3" t="s">
        <v>7010</v>
      </c>
      <c r="Q648" s="3" t="s">
        <v>7010</v>
      </c>
      <c r="R648" s="3" t="s">
        <v>7010</v>
      </c>
      <c r="S648" s="3" t="s">
        <v>7010</v>
      </c>
      <c r="T648" s="3" t="s">
        <v>7010</v>
      </c>
      <c r="U648" s="3" t="s">
        <v>7010</v>
      </c>
      <c r="V648" s="3" t="s">
        <v>7010</v>
      </c>
      <c r="W648" s="74" t="str">
        <f t="shared" si="41"/>
        <v>No</v>
      </c>
      <c r="Z648">
        <v>647</v>
      </c>
      <c r="AA648" s="55" t="s">
        <v>5194</v>
      </c>
      <c r="AC648">
        <f t="shared" si="40"/>
        <v>6</v>
      </c>
      <c r="AD648" s="30" t="s">
        <v>5195</v>
      </c>
      <c r="AF648" t="s">
        <v>8064</v>
      </c>
      <c r="AH648" s="3" t="s">
        <v>7015</v>
      </c>
      <c r="AI648" s="3" t="s">
        <v>7010</v>
      </c>
      <c r="AJ648" s="3" t="s">
        <v>7010</v>
      </c>
      <c r="AK648" s="3" t="s">
        <v>7015</v>
      </c>
      <c r="AL648" s="3" t="s">
        <v>7010</v>
      </c>
      <c r="AM648" s="3" t="s">
        <v>7010</v>
      </c>
      <c r="AN648" s="3" t="s">
        <v>7010</v>
      </c>
      <c r="AO648" s="3" t="s">
        <v>7010</v>
      </c>
      <c r="AP648" s="74" t="s">
        <v>7015</v>
      </c>
      <c r="AU648">
        <v>647</v>
      </c>
      <c r="AV648" t="s">
        <v>5196</v>
      </c>
      <c r="AW648" t="s">
        <v>2279</v>
      </c>
      <c r="AX648">
        <f t="shared" si="42"/>
        <v>8</v>
      </c>
      <c r="AY648" s="30" t="s">
        <v>5197</v>
      </c>
      <c r="BC648" s="3" t="s">
        <v>7010</v>
      </c>
      <c r="BD648" s="3" t="s">
        <v>7010</v>
      </c>
      <c r="BE648" s="3" t="s">
        <v>7010</v>
      </c>
      <c r="BF648" s="3" t="s">
        <v>7010</v>
      </c>
      <c r="BG648" s="3" t="s">
        <v>7010</v>
      </c>
      <c r="BH648" s="3" t="s">
        <v>7010</v>
      </c>
      <c r="BI648" s="3" t="s">
        <v>7010</v>
      </c>
      <c r="BJ648" s="3" t="s">
        <v>7010</v>
      </c>
      <c r="BK648" s="74" t="str">
        <f t="shared" si="43"/>
        <v>No</v>
      </c>
    </row>
    <row r="649" spans="7:63">
      <c r="G649">
        <v>648</v>
      </c>
      <c r="H649" s="7" t="s">
        <v>557</v>
      </c>
      <c r="I649" t="s">
        <v>29</v>
      </c>
      <c r="J649">
        <f>LEN(H649)</f>
        <v>11</v>
      </c>
      <c r="K649" s="49" t="s">
        <v>3145</v>
      </c>
      <c r="O649" s="3" t="s">
        <v>7010</v>
      </c>
      <c r="P649" s="3" t="s">
        <v>7010</v>
      </c>
      <c r="Q649" s="3" t="s">
        <v>7010</v>
      </c>
      <c r="R649" s="3" t="s">
        <v>7010</v>
      </c>
      <c r="S649" s="3" t="s">
        <v>7010</v>
      </c>
      <c r="T649" s="3" t="s">
        <v>7010</v>
      </c>
      <c r="U649" s="3" t="s">
        <v>7010</v>
      </c>
      <c r="V649" s="3" t="s">
        <v>7010</v>
      </c>
      <c r="W649" s="74" t="str">
        <f t="shared" si="41"/>
        <v>No</v>
      </c>
      <c r="Z649">
        <v>648</v>
      </c>
      <c r="AA649" s="55" t="s">
        <v>5199</v>
      </c>
      <c r="AC649">
        <f t="shared" si="40"/>
        <v>6</v>
      </c>
      <c r="AD649" s="30" t="s">
        <v>5200</v>
      </c>
      <c r="AF649" t="s">
        <v>8065</v>
      </c>
      <c r="AH649" s="3" t="s">
        <v>7015</v>
      </c>
      <c r="AI649" s="3" t="s">
        <v>7010</v>
      </c>
      <c r="AJ649" s="3" t="s">
        <v>7010</v>
      </c>
      <c r="AK649" s="3" t="s">
        <v>7015</v>
      </c>
      <c r="AL649" s="3" t="s">
        <v>7010</v>
      </c>
      <c r="AM649" s="3" t="s">
        <v>7010</v>
      </c>
      <c r="AN649" s="3" t="s">
        <v>7010</v>
      </c>
      <c r="AO649" s="3" t="s">
        <v>7010</v>
      </c>
      <c r="AP649" s="74" t="s">
        <v>7015</v>
      </c>
      <c r="AU649">
        <v>648</v>
      </c>
      <c r="AV649" t="s">
        <v>5201</v>
      </c>
      <c r="AW649" t="s">
        <v>2279</v>
      </c>
      <c r="AX649">
        <f t="shared" si="42"/>
        <v>9</v>
      </c>
      <c r="AY649" s="30" t="s">
        <v>5202</v>
      </c>
      <c r="BC649" s="3" t="s">
        <v>7010</v>
      </c>
      <c r="BD649" s="3" t="s">
        <v>7010</v>
      </c>
      <c r="BE649" s="3" t="s">
        <v>7010</v>
      </c>
      <c r="BF649" s="3" t="s">
        <v>7010</v>
      </c>
      <c r="BG649" s="3" t="s">
        <v>7010</v>
      </c>
      <c r="BH649" s="3" t="s">
        <v>7010</v>
      </c>
      <c r="BI649" s="3" t="s">
        <v>7010</v>
      </c>
      <c r="BJ649" s="3" t="s">
        <v>7010</v>
      </c>
      <c r="BK649" s="74" t="str">
        <f t="shared" si="43"/>
        <v>No</v>
      </c>
    </row>
    <row r="650" spans="7:63">
      <c r="G650">
        <v>649</v>
      </c>
      <c r="H650" s="7" t="s">
        <v>1668</v>
      </c>
      <c r="I650" t="s">
        <v>29</v>
      </c>
      <c r="J650">
        <f>LEN(H650)</f>
        <v>13</v>
      </c>
      <c r="K650" s="49" t="s">
        <v>5400</v>
      </c>
      <c r="O650" s="3" t="s">
        <v>7010</v>
      </c>
      <c r="P650" s="3" t="s">
        <v>7010</v>
      </c>
      <c r="Q650" s="3" t="s">
        <v>7010</v>
      </c>
      <c r="R650" s="3" t="s">
        <v>7010</v>
      </c>
      <c r="S650" s="3" t="s">
        <v>7010</v>
      </c>
      <c r="T650" s="3" t="s">
        <v>7010</v>
      </c>
      <c r="U650" s="3" t="s">
        <v>7015</v>
      </c>
      <c r="V650" s="3" t="s">
        <v>7010</v>
      </c>
      <c r="W650" s="74" t="str">
        <f t="shared" si="41"/>
        <v>Yes</v>
      </c>
      <c r="Z650">
        <v>649</v>
      </c>
      <c r="AA650" s="55" t="s">
        <v>5204</v>
      </c>
      <c r="AC650">
        <f t="shared" si="40"/>
        <v>6</v>
      </c>
      <c r="AD650" s="30" t="s">
        <v>5205</v>
      </c>
      <c r="AF650" t="s">
        <v>8066</v>
      </c>
      <c r="AH650" s="3" t="s">
        <v>7015</v>
      </c>
      <c r="AI650" s="3" t="s">
        <v>7010</v>
      </c>
      <c r="AJ650" s="3" t="s">
        <v>7010</v>
      </c>
      <c r="AK650" s="3" t="s">
        <v>7015</v>
      </c>
      <c r="AL650" s="3" t="s">
        <v>7010</v>
      </c>
      <c r="AM650" s="3" t="s">
        <v>7010</v>
      </c>
      <c r="AN650" s="3" t="s">
        <v>7010</v>
      </c>
      <c r="AO650" s="3" t="s">
        <v>7010</v>
      </c>
      <c r="AP650" s="74" t="s">
        <v>7015</v>
      </c>
      <c r="AU650">
        <v>649</v>
      </c>
      <c r="AV650" t="s">
        <v>5206</v>
      </c>
      <c r="AW650" t="s">
        <v>2279</v>
      </c>
      <c r="AX650">
        <f t="shared" si="42"/>
        <v>8</v>
      </c>
      <c r="AY650" s="30" t="s">
        <v>5207</v>
      </c>
      <c r="BC650" s="3" t="s">
        <v>7010</v>
      </c>
      <c r="BD650" s="3" t="s">
        <v>7010</v>
      </c>
      <c r="BE650" s="3" t="s">
        <v>7010</v>
      </c>
      <c r="BF650" s="3" t="s">
        <v>7010</v>
      </c>
      <c r="BG650" s="3" t="s">
        <v>7010</v>
      </c>
      <c r="BH650" s="3" t="s">
        <v>7010</v>
      </c>
      <c r="BI650" s="3" t="s">
        <v>7010</v>
      </c>
      <c r="BJ650" s="3" t="s">
        <v>7010</v>
      </c>
      <c r="BK650" s="74" t="str">
        <f t="shared" si="43"/>
        <v>No</v>
      </c>
    </row>
    <row r="651" spans="7:63">
      <c r="G651">
        <v>650</v>
      </c>
      <c r="H651" s="7" t="s">
        <v>1446</v>
      </c>
      <c r="I651" t="s">
        <v>29</v>
      </c>
      <c r="J651">
        <f>LEN(H651)</f>
        <v>10</v>
      </c>
      <c r="K651" s="49" t="s">
        <v>4840</v>
      </c>
      <c r="O651" s="3" t="s">
        <v>7010</v>
      </c>
      <c r="P651" s="3" t="s">
        <v>7010</v>
      </c>
      <c r="Q651" s="3" t="s">
        <v>7010</v>
      </c>
      <c r="R651" s="3" t="s">
        <v>7010</v>
      </c>
      <c r="S651" s="3" t="s">
        <v>7010</v>
      </c>
      <c r="T651" s="3" t="s">
        <v>7010</v>
      </c>
      <c r="U651" s="3" t="s">
        <v>7010</v>
      </c>
      <c r="V651" s="3" t="s">
        <v>7010</v>
      </c>
      <c r="W651" s="74" t="str">
        <f t="shared" si="41"/>
        <v>No</v>
      </c>
      <c r="Z651">
        <v>650</v>
      </c>
      <c r="AA651" s="55" t="s">
        <v>5209</v>
      </c>
      <c r="AC651">
        <f t="shared" si="40"/>
        <v>5</v>
      </c>
      <c r="AD651" s="30" t="s">
        <v>5210</v>
      </c>
      <c r="AF651" t="s">
        <v>8067</v>
      </c>
      <c r="AH651" s="3" t="s">
        <v>7015</v>
      </c>
      <c r="AI651" s="3" t="s">
        <v>7010</v>
      </c>
      <c r="AJ651" s="3" t="s">
        <v>7010</v>
      </c>
      <c r="AK651" s="3" t="s">
        <v>7015</v>
      </c>
      <c r="AL651" s="3" t="s">
        <v>7010</v>
      </c>
      <c r="AM651" s="3" t="s">
        <v>7010</v>
      </c>
      <c r="AN651" s="3" t="s">
        <v>7010</v>
      </c>
      <c r="AO651" s="3" t="s">
        <v>7010</v>
      </c>
      <c r="AP651" s="74" t="s">
        <v>7015</v>
      </c>
      <c r="AU651">
        <v>650</v>
      </c>
      <c r="AV651" t="s">
        <v>5211</v>
      </c>
      <c r="AW651" t="s">
        <v>2279</v>
      </c>
      <c r="AX651">
        <f t="shared" si="42"/>
        <v>8</v>
      </c>
      <c r="AY651" s="30" t="s">
        <v>5212</v>
      </c>
      <c r="BC651" s="3" t="s">
        <v>7010</v>
      </c>
      <c r="BD651" s="3" t="s">
        <v>7010</v>
      </c>
      <c r="BE651" s="3" t="s">
        <v>7010</v>
      </c>
      <c r="BF651" s="3" t="s">
        <v>7010</v>
      </c>
      <c r="BG651" s="3" t="s">
        <v>7010</v>
      </c>
      <c r="BH651" s="3" t="s">
        <v>7010</v>
      </c>
      <c r="BI651" s="3" t="s">
        <v>7010</v>
      </c>
      <c r="BJ651" s="3" t="s">
        <v>7010</v>
      </c>
      <c r="BK651" s="74" t="str">
        <f t="shared" si="43"/>
        <v>No</v>
      </c>
    </row>
    <row r="652" spans="7:63">
      <c r="G652">
        <v>651</v>
      </c>
      <c r="H652" s="7" t="s">
        <v>1478</v>
      </c>
      <c r="I652" t="s">
        <v>29</v>
      </c>
      <c r="J652">
        <f>LEN(H652)</f>
        <v>10</v>
      </c>
      <c r="K652" s="49" t="s">
        <v>4920</v>
      </c>
      <c r="O652" s="3" t="s">
        <v>7010</v>
      </c>
      <c r="P652" s="3" t="s">
        <v>7010</v>
      </c>
      <c r="Q652" s="3" t="s">
        <v>7010</v>
      </c>
      <c r="R652" s="3" t="s">
        <v>7010</v>
      </c>
      <c r="S652" s="3" t="s">
        <v>7010</v>
      </c>
      <c r="T652" s="3" t="s">
        <v>7010</v>
      </c>
      <c r="U652" s="3" t="s">
        <v>7010</v>
      </c>
      <c r="V652" s="3" t="s">
        <v>7010</v>
      </c>
      <c r="W652" s="74" t="str">
        <f t="shared" si="41"/>
        <v>No</v>
      </c>
      <c r="Z652">
        <v>651</v>
      </c>
      <c r="AA652" s="55" t="s">
        <v>5214</v>
      </c>
      <c r="AC652">
        <f t="shared" si="40"/>
        <v>5</v>
      </c>
      <c r="AD652" s="30" t="s">
        <v>5215</v>
      </c>
      <c r="AF652" t="s">
        <v>8068</v>
      </c>
      <c r="AH652" s="3" t="s">
        <v>7015</v>
      </c>
      <c r="AI652" s="3" t="s">
        <v>7010</v>
      </c>
      <c r="AJ652" s="3" t="s">
        <v>7010</v>
      </c>
      <c r="AK652" s="3" t="s">
        <v>7015</v>
      </c>
      <c r="AL652" s="3" t="s">
        <v>7010</v>
      </c>
      <c r="AM652" s="3" t="s">
        <v>7010</v>
      </c>
      <c r="AN652" s="3" t="s">
        <v>7010</v>
      </c>
      <c r="AO652" s="3" t="s">
        <v>7010</v>
      </c>
      <c r="AP652" s="74" t="s">
        <v>7015</v>
      </c>
      <c r="AU652">
        <v>651</v>
      </c>
      <c r="AV652" t="s">
        <v>5216</v>
      </c>
      <c r="AW652" t="s">
        <v>2279</v>
      </c>
      <c r="AX652">
        <f t="shared" si="42"/>
        <v>8</v>
      </c>
      <c r="AY652" s="30" t="s">
        <v>5217</v>
      </c>
      <c r="BC652" s="3" t="s">
        <v>7010</v>
      </c>
      <c r="BD652" s="3" t="s">
        <v>7010</v>
      </c>
      <c r="BE652" s="3" t="s">
        <v>7010</v>
      </c>
      <c r="BF652" s="3" t="s">
        <v>7010</v>
      </c>
      <c r="BG652" s="3" t="s">
        <v>7010</v>
      </c>
      <c r="BH652" s="3" t="s">
        <v>7010</v>
      </c>
      <c r="BI652" s="3" t="s">
        <v>7010</v>
      </c>
      <c r="BJ652" s="3" t="s">
        <v>7010</v>
      </c>
      <c r="BK652" s="74" t="str">
        <f t="shared" si="43"/>
        <v>No</v>
      </c>
    </row>
    <row r="653" spans="7:63">
      <c r="G653">
        <v>652</v>
      </c>
      <c r="H653" s="7" t="s">
        <v>1558</v>
      </c>
      <c r="I653" t="s">
        <v>29</v>
      </c>
      <c r="J653">
        <f>LEN(H653)</f>
        <v>16</v>
      </c>
      <c r="K653" s="49" t="s">
        <v>5123</v>
      </c>
      <c r="O653" s="3" t="s">
        <v>7010</v>
      </c>
      <c r="P653" s="3" t="s">
        <v>7010</v>
      </c>
      <c r="Q653" s="3" t="s">
        <v>7010</v>
      </c>
      <c r="R653" s="3" t="s">
        <v>7010</v>
      </c>
      <c r="S653" s="3" t="s">
        <v>7010</v>
      </c>
      <c r="T653" s="3" t="s">
        <v>7010</v>
      </c>
      <c r="U653" s="3" t="s">
        <v>7010</v>
      </c>
      <c r="V653" s="3" t="s">
        <v>7010</v>
      </c>
      <c r="W653" s="74" t="str">
        <f t="shared" si="41"/>
        <v>No</v>
      </c>
      <c r="Z653">
        <v>652</v>
      </c>
      <c r="AA653" s="55" t="s">
        <v>5219</v>
      </c>
      <c r="AC653">
        <f t="shared" si="40"/>
        <v>9</v>
      </c>
      <c r="AD653" s="30" t="s">
        <v>5220</v>
      </c>
      <c r="AF653" t="s">
        <v>8069</v>
      </c>
      <c r="AH653" s="3" t="s">
        <v>7015</v>
      </c>
      <c r="AI653" s="3" t="s">
        <v>7010</v>
      </c>
      <c r="AJ653" s="3" t="s">
        <v>7010</v>
      </c>
      <c r="AK653" s="3" t="s">
        <v>7015</v>
      </c>
      <c r="AL653" s="3" t="s">
        <v>7010</v>
      </c>
      <c r="AM653" s="3" t="s">
        <v>7010</v>
      </c>
      <c r="AN653" s="3" t="s">
        <v>7010</v>
      </c>
      <c r="AO653" s="3" t="s">
        <v>7010</v>
      </c>
      <c r="AP653" s="74" t="s">
        <v>7015</v>
      </c>
      <c r="AU653">
        <v>652</v>
      </c>
      <c r="AV653" t="s">
        <v>5221</v>
      </c>
      <c r="AW653" t="s">
        <v>2279</v>
      </c>
      <c r="AX653">
        <f t="shared" si="42"/>
        <v>8</v>
      </c>
      <c r="AY653" s="30" t="s">
        <v>5222</v>
      </c>
      <c r="BC653" s="3" t="s">
        <v>7010</v>
      </c>
      <c r="BD653" s="3" t="s">
        <v>7010</v>
      </c>
      <c r="BE653" s="3" t="s">
        <v>7010</v>
      </c>
      <c r="BF653" s="3" t="s">
        <v>7010</v>
      </c>
      <c r="BG653" s="3" t="s">
        <v>7010</v>
      </c>
      <c r="BH653" s="3" t="s">
        <v>7010</v>
      </c>
      <c r="BI653" s="3" t="s">
        <v>7010</v>
      </c>
      <c r="BJ653" s="3" t="s">
        <v>7010</v>
      </c>
      <c r="BK653" s="74" t="str">
        <f t="shared" si="43"/>
        <v>No</v>
      </c>
    </row>
    <row r="654" spans="7:63">
      <c r="G654">
        <v>653</v>
      </c>
      <c r="H654" s="7" t="s">
        <v>1360</v>
      </c>
      <c r="I654" t="s">
        <v>29</v>
      </c>
      <c r="J654">
        <f>LEN(H654)</f>
        <v>10</v>
      </c>
      <c r="K654" s="49" t="s">
        <v>4615</v>
      </c>
      <c r="O654" s="3" t="s">
        <v>7010</v>
      </c>
      <c r="P654" s="3" t="s">
        <v>7010</v>
      </c>
      <c r="Q654" s="3" t="s">
        <v>7010</v>
      </c>
      <c r="R654" s="3" t="s">
        <v>7010</v>
      </c>
      <c r="S654" s="3" t="s">
        <v>7010</v>
      </c>
      <c r="T654" s="3" t="s">
        <v>7010</v>
      </c>
      <c r="U654" s="3" t="s">
        <v>7015</v>
      </c>
      <c r="V654" s="3" t="s">
        <v>7010</v>
      </c>
      <c r="W654" s="74" t="str">
        <f t="shared" si="41"/>
        <v>Yes</v>
      </c>
      <c r="Z654">
        <v>653</v>
      </c>
      <c r="AA654" s="55" t="s">
        <v>5224</v>
      </c>
      <c r="AC654">
        <f t="shared" si="40"/>
        <v>6</v>
      </c>
      <c r="AD654" s="30" t="s">
        <v>5225</v>
      </c>
      <c r="AF654" t="s">
        <v>8070</v>
      </c>
      <c r="AH654" s="3" t="s">
        <v>7015</v>
      </c>
      <c r="AI654" s="3" t="s">
        <v>7010</v>
      </c>
      <c r="AJ654" s="3" t="s">
        <v>7010</v>
      </c>
      <c r="AK654" s="3" t="s">
        <v>7015</v>
      </c>
      <c r="AL654" s="3" t="s">
        <v>7010</v>
      </c>
      <c r="AM654" s="3" t="s">
        <v>7010</v>
      </c>
      <c r="AN654" s="3" t="s">
        <v>7010</v>
      </c>
      <c r="AO654" s="3" t="s">
        <v>7010</v>
      </c>
      <c r="AP654" s="74" t="s">
        <v>7015</v>
      </c>
      <c r="AU654">
        <v>653</v>
      </c>
      <c r="AV654" t="s">
        <v>5226</v>
      </c>
      <c r="AW654" t="s">
        <v>2279</v>
      </c>
      <c r="AX654">
        <f t="shared" si="42"/>
        <v>8</v>
      </c>
      <c r="AY654" s="30" t="s">
        <v>5227</v>
      </c>
      <c r="BC654" s="3" t="s">
        <v>7010</v>
      </c>
      <c r="BD654" s="3" t="s">
        <v>7010</v>
      </c>
      <c r="BE654" s="3" t="s">
        <v>7010</v>
      </c>
      <c r="BF654" s="3" t="s">
        <v>7010</v>
      </c>
      <c r="BG654" s="3" t="s">
        <v>7010</v>
      </c>
      <c r="BH654" s="3" t="s">
        <v>7010</v>
      </c>
      <c r="BI654" s="3" t="s">
        <v>7010</v>
      </c>
      <c r="BJ654" s="3" t="s">
        <v>7010</v>
      </c>
      <c r="BK654" s="74" t="str">
        <f t="shared" si="43"/>
        <v>No</v>
      </c>
    </row>
    <row r="655" spans="7:63">
      <c r="G655">
        <v>654</v>
      </c>
      <c r="H655" s="7" t="s">
        <v>1222</v>
      </c>
      <c r="I655" t="s">
        <v>29</v>
      </c>
      <c r="J655">
        <f>LEN(H655)</f>
        <v>9</v>
      </c>
      <c r="K655" s="49" t="s">
        <v>4270</v>
      </c>
      <c r="O655" s="3" t="s">
        <v>7010</v>
      </c>
      <c r="P655" s="3" t="s">
        <v>7010</v>
      </c>
      <c r="Q655" s="3" t="s">
        <v>7010</v>
      </c>
      <c r="R655" s="3" t="s">
        <v>7010</v>
      </c>
      <c r="S655" s="3" t="s">
        <v>7010</v>
      </c>
      <c r="T655" s="3" t="s">
        <v>7010</v>
      </c>
      <c r="U655" s="3" t="s">
        <v>7010</v>
      </c>
      <c r="V655" s="3" t="s">
        <v>7010</v>
      </c>
      <c r="W655" s="74" t="str">
        <f t="shared" si="41"/>
        <v>No</v>
      </c>
      <c r="Z655">
        <v>654</v>
      </c>
      <c r="AA655" s="55" t="s">
        <v>5229</v>
      </c>
      <c r="AC655">
        <f t="shared" si="40"/>
        <v>5</v>
      </c>
      <c r="AD655" s="30" t="s">
        <v>5230</v>
      </c>
      <c r="AF655" t="s">
        <v>8071</v>
      </c>
      <c r="AH655" s="3" t="s">
        <v>7015</v>
      </c>
      <c r="AI655" s="3" t="s">
        <v>7010</v>
      </c>
      <c r="AJ655" s="3" t="s">
        <v>7010</v>
      </c>
      <c r="AK655" s="3" t="s">
        <v>7015</v>
      </c>
      <c r="AL655" s="3" t="s">
        <v>7010</v>
      </c>
      <c r="AM655" s="3" t="s">
        <v>7010</v>
      </c>
      <c r="AN655" s="3" t="s">
        <v>7010</v>
      </c>
      <c r="AO655" s="3" t="s">
        <v>7010</v>
      </c>
      <c r="AP655" s="74" t="s">
        <v>7015</v>
      </c>
      <c r="AU655">
        <v>654</v>
      </c>
      <c r="AV655" t="s">
        <v>5231</v>
      </c>
      <c r="AW655" t="s">
        <v>2279</v>
      </c>
      <c r="AX655">
        <f t="shared" si="42"/>
        <v>13</v>
      </c>
      <c r="AY655" s="30" t="s">
        <v>5232</v>
      </c>
      <c r="BC655" s="3" t="s">
        <v>7010</v>
      </c>
      <c r="BD655" s="3" t="s">
        <v>7010</v>
      </c>
      <c r="BE655" s="3" t="s">
        <v>7010</v>
      </c>
      <c r="BF655" s="3" t="s">
        <v>7010</v>
      </c>
      <c r="BG655" s="3" t="s">
        <v>7010</v>
      </c>
      <c r="BH655" s="3" t="s">
        <v>7010</v>
      </c>
      <c r="BI655" s="3" t="s">
        <v>7010</v>
      </c>
      <c r="BJ655" s="3" t="s">
        <v>7010</v>
      </c>
      <c r="BK655" s="74" t="str">
        <f t="shared" si="43"/>
        <v>No</v>
      </c>
    </row>
    <row r="656" spans="7:63">
      <c r="G656">
        <v>655</v>
      </c>
      <c r="H656" s="7" t="s">
        <v>2077</v>
      </c>
      <c r="I656" t="s">
        <v>29</v>
      </c>
      <c r="J656">
        <f>LEN(H656)</f>
        <v>27</v>
      </c>
      <c r="K656" s="49" t="s">
        <v>6518</v>
      </c>
      <c r="O656" s="3" t="s">
        <v>7010</v>
      </c>
      <c r="P656" s="3" t="s">
        <v>7010</v>
      </c>
      <c r="Q656" s="3" t="s">
        <v>7010</v>
      </c>
      <c r="R656" s="3" t="s">
        <v>7010</v>
      </c>
      <c r="S656" s="3" t="s">
        <v>7010</v>
      </c>
      <c r="T656" s="3" t="s">
        <v>7010</v>
      </c>
      <c r="U656" s="3" t="s">
        <v>7010</v>
      </c>
      <c r="V656" s="3" t="s">
        <v>7010</v>
      </c>
      <c r="W656" s="74" t="str">
        <f t="shared" si="41"/>
        <v>No</v>
      </c>
      <c r="Z656">
        <v>655</v>
      </c>
      <c r="AA656" s="55" t="s">
        <v>5234</v>
      </c>
      <c r="AC656">
        <f t="shared" si="40"/>
        <v>6</v>
      </c>
      <c r="AD656" s="30" t="s">
        <v>5235</v>
      </c>
      <c r="AF656" t="s">
        <v>8072</v>
      </c>
      <c r="AH656" s="3" t="s">
        <v>7015</v>
      </c>
      <c r="AI656" s="3" t="s">
        <v>7010</v>
      </c>
      <c r="AJ656" s="3" t="s">
        <v>7010</v>
      </c>
      <c r="AK656" s="3" t="s">
        <v>7015</v>
      </c>
      <c r="AL656" s="3" t="s">
        <v>7010</v>
      </c>
      <c r="AM656" s="3" t="s">
        <v>7010</v>
      </c>
      <c r="AN656" s="3" t="s">
        <v>7010</v>
      </c>
      <c r="AO656" s="3" t="s">
        <v>7010</v>
      </c>
      <c r="AP656" s="74" t="s">
        <v>7015</v>
      </c>
      <c r="AU656">
        <v>655</v>
      </c>
      <c r="AV656" t="s">
        <v>5236</v>
      </c>
      <c r="AW656" t="s">
        <v>2279</v>
      </c>
      <c r="AX656">
        <f t="shared" si="42"/>
        <v>10</v>
      </c>
      <c r="AY656" s="30" t="s">
        <v>5237</v>
      </c>
      <c r="BC656" s="3" t="s">
        <v>7010</v>
      </c>
      <c r="BD656" s="3" t="s">
        <v>7010</v>
      </c>
      <c r="BE656" s="3" t="s">
        <v>7010</v>
      </c>
      <c r="BF656" s="3" t="s">
        <v>7010</v>
      </c>
      <c r="BG656" s="3" t="s">
        <v>7010</v>
      </c>
      <c r="BH656" s="3" t="s">
        <v>7010</v>
      </c>
      <c r="BI656" s="3" t="s">
        <v>7010</v>
      </c>
      <c r="BJ656" s="3" t="s">
        <v>7010</v>
      </c>
      <c r="BK656" s="74" t="str">
        <f t="shared" si="43"/>
        <v>No</v>
      </c>
    </row>
    <row r="657" spans="7:63">
      <c r="G657">
        <v>656</v>
      </c>
      <c r="H657" s="7" t="s">
        <v>510</v>
      </c>
      <c r="I657" t="s">
        <v>29</v>
      </c>
      <c r="J657">
        <f>LEN(H657)</f>
        <v>9</v>
      </c>
      <c r="K657" s="49" t="s">
        <v>2957</v>
      </c>
      <c r="O657" s="3" t="s">
        <v>7010</v>
      </c>
      <c r="P657" s="3" t="s">
        <v>7010</v>
      </c>
      <c r="Q657" s="3" t="s">
        <v>7010</v>
      </c>
      <c r="R657" s="3" t="s">
        <v>7015</v>
      </c>
      <c r="S657" s="3" t="s">
        <v>7010</v>
      </c>
      <c r="T657" s="3" t="s">
        <v>7015</v>
      </c>
      <c r="U657" s="3" t="s">
        <v>7010</v>
      </c>
      <c r="V657" s="3" t="s">
        <v>7010</v>
      </c>
      <c r="W657" s="74" t="str">
        <f t="shared" si="41"/>
        <v>Yes</v>
      </c>
      <c r="Z657">
        <v>656</v>
      </c>
      <c r="AA657" s="55" t="s">
        <v>5239</v>
      </c>
      <c r="AC657">
        <f t="shared" si="40"/>
        <v>8</v>
      </c>
      <c r="AD657" s="30" t="s">
        <v>5240</v>
      </c>
      <c r="AF657" t="s">
        <v>8073</v>
      </c>
      <c r="AH657" s="3" t="s">
        <v>7015</v>
      </c>
      <c r="AI657" s="3" t="s">
        <v>7010</v>
      </c>
      <c r="AJ657" s="3" t="s">
        <v>7010</v>
      </c>
      <c r="AK657" s="3" t="s">
        <v>7015</v>
      </c>
      <c r="AL657" s="3" t="s">
        <v>7010</v>
      </c>
      <c r="AM657" s="3" t="s">
        <v>7010</v>
      </c>
      <c r="AN657" s="3" t="s">
        <v>7010</v>
      </c>
      <c r="AO657" s="3" t="s">
        <v>7010</v>
      </c>
      <c r="AP657" s="74" t="s">
        <v>7015</v>
      </c>
      <c r="AU657">
        <v>656</v>
      </c>
      <c r="AV657" t="s">
        <v>5241</v>
      </c>
      <c r="AW657" t="s">
        <v>2279</v>
      </c>
      <c r="AX657">
        <f t="shared" si="42"/>
        <v>8</v>
      </c>
      <c r="AY657" s="30" t="s">
        <v>5242</v>
      </c>
      <c r="BC657" s="3" t="s">
        <v>7010</v>
      </c>
      <c r="BD657" s="3" t="s">
        <v>7010</v>
      </c>
      <c r="BE657" s="3" t="s">
        <v>7010</v>
      </c>
      <c r="BF657" s="3" t="s">
        <v>7010</v>
      </c>
      <c r="BG657" s="3" t="s">
        <v>7010</v>
      </c>
      <c r="BH657" s="3" t="s">
        <v>7010</v>
      </c>
      <c r="BI657" s="3" t="s">
        <v>7010</v>
      </c>
      <c r="BJ657" s="3" t="s">
        <v>7010</v>
      </c>
      <c r="BK657" s="74" t="str">
        <f t="shared" si="43"/>
        <v>No</v>
      </c>
    </row>
    <row r="658" spans="7:63">
      <c r="G658">
        <v>657</v>
      </c>
      <c r="H658" s="9" t="s">
        <v>2187</v>
      </c>
      <c r="I658" t="s">
        <v>29</v>
      </c>
      <c r="J658">
        <f>LEN(H658)</f>
        <v>11</v>
      </c>
      <c r="K658" s="49" t="s">
        <v>6791</v>
      </c>
      <c r="O658" s="3" t="s">
        <v>7010</v>
      </c>
      <c r="P658" s="3" t="s">
        <v>7010</v>
      </c>
      <c r="Q658" s="3" t="s">
        <v>7010</v>
      </c>
      <c r="R658" s="3" t="s">
        <v>7010</v>
      </c>
      <c r="S658" s="3" t="s">
        <v>7010</v>
      </c>
      <c r="T658" s="3" t="s">
        <v>7010</v>
      </c>
      <c r="U658" s="3" t="s">
        <v>7010</v>
      </c>
      <c r="V658" s="3" t="s">
        <v>7010</v>
      </c>
      <c r="W658" s="74" t="str">
        <f t="shared" si="41"/>
        <v>No</v>
      </c>
      <c r="Z658">
        <v>657</v>
      </c>
      <c r="AA658" s="55" t="s">
        <v>5244</v>
      </c>
      <c r="AC658">
        <f t="shared" si="40"/>
        <v>9</v>
      </c>
      <c r="AD658" s="30" t="s">
        <v>5245</v>
      </c>
      <c r="AF658" t="s">
        <v>8074</v>
      </c>
      <c r="AH658" s="3" t="s">
        <v>7015</v>
      </c>
      <c r="AI658" s="3" t="s">
        <v>7010</v>
      </c>
      <c r="AJ658" s="3" t="s">
        <v>7010</v>
      </c>
      <c r="AK658" s="3" t="s">
        <v>7015</v>
      </c>
      <c r="AL658" s="3" t="s">
        <v>7010</v>
      </c>
      <c r="AM658" s="3" t="s">
        <v>7010</v>
      </c>
      <c r="AN658" s="3" t="s">
        <v>7010</v>
      </c>
      <c r="AO658" s="3" t="s">
        <v>7010</v>
      </c>
      <c r="AP658" s="74" t="s">
        <v>7015</v>
      </c>
      <c r="AU658">
        <v>657</v>
      </c>
      <c r="AV658" t="s">
        <v>5246</v>
      </c>
      <c r="AW658" t="s">
        <v>2279</v>
      </c>
      <c r="AX658">
        <f t="shared" si="42"/>
        <v>15</v>
      </c>
      <c r="AY658" s="30" t="s">
        <v>5247</v>
      </c>
      <c r="BC658" s="3" t="s">
        <v>7010</v>
      </c>
      <c r="BD658" s="3" t="s">
        <v>7010</v>
      </c>
      <c r="BE658" s="3" t="s">
        <v>7010</v>
      </c>
      <c r="BF658" s="3" t="s">
        <v>7010</v>
      </c>
      <c r="BG658" s="3" t="s">
        <v>7010</v>
      </c>
      <c r="BH658" s="3" t="s">
        <v>7010</v>
      </c>
      <c r="BI658" s="3" t="s">
        <v>7010</v>
      </c>
      <c r="BJ658" s="3" t="s">
        <v>7010</v>
      </c>
      <c r="BK658" s="74" t="str">
        <f t="shared" si="43"/>
        <v>No</v>
      </c>
    </row>
    <row r="659" spans="7:63">
      <c r="G659">
        <v>658</v>
      </c>
      <c r="H659" s="7" t="s">
        <v>1912</v>
      </c>
      <c r="I659" t="s">
        <v>29</v>
      </c>
      <c r="J659">
        <f>LEN(H659)</f>
        <v>9</v>
      </c>
      <c r="K659" s="49" t="s">
        <v>6088</v>
      </c>
      <c r="O659" s="3" t="s">
        <v>7010</v>
      </c>
      <c r="P659" s="3" t="s">
        <v>7010</v>
      </c>
      <c r="Q659" s="3" t="s">
        <v>7010</v>
      </c>
      <c r="R659" s="3" t="s">
        <v>7010</v>
      </c>
      <c r="S659" s="3" t="s">
        <v>7010</v>
      </c>
      <c r="T659" s="3" t="s">
        <v>7010</v>
      </c>
      <c r="U659" s="3" t="s">
        <v>7010</v>
      </c>
      <c r="V659" s="3" t="s">
        <v>7010</v>
      </c>
      <c r="W659" s="74" t="str">
        <f t="shared" si="41"/>
        <v>No</v>
      </c>
      <c r="Z659">
        <v>658</v>
      </c>
      <c r="AA659" s="55" t="s">
        <v>5249</v>
      </c>
      <c r="AC659">
        <f t="shared" si="40"/>
        <v>8</v>
      </c>
      <c r="AD659" s="30" t="s">
        <v>5250</v>
      </c>
      <c r="AF659" t="s">
        <v>8075</v>
      </c>
      <c r="AH659" s="3" t="s">
        <v>7015</v>
      </c>
      <c r="AI659" s="3" t="s">
        <v>7010</v>
      </c>
      <c r="AJ659" s="3" t="s">
        <v>7010</v>
      </c>
      <c r="AK659" s="3" t="s">
        <v>7015</v>
      </c>
      <c r="AL659" s="3" t="s">
        <v>7010</v>
      </c>
      <c r="AM659" s="3" t="s">
        <v>7010</v>
      </c>
      <c r="AN659" s="3" t="s">
        <v>7010</v>
      </c>
      <c r="AO659" s="3" t="s">
        <v>7010</v>
      </c>
      <c r="AP659" s="74" t="s">
        <v>7015</v>
      </c>
      <c r="AU659">
        <v>658</v>
      </c>
      <c r="AV659" t="s">
        <v>5251</v>
      </c>
      <c r="AW659" t="s">
        <v>2279</v>
      </c>
      <c r="AX659">
        <f t="shared" si="42"/>
        <v>9</v>
      </c>
      <c r="AY659" s="30" t="s">
        <v>5252</v>
      </c>
      <c r="BC659" s="3" t="s">
        <v>7010</v>
      </c>
      <c r="BD659" s="3" t="s">
        <v>7010</v>
      </c>
      <c r="BE659" s="3" t="s">
        <v>7015</v>
      </c>
      <c r="BF659" s="3" t="s">
        <v>7010</v>
      </c>
      <c r="BG659" s="3" t="s">
        <v>7010</v>
      </c>
      <c r="BH659" s="3" t="s">
        <v>7010</v>
      </c>
      <c r="BI659" s="3" t="s">
        <v>7010</v>
      </c>
      <c r="BJ659" s="3" t="s">
        <v>7010</v>
      </c>
      <c r="BK659" s="74" t="str">
        <f t="shared" si="43"/>
        <v>Yes</v>
      </c>
    </row>
    <row r="660" spans="7:63">
      <c r="G660">
        <v>659</v>
      </c>
      <c r="H660" s="7" t="s">
        <v>434</v>
      </c>
      <c r="I660" t="s">
        <v>29</v>
      </c>
      <c r="J660">
        <f>LEN(H660)</f>
        <v>16</v>
      </c>
      <c r="K660" s="49" t="s">
        <v>2653</v>
      </c>
      <c r="O660" s="3" t="s">
        <v>7010</v>
      </c>
      <c r="P660" s="3" t="s">
        <v>7010</v>
      </c>
      <c r="Q660" s="3" t="s">
        <v>7010</v>
      </c>
      <c r="R660" s="3" t="s">
        <v>7010</v>
      </c>
      <c r="S660" s="3" t="s">
        <v>7010</v>
      </c>
      <c r="T660" s="3" t="s">
        <v>7010</v>
      </c>
      <c r="U660" s="3" t="s">
        <v>7010</v>
      </c>
      <c r="V660" s="3" t="s">
        <v>7010</v>
      </c>
      <c r="W660" s="74" t="str">
        <f t="shared" si="41"/>
        <v>No</v>
      </c>
      <c r="Z660">
        <v>659</v>
      </c>
      <c r="AA660" s="55" t="s">
        <v>5254</v>
      </c>
      <c r="AC660">
        <f t="shared" si="40"/>
        <v>7</v>
      </c>
      <c r="AD660" s="30" t="s">
        <v>5255</v>
      </c>
      <c r="AF660" t="s">
        <v>8076</v>
      </c>
      <c r="AH660" s="3" t="s">
        <v>7015</v>
      </c>
      <c r="AI660" s="3" t="s">
        <v>7010</v>
      </c>
      <c r="AJ660" s="3" t="s">
        <v>7010</v>
      </c>
      <c r="AK660" s="3" t="s">
        <v>7015</v>
      </c>
      <c r="AL660" s="3" t="s">
        <v>7010</v>
      </c>
      <c r="AM660" s="3" t="s">
        <v>7010</v>
      </c>
      <c r="AN660" s="3" t="s">
        <v>7010</v>
      </c>
      <c r="AO660" s="3" t="s">
        <v>7010</v>
      </c>
      <c r="AP660" s="74" t="s">
        <v>7015</v>
      </c>
      <c r="AU660">
        <v>659</v>
      </c>
      <c r="AV660" t="s">
        <v>5256</v>
      </c>
      <c r="AW660" t="s">
        <v>2279</v>
      </c>
      <c r="AX660">
        <f t="shared" si="42"/>
        <v>9</v>
      </c>
      <c r="AY660" s="30" t="s">
        <v>5257</v>
      </c>
      <c r="BC660" s="3" t="s">
        <v>7010</v>
      </c>
      <c r="BD660" s="3" t="s">
        <v>7010</v>
      </c>
      <c r="BE660" s="3" t="s">
        <v>7010</v>
      </c>
      <c r="BF660" s="3" t="s">
        <v>7010</v>
      </c>
      <c r="BG660" s="3" t="s">
        <v>7010</v>
      </c>
      <c r="BH660" s="3" t="s">
        <v>7010</v>
      </c>
      <c r="BI660" s="3" t="s">
        <v>7010</v>
      </c>
      <c r="BJ660" s="3" t="s">
        <v>7010</v>
      </c>
      <c r="BK660" s="74" t="str">
        <f t="shared" si="43"/>
        <v>No</v>
      </c>
    </row>
    <row r="661" spans="7:63">
      <c r="G661">
        <v>660</v>
      </c>
      <c r="H661" s="7" t="s">
        <v>2209</v>
      </c>
      <c r="I661" t="s">
        <v>29</v>
      </c>
      <c r="J661">
        <f>LEN(H661)</f>
        <v>15</v>
      </c>
      <c r="K661" s="49" t="s">
        <v>6845</v>
      </c>
      <c r="O661" s="3" t="s">
        <v>7010</v>
      </c>
      <c r="P661" s="3" t="s">
        <v>7010</v>
      </c>
      <c r="Q661" s="3" t="s">
        <v>7010</v>
      </c>
      <c r="R661" s="3" t="s">
        <v>7010</v>
      </c>
      <c r="S661" s="3" t="s">
        <v>7010</v>
      </c>
      <c r="T661" s="3" t="s">
        <v>7015</v>
      </c>
      <c r="U661" s="3" t="s">
        <v>7010</v>
      </c>
      <c r="V661" s="3" t="s">
        <v>7010</v>
      </c>
      <c r="W661" s="74" t="str">
        <f t="shared" si="41"/>
        <v>Yes</v>
      </c>
      <c r="Z661">
        <v>660</v>
      </c>
      <c r="AA661" s="55" t="s">
        <v>5259</v>
      </c>
      <c r="AC661">
        <f t="shared" si="40"/>
        <v>8</v>
      </c>
      <c r="AD661" s="30" t="s">
        <v>5260</v>
      </c>
      <c r="AF661" t="s">
        <v>8077</v>
      </c>
      <c r="AH661" s="3" t="s">
        <v>7015</v>
      </c>
      <c r="AI661" s="3" t="s">
        <v>7010</v>
      </c>
      <c r="AJ661" s="3" t="s">
        <v>7010</v>
      </c>
      <c r="AK661" s="3" t="s">
        <v>7015</v>
      </c>
      <c r="AL661" s="3" t="s">
        <v>7010</v>
      </c>
      <c r="AM661" s="3" t="s">
        <v>7010</v>
      </c>
      <c r="AN661" s="3" t="s">
        <v>7010</v>
      </c>
      <c r="AO661" s="3" t="s">
        <v>7010</v>
      </c>
      <c r="AP661" s="74" t="s">
        <v>7015</v>
      </c>
      <c r="AU661">
        <v>660</v>
      </c>
      <c r="AV661" t="s">
        <v>5261</v>
      </c>
      <c r="AW661" t="s">
        <v>2279</v>
      </c>
      <c r="AX661">
        <f t="shared" si="42"/>
        <v>8</v>
      </c>
      <c r="AY661" s="30" t="s">
        <v>5262</v>
      </c>
      <c r="BC661" s="3" t="s">
        <v>7015</v>
      </c>
      <c r="BD661" s="3" t="s">
        <v>7010</v>
      </c>
      <c r="BE661" s="3" t="s">
        <v>7015</v>
      </c>
      <c r="BF661" s="3" t="s">
        <v>7010</v>
      </c>
      <c r="BG661" s="3" t="s">
        <v>7010</v>
      </c>
      <c r="BH661" s="3" t="s">
        <v>7010</v>
      </c>
      <c r="BI661" s="3" t="s">
        <v>7010</v>
      </c>
      <c r="BJ661" s="3" t="s">
        <v>7010</v>
      </c>
      <c r="BK661" s="74" t="str">
        <f t="shared" si="43"/>
        <v>Yes</v>
      </c>
    </row>
    <row r="662" spans="7:63">
      <c r="G662">
        <v>661</v>
      </c>
      <c r="H662" s="7" t="s">
        <v>2189</v>
      </c>
      <c r="I662" t="s">
        <v>29</v>
      </c>
      <c r="J662">
        <f>LEN(H662)</f>
        <v>15</v>
      </c>
      <c r="K662" s="49" t="s">
        <v>6796</v>
      </c>
      <c r="O662" s="3" t="s">
        <v>7010</v>
      </c>
      <c r="P662" s="3" t="s">
        <v>7010</v>
      </c>
      <c r="Q662" s="3" t="s">
        <v>7010</v>
      </c>
      <c r="R662" s="3" t="s">
        <v>7010</v>
      </c>
      <c r="S662" s="3" t="s">
        <v>7010</v>
      </c>
      <c r="T662" s="3" t="s">
        <v>7015</v>
      </c>
      <c r="U662" s="3" t="s">
        <v>7010</v>
      </c>
      <c r="V662" s="3" t="s">
        <v>7010</v>
      </c>
      <c r="W662" s="74" t="str">
        <f t="shared" si="41"/>
        <v>Yes</v>
      </c>
      <c r="Z662">
        <v>661</v>
      </c>
      <c r="AA662" s="55" t="s">
        <v>5264</v>
      </c>
      <c r="AC662">
        <f t="shared" si="40"/>
        <v>7</v>
      </c>
      <c r="AD662" s="30" t="s">
        <v>5265</v>
      </c>
      <c r="AF662" t="s">
        <v>8078</v>
      </c>
      <c r="AH662" s="3" t="s">
        <v>7015</v>
      </c>
      <c r="AI662" s="3" t="s">
        <v>7010</v>
      </c>
      <c r="AJ662" s="3" t="s">
        <v>7010</v>
      </c>
      <c r="AK662" s="3" t="s">
        <v>7015</v>
      </c>
      <c r="AL662" s="3" t="s">
        <v>7010</v>
      </c>
      <c r="AM662" s="3" t="s">
        <v>7010</v>
      </c>
      <c r="AN662" s="3" t="s">
        <v>7010</v>
      </c>
      <c r="AO662" s="3" t="s">
        <v>7010</v>
      </c>
      <c r="AP662" s="74" t="s">
        <v>7015</v>
      </c>
      <c r="AU662">
        <v>661</v>
      </c>
      <c r="AV662" t="s">
        <v>5266</v>
      </c>
      <c r="AW662" t="s">
        <v>2279</v>
      </c>
      <c r="AX662">
        <f t="shared" si="42"/>
        <v>9</v>
      </c>
      <c r="AY662" s="30" t="s">
        <v>5267</v>
      </c>
      <c r="BC662" s="3" t="s">
        <v>7015</v>
      </c>
      <c r="BD662" s="3" t="s">
        <v>7010</v>
      </c>
      <c r="BE662" s="3" t="s">
        <v>7015</v>
      </c>
      <c r="BF662" s="3" t="s">
        <v>7010</v>
      </c>
      <c r="BG662" s="3" t="s">
        <v>7010</v>
      </c>
      <c r="BH662" s="3" t="s">
        <v>7010</v>
      </c>
      <c r="BI662" s="3" t="s">
        <v>7010</v>
      </c>
      <c r="BJ662" s="3" t="s">
        <v>7010</v>
      </c>
      <c r="BK662" s="74" t="str">
        <f t="shared" si="43"/>
        <v>Yes</v>
      </c>
    </row>
    <row r="663" spans="7:63">
      <c r="G663">
        <v>662</v>
      </c>
      <c r="H663" s="7" t="s">
        <v>2025</v>
      </c>
      <c r="I663" t="s">
        <v>29</v>
      </c>
      <c r="J663">
        <f>LEN(H663)</f>
        <v>12</v>
      </c>
      <c r="K663" s="49" t="s">
        <v>6392</v>
      </c>
      <c r="O663" s="3" t="s">
        <v>7010</v>
      </c>
      <c r="P663" s="3" t="s">
        <v>7010</v>
      </c>
      <c r="Q663" s="3" t="s">
        <v>7010</v>
      </c>
      <c r="R663" s="3" t="s">
        <v>7010</v>
      </c>
      <c r="S663" s="3" t="s">
        <v>7010</v>
      </c>
      <c r="T663" s="3" t="s">
        <v>7010</v>
      </c>
      <c r="U663" s="3" t="s">
        <v>7010</v>
      </c>
      <c r="V663" s="3" t="s">
        <v>7010</v>
      </c>
      <c r="W663" s="74" t="str">
        <f t="shared" si="41"/>
        <v>No</v>
      </c>
      <c r="Z663">
        <v>662</v>
      </c>
      <c r="AA663" s="55" t="s">
        <v>5269</v>
      </c>
      <c r="AC663">
        <f t="shared" si="40"/>
        <v>6</v>
      </c>
      <c r="AD663" s="30" t="s">
        <v>5270</v>
      </c>
      <c r="AF663" t="s">
        <v>8079</v>
      </c>
      <c r="AH663" s="3" t="s">
        <v>7015</v>
      </c>
      <c r="AI663" s="3" t="s">
        <v>7010</v>
      </c>
      <c r="AJ663" s="3" t="s">
        <v>7010</v>
      </c>
      <c r="AK663" s="3" t="s">
        <v>7015</v>
      </c>
      <c r="AL663" s="3" t="s">
        <v>7010</v>
      </c>
      <c r="AM663" s="3" t="s">
        <v>7010</v>
      </c>
      <c r="AN663" s="3" t="s">
        <v>7010</v>
      </c>
      <c r="AO663" s="3" t="s">
        <v>7010</v>
      </c>
      <c r="AP663" s="74" t="s">
        <v>7015</v>
      </c>
      <c r="AU663">
        <v>662</v>
      </c>
      <c r="AV663" t="s">
        <v>5271</v>
      </c>
      <c r="AW663" t="s">
        <v>2279</v>
      </c>
      <c r="AX663">
        <f t="shared" si="42"/>
        <v>10</v>
      </c>
      <c r="AY663" s="30" t="s">
        <v>5272</v>
      </c>
      <c r="BC663" s="3" t="s">
        <v>7010</v>
      </c>
      <c r="BD663" s="3" t="s">
        <v>7010</v>
      </c>
      <c r="BE663" s="3" t="s">
        <v>7010</v>
      </c>
      <c r="BF663" s="3" t="s">
        <v>7010</v>
      </c>
      <c r="BG663" s="3" t="s">
        <v>7010</v>
      </c>
      <c r="BH663" s="3" t="s">
        <v>7010</v>
      </c>
      <c r="BI663" s="3" t="s">
        <v>7010</v>
      </c>
      <c r="BJ663" s="3" t="s">
        <v>7010</v>
      </c>
      <c r="BK663" s="74" t="str">
        <f t="shared" si="43"/>
        <v>No</v>
      </c>
    </row>
    <row r="664" spans="7:63">
      <c r="G664">
        <v>663</v>
      </c>
      <c r="H664" s="7" t="s">
        <v>2129</v>
      </c>
      <c r="I664" t="s">
        <v>29</v>
      </c>
      <c r="J664">
        <f>LEN(H664)</f>
        <v>20</v>
      </c>
      <c r="K664" s="49" t="s">
        <v>6648</v>
      </c>
      <c r="O664" s="3" t="s">
        <v>7010</v>
      </c>
      <c r="P664" s="3" t="s">
        <v>7010</v>
      </c>
      <c r="Q664" s="3" t="s">
        <v>7010</v>
      </c>
      <c r="R664" s="3" t="s">
        <v>7010</v>
      </c>
      <c r="S664" s="3" t="s">
        <v>7010</v>
      </c>
      <c r="T664" s="3" t="s">
        <v>7015</v>
      </c>
      <c r="U664" s="3" t="s">
        <v>7010</v>
      </c>
      <c r="V664" s="3" t="s">
        <v>7010</v>
      </c>
      <c r="W664" s="74" t="str">
        <f t="shared" si="41"/>
        <v>Yes</v>
      </c>
      <c r="Z664">
        <v>663</v>
      </c>
      <c r="AA664" s="55" t="s">
        <v>5275</v>
      </c>
      <c r="AC664">
        <f t="shared" si="40"/>
        <v>6</v>
      </c>
      <c r="AD664" s="30" t="s">
        <v>5276</v>
      </c>
      <c r="AF664" t="s">
        <v>8080</v>
      </c>
      <c r="AH664" s="3" t="s">
        <v>7015</v>
      </c>
      <c r="AI664" s="3" t="s">
        <v>7010</v>
      </c>
      <c r="AJ664" s="3" t="s">
        <v>7010</v>
      </c>
      <c r="AK664" s="3" t="s">
        <v>7015</v>
      </c>
      <c r="AL664" s="3" t="s">
        <v>7010</v>
      </c>
      <c r="AM664" s="3" t="s">
        <v>7010</v>
      </c>
      <c r="AN664" s="3" t="s">
        <v>7010</v>
      </c>
      <c r="AO664" s="3" t="s">
        <v>7010</v>
      </c>
      <c r="AP664" s="74" t="s">
        <v>7015</v>
      </c>
      <c r="AU664">
        <v>663</v>
      </c>
      <c r="AV664" t="s">
        <v>5277</v>
      </c>
      <c r="AW664" t="s">
        <v>2279</v>
      </c>
      <c r="AX664">
        <f t="shared" si="42"/>
        <v>8</v>
      </c>
      <c r="AY664" s="30" t="s">
        <v>5278</v>
      </c>
      <c r="BC664" s="3" t="s">
        <v>7010</v>
      </c>
      <c r="BD664" s="3" t="s">
        <v>7010</v>
      </c>
      <c r="BE664" s="3" t="s">
        <v>7010</v>
      </c>
      <c r="BF664" s="3" t="s">
        <v>7010</v>
      </c>
      <c r="BG664" s="3" t="s">
        <v>7010</v>
      </c>
      <c r="BH664" s="3" t="s">
        <v>7010</v>
      </c>
      <c r="BI664" s="3" t="s">
        <v>7010</v>
      </c>
      <c r="BJ664" s="3" t="s">
        <v>7010</v>
      </c>
      <c r="BK664" s="74" t="str">
        <f t="shared" si="43"/>
        <v>No</v>
      </c>
    </row>
    <row r="665" spans="7:63">
      <c r="G665">
        <v>664</v>
      </c>
      <c r="H665" s="7" t="s">
        <v>561</v>
      </c>
      <c r="I665" t="s">
        <v>29</v>
      </c>
      <c r="J665">
        <f>LEN(H665)</f>
        <v>10</v>
      </c>
      <c r="K665" s="49" t="s">
        <v>3161</v>
      </c>
      <c r="O665" s="3" t="s">
        <v>7010</v>
      </c>
      <c r="P665" s="3" t="s">
        <v>7010</v>
      </c>
      <c r="Q665" s="3" t="s">
        <v>7010</v>
      </c>
      <c r="R665" s="3" t="s">
        <v>7010</v>
      </c>
      <c r="S665" s="3" t="s">
        <v>7010</v>
      </c>
      <c r="T665" s="3" t="s">
        <v>7015</v>
      </c>
      <c r="U665" s="3" t="s">
        <v>7010</v>
      </c>
      <c r="V665" s="3" t="s">
        <v>7010</v>
      </c>
      <c r="W665" s="74" t="str">
        <f t="shared" si="41"/>
        <v>Yes</v>
      </c>
      <c r="Z665">
        <v>664</v>
      </c>
      <c r="AA665" s="55" t="s">
        <v>5280</v>
      </c>
      <c r="AC665">
        <f t="shared" si="40"/>
        <v>7</v>
      </c>
      <c r="AD665" s="30" t="s">
        <v>5281</v>
      </c>
      <c r="AF665" t="s">
        <v>8081</v>
      </c>
      <c r="AH665" s="3" t="s">
        <v>7015</v>
      </c>
      <c r="AI665" s="3" t="s">
        <v>7010</v>
      </c>
      <c r="AJ665" s="3" t="s">
        <v>7010</v>
      </c>
      <c r="AK665" s="3" t="s">
        <v>7015</v>
      </c>
      <c r="AL665" s="3" t="s">
        <v>7010</v>
      </c>
      <c r="AM665" s="3" t="s">
        <v>7010</v>
      </c>
      <c r="AN665" s="3" t="s">
        <v>7010</v>
      </c>
      <c r="AO665" s="3" t="s">
        <v>7010</v>
      </c>
      <c r="AP665" s="74" t="s">
        <v>7015</v>
      </c>
      <c r="AU665">
        <v>664</v>
      </c>
      <c r="AV665" t="s">
        <v>5282</v>
      </c>
      <c r="AW665" t="s">
        <v>2279</v>
      </c>
      <c r="AX665">
        <f t="shared" si="42"/>
        <v>9</v>
      </c>
      <c r="AY665" s="30" t="s">
        <v>5283</v>
      </c>
      <c r="BC665" s="3" t="s">
        <v>7015</v>
      </c>
      <c r="BD665" s="3" t="s">
        <v>7010</v>
      </c>
      <c r="BE665" s="3" t="s">
        <v>7015</v>
      </c>
      <c r="BF665" s="3" t="s">
        <v>7010</v>
      </c>
      <c r="BG665" s="3" t="s">
        <v>7010</v>
      </c>
      <c r="BH665" s="3" t="s">
        <v>7010</v>
      </c>
      <c r="BI665" s="3" t="s">
        <v>7010</v>
      </c>
      <c r="BJ665" s="3" t="s">
        <v>7010</v>
      </c>
      <c r="BK665" s="74" t="str">
        <f t="shared" si="43"/>
        <v>Yes</v>
      </c>
    </row>
    <row r="666" spans="7:63">
      <c r="G666">
        <v>665</v>
      </c>
      <c r="H666" s="7" t="s">
        <v>577</v>
      </c>
      <c r="I666" t="s">
        <v>29</v>
      </c>
      <c r="J666">
        <f>LEN(H666)</f>
        <v>13</v>
      </c>
      <c r="K666" s="49" t="s">
        <v>3225</v>
      </c>
      <c r="O666" s="3" t="s">
        <v>7010</v>
      </c>
      <c r="P666" s="3" t="s">
        <v>7010</v>
      </c>
      <c r="Q666" s="3" t="s">
        <v>7010</v>
      </c>
      <c r="R666" s="3" t="s">
        <v>7010</v>
      </c>
      <c r="S666" s="3" t="s">
        <v>7010</v>
      </c>
      <c r="T666" s="3" t="s">
        <v>7015</v>
      </c>
      <c r="U666" s="3" t="s">
        <v>7010</v>
      </c>
      <c r="V666" s="3" t="s">
        <v>7015</v>
      </c>
      <c r="W666" s="74" t="str">
        <f t="shared" si="41"/>
        <v>Yes</v>
      </c>
      <c r="Z666">
        <v>665</v>
      </c>
      <c r="AA666" s="55" t="s">
        <v>5286</v>
      </c>
      <c r="AC666">
        <f t="shared" si="40"/>
        <v>8</v>
      </c>
      <c r="AD666" s="30" t="s">
        <v>5287</v>
      </c>
      <c r="AF666" t="s">
        <v>8082</v>
      </c>
      <c r="AH666" s="3" t="s">
        <v>7015</v>
      </c>
      <c r="AI666" s="3" t="s">
        <v>7010</v>
      </c>
      <c r="AJ666" s="3" t="s">
        <v>7010</v>
      </c>
      <c r="AK666" s="3" t="s">
        <v>7015</v>
      </c>
      <c r="AL666" s="3" t="s">
        <v>7010</v>
      </c>
      <c r="AM666" s="3" t="s">
        <v>7010</v>
      </c>
      <c r="AN666" s="3" t="s">
        <v>7010</v>
      </c>
      <c r="AO666" s="3" t="s">
        <v>7010</v>
      </c>
      <c r="AP666" s="74" t="s">
        <v>7015</v>
      </c>
      <c r="AU666">
        <v>665</v>
      </c>
      <c r="AV666" t="s">
        <v>5288</v>
      </c>
      <c r="AW666" t="s">
        <v>2279</v>
      </c>
      <c r="AX666">
        <f t="shared" si="42"/>
        <v>8</v>
      </c>
      <c r="AY666" s="31" t="s">
        <v>5289</v>
      </c>
      <c r="BC666" s="3" t="s">
        <v>7010</v>
      </c>
      <c r="BD666" s="3" t="s">
        <v>7010</v>
      </c>
      <c r="BE666" s="3" t="s">
        <v>7010</v>
      </c>
      <c r="BF666" s="3" t="s">
        <v>7010</v>
      </c>
      <c r="BG666" s="3" t="s">
        <v>7010</v>
      </c>
      <c r="BH666" s="3" t="s">
        <v>7010</v>
      </c>
      <c r="BI666" s="3" t="s">
        <v>7010</v>
      </c>
      <c r="BJ666" s="3" t="s">
        <v>7010</v>
      </c>
      <c r="BK666" s="74" t="str">
        <f t="shared" si="43"/>
        <v>No</v>
      </c>
    </row>
    <row r="667" spans="7:63">
      <c r="G667">
        <v>666</v>
      </c>
      <c r="H667" s="7" t="s">
        <v>578</v>
      </c>
      <c r="I667" t="s">
        <v>29</v>
      </c>
      <c r="J667">
        <f>LEN(H667)</f>
        <v>20</v>
      </c>
      <c r="K667" s="49" t="s">
        <v>3229</v>
      </c>
      <c r="O667" s="3" t="s">
        <v>7010</v>
      </c>
      <c r="P667" s="3" t="s">
        <v>7010</v>
      </c>
      <c r="Q667" s="3" t="s">
        <v>7010</v>
      </c>
      <c r="R667" s="3" t="s">
        <v>7010</v>
      </c>
      <c r="S667" s="3" t="s">
        <v>7010</v>
      </c>
      <c r="T667" s="3" t="s">
        <v>7010</v>
      </c>
      <c r="U667" s="3" t="s">
        <v>7010</v>
      </c>
      <c r="V667" s="3" t="s">
        <v>7010</v>
      </c>
      <c r="W667" s="74" t="str">
        <f t="shared" si="41"/>
        <v>No</v>
      </c>
      <c r="Z667">
        <v>666</v>
      </c>
      <c r="AA667" s="55" t="s">
        <v>5291</v>
      </c>
      <c r="AC667">
        <f t="shared" si="40"/>
        <v>7</v>
      </c>
      <c r="AD667" s="30" t="s">
        <v>5292</v>
      </c>
      <c r="AF667" t="s">
        <v>8083</v>
      </c>
      <c r="AH667" s="3" t="s">
        <v>7015</v>
      </c>
      <c r="AI667" s="3" t="s">
        <v>7010</v>
      </c>
      <c r="AJ667" s="3" t="s">
        <v>7010</v>
      </c>
      <c r="AK667" s="3" t="s">
        <v>7015</v>
      </c>
      <c r="AL667" s="3" t="s">
        <v>7010</v>
      </c>
      <c r="AM667" s="3" t="s">
        <v>7010</v>
      </c>
      <c r="AN667" s="3" t="s">
        <v>7010</v>
      </c>
      <c r="AO667" s="3" t="s">
        <v>7010</v>
      </c>
      <c r="AP667" s="74" t="s">
        <v>7015</v>
      </c>
      <c r="AU667">
        <v>666</v>
      </c>
      <c r="AV667" t="s">
        <v>5293</v>
      </c>
      <c r="AW667" t="s">
        <v>2279</v>
      </c>
      <c r="AX667">
        <f t="shared" si="42"/>
        <v>12</v>
      </c>
      <c r="AY667" s="30" t="s">
        <v>5294</v>
      </c>
      <c r="BC667" s="3" t="s">
        <v>7010</v>
      </c>
      <c r="BD667" s="3" t="s">
        <v>7010</v>
      </c>
      <c r="BE667" s="3" t="s">
        <v>7010</v>
      </c>
      <c r="BF667" s="3" t="s">
        <v>7010</v>
      </c>
      <c r="BG667" s="3" t="s">
        <v>7010</v>
      </c>
      <c r="BH667" s="3" t="s">
        <v>7010</v>
      </c>
      <c r="BI667" s="3" t="s">
        <v>7010</v>
      </c>
      <c r="BJ667" s="3" t="s">
        <v>7010</v>
      </c>
      <c r="BK667" s="74" t="str">
        <f t="shared" si="43"/>
        <v>No</v>
      </c>
    </row>
    <row r="668" spans="7:63">
      <c r="G668">
        <v>667</v>
      </c>
      <c r="H668" s="7" t="s">
        <v>2133</v>
      </c>
      <c r="I668" t="s">
        <v>29</v>
      </c>
      <c r="J668">
        <f>LEN(H668)</f>
        <v>15</v>
      </c>
      <c r="K668" s="49" t="s">
        <v>6658</v>
      </c>
      <c r="O668" s="3" t="s">
        <v>7010</v>
      </c>
      <c r="P668" s="3" t="s">
        <v>7010</v>
      </c>
      <c r="Q668" s="3" t="s">
        <v>7010</v>
      </c>
      <c r="R668" s="3" t="s">
        <v>7010</v>
      </c>
      <c r="S668" s="3" t="s">
        <v>7010</v>
      </c>
      <c r="T668" s="3" t="s">
        <v>7015</v>
      </c>
      <c r="U668" s="3" t="s">
        <v>7010</v>
      </c>
      <c r="V668" s="3" t="s">
        <v>7010</v>
      </c>
      <c r="W668" s="74" t="str">
        <f t="shared" si="41"/>
        <v>Yes</v>
      </c>
      <c r="Z668">
        <v>667</v>
      </c>
      <c r="AA668" s="55" t="s">
        <v>5296</v>
      </c>
      <c r="AC668">
        <f t="shared" si="40"/>
        <v>6</v>
      </c>
      <c r="AD668" s="30" t="s">
        <v>5297</v>
      </c>
      <c r="AF668" t="s">
        <v>8084</v>
      </c>
      <c r="AH668" s="3" t="s">
        <v>7015</v>
      </c>
      <c r="AI668" s="3" t="s">
        <v>7010</v>
      </c>
      <c r="AJ668" s="3" t="s">
        <v>7010</v>
      </c>
      <c r="AK668" s="3" t="s">
        <v>7015</v>
      </c>
      <c r="AL668" s="3" t="s">
        <v>7010</v>
      </c>
      <c r="AM668" s="3" t="s">
        <v>7010</v>
      </c>
      <c r="AN668" s="3" t="s">
        <v>7010</v>
      </c>
      <c r="AO668" s="3" t="s">
        <v>7010</v>
      </c>
      <c r="AP668" s="74" t="s">
        <v>7015</v>
      </c>
      <c r="AU668">
        <v>667</v>
      </c>
      <c r="AV668" t="s">
        <v>5298</v>
      </c>
      <c r="AW668" t="s">
        <v>2279</v>
      </c>
      <c r="AX668">
        <f t="shared" si="42"/>
        <v>9</v>
      </c>
      <c r="AY668" s="30" t="s">
        <v>5299</v>
      </c>
      <c r="BC668" s="3" t="s">
        <v>7010</v>
      </c>
      <c r="BD668" s="3" t="s">
        <v>7010</v>
      </c>
      <c r="BE668" s="3" t="s">
        <v>7010</v>
      </c>
      <c r="BF668" s="3" t="s">
        <v>7010</v>
      </c>
      <c r="BG668" s="3" t="s">
        <v>7010</v>
      </c>
      <c r="BH668" s="3" t="s">
        <v>7010</v>
      </c>
      <c r="BI668" s="3" t="s">
        <v>7010</v>
      </c>
      <c r="BJ668" s="3" t="s">
        <v>7010</v>
      </c>
      <c r="BK668" s="74" t="str">
        <f t="shared" si="43"/>
        <v>No</v>
      </c>
    </row>
    <row r="669" spans="7:63">
      <c r="G669">
        <v>668</v>
      </c>
      <c r="H669" t="s">
        <v>6958</v>
      </c>
      <c r="I669" t="s">
        <v>29</v>
      </c>
      <c r="J669">
        <f>LEN(H669)</f>
        <v>9</v>
      </c>
      <c r="K669" s="49" t="s">
        <v>6959</v>
      </c>
      <c r="O669" s="3" t="s">
        <v>7010</v>
      </c>
      <c r="P669" s="3" t="s">
        <v>7010</v>
      </c>
      <c r="Q669" s="3" t="s">
        <v>7010</v>
      </c>
      <c r="R669" s="3" t="s">
        <v>7015</v>
      </c>
      <c r="S669" s="3" t="s">
        <v>7010</v>
      </c>
      <c r="T669" s="3" t="s">
        <v>7015</v>
      </c>
      <c r="U669" s="3" t="s">
        <v>7010</v>
      </c>
      <c r="V669" s="3" t="s">
        <v>7010</v>
      </c>
      <c r="W669" s="74" t="str">
        <f t="shared" si="41"/>
        <v>Yes</v>
      </c>
      <c r="Z669">
        <v>668</v>
      </c>
      <c r="AA669" s="55" t="s">
        <v>5301</v>
      </c>
      <c r="AC669">
        <f t="shared" si="40"/>
        <v>6</v>
      </c>
      <c r="AD669" s="30" t="s">
        <v>5302</v>
      </c>
      <c r="AF669" t="s">
        <v>8085</v>
      </c>
      <c r="AH669" s="3" t="s">
        <v>7015</v>
      </c>
      <c r="AI669" s="3" t="s">
        <v>7010</v>
      </c>
      <c r="AJ669" s="3" t="s">
        <v>7010</v>
      </c>
      <c r="AK669" s="3" t="s">
        <v>7015</v>
      </c>
      <c r="AL669" s="3" t="s">
        <v>7010</v>
      </c>
      <c r="AM669" s="3" t="s">
        <v>7010</v>
      </c>
      <c r="AN669" s="3" t="s">
        <v>7010</v>
      </c>
      <c r="AO669" s="3" t="s">
        <v>7010</v>
      </c>
      <c r="AP669" s="74" t="s">
        <v>7015</v>
      </c>
      <c r="AU669">
        <v>668</v>
      </c>
      <c r="AV669" t="s">
        <v>5303</v>
      </c>
      <c r="AW669" t="s">
        <v>2279</v>
      </c>
      <c r="AX669">
        <f t="shared" si="42"/>
        <v>13</v>
      </c>
      <c r="AY669" s="30" t="s">
        <v>5304</v>
      </c>
      <c r="BC669" s="3" t="s">
        <v>7010</v>
      </c>
      <c r="BD669" s="3" t="s">
        <v>7010</v>
      </c>
      <c r="BE669" s="3" t="s">
        <v>7010</v>
      </c>
      <c r="BF669" s="3" t="s">
        <v>7010</v>
      </c>
      <c r="BG669" s="3" t="s">
        <v>7010</v>
      </c>
      <c r="BH669" s="3" t="s">
        <v>7010</v>
      </c>
      <c r="BI669" s="3" t="s">
        <v>7010</v>
      </c>
      <c r="BJ669" s="3" t="s">
        <v>7010</v>
      </c>
      <c r="BK669" s="74" t="str">
        <f t="shared" si="43"/>
        <v>No</v>
      </c>
    </row>
    <row r="670" spans="7:63">
      <c r="G670">
        <v>669</v>
      </c>
      <c r="H670" s="9" t="s">
        <v>33</v>
      </c>
      <c r="I670" t="s">
        <v>29</v>
      </c>
      <c r="J670">
        <f>LEN(H670)</f>
        <v>10</v>
      </c>
      <c r="K670" s="49" t="s">
        <v>2357</v>
      </c>
      <c r="O670" s="3" t="s">
        <v>7015</v>
      </c>
      <c r="P670" s="3" t="s">
        <v>7010</v>
      </c>
      <c r="Q670" s="3" t="s">
        <v>7010</v>
      </c>
      <c r="R670" s="3" t="s">
        <v>7010</v>
      </c>
      <c r="S670" s="3" t="s">
        <v>7010</v>
      </c>
      <c r="T670" s="3" t="s">
        <v>7015</v>
      </c>
      <c r="U670" s="3" t="s">
        <v>7010</v>
      </c>
      <c r="V670" s="3" t="s">
        <v>7010</v>
      </c>
      <c r="W670" s="74" t="str">
        <f t="shared" si="41"/>
        <v>Yes</v>
      </c>
      <c r="Z670">
        <v>669</v>
      </c>
      <c r="AA670" s="55" t="s">
        <v>5306</v>
      </c>
      <c r="AC670">
        <f t="shared" si="40"/>
        <v>8</v>
      </c>
      <c r="AD670" s="30" t="s">
        <v>5307</v>
      </c>
      <c r="AF670" t="s">
        <v>8086</v>
      </c>
      <c r="AH670" s="3" t="s">
        <v>7015</v>
      </c>
      <c r="AI670" s="3" t="s">
        <v>7010</v>
      </c>
      <c r="AJ670" s="3" t="s">
        <v>7010</v>
      </c>
      <c r="AK670" s="3" t="s">
        <v>7015</v>
      </c>
      <c r="AL670" s="3" t="s">
        <v>7010</v>
      </c>
      <c r="AM670" s="3" t="s">
        <v>7010</v>
      </c>
      <c r="AN670" s="3" t="s">
        <v>7010</v>
      </c>
      <c r="AO670" s="3" t="s">
        <v>7010</v>
      </c>
      <c r="AP670" s="74" t="s">
        <v>7015</v>
      </c>
      <c r="AU670">
        <v>669</v>
      </c>
      <c r="AV670" t="s">
        <v>5308</v>
      </c>
      <c r="AW670" t="s">
        <v>2279</v>
      </c>
      <c r="AX670">
        <f t="shared" si="42"/>
        <v>16</v>
      </c>
      <c r="AY670" s="30" t="s">
        <v>5309</v>
      </c>
      <c r="BC670" s="3" t="s">
        <v>7010</v>
      </c>
      <c r="BD670" s="3" t="s">
        <v>7010</v>
      </c>
      <c r="BE670" s="3" t="s">
        <v>7010</v>
      </c>
      <c r="BF670" s="3" t="s">
        <v>7010</v>
      </c>
      <c r="BG670" s="3" t="s">
        <v>7010</v>
      </c>
      <c r="BH670" s="3" t="s">
        <v>7010</v>
      </c>
      <c r="BI670" s="3" t="s">
        <v>7010</v>
      </c>
      <c r="BJ670" s="3" t="s">
        <v>7010</v>
      </c>
      <c r="BK670" s="74" t="str">
        <f t="shared" si="43"/>
        <v>No</v>
      </c>
    </row>
    <row r="671" spans="7:63">
      <c r="G671">
        <v>670</v>
      </c>
      <c r="H671" s="7" t="s">
        <v>366</v>
      </c>
      <c r="I671" t="s">
        <v>29</v>
      </c>
      <c r="J671">
        <f>LEN(H671)</f>
        <v>9</v>
      </c>
      <c r="K671" s="49" t="s">
        <v>2381</v>
      </c>
      <c r="O671" s="3" t="s">
        <v>7015</v>
      </c>
      <c r="P671" s="3" t="s">
        <v>7010</v>
      </c>
      <c r="Q671" s="3" t="s">
        <v>7010</v>
      </c>
      <c r="R671" s="3" t="s">
        <v>7010</v>
      </c>
      <c r="S671" s="3" t="s">
        <v>7010</v>
      </c>
      <c r="T671" s="3" t="s">
        <v>7015</v>
      </c>
      <c r="U671" s="3" t="s">
        <v>7010</v>
      </c>
      <c r="V671" s="3" t="s">
        <v>7010</v>
      </c>
      <c r="W671" s="74" t="str">
        <f t="shared" si="41"/>
        <v>Yes</v>
      </c>
      <c r="Z671">
        <v>670</v>
      </c>
      <c r="AA671" s="55" t="s">
        <v>5311</v>
      </c>
      <c r="AC671">
        <f t="shared" si="40"/>
        <v>11</v>
      </c>
      <c r="AD671" s="30" t="s">
        <v>5312</v>
      </c>
      <c r="AF671" t="s">
        <v>8087</v>
      </c>
      <c r="AH671" s="3" t="s">
        <v>7015</v>
      </c>
      <c r="AI671" s="3" t="s">
        <v>7010</v>
      </c>
      <c r="AJ671" s="3" t="s">
        <v>7010</v>
      </c>
      <c r="AK671" s="3" t="s">
        <v>7015</v>
      </c>
      <c r="AL671" s="3" t="s">
        <v>7010</v>
      </c>
      <c r="AM671" s="3" t="s">
        <v>7010</v>
      </c>
      <c r="AN671" s="3" t="s">
        <v>7010</v>
      </c>
      <c r="AO671" s="3" t="s">
        <v>7010</v>
      </c>
      <c r="AP671" s="74" t="s">
        <v>7015</v>
      </c>
      <c r="AU671">
        <v>670</v>
      </c>
      <c r="AV671" t="s">
        <v>5313</v>
      </c>
      <c r="AW671" t="s">
        <v>2279</v>
      </c>
      <c r="AX671">
        <f t="shared" si="42"/>
        <v>10</v>
      </c>
      <c r="AY671" s="30" t="s">
        <v>5314</v>
      </c>
      <c r="BC671" s="3" t="s">
        <v>7010</v>
      </c>
      <c r="BD671" s="3" t="s">
        <v>7010</v>
      </c>
      <c r="BE671" s="3" t="s">
        <v>7010</v>
      </c>
      <c r="BF671" s="3" t="s">
        <v>7010</v>
      </c>
      <c r="BG671" s="3" t="s">
        <v>7010</v>
      </c>
      <c r="BH671" s="3" t="s">
        <v>7010</v>
      </c>
      <c r="BI671" s="3" t="s">
        <v>7010</v>
      </c>
      <c r="BJ671" s="3" t="s">
        <v>7010</v>
      </c>
      <c r="BK671" s="74" t="str">
        <f t="shared" si="43"/>
        <v>No</v>
      </c>
    </row>
    <row r="672" spans="7:63">
      <c r="G672">
        <v>671</v>
      </c>
      <c r="H672" s="7" t="s">
        <v>359</v>
      </c>
      <c r="I672" t="s">
        <v>29</v>
      </c>
      <c r="J672">
        <f>LEN(H672)</f>
        <v>13</v>
      </c>
      <c r="K672" s="49" t="s">
        <v>2361</v>
      </c>
      <c r="O672" s="3" t="s">
        <v>7010</v>
      </c>
      <c r="P672" s="3" t="s">
        <v>7010</v>
      </c>
      <c r="Q672" s="3" t="s">
        <v>7010</v>
      </c>
      <c r="R672" s="3" t="s">
        <v>7010</v>
      </c>
      <c r="S672" s="3" t="s">
        <v>7010</v>
      </c>
      <c r="T672" s="3" t="s">
        <v>7015</v>
      </c>
      <c r="U672" s="3" t="s">
        <v>7010</v>
      </c>
      <c r="V672" s="3" t="s">
        <v>7010</v>
      </c>
      <c r="W672" s="74" t="str">
        <f t="shared" si="41"/>
        <v>Yes</v>
      </c>
      <c r="Z672">
        <v>671</v>
      </c>
      <c r="AA672" s="55" t="s">
        <v>5316</v>
      </c>
      <c r="AC672">
        <f t="shared" si="40"/>
        <v>6</v>
      </c>
      <c r="AD672" s="30" t="s">
        <v>5317</v>
      </c>
      <c r="AF672" t="s">
        <v>8088</v>
      </c>
      <c r="AH672" s="3" t="s">
        <v>7015</v>
      </c>
      <c r="AI672" s="3" t="s">
        <v>7010</v>
      </c>
      <c r="AJ672" s="3" t="s">
        <v>7010</v>
      </c>
      <c r="AK672" s="3" t="s">
        <v>7015</v>
      </c>
      <c r="AL672" s="3" t="s">
        <v>7010</v>
      </c>
      <c r="AM672" s="3" t="s">
        <v>7010</v>
      </c>
      <c r="AN672" s="3" t="s">
        <v>7010</v>
      </c>
      <c r="AO672" s="3" t="s">
        <v>7010</v>
      </c>
      <c r="AP672" s="74" t="s">
        <v>7015</v>
      </c>
      <c r="AU672">
        <v>671</v>
      </c>
      <c r="AV672" t="s">
        <v>5318</v>
      </c>
      <c r="AW672" t="s">
        <v>2279</v>
      </c>
      <c r="AX672">
        <f t="shared" si="42"/>
        <v>8</v>
      </c>
      <c r="AY672" s="30" t="s">
        <v>5319</v>
      </c>
      <c r="BC672" s="3" t="s">
        <v>7010</v>
      </c>
      <c r="BD672" s="3" t="s">
        <v>7010</v>
      </c>
      <c r="BE672" s="3" t="s">
        <v>7010</v>
      </c>
      <c r="BF672" s="3" t="s">
        <v>7010</v>
      </c>
      <c r="BG672" s="3" t="s">
        <v>7010</v>
      </c>
      <c r="BH672" s="3" t="s">
        <v>7010</v>
      </c>
      <c r="BI672" s="3" t="s">
        <v>7010</v>
      </c>
      <c r="BJ672" s="3" t="s">
        <v>7010</v>
      </c>
      <c r="BK672" s="74" t="str">
        <f t="shared" si="43"/>
        <v>No</v>
      </c>
    </row>
    <row r="673" spans="7:63">
      <c r="G673">
        <v>672</v>
      </c>
      <c r="H673" s="7" t="s">
        <v>367</v>
      </c>
      <c r="I673" t="s">
        <v>29</v>
      </c>
      <c r="J673">
        <f>LEN(H673)</f>
        <v>15</v>
      </c>
      <c r="K673" s="49" t="s">
        <v>2385</v>
      </c>
      <c r="O673" s="3" t="s">
        <v>7010</v>
      </c>
      <c r="P673" s="3" t="s">
        <v>7010</v>
      </c>
      <c r="Q673" s="3" t="s">
        <v>7010</v>
      </c>
      <c r="R673" s="3" t="s">
        <v>7010</v>
      </c>
      <c r="S673" s="3" t="s">
        <v>7010</v>
      </c>
      <c r="T673" s="3" t="s">
        <v>7015</v>
      </c>
      <c r="U673" s="3" t="s">
        <v>7010</v>
      </c>
      <c r="V673" s="3" t="s">
        <v>7010</v>
      </c>
      <c r="W673" s="74" t="str">
        <f t="shared" si="41"/>
        <v>Yes</v>
      </c>
      <c r="Z673">
        <v>672</v>
      </c>
      <c r="AA673" s="55" t="s">
        <v>5321</v>
      </c>
      <c r="AC673">
        <f t="shared" si="40"/>
        <v>5</v>
      </c>
      <c r="AD673" s="30" t="s">
        <v>5322</v>
      </c>
      <c r="AF673" t="s">
        <v>8089</v>
      </c>
      <c r="AH673" s="3" t="s">
        <v>7015</v>
      </c>
      <c r="AI673" s="3" t="s">
        <v>7010</v>
      </c>
      <c r="AJ673" s="3" t="s">
        <v>7010</v>
      </c>
      <c r="AK673" s="3" t="s">
        <v>7015</v>
      </c>
      <c r="AL673" s="3" t="s">
        <v>7010</v>
      </c>
      <c r="AM673" s="3" t="s">
        <v>7010</v>
      </c>
      <c r="AN673" s="3" t="s">
        <v>7010</v>
      </c>
      <c r="AO673" s="3" t="s">
        <v>7010</v>
      </c>
      <c r="AP673" s="74" t="s">
        <v>7015</v>
      </c>
      <c r="AU673">
        <v>672</v>
      </c>
      <c r="AV673" t="s">
        <v>5323</v>
      </c>
      <c r="AW673" t="s">
        <v>2279</v>
      </c>
      <c r="AX673">
        <f t="shared" si="42"/>
        <v>9</v>
      </c>
      <c r="AY673" s="30" t="s">
        <v>5324</v>
      </c>
      <c r="BC673" s="3" t="s">
        <v>7010</v>
      </c>
      <c r="BD673" s="3" t="s">
        <v>7010</v>
      </c>
      <c r="BE673" s="3" t="s">
        <v>7010</v>
      </c>
      <c r="BF673" s="3" t="s">
        <v>7010</v>
      </c>
      <c r="BG673" s="3" t="s">
        <v>7010</v>
      </c>
      <c r="BH673" s="3" t="s">
        <v>7010</v>
      </c>
      <c r="BI673" s="3" t="s">
        <v>7010</v>
      </c>
      <c r="BJ673" s="3" t="s">
        <v>7010</v>
      </c>
      <c r="BK673" s="74" t="str">
        <f t="shared" si="43"/>
        <v>No</v>
      </c>
    </row>
    <row r="674" spans="7:63">
      <c r="G674">
        <v>673</v>
      </c>
      <c r="H674" s="7" t="s">
        <v>369</v>
      </c>
      <c r="I674" t="s">
        <v>29</v>
      </c>
      <c r="J674">
        <f>LEN(H674)</f>
        <v>8</v>
      </c>
      <c r="K674" s="49" t="s">
        <v>2393</v>
      </c>
      <c r="O674" s="3" t="s">
        <v>7010</v>
      </c>
      <c r="P674" s="3" t="s">
        <v>7010</v>
      </c>
      <c r="Q674" s="3" t="s">
        <v>7010</v>
      </c>
      <c r="R674" s="3" t="s">
        <v>7010</v>
      </c>
      <c r="S674" s="3" t="s">
        <v>7010</v>
      </c>
      <c r="T674" s="3" t="s">
        <v>7015</v>
      </c>
      <c r="U674" s="3" t="s">
        <v>7010</v>
      </c>
      <c r="V674" s="3" t="s">
        <v>7010</v>
      </c>
      <c r="W674" s="74" t="str">
        <f t="shared" si="41"/>
        <v>Yes</v>
      </c>
      <c r="Z674">
        <v>673</v>
      </c>
      <c r="AA674" s="55" t="s">
        <v>5326</v>
      </c>
      <c r="AC674">
        <f t="shared" si="40"/>
        <v>7</v>
      </c>
      <c r="AD674" s="30" t="s">
        <v>5327</v>
      </c>
      <c r="AF674" t="s">
        <v>8090</v>
      </c>
      <c r="AH674" s="3" t="s">
        <v>7015</v>
      </c>
      <c r="AI674" s="3" t="s">
        <v>7010</v>
      </c>
      <c r="AJ674" s="3" t="s">
        <v>7010</v>
      </c>
      <c r="AK674" s="3" t="s">
        <v>7015</v>
      </c>
      <c r="AL674" s="3" t="s">
        <v>7010</v>
      </c>
      <c r="AM674" s="3" t="s">
        <v>7010</v>
      </c>
      <c r="AN674" s="3" t="s">
        <v>7010</v>
      </c>
      <c r="AO674" s="3" t="s">
        <v>7010</v>
      </c>
      <c r="AP674" s="74" t="s">
        <v>7015</v>
      </c>
      <c r="AU674">
        <v>673</v>
      </c>
      <c r="AV674" t="s">
        <v>5328</v>
      </c>
      <c r="AW674" t="s">
        <v>2279</v>
      </c>
      <c r="AX674">
        <f t="shared" si="42"/>
        <v>9</v>
      </c>
      <c r="AY674" s="30" t="s">
        <v>5329</v>
      </c>
      <c r="BC674" s="3" t="s">
        <v>7010</v>
      </c>
      <c r="BD674" s="3" t="s">
        <v>7010</v>
      </c>
      <c r="BE674" s="3" t="s">
        <v>7015</v>
      </c>
      <c r="BF674" s="3" t="s">
        <v>7010</v>
      </c>
      <c r="BG674" s="3" t="s">
        <v>7010</v>
      </c>
      <c r="BH674" s="3" t="s">
        <v>7010</v>
      </c>
      <c r="BI674" s="3" t="s">
        <v>7010</v>
      </c>
      <c r="BJ674" s="3" t="s">
        <v>7010</v>
      </c>
      <c r="BK674" s="74" t="str">
        <f t="shared" si="43"/>
        <v>Yes</v>
      </c>
    </row>
    <row r="675" spans="7:63">
      <c r="G675">
        <v>674</v>
      </c>
      <c r="H675" s="7" t="s">
        <v>378</v>
      </c>
      <c r="I675" t="s">
        <v>29</v>
      </c>
      <c r="J675">
        <f>LEN(H675)</f>
        <v>10</v>
      </c>
      <c r="K675" s="49" t="s">
        <v>2429</v>
      </c>
      <c r="O675" s="3" t="s">
        <v>7010</v>
      </c>
      <c r="P675" s="3" t="s">
        <v>7010</v>
      </c>
      <c r="Q675" s="3" t="s">
        <v>7010</v>
      </c>
      <c r="R675" s="3" t="s">
        <v>7010</v>
      </c>
      <c r="S675" s="3" t="s">
        <v>7010</v>
      </c>
      <c r="T675" s="3" t="s">
        <v>7015</v>
      </c>
      <c r="U675" s="3" t="s">
        <v>7010</v>
      </c>
      <c r="V675" s="3" t="s">
        <v>7010</v>
      </c>
      <c r="W675" s="74" t="str">
        <f t="shared" si="41"/>
        <v>Yes</v>
      </c>
      <c r="Z675">
        <v>674</v>
      </c>
      <c r="AA675" s="55" t="s">
        <v>5332</v>
      </c>
      <c r="AC675">
        <f t="shared" si="40"/>
        <v>5</v>
      </c>
      <c r="AD675" s="30" t="s">
        <v>5333</v>
      </c>
      <c r="AF675" t="s">
        <v>8091</v>
      </c>
      <c r="AH675" s="3" t="s">
        <v>7015</v>
      </c>
      <c r="AI675" s="3" t="s">
        <v>7010</v>
      </c>
      <c r="AJ675" s="3" t="s">
        <v>7010</v>
      </c>
      <c r="AK675" s="3" t="s">
        <v>7015</v>
      </c>
      <c r="AL675" s="3" t="s">
        <v>7010</v>
      </c>
      <c r="AM675" s="3" t="s">
        <v>7010</v>
      </c>
      <c r="AN675" s="3" t="s">
        <v>7010</v>
      </c>
      <c r="AO675" s="3" t="s">
        <v>7010</v>
      </c>
      <c r="AP675" s="74" t="s">
        <v>7015</v>
      </c>
      <c r="AU675">
        <v>674</v>
      </c>
      <c r="AV675" t="s">
        <v>5334</v>
      </c>
      <c r="AW675" t="s">
        <v>2279</v>
      </c>
      <c r="AX675">
        <f t="shared" si="42"/>
        <v>8</v>
      </c>
      <c r="AY675" s="30" t="s">
        <v>5335</v>
      </c>
      <c r="BC675" s="3" t="s">
        <v>7010</v>
      </c>
      <c r="BD675" s="3" t="s">
        <v>7010</v>
      </c>
      <c r="BE675" s="3" t="s">
        <v>7010</v>
      </c>
      <c r="BF675" s="3" t="s">
        <v>7010</v>
      </c>
      <c r="BG675" s="3" t="s">
        <v>7010</v>
      </c>
      <c r="BH675" s="3" t="s">
        <v>7010</v>
      </c>
      <c r="BI675" s="3" t="s">
        <v>7010</v>
      </c>
      <c r="BJ675" s="3" t="s">
        <v>7010</v>
      </c>
      <c r="BK675" s="74" t="str">
        <f t="shared" si="43"/>
        <v>No</v>
      </c>
    </row>
    <row r="676" spans="7:63">
      <c r="G676">
        <v>675</v>
      </c>
      <c r="H676" s="7" t="s">
        <v>374</v>
      </c>
      <c r="I676" t="s">
        <v>29</v>
      </c>
      <c r="J676">
        <f>LEN(H676)</f>
        <v>13</v>
      </c>
      <c r="K676" s="49" t="s">
        <v>2413</v>
      </c>
      <c r="O676" s="3" t="s">
        <v>7010</v>
      </c>
      <c r="P676" s="3" t="s">
        <v>7010</v>
      </c>
      <c r="Q676" s="3" t="s">
        <v>7010</v>
      </c>
      <c r="R676" s="3" t="s">
        <v>7010</v>
      </c>
      <c r="S676" s="3" t="s">
        <v>7010</v>
      </c>
      <c r="T676" s="3" t="s">
        <v>7010</v>
      </c>
      <c r="U676" s="3" t="s">
        <v>7010</v>
      </c>
      <c r="V676" s="3" t="s">
        <v>7010</v>
      </c>
      <c r="W676" s="74" t="str">
        <f t="shared" si="41"/>
        <v>No</v>
      </c>
      <c r="Z676">
        <v>675</v>
      </c>
      <c r="AA676" s="55" t="s">
        <v>5337</v>
      </c>
      <c r="AC676">
        <f t="shared" si="40"/>
        <v>6</v>
      </c>
      <c r="AD676" s="30" t="s">
        <v>5338</v>
      </c>
      <c r="AF676" t="s">
        <v>8092</v>
      </c>
      <c r="AH676" s="3" t="s">
        <v>7015</v>
      </c>
      <c r="AI676" s="3" t="s">
        <v>7010</v>
      </c>
      <c r="AJ676" s="3" t="s">
        <v>7010</v>
      </c>
      <c r="AK676" s="3" t="s">
        <v>7015</v>
      </c>
      <c r="AL676" s="3" t="s">
        <v>7010</v>
      </c>
      <c r="AM676" s="3" t="s">
        <v>7010</v>
      </c>
      <c r="AN676" s="3" t="s">
        <v>7010</v>
      </c>
      <c r="AO676" s="3" t="s">
        <v>7010</v>
      </c>
      <c r="AP676" s="74" t="s">
        <v>7015</v>
      </c>
      <c r="AU676">
        <v>675</v>
      </c>
      <c r="AV676" t="s">
        <v>5339</v>
      </c>
      <c r="AW676" t="s">
        <v>2279</v>
      </c>
      <c r="AX676">
        <f t="shared" si="42"/>
        <v>11</v>
      </c>
      <c r="AY676" s="30" t="s">
        <v>5340</v>
      </c>
      <c r="BC676" s="3" t="s">
        <v>7010</v>
      </c>
      <c r="BD676" s="3" t="s">
        <v>7010</v>
      </c>
      <c r="BE676" s="3" t="s">
        <v>7010</v>
      </c>
      <c r="BF676" s="3" t="s">
        <v>7010</v>
      </c>
      <c r="BG676" s="3" t="s">
        <v>7010</v>
      </c>
      <c r="BH676" s="3" t="s">
        <v>7010</v>
      </c>
      <c r="BI676" s="3" t="s">
        <v>7010</v>
      </c>
      <c r="BJ676" s="3" t="s">
        <v>7010</v>
      </c>
      <c r="BK676" s="74" t="str">
        <f t="shared" si="43"/>
        <v>No</v>
      </c>
    </row>
    <row r="677" spans="7:63">
      <c r="G677">
        <v>676</v>
      </c>
      <c r="H677" s="7" t="s">
        <v>379</v>
      </c>
      <c r="I677" t="s">
        <v>29</v>
      </c>
      <c r="J677">
        <f>LEN(H677)</f>
        <v>13</v>
      </c>
      <c r="K677" s="49" t="s">
        <v>2433</v>
      </c>
      <c r="O677" s="3" t="s">
        <v>7010</v>
      </c>
      <c r="P677" s="3" t="s">
        <v>7010</v>
      </c>
      <c r="Q677" s="3" t="s">
        <v>7010</v>
      </c>
      <c r="R677" s="3" t="s">
        <v>7010</v>
      </c>
      <c r="S677" s="3" t="s">
        <v>7010</v>
      </c>
      <c r="T677" s="3" t="s">
        <v>7015</v>
      </c>
      <c r="U677" s="3" t="s">
        <v>7010</v>
      </c>
      <c r="V677" s="3" t="s">
        <v>7010</v>
      </c>
      <c r="W677" s="74" t="str">
        <f t="shared" si="41"/>
        <v>Yes</v>
      </c>
      <c r="Z677">
        <v>676</v>
      </c>
      <c r="AA677" s="55" t="s">
        <v>5342</v>
      </c>
      <c r="AC677">
        <f t="shared" si="40"/>
        <v>6</v>
      </c>
      <c r="AD677" s="30" t="s">
        <v>5343</v>
      </c>
      <c r="AF677" t="s">
        <v>8093</v>
      </c>
      <c r="AH677" s="3" t="s">
        <v>7015</v>
      </c>
      <c r="AI677" s="3" t="s">
        <v>7010</v>
      </c>
      <c r="AJ677" s="3" t="s">
        <v>7010</v>
      </c>
      <c r="AK677" s="3" t="s">
        <v>7015</v>
      </c>
      <c r="AL677" s="3" t="s">
        <v>7010</v>
      </c>
      <c r="AM677" s="3" t="s">
        <v>7010</v>
      </c>
      <c r="AN677" s="3" t="s">
        <v>7010</v>
      </c>
      <c r="AO677" s="3" t="s">
        <v>7010</v>
      </c>
      <c r="AP677" s="74" t="s">
        <v>7015</v>
      </c>
      <c r="AU677">
        <v>676</v>
      </c>
      <c r="AV677" t="s">
        <v>5344</v>
      </c>
      <c r="AW677" t="s">
        <v>2279</v>
      </c>
      <c r="AX677">
        <f t="shared" si="42"/>
        <v>13</v>
      </c>
      <c r="AY677" s="30" t="s">
        <v>5345</v>
      </c>
      <c r="BC677" s="3" t="s">
        <v>7010</v>
      </c>
      <c r="BD677" s="3" t="s">
        <v>7010</v>
      </c>
      <c r="BE677" s="3" t="s">
        <v>7010</v>
      </c>
      <c r="BF677" s="3" t="s">
        <v>7010</v>
      </c>
      <c r="BG677" s="3" t="s">
        <v>7010</v>
      </c>
      <c r="BH677" s="3" t="s">
        <v>7010</v>
      </c>
      <c r="BI677" s="3" t="s">
        <v>7010</v>
      </c>
      <c r="BJ677" s="3" t="s">
        <v>7010</v>
      </c>
      <c r="BK677" s="74" t="str">
        <f t="shared" si="43"/>
        <v>No</v>
      </c>
    </row>
    <row r="678" spans="7:63">
      <c r="G678">
        <v>677</v>
      </c>
      <c r="H678" s="7" t="s">
        <v>1969</v>
      </c>
      <c r="I678" t="s">
        <v>29</v>
      </c>
      <c r="J678">
        <f>LEN(H678)</f>
        <v>11</v>
      </c>
      <c r="K678" s="49" t="s">
        <v>6244</v>
      </c>
      <c r="O678" s="3" t="s">
        <v>7010</v>
      </c>
      <c r="P678" s="3" t="s">
        <v>7010</v>
      </c>
      <c r="Q678" s="3" t="s">
        <v>7010</v>
      </c>
      <c r="R678" s="3" t="s">
        <v>7010</v>
      </c>
      <c r="S678" s="3" t="s">
        <v>7010</v>
      </c>
      <c r="T678" s="3" t="s">
        <v>7010</v>
      </c>
      <c r="U678" s="3" t="s">
        <v>7010</v>
      </c>
      <c r="V678" s="3" t="s">
        <v>7010</v>
      </c>
      <c r="W678" s="74" t="str">
        <f t="shared" si="41"/>
        <v>No</v>
      </c>
      <c r="Z678">
        <v>677</v>
      </c>
      <c r="AA678" s="55" t="s">
        <v>5347</v>
      </c>
      <c r="AC678">
        <f t="shared" si="40"/>
        <v>6</v>
      </c>
      <c r="AD678" s="30" t="s">
        <v>5348</v>
      </c>
      <c r="AF678" t="s">
        <v>8094</v>
      </c>
      <c r="AH678" s="3" t="s">
        <v>7015</v>
      </c>
      <c r="AI678" s="3" t="s">
        <v>7010</v>
      </c>
      <c r="AJ678" s="3" t="s">
        <v>7010</v>
      </c>
      <c r="AK678" s="3" t="s">
        <v>7015</v>
      </c>
      <c r="AL678" s="3" t="s">
        <v>7010</v>
      </c>
      <c r="AM678" s="3" t="s">
        <v>7010</v>
      </c>
      <c r="AN678" s="3" t="s">
        <v>7010</v>
      </c>
      <c r="AO678" s="3" t="s">
        <v>7010</v>
      </c>
      <c r="AP678" s="74" t="s">
        <v>7015</v>
      </c>
      <c r="AU678">
        <v>677</v>
      </c>
      <c r="AV678" t="s">
        <v>5349</v>
      </c>
      <c r="AW678" t="s">
        <v>2279</v>
      </c>
      <c r="AX678">
        <f t="shared" si="42"/>
        <v>11</v>
      </c>
      <c r="AY678" s="30" t="s">
        <v>5350</v>
      </c>
      <c r="BC678" s="3" t="s">
        <v>7010</v>
      </c>
      <c r="BD678" s="3" t="s">
        <v>7010</v>
      </c>
      <c r="BE678" s="3" t="s">
        <v>7010</v>
      </c>
      <c r="BF678" s="3" t="s">
        <v>7010</v>
      </c>
      <c r="BG678" s="3" t="s">
        <v>7010</v>
      </c>
      <c r="BH678" s="3" t="s">
        <v>7010</v>
      </c>
      <c r="BI678" s="3" t="s">
        <v>7010</v>
      </c>
      <c r="BJ678" s="3" t="s">
        <v>7010</v>
      </c>
      <c r="BK678" s="74" t="str">
        <f t="shared" si="43"/>
        <v>No</v>
      </c>
    </row>
    <row r="679" spans="7:63">
      <c r="G679">
        <v>678</v>
      </c>
      <c r="H679" s="7" t="s">
        <v>427</v>
      </c>
      <c r="I679" t="s">
        <v>29</v>
      </c>
      <c r="J679">
        <f>LEN(H679)</f>
        <v>14</v>
      </c>
      <c r="K679" s="49" t="s">
        <v>2625</v>
      </c>
      <c r="O679" s="3" t="s">
        <v>7010</v>
      </c>
      <c r="P679" s="3" t="s">
        <v>7010</v>
      </c>
      <c r="Q679" s="3" t="s">
        <v>7010</v>
      </c>
      <c r="R679" s="3" t="s">
        <v>7010</v>
      </c>
      <c r="S679" s="3" t="s">
        <v>7010</v>
      </c>
      <c r="T679" s="3" t="s">
        <v>7015</v>
      </c>
      <c r="U679" s="3" t="s">
        <v>7010</v>
      </c>
      <c r="V679" s="3" t="s">
        <v>7010</v>
      </c>
      <c r="W679" s="74" t="str">
        <f t="shared" si="41"/>
        <v>Yes</v>
      </c>
      <c r="Z679">
        <v>678</v>
      </c>
      <c r="AA679" s="55" t="s">
        <v>5352</v>
      </c>
      <c r="AC679">
        <f t="shared" si="40"/>
        <v>6</v>
      </c>
      <c r="AD679" s="30" t="s">
        <v>5353</v>
      </c>
      <c r="AH679" s="3" t="s">
        <v>7015</v>
      </c>
      <c r="AI679" s="3" t="s">
        <v>7010</v>
      </c>
      <c r="AJ679" s="3" t="s">
        <v>7010</v>
      </c>
      <c r="AK679" s="3" t="s">
        <v>7015</v>
      </c>
      <c r="AL679" s="3" t="s">
        <v>7010</v>
      </c>
      <c r="AM679" s="3" t="s">
        <v>7010</v>
      </c>
      <c r="AN679" s="3" t="s">
        <v>7010</v>
      </c>
      <c r="AO679" s="3" t="s">
        <v>7010</v>
      </c>
      <c r="AP679" s="74" t="s">
        <v>7015</v>
      </c>
      <c r="AU679">
        <v>678</v>
      </c>
      <c r="AV679" t="s">
        <v>5354</v>
      </c>
      <c r="AW679" t="s">
        <v>2279</v>
      </c>
      <c r="AX679">
        <f t="shared" si="42"/>
        <v>12</v>
      </c>
      <c r="AY679" s="30" t="s">
        <v>5355</v>
      </c>
      <c r="BC679" s="3" t="s">
        <v>7010</v>
      </c>
      <c r="BD679" s="3" t="s">
        <v>7010</v>
      </c>
      <c r="BE679" s="3" t="s">
        <v>7010</v>
      </c>
      <c r="BF679" s="3" t="s">
        <v>7010</v>
      </c>
      <c r="BG679" s="3" t="s">
        <v>7010</v>
      </c>
      <c r="BH679" s="3" t="s">
        <v>7010</v>
      </c>
      <c r="BI679" s="3" t="s">
        <v>7010</v>
      </c>
      <c r="BJ679" s="3" t="s">
        <v>7010</v>
      </c>
      <c r="BK679" s="74" t="str">
        <f t="shared" si="43"/>
        <v>No</v>
      </c>
    </row>
    <row r="680" spans="7:63">
      <c r="G680">
        <v>679</v>
      </c>
      <c r="H680" s="9" t="s">
        <v>375</v>
      </c>
      <c r="I680" t="s">
        <v>29</v>
      </c>
      <c r="J680">
        <f>LEN(H680)</f>
        <v>13</v>
      </c>
      <c r="K680" s="49" t="s">
        <v>2417</v>
      </c>
      <c r="O680" s="3" t="s">
        <v>7010</v>
      </c>
      <c r="P680" s="3" t="s">
        <v>7010</v>
      </c>
      <c r="Q680" s="3" t="s">
        <v>7010</v>
      </c>
      <c r="R680" s="3" t="s">
        <v>7010</v>
      </c>
      <c r="S680" s="3" t="s">
        <v>7010</v>
      </c>
      <c r="T680" s="3" t="s">
        <v>7010</v>
      </c>
      <c r="U680" s="3" t="s">
        <v>7010</v>
      </c>
      <c r="V680" s="3" t="s">
        <v>7010</v>
      </c>
      <c r="W680" s="74" t="str">
        <f t="shared" si="41"/>
        <v>No</v>
      </c>
      <c r="Z680">
        <v>679</v>
      </c>
      <c r="AA680" s="55" t="s">
        <v>5357</v>
      </c>
      <c r="AC680">
        <f t="shared" si="40"/>
        <v>6</v>
      </c>
      <c r="AD680" s="30" t="s">
        <v>5358</v>
      </c>
      <c r="AH680" s="3" t="s">
        <v>7015</v>
      </c>
      <c r="AI680" s="3" t="s">
        <v>7010</v>
      </c>
      <c r="AJ680" s="3" t="s">
        <v>7010</v>
      </c>
      <c r="AK680" s="3" t="s">
        <v>7015</v>
      </c>
      <c r="AL680" s="3" t="s">
        <v>7010</v>
      </c>
      <c r="AM680" s="3" t="s">
        <v>7010</v>
      </c>
      <c r="AN680" s="3" t="s">
        <v>7010</v>
      </c>
      <c r="AO680" s="3" t="s">
        <v>7010</v>
      </c>
      <c r="AP680" s="74" t="s">
        <v>7015</v>
      </c>
      <c r="AU680">
        <v>679</v>
      </c>
      <c r="AV680" t="s">
        <v>5359</v>
      </c>
      <c r="AW680" t="s">
        <v>2279</v>
      </c>
      <c r="AX680">
        <f t="shared" si="42"/>
        <v>8</v>
      </c>
      <c r="AY680" s="30" t="s">
        <v>5360</v>
      </c>
      <c r="BC680" s="3" t="s">
        <v>7010</v>
      </c>
      <c r="BD680" s="3" t="s">
        <v>7010</v>
      </c>
      <c r="BE680" s="3" t="s">
        <v>7010</v>
      </c>
      <c r="BF680" s="3" t="s">
        <v>7010</v>
      </c>
      <c r="BG680" s="3" t="s">
        <v>7010</v>
      </c>
      <c r="BH680" s="3" t="s">
        <v>7010</v>
      </c>
      <c r="BI680" s="3" t="s">
        <v>7010</v>
      </c>
      <c r="BJ680" s="3" t="s">
        <v>7010</v>
      </c>
      <c r="BK680" s="74" t="str">
        <f t="shared" si="43"/>
        <v>No</v>
      </c>
    </row>
    <row r="681" spans="7:63">
      <c r="G681">
        <v>680</v>
      </c>
      <c r="H681" s="7" t="s">
        <v>2213</v>
      </c>
      <c r="I681" t="s">
        <v>29</v>
      </c>
      <c r="J681">
        <f>LEN(H681)</f>
        <v>8</v>
      </c>
      <c r="K681" s="49" t="s">
        <v>6855</v>
      </c>
      <c r="O681" s="3" t="s">
        <v>7010</v>
      </c>
      <c r="P681" s="3" t="s">
        <v>7010</v>
      </c>
      <c r="Q681" s="3" t="s">
        <v>7010</v>
      </c>
      <c r="R681" s="3" t="s">
        <v>7010</v>
      </c>
      <c r="S681" s="3" t="s">
        <v>7010</v>
      </c>
      <c r="T681" s="3" t="s">
        <v>7015</v>
      </c>
      <c r="U681" s="3" t="s">
        <v>7010</v>
      </c>
      <c r="V681" s="3" t="s">
        <v>7010</v>
      </c>
      <c r="W681" s="74" t="str">
        <f t="shared" si="41"/>
        <v>Yes</v>
      </c>
      <c r="Z681">
        <v>680</v>
      </c>
      <c r="AA681" s="55" t="s">
        <v>5362</v>
      </c>
      <c r="AC681">
        <f t="shared" si="40"/>
        <v>6</v>
      </c>
      <c r="AD681" s="30" t="s">
        <v>5363</v>
      </c>
      <c r="AH681" s="3" t="s">
        <v>7015</v>
      </c>
      <c r="AI681" s="3" t="s">
        <v>7010</v>
      </c>
      <c r="AJ681" s="3" t="s">
        <v>7010</v>
      </c>
      <c r="AK681" s="3" t="s">
        <v>7015</v>
      </c>
      <c r="AL681" s="3" t="s">
        <v>7010</v>
      </c>
      <c r="AM681" s="3" t="s">
        <v>7010</v>
      </c>
      <c r="AN681" s="3" t="s">
        <v>7010</v>
      </c>
      <c r="AO681" s="3" t="s">
        <v>7010</v>
      </c>
      <c r="AP681" s="74" t="s">
        <v>7015</v>
      </c>
      <c r="AU681">
        <v>680</v>
      </c>
      <c r="AV681" t="s">
        <v>5364</v>
      </c>
      <c r="AW681" t="s">
        <v>2279</v>
      </c>
      <c r="AX681">
        <f t="shared" si="42"/>
        <v>8</v>
      </c>
      <c r="AY681" s="30" t="s">
        <v>5365</v>
      </c>
      <c r="BC681" s="3" t="s">
        <v>7010</v>
      </c>
      <c r="BD681" s="3" t="s">
        <v>7010</v>
      </c>
      <c r="BE681" s="3" t="s">
        <v>7010</v>
      </c>
      <c r="BF681" s="3" t="s">
        <v>7010</v>
      </c>
      <c r="BG681" s="3" t="s">
        <v>7010</v>
      </c>
      <c r="BH681" s="3" t="s">
        <v>7010</v>
      </c>
      <c r="BI681" s="3" t="s">
        <v>7010</v>
      </c>
      <c r="BJ681" s="3" t="s">
        <v>7010</v>
      </c>
      <c r="BK681" s="74" t="str">
        <f t="shared" si="43"/>
        <v>No</v>
      </c>
    </row>
    <row r="682" spans="7:63">
      <c r="G682">
        <v>681</v>
      </c>
      <c r="H682" s="7" t="s">
        <v>2173</v>
      </c>
      <c r="I682" t="s">
        <v>29</v>
      </c>
      <c r="J682">
        <f>LEN(H682)</f>
        <v>14</v>
      </c>
      <c r="K682" s="49" t="s">
        <v>6757</v>
      </c>
      <c r="O682" s="3" t="s">
        <v>7010</v>
      </c>
      <c r="P682" s="3" t="s">
        <v>7010</v>
      </c>
      <c r="Q682" s="3" t="s">
        <v>7010</v>
      </c>
      <c r="R682" s="3" t="s">
        <v>7010</v>
      </c>
      <c r="S682" s="3" t="s">
        <v>7010</v>
      </c>
      <c r="T682" s="3" t="s">
        <v>7010</v>
      </c>
      <c r="U682" s="3" t="s">
        <v>7010</v>
      </c>
      <c r="V682" s="3" t="s">
        <v>7010</v>
      </c>
      <c r="W682" s="74" t="str">
        <f t="shared" si="41"/>
        <v>No</v>
      </c>
      <c r="Z682">
        <v>681</v>
      </c>
      <c r="AA682" s="55" t="s">
        <v>5367</v>
      </c>
      <c r="AC682">
        <f t="shared" si="40"/>
        <v>7</v>
      </c>
      <c r="AD682" s="30" t="s">
        <v>5368</v>
      </c>
      <c r="AH682" s="3" t="s">
        <v>7015</v>
      </c>
      <c r="AI682" s="3" t="s">
        <v>7010</v>
      </c>
      <c r="AJ682" s="3" t="s">
        <v>7010</v>
      </c>
      <c r="AK682" s="3" t="s">
        <v>7015</v>
      </c>
      <c r="AL682" s="3" t="s">
        <v>7010</v>
      </c>
      <c r="AM682" s="3" t="s">
        <v>7010</v>
      </c>
      <c r="AN682" s="3" t="s">
        <v>7010</v>
      </c>
      <c r="AO682" s="3" t="s">
        <v>7010</v>
      </c>
      <c r="AP682" s="74" t="s">
        <v>7015</v>
      </c>
      <c r="AU682">
        <v>681</v>
      </c>
      <c r="AV682" t="s">
        <v>5369</v>
      </c>
      <c r="AW682" t="s">
        <v>2279</v>
      </c>
      <c r="AX682">
        <f t="shared" si="42"/>
        <v>8</v>
      </c>
      <c r="AY682" s="30" t="s">
        <v>5370</v>
      </c>
      <c r="BC682" s="3" t="s">
        <v>7010</v>
      </c>
      <c r="BD682" s="3" t="s">
        <v>7010</v>
      </c>
      <c r="BE682" s="3" t="s">
        <v>7010</v>
      </c>
      <c r="BF682" s="3" t="s">
        <v>7010</v>
      </c>
      <c r="BG682" s="3" t="s">
        <v>7010</v>
      </c>
      <c r="BH682" s="3" t="s">
        <v>7010</v>
      </c>
      <c r="BI682" s="3" t="s">
        <v>7010</v>
      </c>
      <c r="BJ682" s="3" t="s">
        <v>7010</v>
      </c>
      <c r="BK682" s="74" t="str">
        <f t="shared" si="43"/>
        <v>No</v>
      </c>
    </row>
    <row r="683" spans="7:63">
      <c r="G683">
        <v>682</v>
      </c>
      <c r="H683" t="s">
        <v>6964</v>
      </c>
      <c r="I683" t="s">
        <v>29</v>
      </c>
      <c r="J683">
        <f>LEN(H683)</f>
        <v>11</v>
      </c>
      <c r="K683" s="49" t="s">
        <v>6965</v>
      </c>
      <c r="O683" s="3" t="s">
        <v>7010</v>
      </c>
      <c r="P683" s="3" t="s">
        <v>7010</v>
      </c>
      <c r="Q683" s="3" t="s">
        <v>7010</v>
      </c>
      <c r="R683" s="3" t="s">
        <v>7015</v>
      </c>
      <c r="S683" s="3" t="s">
        <v>7010</v>
      </c>
      <c r="T683" s="3" t="s">
        <v>7010</v>
      </c>
      <c r="U683" s="3" t="s">
        <v>7010</v>
      </c>
      <c r="V683" s="3" t="s">
        <v>7010</v>
      </c>
      <c r="W683" s="74" t="str">
        <f t="shared" si="41"/>
        <v>Yes</v>
      </c>
      <c r="Z683">
        <v>682</v>
      </c>
      <c r="AA683" s="55" t="s">
        <v>5372</v>
      </c>
      <c r="AC683">
        <f t="shared" si="40"/>
        <v>6</v>
      </c>
      <c r="AD683" s="30" t="s">
        <v>5373</v>
      </c>
      <c r="AH683" s="3" t="s">
        <v>7015</v>
      </c>
      <c r="AI683" s="3" t="s">
        <v>7010</v>
      </c>
      <c r="AJ683" s="3" t="s">
        <v>7010</v>
      </c>
      <c r="AK683" s="3" t="s">
        <v>7015</v>
      </c>
      <c r="AL683" s="3" t="s">
        <v>7010</v>
      </c>
      <c r="AM683" s="3" t="s">
        <v>7010</v>
      </c>
      <c r="AN683" s="3" t="s">
        <v>7010</v>
      </c>
      <c r="AO683" s="3" t="s">
        <v>7010</v>
      </c>
      <c r="AP683" s="74" t="s">
        <v>7015</v>
      </c>
      <c r="AU683">
        <v>682</v>
      </c>
      <c r="AV683" t="s">
        <v>5374</v>
      </c>
      <c r="AW683" t="s">
        <v>2279</v>
      </c>
      <c r="AX683">
        <f t="shared" si="42"/>
        <v>10</v>
      </c>
      <c r="AY683" s="30" t="s">
        <v>5375</v>
      </c>
      <c r="BC683" s="3" t="s">
        <v>7010</v>
      </c>
      <c r="BD683" s="3" t="s">
        <v>7010</v>
      </c>
      <c r="BE683" s="3" t="s">
        <v>7010</v>
      </c>
      <c r="BF683" s="3" t="s">
        <v>7010</v>
      </c>
      <c r="BG683" s="3" t="s">
        <v>7010</v>
      </c>
      <c r="BH683" s="3" t="s">
        <v>7010</v>
      </c>
      <c r="BI683" s="3" t="s">
        <v>7010</v>
      </c>
      <c r="BJ683" s="3" t="s">
        <v>7010</v>
      </c>
      <c r="BK683" s="74" t="str">
        <f t="shared" si="43"/>
        <v>No</v>
      </c>
    </row>
    <row r="684" spans="7:63">
      <c r="G684">
        <v>683</v>
      </c>
      <c r="H684" s="7" t="s">
        <v>552</v>
      </c>
      <c r="I684" t="s">
        <v>29</v>
      </c>
      <c r="J684">
        <f>LEN(H684)</f>
        <v>11</v>
      </c>
      <c r="K684" s="49" t="s">
        <v>3125</v>
      </c>
      <c r="O684" s="3" t="s">
        <v>7010</v>
      </c>
      <c r="P684" s="3" t="s">
        <v>7010</v>
      </c>
      <c r="Q684" s="3" t="s">
        <v>7010</v>
      </c>
      <c r="R684" s="3" t="s">
        <v>7010</v>
      </c>
      <c r="S684" s="3" t="s">
        <v>7010</v>
      </c>
      <c r="T684" s="3" t="s">
        <v>7010</v>
      </c>
      <c r="U684" s="3" t="s">
        <v>7010</v>
      </c>
      <c r="V684" s="3" t="s">
        <v>7010</v>
      </c>
      <c r="W684" s="74" t="str">
        <f t="shared" si="41"/>
        <v>No</v>
      </c>
      <c r="Z684">
        <v>683</v>
      </c>
      <c r="AA684" s="55" t="s">
        <v>5377</v>
      </c>
      <c r="AC684">
        <f t="shared" si="40"/>
        <v>7</v>
      </c>
      <c r="AD684" s="30" t="s">
        <v>5378</v>
      </c>
      <c r="AH684" s="3" t="s">
        <v>7015</v>
      </c>
      <c r="AI684" s="3" t="s">
        <v>7010</v>
      </c>
      <c r="AJ684" s="3" t="s">
        <v>7010</v>
      </c>
      <c r="AK684" s="3" t="s">
        <v>7015</v>
      </c>
      <c r="AL684" s="3" t="s">
        <v>7010</v>
      </c>
      <c r="AM684" s="3" t="s">
        <v>7010</v>
      </c>
      <c r="AN684" s="3" t="s">
        <v>7010</v>
      </c>
      <c r="AO684" s="3" t="s">
        <v>7010</v>
      </c>
      <c r="AP684" s="74" t="s">
        <v>7015</v>
      </c>
      <c r="AU684">
        <v>683</v>
      </c>
      <c r="AV684" t="s">
        <v>5379</v>
      </c>
      <c r="AW684" t="s">
        <v>2279</v>
      </c>
      <c r="AX684">
        <f t="shared" si="42"/>
        <v>9</v>
      </c>
      <c r="AY684" s="30" t="s">
        <v>5380</v>
      </c>
      <c r="BC684" s="3" t="s">
        <v>7010</v>
      </c>
      <c r="BD684" s="3" t="s">
        <v>7010</v>
      </c>
      <c r="BE684" s="3" t="s">
        <v>7010</v>
      </c>
      <c r="BF684" s="3" t="s">
        <v>7010</v>
      </c>
      <c r="BG684" s="3" t="s">
        <v>7010</v>
      </c>
      <c r="BH684" s="3" t="s">
        <v>7010</v>
      </c>
      <c r="BI684" s="3" t="s">
        <v>7010</v>
      </c>
      <c r="BJ684" s="3" t="s">
        <v>7010</v>
      </c>
      <c r="BK684" s="74" t="str">
        <f t="shared" si="43"/>
        <v>No</v>
      </c>
    </row>
    <row r="685" spans="7:63">
      <c r="G685">
        <v>684</v>
      </c>
      <c r="H685" s="7" t="s">
        <v>1608</v>
      </c>
      <c r="I685" t="s">
        <v>29</v>
      </c>
      <c r="J685">
        <f>LEN(H685)</f>
        <v>13</v>
      </c>
      <c r="K685" s="49" t="s">
        <v>5248</v>
      </c>
      <c r="O685" s="3" t="s">
        <v>7010</v>
      </c>
      <c r="P685" s="3" t="s">
        <v>7010</v>
      </c>
      <c r="Q685" s="3" t="s">
        <v>7010</v>
      </c>
      <c r="R685" s="3" t="s">
        <v>7010</v>
      </c>
      <c r="S685" s="3" t="s">
        <v>7010</v>
      </c>
      <c r="T685" s="3" t="s">
        <v>7010</v>
      </c>
      <c r="U685" s="3" t="s">
        <v>7010</v>
      </c>
      <c r="V685" s="3" t="s">
        <v>7010</v>
      </c>
      <c r="W685" s="74" t="str">
        <f t="shared" si="41"/>
        <v>No</v>
      </c>
      <c r="Z685">
        <v>684</v>
      </c>
      <c r="AA685" s="55">
        <v>10203</v>
      </c>
      <c r="AC685">
        <f t="shared" si="40"/>
        <v>5</v>
      </c>
      <c r="AD685" s="30" t="s">
        <v>5382</v>
      </c>
      <c r="AH685" s="3" t="s">
        <v>7015</v>
      </c>
      <c r="AI685" s="3" t="s">
        <v>7010</v>
      </c>
      <c r="AJ685" s="3" t="s">
        <v>7010</v>
      </c>
      <c r="AK685" s="3" t="s">
        <v>7015</v>
      </c>
      <c r="AL685" s="3" t="s">
        <v>7010</v>
      </c>
      <c r="AM685" s="3" t="s">
        <v>7010</v>
      </c>
      <c r="AN685" s="3" t="s">
        <v>7010</v>
      </c>
      <c r="AO685" s="3" t="s">
        <v>7010</v>
      </c>
      <c r="AP685" s="74" t="s">
        <v>7015</v>
      </c>
      <c r="AU685">
        <v>684</v>
      </c>
      <c r="AV685" t="s">
        <v>5383</v>
      </c>
      <c r="AW685" t="s">
        <v>2279</v>
      </c>
      <c r="AX685">
        <f t="shared" si="42"/>
        <v>8</v>
      </c>
      <c r="AY685" s="30" t="s">
        <v>5384</v>
      </c>
      <c r="BC685" s="3" t="s">
        <v>7010</v>
      </c>
      <c r="BD685" s="3" t="s">
        <v>7010</v>
      </c>
      <c r="BE685" s="3" t="s">
        <v>7010</v>
      </c>
      <c r="BF685" s="3" t="s">
        <v>7010</v>
      </c>
      <c r="BG685" s="3" t="s">
        <v>7010</v>
      </c>
      <c r="BH685" s="3" t="s">
        <v>7010</v>
      </c>
      <c r="BI685" s="3" t="s">
        <v>7010</v>
      </c>
      <c r="BJ685" s="3" t="s">
        <v>7010</v>
      </c>
      <c r="BK685" s="74" t="str">
        <f t="shared" si="43"/>
        <v>No</v>
      </c>
    </row>
    <row r="686" spans="7:63">
      <c r="G686">
        <v>685</v>
      </c>
      <c r="H686" t="s">
        <v>6930</v>
      </c>
      <c r="I686" t="s">
        <v>29</v>
      </c>
      <c r="J686">
        <f>LEN(H686)</f>
        <v>10</v>
      </c>
      <c r="K686" s="49" t="s">
        <v>6931</v>
      </c>
      <c r="O686" s="3" t="s">
        <v>7010</v>
      </c>
      <c r="P686" s="3" t="s">
        <v>7010</v>
      </c>
      <c r="Q686" s="3" t="s">
        <v>7010</v>
      </c>
      <c r="R686" s="3" t="s">
        <v>7015</v>
      </c>
      <c r="S686" s="3" t="s">
        <v>7010</v>
      </c>
      <c r="T686" s="3" t="s">
        <v>7010</v>
      </c>
      <c r="U686" s="3" t="s">
        <v>7010</v>
      </c>
      <c r="V686" s="3" t="s">
        <v>7010</v>
      </c>
      <c r="W686" s="74" t="str">
        <f t="shared" si="41"/>
        <v>Yes</v>
      </c>
      <c r="Z686">
        <v>685</v>
      </c>
      <c r="AA686" s="55" t="s">
        <v>5386</v>
      </c>
      <c r="AC686">
        <f t="shared" si="40"/>
        <v>6</v>
      </c>
      <c r="AD686" s="30" t="s">
        <v>5387</v>
      </c>
      <c r="AH686" s="3" t="s">
        <v>7015</v>
      </c>
      <c r="AI686" s="3" t="s">
        <v>7010</v>
      </c>
      <c r="AJ686" s="3" t="s">
        <v>7010</v>
      </c>
      <c r="AK686" s="3" t="s">
        <v>7015</v>
      </c>
      <c r="AL686" s="3" t="s">
        <v>7010</v>
      </c>
      <c r="AM686" s="3" t="s">
        <v>7010</v>
      </c>
      <c r="AN686" s="3" t="s">
        <v>7010</v>
      </c>
      <c r="AO686" s="3" t="s">
        <v>7010</v>
      </c>
      <c r="AP686" s="74" t="s">
        <v>7015</v>
      </c>
      <c r="AU686">
        <v>685</v>
      </c>
      <c r="AV686" t="s">
        <v>5388</v>
      </c>
      <c r="AW686" t="s">
        <v>2279</v>
      </c>
      <c r="AX686">
        <f t="shared" si="42"/>
        <v>8</v>
      </c>
      <c r="AY686" s="30" t="s">
        <v>5389</v>
      </c>
      <c r="BC686" s="3" t="s">
        <v>7010</v>
      </c>
      <c r="BD686" s="3" t="s">
        <v>7010</v>
      </c>
      <c r="BE686" s="3" t="s">
        <v>7010</v>
      </c>
      <c r="BF686" s="3" t="s">
        <v>7010</v>
      </c>
      <c r="BG686" s="3" t="s">
        <v>7010</v>
      </c>
      <c r="BH686" s="3" t="s">
        <v>7010</v>
      </c>
      <c r="BI686" s="3" t="s">
        <v>7010</v>
      </c>
      <c r="BJ686" s="3" t="s">
        <v>7010</v>
      </c>
      <c r="BK686" s="74" t="str">
        <f t="shared" si="43"/>
        <v>No</v>
      </c>
    </row>
    <row r="687" spans="7:63">
      <c r="G687">
        <v>686</v>
      </c>
      <c r="H687" s="7" t="s">
        <v>1564</v>
      </c>
      <c r="I687" t="s">
        <v>29</v>
      </c>
      <c r="J687">
        <f>LEN(H687)</f>
        <v>12</v>
      </c>
      <c r="K687" s="49" t="s">
        <v>5138</v>
      </c>
      <c r="O687" s="3" t="s">
        <v>7010</v>
      </c>
      <c r="P687" s="3" t="s">
        <v>7010</v>
      </c>
      <c r="Q687" s="3" t="s">
        <v>7010</v>
      </c>
      <c r="R687" s="3" t="s">
        <v>7010</v>
      </c>
      <c r="S687" s="3" t="s">
        <v>7010</v>
      </c>
      <c r="T687" s="3" t="s">
        <v>7010</v>
      </c>
      <c r="U687" s="3" t="s">
        <v>7010</v>
      </c>
      <c r="V687" s="3" t="s">
        <v>7010</v>
      </c>
      <c r="W687" s="74" t="str">
        <f t="shared" si="41"/>
        <v>No</v>
      </c>
      <c r="Z687">
        <v>686</v>
      </c>
      <c r="AA687" s="55" t="s">
        <v>5391</v>
      </c>
      <c r="AC687">
        <f t="shared" si="40"/>
        <v>7</v>
      </c>
      <c r="AD687" s="30" t="s">
        <v>5392</v>
      </c>
      <c r="AH687" s="3" t="s">
        <v>7015</v>
      </c>
      <c r="AI687" s="3" t="s">
        <v>7010</v>
      </c>
      <c r="AJ687" s="3" t="s">
        <v>7010</v>
      </c>
      <c r="AK687" s="3" t="s">
        <v>7015</v>
      </c>
      <c r="AL687" s="3" t="s">
        <v>7010</v>
      </c>
      <c r="AM687" s="3" t="s">
        <v>7010</v>
      </c>
      <c r="AN687" s="3" t="s">
        <v>7010</v>
      </c>
      <c r="AO687" s="3" t="s">
        <v>7010</v>
      </c>
      <c r="AP687" s="74" t="s">
        <v>7015</v>
      </c>
      <c r="AU687">
        <v>686</v>
      </c>
      <c r="AV687" t="s">
        <v>5393</v>
      </c>
      <c r="AW687" t="s">
        <v>2279</v>
      </c>
      <c r="AX687">
        <f t="shared" si="42"/>
        <v>9</v>
      </c>
      <c r="AY687" s="30" t="s">
        <v>5394</v>
      </c>
      <c r="BC687" s="3" t="s">
        <v>7010</v>
      </c>
      <c r="BD687" s="3" t="s">
        <v>7010</v>
      </c>
      <c r="BE687" s="3" t="s">
        <v>7010</v>
      </c>
      <c r="BF687" s="3" t="s">
        <v>7010</v>
      </c>
      <c r="BG687" s="3" t="s">
        <v>7010</v>
      </c>
      <c r="BH687" s="3" t="s">
        <v>7010</v>
      </c>
      <c r="BI687" s="3" t="s">
        <v>7010</v>
      </c>
      <c r="BJ687" s="3" t="s">
        <v>7010</v>
      </c>
      <c r="BK687" s="74" t="str">
        <f t="shared" si="43"/>
        <v>No</v>
      </c>
    </row>
    <row r="688" spans="7:63">
      <c r="G688">
        <v>687</v>
      </c>
      <c r="H688" s="7" t="s">
        <v>1228</v>
      </c>
      <c r="I688" t="s">
        <v>29</v>
      </c>
      <c r="J688">
        <f>LEN(H688)</f>
        <v>10</v>
      </c>
      <c r="K688" s="49" t="s">
        <v>4285</v>
      </c>
      <c r="O688" s="3" t="s">
        <v>7010</v>
      </c>
      <c r="P688" s="3" t="s">
        <v>7010</v>
      </c>
      <c r="Q688" s="3" t="s">
        <v>7010</v>
      </c>
      <c r="R688" s="3" t="s">
        <v>7010</v>
      </c>
      <c r="S688" s="3" t="s">
        <v>7010</v>
      </c>
      <c r="T688" s="3" t="s">
        <v>7010</v>
      </c>
      <c r="U688" s="3" t="s">
        <v>7010</v>
      </c>
      <c r="V688" s="3" t="s">
        <v>7010</v>
      </c>
      <c r="W688" s="74" t="str">
        <f t="shared" si="41"/>
        <v>No</v>
      </c>
      <c r="Z688">
        <v>687</v>
      </c>
      <c r="AA688" s="55" t="s">
        <v>5396</v>
      </c>
      <c r="AC688">
        <f t="shared" si="40"/>
        <v>10</v>
      </c>
      <c r="AD688" s="30" t="s">
        <v>5397</v>
      </c>
      <c r="AH688" s="3" t="s">
        <v>7015</v>
      </c>
      <c r="AI688" s="3" t="s">
        <v>7010</v>
      </c>
      <c r="AJ688" s="3" t="s">
        <v>7010</v>
      </c>
      <c r="AK688" s="3" t="s">
        <v>7015</v>
      </c>
      <c r="AL688" s="3" t="s">
        <v>7010</v>
      </c>
      <c r="AM688" s="3" t="s">
        <v>7010</v>
      </c>
      <c r="AN688" s="3" t="s">
        <v>7010</v>
      </c>
      <c r="AO688" s="3" t="s">
        <v>7010</v>
      </c>
      <c r="AP688" s="74" t="s">
        <v>7015</v>
      </c>
      <c r="AU688">
        <v>687</v>
      </c>
      <c r="AV688" t="s">
        <v>5398</v>
      </c>
      <c r="AW688" t="s">
        <v>2279</v>
      </c>
      <c r="AX688">
        <f t="shared" si="42"/>
        <v>8</v>
      </c>
      <c r="AY688" s="30" t="s">
        <v>5399</v>
      </c>
      <c r="BC688" s="3" t="s">
        <v>7010</v>
      </c>
      <c r="BD688" s="3" t="s">
        <v>7010</v>
      </c>
      <c r="BE688" s="3" t="s">
        <v>7010</v>
      </c>
      <c r="BF688" s="3" t="s">
        <v>7010</v>
      </c>
      <c r="BG688" s="3" t="s">
        <v>7010</v>
      </c>
      <c r="BH688" s="3" t="s">
        <v>7010</v>
      </c>
      <c r="BI688" s="3" t="s">
        <v>7010</v>
      </c>
      <c r="BJ688" s="3" t="s">
        <v>7010</v>
      </c>
      <c r="BK688" s="74" t="str">
        <f t="shared" si="43"/>
        <v>No</v>
      </c>
    </row>
    <row r="689" spans="7:63">
      <c r="G689">
        <v>688</v>
      </c>
      <c r="H689" s="7" t="s">
        <v>2069</v>
      </c>
      <c r="I689" t="s">
        <v>29</v>
      </c>
      <c r="J689">
        <f>LEN(H689)</f>
        <v>16</v>
      </c>
      <c r="K689" s="49" t="s">
        <v>6499</v>
      </c>
      <c r="O689" s="3" t="s">
        <v>7010</v>
      </c>
      <c r="P689" s="3" t="s">
        <v>7010</v>
      </c>
      <c r="Q689" s="3" t="s">
        <v>7010</v>
      </c>
      <c r="R689" s="3" t="s">
        <v>7010</v>
      </c>
      <c r="S689" s="3" t="s">
        <v>7010</v>
      </c>
      <c r="T689" s="3" t="s">
        <v>7015</v>
      </c>
      <c r="U689" s="3" t="s">
        <v>7010</v>
      </c>
      <c r="V689" s="3" t="s">
        <v>7010</v>
      </c>
      <c r="W689" s="74" t="str">
        <f t="shared" si="41"/>
        <v>Yes</v>
      </c>
      <c r="Z689">
        <v>688</v>
      </c>
      <c r="AA689" s="55" t="s">
        <v>5401</v>
      </c>
      <c r="AC689">
        <f t="shared" si="40"/>
        <v>9</v>
      </c>
      <c r="AD689" s="30" t="s">
        <v>5402</v>
      </c>
      <c r="AH689" s="3" t="s">
        <v>7015</v>
      </c>
      <c r="AI689" s="3" t="s">
        <v>7010</v>
      </c>
      <c r="AJ689" s="3" t="s">
        <v>7010</v>
      </c>
      <c r="AK689" s="3" t="s">
        <v>7015</v>
      </c>
      <c r="AL689" s="3" t="s">
        <v>7010</v>
      </c>
      <c r="AM689" s="3" t="s">
        <v>7010</v>
      </c>
      <c r="AN689" s="3" t="s">
        <v>7010</v>
      </c>
      <c r="AO689" s="3" t="s">
        <v>7010</v>
      </c>
      <c r="AP689" s="74" t="s">
        <v>7015</v>
      </c>
      <c r="AU689">
        <v>688</v>
      </c>
      <c r="AV689" t="s">
        <v>5403</v>
      </c>
      <c r="AW689" t="s">
        <v>2279</v>
      </c>
      <c r="AX689">
        <f t="shared" si="42"/>
        <v>9</v>
      </c>
      <c r="AY689" s="30" t="s">
        <v>5404</v>
      </c>
      <c r="BC689" s="3" t="s">
        <v>7010</v>
      </c>
      <c r="BD689" s="3" t="s">
        <v>7010</v>
      </c>
      <c r="BE689" s="3" t="s">
        <v>7010</v>
      </c>
      <c r="BF689" s="3" t="s">
        <v>7010</v>
      </c>
      <c r="BG689" s="3" t="s">
        <v>7010</v>
      </c>
      <c r="BH689" s="3" t="s">
        <v>7010</v>
      </c>
      <c r="BI689" s="3" t="s">
        <v>7010</v>
      </c>
      <c r="BJ689" s="3" t="s">
        <v>7010</v>
      </c>
      <c r="BK689" s="74" t="str">
        <f t="shared" si="43"/>
        <v>No</v>
      </c>
    </row>
    <row r="690" spans="7:63">
      <c r="G690">
        <v>689</v>
      </c>
      <c r="H690" s="7" t="s">
        <v>600</v>
      </c>
      <c r="I690" t="s">
        <v>29</v>
      </c>
      <c r="J690">
        <f>LEN(H690)</f>
        <v>12</v>
      </c>
      <c r="K690" s="49" t="s">
        <v>3317</v>
      </c>
      <c r="O690" s="3" t="s">
        <v>7010</v>
      </c>
      <c r="P690" s="3" t="s">
        <v>7010</v>
      </c>
      <c r="Q690" s="3" t="s">
        <v>7010</v>
      </c>
      <c r="R690" s="3" t="s">
        <v>7010</v>
      </c>
      <c r="S690" s="3" t="s">
        <v>7010</v>
      </c>
      <c r="T690" s="3" t="s">
        <v>7015</v>
      </c>
      <c r="U690" s="3" t="s">
        <v>7010</v>
      </c>
      <c r="V690" s="3" t="s">
        <v>7010</v>
      </c>
      <c r="W690" s="74" t="str">
        <f t="shared" si="41"/>
        <v>Yes</v>
      </c>
      <c r="Z690">
        <v>689</v>
      </c>
      <c r="AA690" s="55" t="s">
        <v>5406</v>
      </c>
      <c r="AC690">
        <f t="shared" si="40"/>
        <v>8</v>
      </c>
      <c r="AD690" s="30" t="s">
        <v>5407</v>
      </c>
      <c r="AH690" s="3" t="s">
        <v>7015</v>
      </c>
      <c r="AI690" s="3" t="s">
        <v>7010</v>
      </c>
      <c r="AJ690" s="3" t="s">
        <v>7010</v>
      </c>
      <c r="AK690" s="3" t="s">
        <v>7015</v>
      </c>
      <c r="AL690" s="3" t="s">
        <v>7010</v>
      </c>
      <c r="AM690" s="3" t="s">
        <v>7010</v>
      </c>
      <c r="AN690" s="3" t="s">
        <v>7010</v>
      </c>
      <c r="AO690" s="3" t="s">
        <v>7010</v>
      </c>
      <c r="AP690" s="74" t="s">
        <v>7015</v>
      </c>
      <c r="AU690">
        <v>689</v>
      </c>
      <c r="AV690" t="s">
        <v>5408</v>
      </c>
      <c r="AW690" t="s">
        <v>2279</v>
      </c>
      <c r="AX690">
        <f t="shared" si="42"/>
        <v>8</v>
      </c>
      <c r="AY690" s="30" t="s">
        <v>5409</v>
      </c>
      <c r="BC690" s="3" t="s">
        <v>7010</v>
      </c>
      <c r="BD690" s="3" t="s">
        <v>7010</v>
      </c>
      <c r="BE690" s="3" t="s">
        <v>7010</v>
      </c>
      <c r="BF690" s="3" t="s">
        <v>7010</v>
      </c>
      <c r="BG690" s="3" t="s">
        <v>7010</v>
      </c>
      <c r="BH690" s="3" t="s">
        <v>7010</v>
      </c>
      <c r="BI690" s="3" t="s">
        <v>7010</v>
      </c>
      <c r="BJ690" s="3" t="s">
        <v>7010</v>
      </c>
      <c r="BK690" s="74" t="str">
        <f t="shared" si="43"/>
        <v>No</v>
      </c>
    </row>
    <row r="691" spans="7:63">
      <c r="G691">
        <v>690</v>
      </c>
      <c r="H691" s="7" t="s">
        <v>617</v>
      </c>
      <c r="I691" t="s">
        <v>29</v>
      </c>
      <c r="J691">
        <f>LEN(H691)</f>
        <v>9</v>
      </c>
      <c r="K691" s="49" t="s">
        <v>3385</v>
      </c>
      <c r="O691" s="3" t="s">
        <v>7010</v>
      </c>
      <c r="P691" s="3" t="s">
        <v>7010</v>
      </c>
      <c r="Q691" s="3" t="s">
        <v>7010</v>
      </c>
      <c r="R691" s="3" t="s">
        <v>7015</v>
      </c>
      <c r="S691" s="3" t="s">
        <v>7010</v>
      </c>
      <c r="T691" s="3" t="s">
        <v>7015</v>
      </c>
      <c r="U691" s="3" t="s">
        <v>7010</v>
      </c>
      <c r="V691" s="3" t="s">
        <v>7010</v>
      </c>
      <c r="W691" s="74" t="str">
        <f t="shared" si="41"/>
        <v>Yes</v>
      </c>
      <c r="Z691">
        <v>690</v>
      </c>
      <c r="AA691" s="55" t="s">
        <v>5411</v>
      </c>
      <c r="AC691">
        <f t="shared" si="40"/>
        <v>6</v>
      </c>
      <c r="AD691" s="30" t="s">
        <v>5412</v>
      </c>
      <c r="AH691" s="3" t="s">
        <v>7015</v>
      </c>
      <c r="AI691" s="3" t="s">
        <v>7010</v>
      </c>
      <c r="AJ691" s="3" t="s">
        <v>7010</v>
      </c>
      <c r="AK691" s="3" t="s">
        <v>7015</v>
      </c>
      <c r="AL691" s="3" t="s">
        <v>7010</v>
      </c>
      <c r="AM691" s="3" t="s">
        <v>7010</v>
      </c>
      <c r="AN691" s="3" t="s">
        <v>7010</v>
      </c>
      <c r="AO691" s="3" t="s">
        <v>7010</v>
      </c>
      <c r="AP691" s="74" t="s">
        <v>7015</v>
      </c>
      <c r="AU691">
        <v>690</v>
      </c>
      <c r="AV691" t="s">
        <v>5413</v>
      </c>
      <c r="AW691" t="s">
        <v>2279</v>
      </c>
      <c r="AX691">
        <f t="shared" si="42"/>
        <v>8</v>
      </c>
      <c r="AY691" s="30" t="s">
        <v>5414</v>
      </c>
      <c r="BC691" s="3" t="s">
        <v>7010</v>
      </c>
      <c r="BD691" s="3" t="s">
        <v>7010</v>
      </c>
      <c r="BE691" s="3" t="s">
        <v>7010</v>
      </c>
      <c r="BF691" s="3" t="s">
        <v>7010</v>
      </c>
      <c r="BG691" s="3" t="s">
        <v>7010</v>
      </c>
      <c r="BH691" s="3" t="s">
        <v>7010</v>
      </c>
      <c r="BI691" s="3" t="s">
        <v>7010</v>
      </c>
      <c r="BJ691" s="3" t="s">
        <v>7010</v>
      </c>
      <c r="BK691" s="74" t="str">
        <f t="shared" si="43"/>
        <v>No</v>
      </c>
    </row>
    <row r="692" spans="7:63">
      <c r="G692">
        <v>691</v>
      </c>
      <c r="H692" s="7" t="s">
        <v>1678</v>
      </c>
      <c r="I692" t="s">
        <v>29</v>
      </c>
      <c r="J692">
        <f>LEN(H692)</f>
        <v>13</v>
      </c>
      <c r="K692" s="49" t="s">
        <v>5425</v>
      </c>
      <c r="O692" s="3" t="s">
        <v>7010</v>
      </c>
      <c r="P692" s="3" t="s">
        <v>7010</v>
      </c>
      <c r="Q692" s="3" t="s">
        <v>7010</v>
      </c>
      <c r="R692" s="3" t="s">
        <v>7010</v>
      </c>
      <c r="S692" s="3" t="s">
        <v>7010</v>
      </c>
      <c r="T692" s="3" t="s">
        <v>7010</v>
      </c>
      <c r="U692" s="3" t="s">
        <v>7015</v>
      </c>
      <c r="V692" s="3" t="s">
        <v>7010</v>
      </c>
      <c r="W692" s="74" t="str">
        <f t="shared" si="41"/>
        <v>Yes</v>
      </c>
      <c r="Z692">
        <v>691</v>
      </c>
      <c r="AA692" s="55" t="s">
        <v>5416</v>
      </c>
      <c r="AC692">
        <f t="shared" si="40"/>
        <v>5</v>
      </c>
      <c r="AD692" s="30" t="s">
        <v>5417</v>
      </c>
      <c r="AH692" s="3" t="s">
        <v>7015</v>
      </c>
      <c r="AI692" s="3" t="s">
        <v>7010</v>
      </c>
      <c r="AJ692" s="3" t="s">
        <v>7010</v>
      </c>
      <c r="AK692" s="3" t="s">
        <v>7015</v>
      </c>
      <c r="AL692" s="3" t="s">
        <v>7010</v>
      </c>
      <c r="AM692" s="3" t="s">
        <v>7010</v>
      </c>
      <c r="AN692" s="3" t="s">
        <v>7010</v>
      </c>
      <c r="AO692" s="3" t="s">
        <v>7010</v>
      </c>
      <c r="AP692" s="74" t="s">
        <v>7015</v>
      </c>
      <c r="AU692">
        <v>691</v>
      </c>
      <c r="AV692" t="s">
        <v>5418</v>
      </c>
      <c r="AW692" t="s">
        <v>2279</v>
      </c>
      <c r="AX692">
        <f t="shared" si="42"/>
        <v>9</v>
      </c>
      <c r="AY692" s="30" t="s">
        <v>5419</v>
      </c>
      <c r="BC692" s="3" t="s">
        <v>7010</v>
      </c>
      <c r="BD692" s="3" t="s">
        <v>7010</v>
      </c>
      <c r="BE692" s="3" t="s">
        <v>7010</v>
      </c>
      <c r="BF692" s="3" t="s">
        <v>7010</v>
      </c>
      <c r="BG692" s="3" t="s">
        <v>7010</v>
      </c>
      <c r="BH692" s="3" t="s">
        <v>7010</v>
      </c>
      <c r="BI692" s="3" t="s">
        <v>7010</v>
      </c>
      <c r="BJ692" s="3" t="s">
        <v>7010</v>
      </c>
      <c r="BK692" s="74" t="str">
        <f t="shared" si="43"/>
        <v>No</v>
      </c>
    </row>
    <row r="693" spans="7:63">
      <c r="G693">
        <v>692</v>
      </c>
      <c r="H693" s="7" t="s">
        <v>1270</v>
      </c>
      <c r="I693" t="s">
        <v>29</v>
      </c>
      <c r="J693">
        <f>LEN(H693)</f>
        <v>14</v>
      </c>
      <c r="K693" s="49" t="s">
        <v>4390</v>
      </c>
      <c r="O693" s="3" t="s">
        <v>7010</v>
      </c>
      <c r="P693" s="3" t="s">
        <v>7010</v>
      </c>
      <c r="Q693" s="3" t="s">
        <v>7010</v>
      </c>
      <c r="R693" s="3" t="s">
        <v>7010</v>
      </c>
      <c r="S693" s="3" t="s">
        <v>7010</v>
      </c>
      <c r="T693" s="3" t="s">
        <v>7010</v>
      </c>
      <c r="U693" s="3" t="s">
        <v>7010</v>
      </c>
      <c r="V693" s="3" t="s">
        <v>7010</v>
      </c>
      <c r="W693" s="74" t="str">
        <f t="shared" si="41"/>
        <v>No</v>
      </c>
      <c r="Z693">
        <v>692</v>
      </c>
      <c r="AA693" s="55" t="s">
        <v>5421</v>
      </c>
      <c r="AC693">
        <f t="shared" si="40"/>
        <v>5</v>
      </c>
      <c r="AD693" s="30" t="s">
        <v>5422</v>
      </c>
      <c r="AH693" s="3" t="s">
        <v>7015</v>
      </c>
      <c r="AI693" s="3" t="s">
        <v>7010</v>
      </c>
      <c r="AJ693" s="3" t="s">
        <v>7010</v>
      </c>
      <c r="AK693" s="3" t="s">
        <v>7015</v>
      </c>
      <c r="AL693" s="3" t="s">
        <v>7010</v>
      </c>
      <c r="AM693" s="3" t="s">
        <v>7010</v>
      </c>
      <c r="AN693" s="3" t="s">
        <v>7010</v>
      </c>
      <c r="AO693" s="3" t="s">
        <v>7010</v>
      </c>
      <c r="AP693" s="74" t="s">
        <v>7015</v>
      </c>
      <c r="AU693">
        <v>692</v>
      </c>
      <c r="AV693" t="s">
        <v>5423</v>
      </c>
      <c r="AW693" t="s">
        <v>2279</v>
      </c>
      <c r="AX693">
        <f t="shared" si="42"/>
        <v>20</v>
      </c>
      <c r="AY693" s="31" t="s">
        <v>5424</v>
      </c>
      <c r="BC693" s="3" t="s">
        <v>7010</v>
      </c>
      <c r="BD693" s="3" t="s">
        <v>7010</v>
      </c>
      <c r="BE693" s="3" t="s">
        <v>7010</v>
      </c>
      <c r="BF693" s="3" t="s">
        <v>7010</v>
      </c>
      <c r="BG693" s="3" t="s">
        <v>7010</v>
      </c>
      <c r="BH693" s="3" t="s">
        <v>7010</v>
      </c>
      <c r="BI693" s="3" t="s">
        <v>7010</v>
      </c>
      <c r="BJ693" s="3" t="s">
        <v>7010</v>
      </c>
      <c r="BK693" s="74" t="str">
        <f t="shared" si="43"/>
        <v>No</v>
      </c>
    </row>
    <row r="694" spans="7:63">
      <c r="G694">
        <v>693</v>
      </c>
      <c r="H694" s="7" t="s">
        <v>543</v>
      </c>
      <c r="I694" t="s">
        <v>29</v>
      </c>
      <c r="J694">
        <f>LEN(H694)</f>
        <v>11</v>
      </c>
      <c r="K694" s="49" t="s">
        <v>3089</v>
      </c>
      <c r="O694" s="3" t="s">
        <v>7010</v>
      </c>
      <c r="P694" s="3" t="s">
        <v>7010</v>
      </c>
      <c r="Q694" s="3" t="s">
        <v>7010</v>
      </c>
      <c r="R694" s="3" t="s">
        <v>7010</v>
      </c>
      <c r="S694" s="3" t="s">
        <v>7010</v>
      </c>
      <c r="T694" s="3" t="s">
        <v>7010</v>
      </c>
      <c r="U694" s="3" t="s">
        <v>7010</v>
      </c>
      <c r="V694" s="3" t="s">
        <v>7010</v>
      </c>
      <c r="W694" s="74" t="str">
        <f t="shared" si="41"/>
        <v>No</v>
      </c>
      <c r="Z694">
        <v>693</v>
      </c>
      <c r="AA694" s="55" t="s">
        <v>5426</v>
      </c>
      <c r="AC694">
        <f t="shared" si="40"/>
        <v>5</v>
      </c>
      <c r="AD694" s="30" t="s">
        <v>5427</v>
      </c>
      <c r="AH694" s="3" t="s">
        <v>7015</v>
      </c>
      <c r="AI694" s="3" t="s">
        <v>7010</v>
      </c>
      <c r="AJ694" s="3" t="s">
        <v>7010</v>
      </c>
      <c r="AK694" s="3" t="s">
        <v>7015</v>
      </c>
      <c r="AL694" s="3" t="s">
        <v>7010</v>
      </c>
      <c r="AM694" s="3" t="s">
        <v>7010</v>
      </c>
      <c r="AN694" s="3" t="s">
        <v>7010</v>
      </c>
      <c r="AO694" s="3" t="s">
        <v>7010</v>
      </c>
      <c r="AP694" s="74" t="s">
        <v>7015</v>
      </c>
      <c r="AU694">
        <v>693</v>
      </c>
      <c r="AV694" t="s">
        <v>5428</v>
      </c>
      <c r="AW694" t="s">
        <v>2279</v>
      </c>
      <c r="AX694">
        <f t="shared" si="42"/>
        <v>10</v>
      </c>
      <c r="AY694" s="30" t="s">
        <v>5429</v>
      </c>
      <c r="BC694" s="3" t="s">
        <v>7010</v>
      </c>
      <c r="BD694" s="3" t="s">
        <v>7010</v>
      </c>
      <c r="BE694" s="3" t="s">
        <v>7015</v>
      </c>
      <c r="BF694" s="3" t="s">
        <v>7010</v>
      </c>
      <c r="BG694" s="3" t="s">
        <v>7010</v>
      </c>
      <c r="BH694" s="3" t="s">
        <v>7010</v>
      </c>
      <c r="BI694" s="3" t="s">
        <v>7010</v>
      </c>
      <c r="BJ694" s="3" t="s">
        <v>7010</v>
      </c>
      <c r="BK694" s="74" t="str">
        <f t="shared" si="43"/>
        <v>Yes</v>
      </c>
    </row>
    <row r="695" spans="7:63">
      <c r="G695">
        <v>694</v>
      </c>
      <c r="H695" s="7" t="s">
        <v>1374</v>
      </c>
      <c r="I695" t="s">
        <v>29</v>
      </c>
      <c r="J695">
        <f>LEN(H695)</f>
        <v>12</v>
      </c>
      <c r="K695" s="49" t="s">
        <v>4652</v>
      </c>
      <c r="O695" s="3" t="s">
        <v>7010</v>
      </c>
      <c r="P695" s="3" t="s">
        <v>7010</v>
      </c>
      <c r="Q695" s="3" t="s">
        <v>7010</v>
      </c>
      <c r="R695" s="3" t="s">
        <v>7010</v>
      </c>
      <c r="S695" s="3" t="s">
        <v>7010</v>
      </c>
      <c r="T695" s="3" t="s">
        <v>7010</v>
      </c>
      <c r="U695" s="3" t="s">
        <v>7010</v>
      </c>
      <c r="V695" s="3" t="s">
        <v>7010</v>
      </c>
      <c r="W695" s="74" t="str">
        <f t="shared" si="41"/>
        <v>No</v>
      </c>
      <c r="Z695">
        <v>694</v>
      </c>
      <c r="AA695" s="55" t="s">
        <v>5431</v>
      </c>
      <c r="AC695">
        <f t="shared" si="40"/>
        <v>6</v>
      </c>
      <c r="AD695" s="30" t="s">
        <v>5432</v>
      </c>
      <c r="AH695" s="3" t="s">
        <v>7015</v>
      </c>
      <c r="AI695" s="3" t="s">
        <v>7010</v>
      </c>
      <c r="AJ695" s="3" t="s">
        <v>7010</v>
      </c>
      <c r="AK695" s="3" t="s">
        <v>7015</v>
      </c>
      <c r="AL695" s="3" t="s">
        <v>7010</v>
      </c>
      <c r="AM695" s="3" t="s">
        <v>7010</v>
      </c>
      <c r="AN695" s="3" t="s">
        <v>7010</v>
      </c>
      <c r="AO695" s="3" t="s">
        <v>7010</v>
      </c>
      <c r="AP695" s="74" t="s">
        <v>7015</v>
      </c>
      <c r="AU695">
        <v>694</v>
      </c>
      <c r="AV695" t="s">
        <v>5433</v>
      </c>
      <c r="AW695" t="s">
        <v>2279</v>
      </c>
      <c r="AX695">
        <f t="shared" si="42"/>
        <v>9</v>
      </c>
      <c r="AY695" s="30" t="s">
        <v>5434</v>
      </c>
      <c r="BC695" s="3" t="s">
        <v>7010</v>
      </c>
      <c r="BD695" s="3" t="s">
        <v>7010</v>
      </c>
      <c r="BE695" s="3" t="s">
        <v>7015</v>
      </c>
      <c r="BF695" s="3" t="s">
        <v>7010</v>
      </c>
      <c r="BG695" s="3" t="s">
        <v>7010</v>
      </c>
      <c r="BH695" s="3" t="s">
        <v>7010</v>
      </c>
      <c r="BI695" s="3" t="s">
        <v>7010</v>
      </c>
      <c r="BJ695" s="3" t="s">
        <v>7010</v>
      </c>
      <c r="BK695" s="74" t="str">
        <f t="shared" si="43"/>
        <v>Yes</v>
      </c>
    </row>
    <row r="696" spans="7:63">
      <c r="G696">
        <v>695</v>
      </c>
      <c r="H696" s="7" t="s">
        <v>1586</v>
      </c>
      <c r="I696" t="s">
        <v>29</v>
      </c>
      <c r="J696">
        <f>LEN(H696)</f>
        <v>14</v>
      </c>
      <c r="K696" s="49" t="s">
        <v>5193</v>
      </c>
      <c r="O696" s="3" t="s">
        <v>7010</v>
      </c>
      <c r="P696" s="3" t="s">
        <v>7010</v>
      </c>
      <c r="Q696" s="3" t="s">
        <v>7010</v>
      </c>
      <c r="R696" s="3" t="s">
        <v>7010</v>
      </c>
      <c r="S696" s="3" t="s">
        <v>7010</v>
      </c>
      <c r="T696" s="3" t="s">
        <v>7010</v>
      </c>
      <c r="U696" s="3" t="s">
        <v>7010</v>
      </c>
      <c r="V696" s="3" t="s">
        <v>7010</v>
      </c>
      <c r="W696" s="74" t="str">
        <f t="shared" si="41"/>
        <v>No</v>
      </c>
      <c r="Z696">
        <v>695</v>
      </c>
      <c r="AA696" s="55" t="s">
        <v>5436</v>
      </c>
      <c r="AC696">
        <f t="shared" si="40"/>
        <v>7</v>
      </c>
      <c r="AD696" s="30" t="s">
        <v>5437</v>
      </c>
      <c r="AH696" s="3" t="s">
        <v>7015</v>
      </c>
      <c r="AI696" s="3" t="s">
        <v>7010</v>
      </c>
      <c r="AJ696" s="3" t="s">
        <v>7010</v>
      </c>
      <c r="AK696" s="3" t="s">
        <v>7015</v>
      </c>
      <c r="AL696" s="3" t="s">
        <v>7010</v>
      </c>
      <c r="AM696" s="3" t="s">
        <v>7010</v>
      </c>
      <c r="AN696" s="3" t="s">
        <v>7010</v>
      </c>
      <c r="AO696" s="3" t="s">
        <v>7010</v>
      </c>
      <c r="AP696" s="74" t="s">
        <v>7015</v>
      </c>
      <c r="AU696">
        <v>695</v>
      </c>
      <c r="AV696" t="s">
        <v>5438</v>
      </c>
      <c r="AW696" t="s">
        <v>2279</v>
      </c>
      <c r="AX696">
        <f t="shared" si="42"/>
        <v>9</v>
      </c>
      <c r="AY696" s="30" t="s">
        <v>5439</v>
      </c>
      <c r="BC696" s="3" t="s">
        <v>7010</v>
      </c>
      <c r="BD696" s="3" t="s">
        <v>7010</v>
      </c>
      <c r="BE696" s="3" t="s">
        <v>7010</v>
      </c>
      <c r="BF696" s="3" t="s">
        <v>7010</v>
      </c>
      <c r="BG696" s="3" t="s">
        <v>7010</v>
      </c>
      <c r="BH696" s="3" t="s">
        <v>7010</v>
      </c>
      <c r="BI696" s="3" t="s">
        <v>7010</v>
      </c>
      <c r="BJ696" s="3" t="s">
        <v>7010</v>
      </c>
      <c r="BK696" s="74" t="str">
        <f t="shared" si="43"/>
        <v>No</v>
      </c>
    </row>
    <row r="697" spans="7:63">
      <c r="G697">
        <v>696</v>
      </c>
      <c r="H697" s="7" t="s">
        <v>457</v>
      </c>
      <c r="I697" t="s">
        <v>29</v>
      </c>
      <c r="J697">
        <f>LEN(H697)</f>
        <v>13</v>
      </c>
      <c r="K697" s="49" t="s">
        <v>2745</v>
      </c>
      <c r="O697" s="3" t="s">
        <v>7010</v>
      </c>
      <c r="P697" s="3" t="s">
        <v>7010</v>
      </c>
      <c r="Q697" s="3" t="s">
        <v>7010</v>
      </c>
      <c r="R697" s="3" t="s">
        <v>7010</v>
      </c>
      <c r="S697" s="3" t="s">
        <v>7010</v>
      </c>
      <c r="T697" s="3" t="s">
        <v>7015</v>
      </c>
      <c r="U697" s="3" t="s">
        <v>7010</v>
      </c>
      <c r="V697" s="3" t="s">
        <v>7015</v>
      </c>
      <c r="W697" s="74" t="str">
        <f t="shared" si="41"/>
        <v>Yes</v>
      </c>
      <c r="Z697">
        <v>696</v>
      </c>
      <c r="AA697" s="55" t="s">
        <v>5441</v>
      </c>
      <c r="AC697">
        <f t="shared" si="40"/>
        <v>6</v>
      </c>
      <c r="AD697" s="30" t="s">
        <v>5442</v>
      </c>
      <c r="AH697" s="3" t="s">
        <v>7015</v>
      </c>
      <c r="AI697" s="3" t="s">
        <v>7010</v>
      </c>
      <c r="AJ697" s="3" t="s">
        <v>7010</v>
      </c>
      <c r="AK697" s="3" t="s">
        <v>7015</v>
      </c>
      <c r="AL697" s="3" t="s">
        <v>7010</v>
      </c>
      <c r="AM697" s="3" t="s">
        <v>7010</v>
      </c>
      <c r="AN697" s="3" t="s">
        <v>7010</v>
      </c>
      <c r="AO697" s="3" t="s">
        <v>7010</v>
      </c>
      <c r="AP697" s="74" t="s">
        <v>7015</v>
      </c>
      <c r="AU697">
        <v>696</v>
      </c>
      <c r="AV697" t="s">
        <v>5443</v>
      </c>
      <c r="AW697" t="s">
        <v>2279</v>
      </c>
      <c r="AX697">
        <f t="shared" si="42"/>
        <v>8</v>
      </c>
      <c r="AY697" s="30" t="s">
        <v>5444</v>
      </c>
      <c r="BC697" s="3" t="s">
        <v>7010</v>
      </c>
      <c r="BD697" s="3" t="s">
        <v>7010</v>
      </c>
      <c r="BE697" s="3" t="s">
        <v>7010</v>
      </c>
      <c r="BF697" s="3" t="s">
        <v>7010</v>
      </c>
      <c r="BG697" s="3" t="s">
        <v>7010</v>
      </c>
      <c r="BH697" s="3" t="s">
        <v>7010</v>
      </c>
      <c r="BI697" s="3" t="s">
        <v>7010</v>
      </c>
      <c r="BJ697" s="3" t="s">
        <v>7010</v>
      </c>
      <c r="BK697" s="74" t="str">
        <f t="shared" si="43"/>
        <v>No</v>
      </c>
    </row>
    <row r="698" spans="7:63">
      <c r="G698">
        <v>697</v>
      </c>
      <c r="H698" s="7" t="s">
        <v>437</v>
      </c>
      <c r="I698" t="s">
        <v>29</v>
      </c>
      <c r="J698">
        <f>LEN(H698)</f>
        <v>15</v>
      </c>
      <c r="K698" s="49" t="s">
        <v>2665</v>
      </c>
      <c r="O698" s="3" t="s">
        <v>7010</v>
      </c>
      <c r="P698" s="3" t="s">
        <v>7010</v>
      </c>
      <c r="Q698" s="3" t="s">
        <v>7010</v>
      </c>
      <c r="R698" s="3" t="s">
        <v>7010</v>
      </c>
      <c r="S698" s="3" t="s">
        <v>7010</v>
      </c>
      <c r="T698" s="3" t="s">
        <v>7015</v>
      </c>
      <c r="U698" s="3" t="s">
        <v>7010</v>
      </c>
      <c r="V698" s="3" t="s">
        <v>7010</v>
      </c>
      <c r="W698" s="74" t="str">
        <f t="shared" si="41"/>
        <v>Yes</v>
      </c>
      <c r="Z698">
        <v>697</v>
      </c>
      <c r="AA698" s="55" t="s">
        <v>5446</v>
      </c>
      <c r="AC698">
        <f t="shared" si="40"/>
        <v>7</v>
      </c>
      <c r="AD698" s="30" t="s">
        <v>5447</v>
      </c>
      <c r="AH698" s="3" t="s">
        <v>7015</v>
      </c>
      <c r="AI698" s="3" t="s">
        <v>7010</v>
      </c>
      <c r="AJ698" s="3" t="s">
        <v>7010</v>
      </c>
      <c r="AK698" s="3" t="s">
        <v>7015</v>
      </c>
      <c r="AL698" s="3" t="s">
        <v>7010</v>
      </c>
      <c r="AM698" s="3" t="s">
        <v>7010</v>
      </c>
      <c r="AN698" s="3" t="s">
        <v>7010</v>
      </c>
      <c r="AO698" s="3" t="s">
        <v>7010</v>
      </c>
      <c r="AP698" s="74" t="s">
        <v>7015</v>
      </c>
      <c r="AU698">
        <v>697</v>
      </c>
      <c r="AV698" t="s">
        <v>5448</v>
      </c>
      <c r="AW698" t="s">
        <v>2279</v>
      </c>
      <c r="AX698">
        <f t="shared" si="42"/>
        <v>8</v>
      </c>
      <c r="AY698" s="30" t="s">
        <v>5449</v>
      </c>
      <c r="BC698" s="3" t="s">
        <v>7010</v>
      </c>
      <c r="BD698" s="3" t="s">
        <v>7010</v>
      </c>
      <c r="BE698" s="3" t="s">
        <v>7015</v>
      </c>
      <c r="BF698" s="3" t="s">
        <v>7010</v>
      </c>
      <c r="BG698" s="3" t="s">
        <v>7010</v>
      </c>
      <c r="BH698" s="3" t="s">
        <v>7010</v>
      </c>
      <c r="BI698" s="3" t="s">
        <v>7010</v>
      </c>
      <c r="BJ698" s="3" t="s">
        <v>7010</v>
      </c>
      <c r="BK698" s="74" t="str">
        <f t="shared" si="43"/>
        <v>Yes</v>
      </c>
    </row>
    <row r="699" spans="7:63">
      <c r="G699">
        <v>698</v>
      </c>
      <c r="H699" s="7" t="s">
        <v>2121</v>
      </c>
      <c r="I699" t="s">
        <v>29</v>
      </c>
      <c r="J699">
        <f>LEN(H699)</f>
        <v>10</v>
      </c>
      <c r="K699" s="49" t="s">
        <v>6628</v>
      </c>
      <c r="O699" s="3" t="s">
        <v>7010</v>
      </c>
      <c r="P699" s="3" t="s">
        <v>7010</v>
      </c>
      <c r="Q699" s="3" t="s">
        <v>7010</v>
      </c>
      <c r="R699" s="3" t="s">
        <v>7010</v>
      </c>
      <c r="S699" s="3" t="s">
        <v>7010</v>
      </c>
      <c r="T699" s="3" t="s">
        <v>7015</v>
      </c>
      <c r="U699" s="3" t="s">
        <v>7010</v>
      </c>
      <c r="V699" s="3" t="s">
        <v>7010</v>
      </c>
      <c r="W699" s="74" t="str">
        <f t="shared" si="41"/>
        <v>Yes</v>
      </c>
      <c r="Z699">
        <v>698</v>
      </c>
      <c r="AA699" s="55" t="s">
        <v>5451</v>
      </c>
      <c r="AC699">
        <f t="shared" si="40"/>
        <v>7</v>
      </c>
      <c r="AD699" s="30" t="s">
        <v>5452</v>
      </c>
      <c r="AH699" s="3" t="s">
        <v>7015</v>
      </c>
      <c r="AI699" s="3" t="s">
        <v>7010</v>
      </c>
      <c r="AJ699" s="3" t="s">
        <v>7010</v>
      </c>
      <c r="AK699" s="3" t="s">
        <v>7015</v>
      </c>
      <c r="AL699" s="3" t="s">
        <v>7010</v>
      </c>
      <c r="AM699" s="3" t="s">
        <v>7010</v>
      </c>
      <c r="AN699" s="3" t="s">
        <v>7010</v>
      </c>
      <c r="AO699" s="3" t="s">
        <v>7010</v>
      </c>
      <c r="AP699" s="74" t="s">
        <v>7015</v>
      </c>
      <c r="AU699">
        <v>698</v>
      </c>
      <c r="AV699" t="s">
        <v>5453</v>
      </c>
      <c r="AW699" t="s">
        <v>2279</v>
      </c>
      <c r="AX699">
        <f t="shared" si="42"/>
        <v>11</v>
      </c>
      <c r="AY699" s="30" t="s">
        <v>5454</v>
      </c>
      <c r="BC699" s="3" t="s">
        <v>7010</v>
      </c>
      <c r="BD699" s="3" t="s">
        <v>7010</v>
      </c>
      <c r="BE699" s="3" t="s">
        <v>7010</v>
      </c>
      <c r="BF699" s="3" t="s">
        <v>7010</v>
      </c>
      <c r="BG699" s="3" t="s">
        <v>7010</v>
      </c>
      <c r="BH699" s="3" t="s">
        <v>7010</v>
      </c>
      <c r="BI699" s="3" t="s">
        <v>7010</v>
      </c>
      <c r="BJ699" s="3" t="s">
        <v>7010</v>
      </c>
      <c r="BK699" s="74" t="str">
        <f t="shared" si="43"/>
        <v>No</v>
      </c>
    </row>
    <row r="700" spans="7:63">
      <c r="G700">
        <v>699</v>
      </c>
      <c r="H700" s="7" t="s">
        <v>404</v>
      </c>
      <c r="I700" t="s">
        <v>29</v>
      </c>
      <c r="J700">
        <f>LEN(H700)</f>
        <v>8</v>
      </c>
      <c r="K700" s="49" t="s">
        <v>2533</v>
      </c>
      <c r="O700" s="3" t="s">
        <v>7015</v>
      </c>
      <c r="P700" s="3" t="s">
        <v>7010</v>
      </c>
      <c r="Q700" s="3" t="s">
        <v>7010</v>
      </c>
      <c r="R700" s="3" t="s">
        <v>7010</v>
      </c>
      <c r="S700" s="3" t="s">
        <v>7010</v>
      </c>
      <c r="T700" s="3" t="s">
        <v>7015</v>
      </c>
      <c r="U700" s="3" t="s">
        <v>7010</v>
      </c>
      <c r="V700" s="3" t="s">
        <v>7010</v>
      </c>
      <c r="W700" s="74" t="str">
        <f t="shared" si="41"/>
        <v>Yes</v>
      </c>
      <c r="Z700">
        <v>699</v>
      </c>
      <c r="AA700" s="55" t="s">
        <v>5456</v>
      </c>
      <c r="AC700">
        <f t="shared" si="40"/>
        <v>8</v>
      </c>
      <c r="AD700" s="30" t="s">
        <v>5457</v>
      </c>
      <c r="AH700" s="3" t="s">
        <v>7015</v>
      </c>
      <c r="AI700" s="3" t="s">
        <v>7010</v>
      </c>
      <c r="AJ700" s="3" t="s">
        <v>7010</v>
      </c>
      <c r="AK700" s="3" t="s">
        <v>7015</v>
      </c>
      <c r="AL700" s="3" t="s">
        <v>7010</v>
      </c>
      <c r="AM700" s="3" t="s">
        <v>7010</v>
      </c>
      <c r="AN700" s="3" t="s">
        <v>7010</v>
      </c>
      <c r="AO700" s="3" t="s">
        <v>7010</v>
      </c>
      <c r="AP700" s="74" t="s">
        <v>7015</v>
      </c>
      <c r="AU700">
        <v>699</v>
      </c>
      <c r="AV700" t="s">
        <v>5458</v>
      </c>
      <c r="AW700" t="s">
        <v>2279</v>
      </c>
      <c r="AX700">
        <f t="shared" si="42"/>
        <v>16</v>
      </c>
      <c r="AY700" s="30" t="s">
        <v>5459</v>
      </c>
      <c r="BC700" s="3" t="s">
        <v>7010</v>
      </c>
      <c r="BD700" s="3" t="s">
        <v>7010</v>
      </c>
      <c r="BE700" s="3" t="s">
        <v>7010</v>
      </c>
      <c r="BF700" s="3" t="s">
        <v>7010</v>
      </c>
      <c r="BG700" s="3" t="s">
        <v>7010</v>
      </c>
      <c r="BH700" s="3" t="s">
        <v>7010</v>
      </c>
      <c r="BI700" s="3" t="s">
        <v>7010</v>
      </c>
      <c r="BJ700" s="3" t="s">
        <v>7010</v>
      </c>
      <c r="BK700" s="74" t="str">
        <f t="shared" si="43"/>
        <v>No</v>
      </c>
    </row>
    <row r="701" spans="7:63">
      <c r="G701">
        <v>700</v>
      </c>
      <c r="H701" s="7" t="s">
        <v>502</v>
      </c>
      <c r="I701" t="s">
        <v>29</v>
      </c>
      <c r="J701">
        <f>LEN(H701)</f>
        <v>13</v>
      </c>
      <c r="K701" s="49" t="s">
        <v>2925</v>
      </c>
      <c r="O701" s="3" t="s">
        <v>7010</v>
      </c>
      <c r="P701" s="3" t="s">
        <v>7010</v>
      </c>
      <c r="Q701" s="3" t="s">
        <v>7010</v>
      </c>
      <c r="R701" s="3" t="s">
        <v>7010</v>
      </c>
      <c r="S701" s="3" t="s">
        <v>7010</v>
      </c>
      <c r="T701" s="3" t="s">
        <v>7010</v>
      </c>
      <c r="U701" s="3" t="s">
        <v>7010</v>
      </c>
      <c r="V701" s="3" t="s">
        <v>7010</v>
      </c>
      <c r="W701" s="74" t="str">
        <f t="shared" si="41"/>
        <v>No</v>
      </c>
      <c r="Z701">
        <v>700</v>
      </c>
      <c r="AA701" s="55" t="s">
        <v>5461</v>
      </c>
      <c r="AC701">
        <f t="shared" si="40"/>
        <v>6</v>
      </c>
      <c r="AD701" s="30" t="s">
        <v>5462</v>
      </c>
      <c r="AH701" s="3" t="s">
        <v>7015</v>
      </c>
      <c r="AI701" s="3" t="s">
        <v>7010</v>
      </c>
      <c r="AJ701" s="3" t="s">
        <v>7010</v>
      </c>
      <c r="AK701" s="3" t="s">
        <v>7015</v>
      </c>
      <c r="AL701" s="3" t="s">
        <v>7010</v>
      </c>
      <c r="AM701" s="3" t="s">
        <v>7010</v>
      </c>
      <c r="AN701" s="3" t="s">
        <v>7010</v>
      </c>
      <c r="AO701" s="3" t="s">
        <v>7010</v>
      </c>
      <c r="AP701" s="74" t="s">
        <v>7015</v>
      </c>
      <c r="AU701">
        <v>700</v>
      </c>
      <c r="AV701" t="s">
        <v>5463</v>
      </c>
      <c r="AW701" t="s">
        <v>2279</v>
      </c>
      <c r="AX701">
        <f t="shared" si="42"/>
        <v>8</v>
      </c>
      <c r="AY701" s="30" t="s">
        <v>5464</v>
      </c>
      <c r="BC701" s="3" t="s">
        <v>7010</v>
      </c>
      <c r="BD701" s="3" t="s">
        <v>7010</v>
      </c>
      <c r="BE701" s="3" t="s">
        <v>7010</v>
      </c>
      <c r="BF701" s="3" t="s">
        <v>7010</v>
      </c>
      <c r="BG701" s="3" t="s">
        <v>7010</v>
      </c>
      <c r="BH701" s="3" t="s">
        <v>7010</v>
      </c>
      <c r="BI701" s="3" t="s">
        <v>7010</v>
      </c>
      <c r="BJ701" s="3" t="s">
        <v>7010</v>
      </c>
      <c r="BK701" s="74" t="str">
        <f t="shared" si="43"/>
        <v>No</v>
      </c>
    </row>
    <row r="702" spans="7:63">
      <c r="G702">
        <v>701</v>
      </c>
      <c r="H702" s="7" t="s">
        <v>490</v>
      </c>
      <c r="I702" t="s">
        <v>29</v>
      </c>
      <c r="J702">
        <f>LEN(H702)</f>
        <v>11</v>
      </c>
      <c r="K702" s="49" t="s">
        <v>2877</v>
      </c>
      <c r="O702" s="3" t="s">
        <v>7010</v>
      </c>
      <c r="P702" s="3" t="s">
        <v>7010</v>
      </c>
      <c r="Q702" s="3" t="s">
        <v>7010</v>
      </c>
      <c r="R702" s="3" t="s">
        <v>7010</v>
      </c>
      <c r="S702" s="3" t="s">
        <v>7010</v>
      </c>
      <c r="T702" s="3" t="s">
        <v>7010</v>
      </c>
      <c r="U702" s="3" t="s">
        <v>7010</v>
      </c>
      <c r="V702" s="3" t="s">
        <v>7010</v>
      </c>
      <c r="W702" s="74" t="str">
        <f t="shared" si="41"/>
        <v>No</v>
      </c>
      <c r="Z702">
        <v>701</v>
      </c>
      <c r="AA702" s="55" t="s">
        <v>5466</v>
      </c>
      <c r="AC702">
        <f t="shared" si="40"/>
        <v>6</v>
      </c>
      <c r="AD702" s="30" t="s">
        <v>5467</v>
      </c>
      <c r="AH702" s="3" t="s">
        <v>7015</v>
      </c>
      <c r="AI702" s="3" t="s">
        <v>7010</v>
      </c>
      <c r="AJ702" s="3" t="s">
        <v>7010</v>
      </c>
      <c r="AK702" s="3" t="s">
        <v>7015</v>
      </c>
      <c r="AL702" s="3" t="s">
        <v>7010</v>
      </c>
      <c r="AM702" s="3" t="s">
        <v>7010</v>
      </c>
      <c r="AN702" s="3" t="s">
        <v>7010</v>
      </c>
      <c r="AO702" s="3" t="s">
        <v>7010</v>
      </c>
      <c r="AP702" s="74" t="s">
        <v>7015</v>
      </c>
      <c r="AU702">
        <v>701</v>
      </c>
      <c r="AV702" t="s">
        <v>5468</v>
      </c>
      <c r="AW702" t="s">
        <v>2279</v>
      </c>
      <c r="AX702">
        <f t="shared" si="42"/>
        <v>9</v>
      </c>
      <c r="AY702" s="30" t="s">
        <v>5469</v>
      </c>
      <c r="BC702" s="3" t="s">
        <v>7010</v>
      </c>
      <c r="BD702" s="3" t="s">
        <v>7010</v>
      </c>
      <c r="BE702" s="3" t="s">
        <v>7010</v>
      </c>
      <c r="BF702" s="3" t="s">
        <v>7010</v>
      </c>
      <c r="BG702" s="3" t="s">
        <v>7010</v>
      </c>
      <c r="BH702" s="3" t="s">
        <v>7010</v>
      </c>
      <c r="BI702" s="3" t="s">
        <v>7010</v>
      </c>
      <c r="BJ702" s="3" t="s">
        <v>7010</v>
      </c>
      <c r="BK702" s="74" t="str">
        <f t="shared" si="43"/>
        <v>No</v>
      </c>
    </row>
    <row r="703" spans="7:63">
      <c r="G703">
        <v>702</v>
      </c>
      <c r="H703" s="7" t="s">
        <v>522</v>
      </c>
      <c r="I703" t="s">
        <v>29</v>
      </c>
      <c r="J703">
        <f>LEN(H703)</f>
        <v>12</v>
      </c>
      <c r="K703" s="49" t="s">
        <v>3005</v>
      </c>
      <c r="O703" s="3" t="s">
        <v>7010</v>
      </c>
      <c r="P703" s="3" t="s">
        <v>7010</v>
      </c>
      <c r="Q703" s="3" t="s">
        <v>7010</v>
      </c>
      <c r="R703" s="3" t="s">
        <v>7010</v>
      </c>
      <c r="S703" s="3" t="s">
        <v>7010</v>
      </c>
      <c r="T703" s="3" t="s">
        <v>7010</v>
      </c>
      <c r="U703" s="3" t="s">
        <v>7010</v>
      </c>
      <c r="V703" s="3" t="s">
        <v>7010</v>
      </c>
      <c r="W703" s="74" t="str">
        <f t="shared" si="41"/>
        <v>No</v>
      </c>
      <c r="Z703">
        <v>702</v>
      </c>
      <c r="AA703" s="55" t="s">
        <v>5471</v>
      </c>
      <c r="AC703">
        <f t="shared" si="40"/>
        <v>7</v>
      </c>
      <c r="AD703" s="30" t="s">
        <v>5472</v>
      </c>
      <c r="AH703" s="3" t="s">
        <v>7015</v>
      </c>
      <c r="AI703" s="3" t="s">
        <v>7010</v>
      </c>
      <c r="AJ703" s="3" t="s">
        <v>7010</v>
      </c>
      <c r="AK703" s="3" t="s">
        <v>7015</v>
      </c>
      <c r="AL703" s="3" t="s">
        <v>7010</v>
      </c>
      <c r="AM703" s="3" t="s">
        <v>7010</v>
      </c>
      <c r="AN703" s="3" t="s">
        <v>7010</v>
      </c>
      <c r="AO703" s="3" t="s">
        <v>7010</v>
      </c>
      <c r="AP703" s="74" t="s">
        <v>7015</v>
      </c>
      <c r="AU703">
        <v>702</v>
      </c>
      <c r="AV703" t="s">
        <v>5473</v>
      </c>
      <c r="AW703" t="s">
        <v>2279</v>
      </c>
      <c r="AX703">
        <f t="shared" si="42"/>
        <v>8</v>
      </c>
      <c r="AY703" s="30" t="s">
        <v>5474</v>
      </c>
      <c r="BC703" s="3" t="s">
        <v>7010</v>
      </c>
      <c r="BD703" s="3" t="s">
        <v>7010</v>
      </c>
      <c r="BE703" s="3" t="s">
        <v>7010</v>
      </c>
      <c r="BF703" s="3" t="s">
        <v>7010</v>
      </c>
      <c r="BG703" s="3" t="s">
        <v>7010</v>
      </c>
      <c r="BH703" s="3" t="s">
        <v>7010</v>
      </c>
      <c r="BI703" s="3" t="s">
        <v>7010</v>
      </c>
      <c r="BJ703" s="3" t="s">
        <v>7010</v>
      </c>
      <c r="BK703" s="74" t="str">
        <f t="shared" si="43"/>
        <v>No</v>
      </c>
    </row>
    <row r="704" spans="7:63">
      <c r="G704">
        <v>703</v>
      </c>
      <c r="H704" t="s">
        <v>6986</v>
      </c>
      <c r="I704" t="s">
        <v>29</v>
      </c>
      <c r="J704">
        <f>LEN(H704)</f>
        <v>8</v>
      </c>
      <c r="K704" s="49" t="s">
        <v>6988</v>
      </c>
      <c r="O704" s="3" t="s">
        <v>7010</v>
      </c>
      <c r="P704" s="3" t="s">
        <v>7010</v>
      </c>
      <c r="Q704" s="3" t="s">
        <v>7010</v>
      </c>
      <c r="R704" s="3" t="s">
        <v>7015</v>
      </c>
      <c r="S704" s="3" t="s">
        <v>7010</v>
      </c>
      <c r="T704" s="3" t="s">
        <v>7010</v>
      </c>
      <c r="U704" s="3" t="s">
        <v>7010</v>
      </c>
      <c r="V704" s="3" t="s">
        <v>7010</v>
      </c>
      <c r="W704" s="74" t="str">
        <f t="shared" si="41"/>
        <v>Yes</v>
      </c>
      <c r="Z704">
        <v>703</v>
      </c>
      <c r="AA704" s="55" t="s">
        <v>5476</v>
      </c>
      <c r="AC704">
        <f t="shared" si="40"/>
        <v>9</v>
      </c>
      <c r="AD704" s="30" t="s">
        <v>5477</v>
      </c>
      <c r="AH704" s="3" t="s">
        <v>7015</v>
      </c>
      <c r="AI704" s="3" t="s">
        <v>7010</v>
      </c>
      <c r="AJ704" s="3" t="s">
        <v>7010</v>
      </c>
      <c r="AK704" s="3" t="s">
        <v>7015</v>
      </c>
      <c r="AL704" s="3" t="s">
        <v>7010</v>
      </c>
      <c r="AM704" s="3" t="s">
        <v>7010</v>
      </c>
      <c r="AN704" s="3" t="s">
        <v>7010</v>
      </c>
      <c r="AO704" s="3" t="s">
        <v>7010</v>
      </c>
      <c r="AP704" s="74" t="s">
        <v>7015</v>
      </c>
      <c r="AU704">
        <v>703</v>
      </c>
      <c r="AV704" t="s">
        <v>5478</v>
      </c>
      <c r="AW704" t="s">
        <v>2279</v>
      </c>
      <c r="AX704">
        <f t="shared" si="42"/>
        <v>12</v>
      </c>
      <c r="AY704" s="30" t="s">
        <v>5479</v>
      </c>
      <c r="BC704" s="3" t="s">
        <v>7010</v>
      </c>
      <c r="BD704" s="3" t="s">
        <v>7010</v>
      </c>
      <c r="BE704" s="3" t="s">
        <v>7010</v>
      </c>
      <c r="BF704" s="3" t="s">
        <v>7010</v>
      </c>
      <c r="BG704" s="3" t="s">
        <v>7010</v>
      </c>
      <c r="BH704" s="3" t="s">
        <v>7010</v>
      </c>
      <c r="BI704" s="3" t="s">
        <v>7010</v>
      </c>
      <c r="BJ704" s="3" t="s">
        <v>7010</v>
      </c>
      <c r="BK704" s="74" t="str">
        <f t="shared" si="43"/>
        <v>No</v>
      </c>
    </row>
    <row r="705" spans="7:63">
      <c r="G705">
        <v>704</v>
      </c>
      <c r="H705" s="7" t="s">
        <v>438</v>
      </c>
      <c r="I705" t="s">
        <v>29</v>
      </c>
      <c r="J705">
        <f>LEN(H705)</f>
        <v>14</v>
      </c>
      <c r="K705" s="49" t="s">
        <v>2669</v>
      </c>
      <c r="O705" s="3" t="s">
        <v>7010</v>
      </c>
      <c r="P705" s="3" t="s">
        <v>7010</v>
      </c>
      <c r="Q705" s="3" t="s">
        <v>7010</v>
      </c>
      <c r="R705" s="3" t="s">
        <v>7010</v>
      </c>
      <c r="S705" s="3" t="s">
        <v>7010</v>
      </c>
      <c r="T705" s="3" t="s">
        <v>7010</v>
      </c>
      <c r="U705" s="3" t="s">
        <v>7010</v>
      </c>
      <c r="V705" s="3" t="s">
        <v>7010</v>
      </c>
      <c r="W705" s="74" t="str">
        <f t="shared" si="41"/>
        <v>No</v>
      </c>
      <c r="Z705">
        <v>704</v>
      </c>
      <c r="AA705" s="55" t="s">
        <v>5481</v>
      </c>
      <c r="AC705">
        <f t="shared" si="40"/>
        <v>7</v>
      </c>
      <c r="AD705" s="30" t="s">
        <v>5482</v>
      </c>
      <c r="AH705" s="3" t="s">
        <v>7015</v>
      </c>
      <c r="AI705" s="3" t="s">
        <v>7010</v>
      </c>
      <c r="AJ705" s="3" t="s">
        <v>7010</v>
      </c>
      <c r="AK705" s="3" t="s">
        <v>7015</v>
      </c>
      <c r="AL705" s="3" t="s">
        <v>7010</v>
      </c>
      <c r="AM705" s="3" t="s">
        <v>7010</v>
      </c>
      <c r="AN705" s="3" t="s">
        <v>7010</v>
      </c>
      <c r="AO705" s="3" t="s">
        <v>7010</v>
      </c>
      <c r="AP705" s="74" t="s">
        <v>7015</v>
      </c>
      <c r="AU705">
        <v>704</v>
      </c>
      <c r="AV705" t="s">
        <v>5483</v>
      </c>
      <c r="AW705" t="s">
        <v>2279</v>
      </c>
      <c r="AX705">
        <f t="shared" si="42"/>
        <v>12</v>
      </c>
      <c r="AY705" s="31" t="s">
        <v>5484</v>
      </c>
      <c r="BC705" s="3" t="s">
        <v>7010</v>
      </c>
      <c r="BD705" s="3" t="s">
        <v>7010</v>
      </c>
      <c r="BE705" s="3" t="s">
        <v>7015</v>
      </c>
      <c r="BF705" s="3" t="s">
        <v>7010</v>
      </c>
      <c r="BG705" s="3" t="s">
        <v>7010</v>
      </c>
      <c r="BH705" s="3" t="s">
        <v>7010</v>
      </c>
      <c r="BI705" s="3" t="s">
        <v>7010</v>
      </c>
      <c r="BJ705" s="3" t="s">
        <v>7010</v>
      </c>
      <c r="BK705" s="74" t="str">
        <f t="shared" si="43"/>
        <v>Yes</v>
      </c>
    </row>
    <row r="706" spans="7:63">
      <c r="G706">
        <v>705</v>
      </c>
      <c r="H706" s="7" t="s">
        <v>1910</v>
      </c>
      <c r="I706" t="s">
        <v>29</v>
      </c>
      <c r="J706">
        <f>LEN(H706)</f>
        <v>9</v>
      </c>
      <c r="K706" s="49" t="s">
        <v>6083</v>
      </c>
      <c r="O706" s="3" t="s">
        <v>7010</v>
      </c>
      <c r="P706" s="3" t="s">
        <v>7010</v>
      </c>
      <c r="Q706" s="3" t="s">
        <v>7010</v>
      </c>
      <c r="R706" s="3" t="s">
        <v>7010</v>
      </c>
      <c r="S706" s="3" t="s">
        <v>7010</v>
      </c>
      <c r="T706" s="3" t="s">
        <v>7010</v>
      </c>
      <c r="U706" s="3" t="s">
        <v>7010</v>
      </c>
      <c r="V706" s="3" t="s">
        <v>7010</v>
      </c>
      <c r="W706" s="74" t="str">
        <f t="shared" si="41"/>
        <v>No</v>
      </c>
      <c r="Z706">
        <v>705</v>
      </c>
      <c r="AA706" s="55" t="s">
        <v>5486</v>
      </c>
      <c r="AC706">
        <f t="shared" ref="AC706:AC769" si="44">LEN(AA706)</f>
        <v>6</v>
      </c>
      <c r="AD706" s="30" t="s">
        <v>5487</v>
      </c>
      <c r="AH706" s="3" t="s">
        <v>7015</v>
      </c>
      <c r="AI706" s="3" t="s">
        <v>7010</v>
      </c>
      <c r="AJ706" s="3" t="s">
        <v>7010</v>
      </c>
      <c r="AK706" s="3" t="s">
        <v>7015</v>
      </c>
      <c r="AL706" s="3" t="s">
        <v>7010</v>
      </c>
      <c r="AM706" s="3" t="s">
        <v>7010</v>
      </c>
      <c r="AN706" s="3" t="s">
        <v>7010</v>
      </c>
      <c r="AO706" s="3" t="s">
        <v>7010</v>
      </c>
      <c r="AP706" s="74" t="s">
        <v>7015</v>
      </c>
      <c r="AU706">
        <v>705</v>
      </c>
      <c r="AV706" t="s">
        <v>5488</v>
      </c>
      <c r="AW706" t="s">
        <v>2279</v>
      </c>
      <c r="AX706">
        <f t="shared" si="42"/>
        <v>10</v>
      </c>
      <c r="AY706" s="30" t="s">
        <v>5489</v>
      </c>
      <c r="BC706" s="3" t="s">
        <v>7010</v>
      </c>
      <c r="BD706" s="3" t="s">
        <v>7010</v>
      </c>
      <c r="BE706" s="3" t="s">
        <v>7015</v>
      </c>
      <c r="BF706" s="3" t="s">
        <v>7010</v>
      </c>
      <c r="BG706" s="3" t="s">
        <v>7010</v>
      </c>
      <c r="BH706" s="3" t="s">
        <v>7010</v>
      </c>
      <c r="BI706" s="3" t="s">
        <v>7010</v>
      </c>
      <c r="BJ706" s="3" t="s">
        <v>7010</v>
      </c>
      <c r="BK706" s="74" t="str">
        <f t="shared" si="43"/>
        <v>Yes</v>
      </c>
    </row>
    <row r="707" spans="7:63">
      <c r="G707">
        <v>706</v>
      </c>
      <c r="H707" t="s">
        <v>6940</v>
      </c>
      <c r="I707" t="s">
        <v>29</v>
      </c>
      <c r="J707">
        <f>LEN(H707)</f>
        <v>14</v>
      </c>
      <c r="K707" s="49" t="s">
        <v>6941</v>
      </c>
      <c r="O707" s="3" t="s">
        <v>7010</v>
      </c>
      <c r="P707" s="3" t="s">
        <v>7010</v>
      </c>
      <c r="Q707" s="3" t="s">
        <v>7010</v>
      </c>
      <c r="R707" s="3" t="s">
        <v>7015</v>
      </c>
      <c r="S707" s="3" t="s">
        <v>7010</v>
      </c>
      <c r="T707" s="3" t="s">
        <v>7010</v>
      </c>
      <c r="U707" s="3" t="s">
        <v>7010</v>
      </c>
      <c r="V707" s="3" t="s">
        <v>7010</v>
      </c>
      <c r="W707" s="74" t="str">
        <f t="shared" ref="W707:W770" si="45">IF(COUNTIF(O707:V707, "Yes") &gt; 0, "Yes", "No")</f>
        <v>Yes</v>
      </c>
      <c r="Z707">
        <v>706</v>
      </c>
      <c r="AA707" s="55" t="s">
        <v>5491</v>
      </c>
      <c r="AC707">
        <f t="shared" si="44"/>
        <v>7</v>
      </c>
      <c r="AD707" s="30" t="s">
        <v>5492</v>
      </c>
      <c r="AH707" s="3" t="s">
        <v>7015</v>
      </c>
      <c r="AI707" s="3" t="s">
        <v>7010</v>
      </c>
      <c r="AJ707" s="3" t="s">
        <v>7010</v>
      </c>
      <c r="AK707" s="3" t="s">
        <v>7015</v>
      </c>
      <c r="AL707" s="3" t="s">
        <v>7010</v>
      </c>
      <c r="AM707" s="3" t="s">
        <v>7010</v>
      </c>
      <c r="AN707" s="3" t="s">
        <v>7010</v>
      </c>
      <c r="AO707" s="3" t="s">
        <v>7010</v>
      </c>
      <c r="AP707" s="74" t="s">
        <v>7015</v>
      </c>
      <c r="AU707">
        <v>706</v>
      </c>
      <c r="AV707" t="s">
        <v>5493</v>
      </c>
      <c r="AW707" t="s">
        <v>2279</v>
      </c>
      <c r="AX707">
        <f t="shared" ref="AX707:AX770" si="46">LEN(AV707)</f>
        <v>8</v>
      </c>
      <c r="AY707" s="31" t="s">
        <v>5494</v>
      </c>
      <c r="BC707" s="3" t="s">
        <v>7010</v>
      </c>
      <c r="BD707" s="3" t="s">
        <v>7010</v>
      </c>
      <c r="BE707" s="3" t="s">
        <v>7010</v>
      </c>
      <c r="BF707" s="3" t="s">
        <v>7010</v>
      </c>
      <c r="BG707" s="3" t="s">
        <v>7010</v>
      </c>
      <c r="BH707" s="3" t="s">
        <v>7010</v>
      </c>
      <c r="BI707" s="3" t="s">
        <v>7010</v>
      </c>
      <c r="BJ707" s="3" t="s">
        <v>7010</v>
      </c>
      <c r="BK707" s="74" t="str">
        <f t="shared" ref="BK707:BK770" si="47">IF(COUNTIF(BC707:BJ707, "Yes") &gt; 0, "Yes", "No")</f>
        <v>No</v>
      </c>
    </row>
    <row r="708" spans="7:63">
      <c r="G708">
        <v>707</v>
      </c>
      <c r="H708" s="7" t="s">
        <v>2085</v>
      </c>
      <c r="I708" t="s">
        <v>29</v>
      </c>
      <c r="J708">
        <f>LEN(H708)</f>
        <v>19</v>
      </c>
      <c r="K708" s="49" t="s">
        <v>6538</v>
      </c>
      <c r="O708" s="3" t="s">
        <v>7010</v>
      </c>
      <c r="P708" s="3" t="s">
        <v>7010</v>
      </c>
      <c r="Q708" s="3" t="s">
        <v>7010</v>
      </c>
      <c r="R708" s="3" t="s">
        <v>7010</v>
      </c>
      <c r="S708" s="3" t="s">
        <v>7010</v>
      </c>
      <c r="T708" s="3" t="s">
        <v>7015</v>
      </c>
      <c r="U708" s="3" t="s">
        <v>7010</v>
      </c>
      <c r="V708" s="3" t="s">
        <v>7010</v>
      </c>
      <c r="W708" s="74" t="str">
        <f t="shared" si="45"/>
        <v>Yes</v>
      </c>
      <c r="Z708">
        <v>707</v>
      </c>
      <c r="AA708" s="55" t="s">
        <v>5496</v>
      </c>
      <c r="AC708">
        <f t="shared" si="44"/>
        <v>7</v>
      </c>
      <c r="AD708" s="30" t="s">
        <v>5497</v>
      </c>
      <c r="AH708" s="3" t="s">
        <v>7015</v>
      </c>
      <c r="AI708" s="3" t="s">
        <v>7010</v>
      </c>
      <c r="AJ708" s="3" t="s">
        <v>7010</v>
      </c>
      <c r="AK708" s="3" t="s">
        <v>7015</v>
      </c>
      <c r="AL708" s="3" t="s">
        <v>7010</v>
      </c>
      <c r="AM708" s="3" t="s">
        <v>7010</v>
      </c>
      <c r="AN708" s="3" t="s">
        <v>7010</v>
      </c>
      <c r="AO708" s="3" t="s">
        <v>7010</v>
      </c>
      <c r="AP708" s="74" t="s">
        <v>7015</v>
      </c>
      <c r="AU708">
        <v>707</v>
      </c>
      <c r="AV708" t="s">
        <v>5498</v>
      </c>
      <c r="AW708" t="s">
        <v>2279</v>
      </c>
      <c r="AX708">
        <f t="shared" si="46"/>
        <v>9</v>
      </c>
      <c r="AY708" s="30" t="s">
        <v>5499</v>
      </c>
      <c r="BC708" s="3" t="s">
        <v>7010</v>
      </c>
      <c r="BD708" s="3" t="s">
        <v>7010</v>
      </c>
      <c r="BE708" s="3" t="s">
        <v>7015</v>
      </c>
      <c r="BF708" s="3" t="s">
        <v>7010</v>
      </c>
      <c r="BG708" s="3" t="s">
        <v>7010</v>
      </c>
      <c r="BH708" s="3" t="s">
        <v>7010</v>
      </c>
      <c r="BI708" s="3" t="s">
        <v>7010</v>
      </c>
      <c r="BJ708" s="3" t="s">
        <v>7010</v>
      </c>
      <c r="BK708" s="74" t="str">
        <f t="shared" si="47"/>
        <v>Yes</v>
      </c>
    </row>
    <row r="709" spans="7:63">
      <c r="G709">
        <v>708</v>
      </c>
      <c r="H709" s="7" t="s">
        <v>576</v>
      </c>
      <c r="I709" t="s">
        <v>29</v>
      </c>
      <c r="J709">
        <f>LEN(H709)</f>
        <v>15</v>
      </c>
      <c r="K709" s="49" t="s">
        <v>3221</v>
      </c>
      <c r="O709" s="3" t="s">
        <v>7010</v>
      </c>
      <c r="P709" s="3" t="s">
        <v>7010</v>
      </c>
      <c r="Q709" s="3" t="s">
        <v>7010</v>
      </c>
      <c r="R709" s="3" t="s">
        <v>7010</v>
      </c>
      <c r="S709" s="3" t="s">
        <v>7010</v>
      </c>
      <c r="T709" s="3" t="s">
        <v>7015</v>
      </c>
      <c r="U709" s="3" t="s">
        <v>7010</v>
      </c>
      <c r="V709" s="3" t="s">
        <v>7010</v>
      </c>
      <c r="W709" s="74" t="str">
        <f t="shared" si="45"/>
        <v>Yes</v>
      </c>
      <c r="Z709">
        <v>708</v>
      </c>
      <c r="AA709" s="55" t="s">
        <v>5501</v>
      </c>
      <c r="AC709">
        <f t="shared" si="44"/>
        <v>5</v>
      </c>
      <c r="AD709" s="30" t="s">
        <v>5502</v>
      </c>
      <c r="AH709" s="3" t="s">
        <v>7015</v>
      </c>
      <c r="AI709" s="3" t="s">
        <v>7010</v>
      </c>
      <c r="AJ709" s="3" t="s">
        <v>7010</v>
      </c>
      <c r="AK709" s="3" t="s">
        <v>7015</v>
      </c>
      <c r="AL709" s="3" t="s">
        <v>7010</v>
      </c>
      <c r="AM709" s="3" t="s">
        <v>7010</v>
      </c>
      <c r="AN709" s="3" t="s">
        <v>7010</v>
      </c>
      <c r="AO709" s="3" t="s">
        <v>7010</v>
      </c>
      <c r="AP709" s="74" t="s">
        <v>7015</v>
      </c>
      <c r="AU709">
        <v>708</v>
      </c>
      <c r="AV709" t="s">
        <v>5503</v>
      </c>
      <c r="AW709" t="s">
        <v>2279</v>
      </c>
      <c r="AX709">
        <f t="shared" si="46"/>
        <v>8</v>
      </c>
      <c r="AY709" s="30" t="s">
        <v>5504</v>
      </c>
      <c r="BC709" s="3" t="s">
        <v>7010</v>
      </c>
      <c r="BD709" s="3" t="s">
        <v>7010</v>
      </c>
      <c r="BE709" s="3" t="s">
        <v>7010</v>
      </c>
      <c r="BF709" s="3" t="s">
        <v>7010</v>
      </c>
      <c r="BG709" s="3" t="s">
        <v>7010</v>
      </c>
      <c r="BH709" s="3" t="s">
        <v>7010</v>
      </c>
      <c r="BI709" s="3" t="s">
        <v>7010</v>
      </c>
      <c r="BJ709" s="3" t="s">
        <v>7010</v>
      </c>
      <c r="BK709" s="74" t="str">
        <f t="shared" si="47"/>
        <v>No</v>
      </c>
    </row>
    <row r="710" spans="7:63">
      <c r="G710">
        <v>709</v>
      </c>
      <c r="H710" s="7" t="s">
        <v>575</v>
      </c>
      <c r="I710" t="s">
        <v>29</v>
      </c>
      <c r="J710">
        <f>LEN(H710)</f>
        <v>17</v>
      </c>
      <c r="K710" s="49" t="s">
        <v>3217</v>
      </c>
      <c r="O710" s="3" t="s">
        <v>7010</v>
      </c>
      <c r="P710" s="3" t="s">
        <v>7010</v>
      </c>
      <c r="Q710" s="3" t="s">
        <v>7010</v>
      </c>
      <c r="R710" s="3" t="s">
        <v>7010</v>
      </c>
      <c r="S710" s="3" t="s">
        <v>7010</v>
      </c>
      <c r="T710" s="3" t="s">
        <v>7015</v>
      </c>
      <c r="U710" s="3" t="s">
        <v>7010</v>
      </c>
      <c r="V710" s="3" t="s">
        <v>7015</v>
      </c>
      <c r="W710" s="74" t="str">
        <f t="shared" si="45"/>
        <v>Yes</v>
      </c>
      <c r="Z710">
        <v>709</v>
      </c>
      <c r="AA710" s="55" t="s">
        <v>5506</v>
      </c>
      <c r="AC710">
        <f t="shared" si="44"/>
        <v>5</v>
      </c>
      <c r="AD710" s="30" t="s">
        <v>5507</v>
      </c>
      <c r="AH710" s="3" t="s">
        <v>7015</v>
      </c>
      <c r="AI710" s="3" t="s">
        <v>7010</v>
      </c>
      <c r="AJ710" s="3" t="s">
        <v>7010</v>
      </c>
      <c r="AK710" s="3" t="s">
        <v>7015</v>
      </c>
      <c r="AL710" s="3" t="s">
        <v>7010</v>
      </c>
      <c r="AM710" s="3" t="s">
        <v>7010</v>
      </c>
      <c r="AN710" s="3" t="s">
        <v>7010</v>
      </c>
      <c r="AO710" s="3" t="s">
        <v>7010</v>
      </c>
      <c r="AP710" s="74" t="s">
        <v>7015</v>
      </c>
      <c r="AU710">
        <v>709</v>
      </c>
      <c r="AV710" t="s">
        <v>5508</v>
      </c>
      <c r="AW710" t="s">
        <v>2279</v>
      </c>
      <c r="AX710">
        <f t="shared" si="46"/>
        <v>8</v>
      </c>
      <c r="AY710" s="30" t="s">
        <v>5509</v>
      </c>
      <c r="BC710" s="3" t="s">
        <v>7010</v>
      </c>
      <c r="BD710" s="3" t="s">
        <v>7010</v>
      </c>
      <c r="BE710" s="3" t="s">
        <v>7010</v>
      </c>
      <c r="BF710" s="3" t="s">
        <v>7010</v>
      </c>
      <c r="BG710" s="3" t="s">
        <v>7010</v>
      </c>
      <c r="BH710" s="3" t="s">
        <v>7010</v>
      </c>
      <c r="BI710" s="3" t="s">
        <v>7010</v>
      </c>
      <c r="BJ710" s="3" t="s">
        <v>7010</v>
      </c>
      <c r="BK710" s="74" t="str">
        <f t="shared" si="47"/>
        <v>No</v>
      </c>
    </row>
    <row r="711" spans="7:63">
      <c r="G711">
        <v>710</v>
      </c>
      <c r="H711" s="7" t="s">
        <v>567</v>
      </c>
      <c r="I711" t="s">
        <v>29</v>
      </c>
      <c r="J711">
        <f>LEN(H711)</f>
        <v>16</v>
      </c>
      <c r="K711" s="49" t="s">
        <v>3185</v>
      </c>
      <c r="O711" s="3" t="s">
        <v>7010</v>
      </c>
      <c r="P711" s="3" t="s">
        <v>7010</v>
      </c>
      <c r="Q711" s="3" t="s">
        <v>7010</v>
      </c>
      <c r="R711" s="3" t="s">
        <v>7010</v>
      </c>
      <c r="S711" s="3" t="s">
        <v>7010</v>
      </c>
      <c r="T711" s="3" t="s">
        <v>7010</v>
      </c>
      <c r="U711" s="3" t="s">
        <v>7010</v>
      </c>
      <c r="V711" s="3" t="s">
        <v>7010</v>
      </c>
      <c r="W711" s="74" t="str">
        <f t="shared" si="45"/>
        <v>No</v>
      </c>
      <c r="Z711">
        <v>710</v>
      </c>
      <c r="AA711" s="55" t="s">
        <v>5511</v>
      </c>
      <c r="AC711">
        <f t="shared" si="44"/>
        <v>5</v>
      </c>
      <c r="AD711" s="30" t="s">
        <v>5512</v>
      </c>
      <c r="AH711" s="3" t="s">
        <v>7015</v>
      </c>
      <c r="AI711" s="3" t="s">
        <v>7010</v>
      </c>
      <c r="AJ711" s="3" t="s">
        <v>7010</v>
      </c>
      <c r="AK711" s="3" t="s">
        <v>7015</v>
      </c>
      <c r="AL711" s="3" t="s">
        <v>7010</v>
      </c>
      <c r="AM711" s="3" t="s">
        <v>7010</v>
      </c>
      <c r="AN711" s="3" t="s">
        <v>7010</v>
      </c>
      <c r="AO711" s="3" t="s">
        <v>7010</v>
      </c>
      <c r="AP711" s="74" t="s">
        <v>7015</v>
      </c>
      <c r="AU711">
        <v>710</v>
      </c>
      <c r="AV711" t="s">
        <v>5513</v>
      </c>
      <c r="AW711" t="s">
        <v>2279</v>
      </c>
      <c r="AX711">
        <f t="shared" si="46"/>
        <v>8</v>
      </c>
      <c r="AY711" s="31" t="s">
        <v>5514</v>
      </c>
      <c r="BC711" s="3" t="s">
        <v>7010</v>
      </c>
      <c r="BD711" s="3" t="s">
        <v>7010</v>
      </c>
      <c r="BE711" s="3" t="s">
        <v>7010</v>
      </c>
      <c r="BF711" s="3" t="s">
        <v>7010</v>
      </c>
      <c r="BG711" s="3" t="s">
        <v>7010</v>
      </c>
      <c r="BH711" s="3" t="s">
        <v>7010</v>
      </c>
      <c r="BI711" s="3" t="s">
        <v>7010</v>
      </c>
      <c r="BJ711" s="3" t="s">
        <v>7010</v>
      </c>
      <c r="BK711" s="74" t="str">
        <f t="shared" si="47"/>
        <v>No</v>
      </c>
    </row>
    <row r="712" spans="7:63">
      <c r="G712">
        <v>711</v>
      </c>
      <c r="H712" s="7" t="s">
        <v>2087</v>
      </c>
      <c r="I712" t="s">
        <v>29</v>
      </c>
      <c r="J712">
        <f>LEN(H712)</f>
        <v>28</v>
      </c>
      <c r="K712" s="49" t="s">
        <v>6543</v>
      </c>
      <c r="O712" s="3" t="s">
        <v>7010</v>
      </c>
      <c r="P712" s="3" t="s">
        <v>7010</v>
      </c>
      <c r="Q712" s="3" t="s">
        <v>7010</v>
      </c>
      <c r="R712" s="3" t="s">
        <v>7010</v>
      </c>
      <c r="S712" s="3" t="s">
        <v>7010</v>
      </c>
      <c r="T712" s="3" t="s">
        <v>7015</v>
      </c>
      <c r="U712" s="3" t="s">
        <v>7010</v>
      </c>
      <c r="V712" s="3" t="s">
        <v>7010</v>
      </c>
      <c r="W712" s="74" t="str">
        <f t="shared" si="45"/>
        <v>Yes</v>
      </c>
      <c r="Z712">
        <v>711</v>
      </c>
      <c r="AA712" s="55">
        <v>123789</v>
      </c>
      <c r="AC712">
        <f t="shared" si="44"/>
        <v>6</v>
      </c>
      <c r="AD712" s="30" t="s">
        <v>5516</v>
      </c>
      <c r="AH712" s="3" t="s">
        <v>7015</v>
      </c>
      <c r="AI712" s="3" t="s">
        <v>7010</v>
      </c>
      <c r="AJ712" s="3" t="s">
        <v>7010</v>
      </c>
      <c r="AK712" s="3" t="s">
        <v>7015</v>
      </c>
      <c r="AL712" s="3" t="s">
        <v>7010</v>
      </c>
      <c r="AM712" s="3" t="s">
        <v>7010</v>
      </c>
      <c r="AN712" s="3" t="s">
        <v>7010</v>
      </c>
      <c r="AO712" s="3" t="s">
        <v>7010</v>
      </c>
      <c r="AP712" s="74" t="s">
        <v>7015</v>
      </c>
      <c r="AU712">
        <v>711</v>
      </c>
      <c r="AV712" t="s">
        <v>5517</v>
      </c>
      <c r="AW712" t="s">
        <v>2279</v>
      </c>
      <c r="AX712">
        <f t="shared" si="46"/>
        <v>11</v>
      </c>
      <c r="AY712" s="30" t="s">
        <v>5518</v>
      </c>
      <c r="BC712" s="3" t="s">
        <v>7010</v>
      </c>
      <c r="BD712" s="3" t="s">
        <v>7010</v>
      </c>
      <c r="BE712" s="3" t="s">
        <v>7010</v>
      </c>
      <c r="BF712" s="3" t="s">
        <v>7010</v>
      </c>
      <c r="BG712" s="3" t="s">
        <v>7010</v>
      </c>
      <c r="BH712" s="3" t="s">
        <v>7010</v>
      </c>
      <c r="BI712" s="3" t="s">
        <v>7010</v>
      </c>
      <c r="BJ712" s="3" t="s">
        <v>7010</v>
      </c>
      <c r="BK712" s="74" t="str">
        <f t="shared" si="47"/>
        <v>No</v>
      </c>
    </row>
    <row r="713" spans="7:63">
      <c r="G713">
        <v>712</v>
      </c>
      <c r="H713" s="7" t="s">
        <v>2159</v>
      </c>
      <c r="I713" t="s">
        <v>29</v>
      </c>
      <c r="J713">
        <f>LEN(H713)</f>
        <v>11</v>
      </c>
      <c r="K713" s="49" t="s">
        <v>6722</v>
      </c>
      <c r="O713" s="3" t="s">
        <v>7010</v>
      </c>
      <c r="P713" s="3" t="s">
        <v>7010</v>
      </c>
      <c r="Q713" s="3" t="s">
        <v>7010</v>
      </c>
      <c r="R713" s="3" t="s">
        <v>7010</v>
      </c>
      <c r="S713" s="3" t="s">
        <v>7010</v>
      </c>
      <c r="T713" s="3" t="s">
        <v>7015</v>
      </c>
      <c r="U713" s="3" t="s">
        <v>7010</v>
      </c>
      <c r="V713" s="3" t="s">
        <v>7010</v>
      </c>
      <c r="W713" s="74" t="str">
        <f t="shared" si="45"/>
        <v>Yes</v>
      </c>
      <c r="Z713">
        <v>712</v>
      </c>
      <c r="AA713" s="55" t="s">
        <v>5520</v>
      </c>
      <c r="AC713">
        <f t="shared" si="44"/>
        <v>6</v>
      </c>
      <c r="AD713" s="30" t="s">
        <v>5521</v>
      </c>
      <c r="AH713" s="3" t="s">
        <v>7015</v>
      </c>
      <c r="AI713" s="3" t="s">
        <v>7010</v>
      </c>
      <c r="AJ713" s="3" t="s">
        <v>7010</v>
      </c>
      <c r="AK713" s="3" t="s">
        <v>7015</v>
      </c>
      <c r="AL713" s="3" t="s">
        <v>7010</v>
      </c>
      <c r="AM713" s="3" t="s">
        <v>7010</v>
      </c>
      <c r="AN713" s="3" t="s">
        <v>7010</v>
      </c>
      <c r="AO713" s="3" t="s">
        <v>7010</v>
      </c>
      <c r="AP713" s="74" t="s">
        <v>7015</v>
      </c>
      <c r="AU713">
        <v>712</v>
      </c>
      <c r="AV713" t="s">
        <v>5522</v>
      </c>
      <c r="AW713" t="s">
        <v>2279</v>
      </c>
      <c r="AX713">
        <f t="shared" si="46"/>
        <v>8</v>
      </c>
      <c r="AY713" s="30" t="s">
        <v>5523</v>
      </c>
      <c r="BC713" s="3" t="s">
        <v>7010</v>
      </c>
      <c r="BD713" s="3" t="s">
        <v>7010</v>
      </c>
      <c r="BE713" s="3" t="s">
        <v>7010</v>
      </c>
      <c r="BF713" s="3" t="s">
        <v>7010</v>
      </c>
      <c r="BG713" s="3" t="s">
        <v>7010</v>
      </c>
      <c r="BH713" s="3" t="s">
        <v>7010</v>
      </c>
      <c r="BI713" s="3" t="s">
        <v>7010</v>
      </c>
      <c r="BJ713" s="3" t="s">
        <v>7010</v>
      </c>
      <c r="BK713" s="74" t="str">
        <f t="shared" si="47"/>
        <v>No</v>
      </c>
    </row>
    <row r="714" spans="7:63">
      <c r="G714">
        <v>713</v>
      </c>
      <c r="H714" s="7" t="s">
        <v>504</v>
      </c>
      <c r="I714" t="s">
        <v>29</v>
      </c>
      <c r="J714">
        <f>LEN(H714)</f>
        <v>10</v>
      </c>
      <c r="K714" s="49" t="s">
        <v>2933</v>
      </c>
      <c r="O714" s="3" t="s">
        <v>7010</v>
      </c>
      <c r="P714" s="3" t="s">
        <v>7010</v>
      </c>
      <c r="Q714" s="3" t="s">
        <v>7010</v>
      </c>
      <c r="R714" s="3" t="s">
        <v>7010</v>
      </c>
      <c r="S714" s="3" t="s">
        <v>7010</v>
      </c>
      <c r="T714" s="3" t="s">
        <v>7015</v>
      </c>
      <c r="U714" s="3" t="s">
        <v>7010</v>
      </c>
      <c r="V714" s="3" t="s">
        <v>7010</v>
      </c>
      <c r="W714" s="74" t="str">
        <f t="shared" si="45"/>
        <v>Yes</v>
      </c>
      <c r="Z714">
        <v>713</v>
      </c>
      <c r="AA714" s="55" t="s">
        <v>5525</v>
      </c>
      <c r="AC714">
        <f t="shared" si="44"/>
        <v>8</v>
      </c>
      <c r="AD714" s="30" t="s">
        <v>5526</v>
      </c>
      <c r="AH714" s="3" t="s">
        <v>7015</v>
      </c>
      <c r="AI714" s="3" t="s">
        <v>7010</v>
      </c>
      <c r="AJ714" s="3" t="s">
        <v>7010</v>
      </c>
      <c r="AK714" s="3" t="s">
        <v>7015</v>
      </c>
      <c r="AL714" s="3" t="s">
        <v>7010</v>
      </c>
      <c r="AM714" s="3" t="s">
        <v>7010</v>
      </c>
      <c r="AN714" s="3" t="s">
        <v>7010</v>
      </c>
      <c r="AO714" s="3" t="s">
        <v>7010</v>
      </c>
      <c r="AP714" s="74" t="s">
        <v>7015</v>
      </c>
      <c r="AU714">
        <v>713</v>
      </c>
      <c r="AV714" t="s">
        <v>5527</v>
      </c>
      <c r="AW714" t="s">
        <v>2279</v>
      </c>
      <c r="AX714">
        <f t="shared" si="46"/>
        <v>9</v>
      </c>
      <c r="AY714" s="30" t="s">
        <v>5528</v>
      </c>
      <c r="BC714" s="3" t="s">
        <v>7010</v>
      </c>
      <c r="BD714" s="3" t="s">
        <v>7010</v>
      </c>
      <c r="BE714" s="3" t="s">
        <v>7010</v>
      </c>
      <c r="BF714" s="3" t="s">
        <v>7010</v>
      </c>
      <c r="BG714" s="3" t="s">
        <v>7010</v>
      </c>
      <c r="BH714" s="3" t="s">
        <v>7010</v>
      </c>
      <c r="BI714" s="3" t="s">
        <v>7010</v>
      </c>
      <c r="BJ714" s="3" t="s">
        <v>7010</v>
      </c>
      <c r="BK714" s="74" t="str">
        <f t="shared" si="47"/>
        <v>No</v>
      </c>
    </row>
    <row r="715" spans="7:63">
      <c r="G715">
        <v>714</v>
      </c>
      <c r="H715" t="s">
        <v>6972</v>
      </c>
      <c r="I715" t="s">
        <v>29</v>
      </c>
      <c r="J715">
        <f>LEN(H715)</f>
        <v>7</v>
      </c>
      <c r="K715" s="49" t="s">
        <v>6973</v>
      </c>
      <c r="O715" s="3" t="s">
        <v>7010</v>
      </c>
      <c r="P715" s="3" t="s">
        <v>7010</v>
      </c>
      <c r="Q715" s="3" t="s">
        <v>7010</v>
      </c>
      <c r="R715" s="3" t="s">
        <v>7015</v>
      </c>
      <c r="S715" s="3" t="s">
        <v>7010</v>
      </c>
      <c r="T715" s="3" t="s">
        <v>7015</v>
      </c>
      <c r="U715" s="3" t="s">
        <v>7010</v>
      </c>
      <c r="V715" s="3" t="s">
        <v>7010</v>
      </c>
      <c r="W715" s="74" t="str">
        <f t="shared" si="45"/>
        <v>Yes</v>
      </c>
      <c r="Z715">
        <v>714</v>
      </c>
      <c r="AA715" s="55" t="s">
        <v>5530</v>
      </c>
      <c r="AC715">
        <f t="shared" si="44"/>
        <v>10</v>
      </c>
      <c r="AD715" s="30" t="s">
        <v>5531</v>
      </c>
      <c r="AH715" s="3" t="s">
        <v>7015</v>
      </c>
      <c r="AI715" s="3" t="s">
        <v>7010</v>
      </c>
      <c r="AJ715" s="3" t="s">
        <v>7010</v>
      </c>
      <c r="AK715" s="3" t="s">
        <v>7015</v>
      </c>
      <c r="AL715" s="3" t="s">
        <v>7010</v>
      </c>
      <c r="AM715" s="3" t="s">
        <v>7010</v>
      </c>
      <c r="AN715" s="3" t="s">
        <v>7010</v>
      </c>
      <c r="AO715" s="3" t="s">
        <v>7010</v>
      </c>
      <c r="AP715" s="74" t="s">
        <v>7015</v>
      </c>
      <c r="AU715">
        <v>714</v>
      </c>
      <c r="AV715" t="s">
        <v>5532</v>
      </c>
      <c r="AW715" t="s">
        <v>2279</v>
      </c>
      <c r="AX715">
        <f t="shared" si="46"/>
        <v>10</v>
      </c>
      <c r="AY715" s="30" t="s">
        <v>5533</v>
      </c>
      <c r="BC715" s="3" t="s">
        <v>7010</v>
      </c>
      <c r="BD715" s="3" t="s">
        <v>7010</v>
      </c>
      <c r="BE715" s="3" t="s">
        <v>7010</v>
      </c>
      <c r="BF715" s="3" t="s">
        <v>7010</v>
      </c>
      <c r="BG715" s="3" t="s">
        <v>7010</v>
      </c>
      <c r="BH715" s="3" t="s">
        <v>7010</v>
      </c>
      <c r="BI715" s="3" t="s">
        <v>7010</v>
      </c>
      <c r="BJ715" s="3" t="s">
        <v>7010</v>
      </c>
      <c r="BK715" s="74" t="str">
        <f t="shared" si="47"/>
        <v>No</v>
      </c>
    </row>
    <row r="716" spans="7:63">
      <c r="G716">
        <v>715</v>
      </c>
      <c r="H716" s="7" t="s">
        <v>464</v>
      </c>
      <c r="I716" t="s">
        <v>29</v>
      </c>
      <c r="J716">
        <f>LEN(H716)</f>
        <v>10</v>
      </c>
      <c r="K716" s="49" t="s">
        <v>2773</v>
      </c>
      <c r="O716" s="3" t="s">
        <v>7010</v>
      </c>
      <c r="P716" s="3" t="s">
        <v>7010</v>
      </c>
      <c r="Q716" s="3" t="s">
        <v>7010</v>
      </c>
      <c r="R716" s="3" t="s">
        <v>7015</v>
      </c>
      <c r="S716" s="3" t="s">
        <v>7010</v>
      </c>
      <c r="T716" s="3" t="s">
        <v>7015</v>
      </c>
      <c r="U716" s="3" t="s">
        <v>7010</v>
      </c>
      <c r="V716" s="3" t="s">
        <v>7010</v>
      </c>
      <c r="W716" s="74" t="str">
        <f t="shared" si="45"/>
        <v>Yes</v>
      </c>
      <c r="Z716">
        <v>715</v>
      </c>
      <c r="AA716" s="55" t="s">
        <v>5535</v>
      </c>
      <c r="AC716">
        <f t="shared" si="44"/>
        <v>6</v>
      </c>
      <c r="AD716" s="30" t="s">
        <v>5536</v>
      </c>
      <c r="AH716" s="3" t="s">
        <v>7015</v>
      </c>
      <c r="AI716" s="3" t="s">
        <v>7010</v>
      </c>
      <c r="AJ716" s="3" t="s">
        <v>7010</v>
      </c>
      <c r="AK716" s="3" t="s">
        <v>7015</v>
      </c>
      <c r="AL716" s="3" t="s">
        <v>7010</v>
      </c>
      <c r="AM716" s="3" t="s">
        <v>7010</v>
      </c>
      <c r="AN716" s="3" t="s">
        <v>7010</v>
      </c>
      <c r="AO716" s="3" t="s">
        <v>7010</v>
      </c>
      <c r="AP716" s="74" t="s">
        <v>7015</v>
      </c>
      <c r="AU716">
        <v>715</v>
      </c>
      <c r="AV716" t="s">
        <v>5537</v>
      </c>
      <c r="AW716" t="s">
        <v>2279</v>
      </c>
      <c r="AX716">
        <f t="shared" si="46"/>
        <v>15</v>
      </c>
      <c r="AY716" s="30" t="s">
        <v>5538</v>
      </c>
      <c r="BC716" s="3" t="s">
        <v>7010</v>
      </c>
      <c r="BD716" s="3" t="s">
        <v>7010</v>
      </c>
      <c r="BE716" s="3" t="s">
        <v>7010</v>
      </c>
      <c r="BF716" s="3" t="s">
        <v>7010</v>
      </c>
      <c r="BG716" s="3" t="s">
        <v>7010</v>
      </c>
      <c r="BH716" s="3" t="s">
        <v>7010</v>
      </c>
      <c r="BI716" s="3" t="s">
        <v>7010</v>
      </c>
      <c r="BJ716" s="3" t="s">
        <v>7010</v>
      </c>
      <c r="BK716" s="74" t="str">
        <f t="shared" si="47"/>
        <v>No</v>
      </c>
    </row>
    <row r="717" spans="7:63">
      <c r="G717">
        <v>716</v>
      </c>
      <c r="H717" s="7" t="s">
        <v>635</v>
      </c>
      <c r="I717" t="s">
        <v>29</v>
      </c>
      <c r="J717">
        <f>LEN(H717)</f>
        <v>14</v>
      </c>
      <c r="K717" s="49" t="s">
        <v>3457</v>
      </c>
      <c r="O717" s="3" t="s">
        <v>7010</v>
      </c>
      <c r="P717" s="3" t="s">
        <v>7010</v>
      </c>
      <c r="Q717" s="3" t="s">
        <v>7010</v>
      </c>
      <c r="R717" s="3" t="s">
        <v>7010</v>
      </c>
      <c r="S717" s="3" t="s">
        <v>7010</v>
      </c>
      <c r="T717" s="3" t="s">
        <v>7010</v>
      </c>
      <c r="U717" s="3" t="s">
        <v>7010</v>
      </c>
      <c r="V717" s="3" t="s">
        <v>7010</v>
      </c>
      <c r="W717" s="74" t="str">
        <f t="shared" si="45"/>
        <v>No</v>
      </c>
      <c r="Z717">
        <v>716</v>
      </c>
      <c r="AA717" s="55" t="s">
        <v>5540</v>
      </c>
      <c r="AC717">
        <f t="shared" si="44"/>
        <v>7</v>
      </c>
      <c r="AD717" s="30" t="s">
        <v>5541</v>
      </c>
      <c r="AH717" s="3" t="s">
        <v>7015</v>
      </c>
      <c r="AI717" s="3" t="s">
        <v>7010</v>
      </c>
      <c r="AJ717" s="3" t="s">
        <v>7010</v>
      </c>
      <c r="AK717" s="3" t="s">
        <v>7015</v>
      </c>
      <c r="AL717" s="3" t="s">
        <v>7010</v>
      </c>
      <c r="AM717" s="3" t="s">
        <v>7010</v>
      </c>
      <c r="AN717" s="3" t="s">
        <v>7010</v>
      </c>
      <c r="AO717" s="3" t="s">
        <v>7010</v>
      </c>
      <c r="AP717" s="74" t="s">
        <v>7015</v>
      </c>
      <c r="AU717">
        <v>716</v>
      </c>
      <c r="AV717" t="s">
        <v>5542</v>
      </c>
      <c r="AW717" t="s">
        <v>2279</v>
      </c>
      <c r="AX717">
        <f t="shared" si="46"/>
        <v>14</v>
      </c>
      <c r="AY717" s="30" t="s">
        <v>5543</v>
      </c>
      <c r="BC717" s="3" t="s">
        <v>7010</v>
      </c>
      <c r="BD717" s="3" t="s">
        <v>7010</v>
      </c>
      <c r="BE717" s="3" t="s">
        <v>7010</v>
      </c>
      <c r="BF717" s="3" t="s">
        <v>7010</v>
      </c>
      <c r="BG717" s="3" t="s">
        <v>7010</v>
      </c>
      <c r="BH717" s="3" t="s">
        <v>7010</v>
      </c>
      <c r="BI717" s="3" t="s">
        <v>7010</v>
      </c>
      <c r="BJ717" s="3" t="s">
        <v>7010</v>
      </c>
      <c r="BK717" s="74" t="str">
        <f t="shared" si="47"/>
        <v>No</v>
      </c>
    </row>
    <row r="718" spans="7:63">
      <c r="G718">
        <v>717</v>
      </c>
      <c r="H718" s="7" t="s">
        <v>182</v>
      </c>
      <c r="I718" t="s">
        <v>29</v>
      </c>
      <c r="J718">
        <f>LEN(H718)</f>
        <v>13</v>
      </c>
      <c r="K718" s="49" t="s">
        <v>2313</v>
      </c>
      <c r="O718" s="3" t="s">
        <v>7010</v>
      </c>
      <c r="P718" s="3" t="s">
        <v>7010</v>
      </c>
      <c r="Q718" s="3" t="s">
        <v>7010</v>
      </c>
      <c r="R718" s="3" t="s">
        <v>7010</v>
      </c>
      <c r="S718" s="3" t="s">
        <v>7010</v>
      </c>
      <c r="T718" s="3" t="s">
        <v>7010</v>
      </c>
      <c r="U718" s="3" t="s">
        <v>7010</v>
      </c>
      <c r="V718" s="3" t="s">
        <v>7010</v>
      </c>
      <c r="W718" s="74" t="str">
        <f t="shared" si="45"/>
        <v>No</v>
      </c>
      <c r="Z718">
        <v>717</v>
      </c>
      <c r="AA718" s="55" t="s">
        <v>5545</v>
      </c>
      <c r="AC718">
        <f t="shared" si="44"/>
        <v>5</v>
      </c>
      <c r="AD718" s="30" t="s">
        <v>5546</v>
      </c>
      <c r="AH718" s="3" t="s">
        <v>7015</v>
      </c>
      <c r="AI718" s="3" t="s">
        <v>7010</v>
      </c>
      <c r="AJ718" s="3" t="s">
        <v>7010</v>
      </c>
      <c r="AK718" s="3" t="s">
        <v>7015</v>
      </c>
      <c r="AL718" s="3" t="s">
        <v>7010</v>
      </c>
      <c r="AM718" s="3" t="s">
        <v>7010</v>
      </c>
      <c r="AN718" s="3" t="s">
        <v>7010</v>
      </c>
      <c r="AO718" s="3" t="s">
        <v>7010</v>
      </c>
      <c r="AP718" s="74" t="s">
        <v>7015</v>
      </c>
      <c r="AU718">
        <v>717</v>
      </c>
      <c r="AV718" t="s">
        <v>5547</v>
      </c>
      <c r="AW718" t="s">
        <v>2279</v>
      </c>
      <c r="AX718">
        <f t="shared" si="46"/>
        <v>10</v>
      </c>
      <c r="AY718" s="31" t="s">
        <v>5548</v>
      </c>
      <c r="BC718" s="3" t="s">
        <v>7010</v>
      </c>
      <c r="BD718" s="3" t="s">
        <v>7010</v>
      </c>
      <c r="BE718" s="3" t="s">
        <v>7010</v>
      </c>
      <c r="BF718" s="3" t="s">
        <v>7010</v>
      </c>
      <c r="BG718" s="3" t="s">
        <v>7010</v>
      </c>
      <c r="BH718" s="3" t="s">
        <v>7010</v>
      </c>
      <c r="BI718" s="3" t="s">
        <v>7010</v>
      </c>
      <c r="BJ718" s="3" t="s">
        <v>7010</v>
      </c>
      <c r="BK718" s="74" t="str">
        <f t="shared" si="47"/>
        <v>No</v>
      </c>
    </row>
    <row r="719" spans="7:63">
      <c r="G719">
        <v>718</v>
      </c>
      <c r="H719" s="9" t="s">
        <v>166</v>
      </c>
      <c r="I719" t="s">
        <v>29</v>
      </c>
      <c r="J719">
        <f>LEN(H719)</f>
        <v>9</v>
      </c>
      <c r="K719" s="49" t="s">
        <v>2309</v>
      </c>
      <c r="O719" s="3" t="s">
        <v>7015</v>
      </c>
      <c r="P719" s="3" t="s">
        <v>7010</v>
      </c>
      <c r="Q719" s="3" t="s">
        <v>7015</v>
      </c>
      <c r="R719" s="3" t="s">
        <v>7010</v>
      </c>
      <c r="S719" s="3" t="s">
        <v>7010</v>
      </c>
      <c r="T719" s="3" t="s">
        <v>7015</v>
      </c>
      <c r="U719" s="3" t="s">
        <v>7010</v>
      </c>
      <c r="V719" s="3" t="s">
        <v>7010</v>
      </c>
      <c r="W719" s="74" t="str">
        <f t="shared" si="45"/>
        <v>Yes</v>
      </c>
      <c r="Z719">
        <v>718</v>
      </c>
      <c r="AA719" s="55" t="s">
        <v>5550</v>
      </c>
      <c r="AC719">
        <f t="shared" si="44"/>
        <v>7</v>
      </c>
      <c r="AD719" s="30" t="s">
        <v>5551</v>
      </c>
      <c r="AH719" s="3" t="s">
        <v>7015</v>
      </c>
      <c r="AI719" s="3" t="s">
        <v>7010</v>
      </c>
      <c r="AJ719" s="3" t="s">
        <v>7010</v>
      </c>
      <c r="AK719" s="3" t="s">
        <v>7015</v>
      </c>
      <c r="AL719" s="3" t="s">
        <v>7010</v>
      </c>
      <c r="AM719" s="3" t="s">
        <v>7010</v>
      </c>
      <c r="AN719" s="3" t="s">
        <v>7010</v>
      </c>
      <c r="AO719" s="3" t="s">
        <v>7010</v>
      </c>
      <c r="AP719" s="74" t="s">
        <v>7015</v>
      </c>
      <c r="AU719">
        <v>718</v>
      </c>
      <c r="AV719" t="s">
        <v>5552</v>
      </c>
      <c r="AW719" t="s">
        <v>2279</v>
      </c>
      <c r="AX719">
        <f t="shared" si="46"/>
        <v>10</v>
      </c>
      <c r="AY719" s="30" t="s">
        <v>5553</v>
      </c>
      <c r="BC719" s="3" t="s">
        <v>7010</v>
      </c>
      <c r="BD719" s="3" t="s">
        <v>7010</v>
      </c>
      <c r="BE719" s="3" t="s">
        <v>7015</v>
      </c>
      <c r="BF719" s="3" t="s">
        <v>7010</v>
      </c>
      <c r="BG719" s="3" t="s">
        <v>7010</v>
      </c>
      <c r="BH719" s="3" t="s">
        <v>7010</v>
      </c>
      <c r="BI719" s="3" t="s">
        <v>7010</v>
      </c>
      <c r="BJ719" s="3" t="s">
        <v>7010</v>
      </c>
      <c r="BK719" s="74" t="str">
        <f t="shared" si="47"/>
        <v>Yes</v>
      </c>
    </row>
    <row r="720" spans="7:63">
      <c r="G720">
        <v>719</v>
      </c>
      <c r="H720" s="7" t="s">
        <v>634</v>
      </c>
      <c r="I720" t="s">
        <v>29</v>
      </c>
      <c r="J720">
        <f>LEN(H720)</f>
        <v>15</v>
      </c>
      <c r="K720" s="49" t="s">
        <v>3453</v>
      </c>
      <c r="O720" s="3" t="s">
        <v>7010</v>
      </c>
      <c r="P720" s="3" t="s">
        <v>7010</v>
      </c>
      <c r="Q720" s="3" t="s">
        <v>7010</v>
      </c>
      <c r="R720" s="3" t="s">
        <v>7010</v>
      </c>
      <c r="S720" s="3" t="s">
        <v>7010</v>
      </c>
      <c r="T720" s="3" t="s">
        <v>7015</v>
      </c>
      <c r="U720" s="3" t="s">
        <v>7010</v>
      </c>
      <c r="V720" s="3" t="s">
        <v>7010</v>
      </c>
      <c r="W720" s="74" t="str">
        <f t="shared" si="45"/>
        <v>Yes</v>
      </c>
      <c r="Z720">
        <v>719</v>
      </c>
      <c r="AA720" s="55" t="s">
        <v>5555</v>
      </c>
      <c r="AC720">
        <f t="shared" si="44"/>
        <v>9</v>
      </c>
      <c r="AD720" s="30" t="s">
        <v>5556</v>
      </c>
      <c r="AH720" s="3" t="s">
        <v>7015</v>
      </c>
      <c r="AI720" s="3" t="s">
        <v>7010</v>
      </c>
      <c r="AJ720" s="3" t="s">
        <v>7010</v>
      </c>
      <c r="AK720" s="3" t="s">
        <v>7015</v>
      </c>
      <c r="AL720" s="3" t="s">
        <v>7010</v>
      </c>
      <c r="AM720" s="3" t="s">
        <v>7010</v>
      </c>
      <c r="AN720" s="3" t="s">
        <v>7010</v>
      </c>
      <c r="AO720" s="3" t="s">
        <v>7010</v>
      </c>
      <c r="AP720" s="74" t="s">
        <v>7015</v>
      </c>
      <c r="AU720">
        <v>719</v>
      </c>
      <c r="AV720" t="s">
        <v>5557</v>
      </c>
      <c r="AW720" t="s">
        <v>2279</v>
      </c>
      <c r="AX720">
        <f t="shared" si="46"/>
        <v>12</v>
      </c>
      <c r="AY720" s="30" t="s">
        <v>5558</v>
      </c>
      <c r="BC720" s="3" t="s">
        <v>7010</v>
      </c>
      <c r="BD720" s="3" t="s">
        <v>7010</v>
      </c>
      <c r="BE720" s="3" t="s">
        <v>7010</v>
      </c>
      <c r="BF720" s="3" t="s">
        <v>7010</v>
      </c>
      <c r="BG720" s="3" t="s">
        <v>7010</v>
      </c>
      <c r="BH720" s="3" t="s">
        <v>7010</v>
      </c>
      <c r="BI720" s="3" t="s">
        <v>7010</v>
      </c>
      <c r="BJ720" s="3" t="s">
        <v>7010</v>
      </c>
      <c r="BK720" s="74" t="str">
        <f t="shared" si="47"/>
        <v>No</v>
      </c>
    </row>
    <row r="721" spans="7:63">
      <c r="G721">
        <v>720</v>
      </c>
      <c r="H721" t="s">
        <v>6956</v>
      </c>
      <c r="I721" t="s">
        <v>29</v>
      </c>
      <c r="J721">
        <f>LEN(H721)</f>
        <v>13</v>
      </c>
      <c r="K721" s="49" t="s">
        <v>6957</v>
      </c>
      <c r="O721" s="3" t="s">
        <v>7010</v>
      </c>
      <c r="P721" s="3" t="s">
        <v>7010</v>
      </c>
      <c r="Q721" s="3" t="s">
        <v>7010</v>
      </c>
      <c r="R721" s="3" t="s">
        <v>7015</v>
      </c>
      <c r="S721" s="3" t="s">
        <v>7010</v>
      </c>
      <c r="T721" s="3" t="s">
        <v>7015</v>
      </c>
      <c r="U721" s="3" t="s">
        <v>7010</v>
      </c>
      <c r="V721" s="3" t="s">
        <v>7010</v>
      </c>
      <c r="W721" s="74" t="str">
        <f t="shared" si="45"/>
        <v>Yes</v>
      </c>
      <c r="Z721">
        <v>720</v>
      </c>
      <c r="AA721" s="55" t="s">
        <v>5560</v>
      </c>
      <c r="AC721">
        <f t="shared" si="44"/>
        <v>7</v>
      </c>
      <c r="AD721" s="30" t="s">
        <v>5561</v>
      </c>
      <c r="AH721" s="3" t="s">
        <v>7015</v>
      </c>
      <c r="AI721" s="3" t="s">
        <v>7010</v>
      </c>
      <c r="AJ721" s="3" t="s">
        <v>7010</v>
      </c>
      <c r="AK721" s="3" t="s">
        <v>7015</v>
      </c>
      <c r="AL721" s="3" t="s">
        <v>7010</v>
      </c>
      <c r="AM721" s="3" t="s">
        <v>7010</v>
      </c>
      <c r="AN721" s="3" t="s">
        <v>7010</v>
      </c>
      <c r="AO721" s="3" t="s">
        <v>7010</v>
      </c>
      <c r="AP721" s="74" t="s">
        <v>7015</v>
      </c>
      <c r="AU721">
        <v>720</v>
      </c>
      <c r="AV721" t="s">
        <v>5562</v>
      </c>
      <c r="AW721" t="s">
        <v>2279</v>
      </c>
      <c r="AX721">
        <f t="shared" si="46"/>
        <v>8</v>
      </c>
      <c r="AY721" s="30" t="s">
        <v>5563</v>
      </c>
      <c r="BC721" s="3" t="s">
        <v>7010</v>
      </c>
      <c r="BD721" s="3" t="s">
        <v>7010</v>
      </c>
      <c r="BE721" s="3" t="s">
        <v>7010</v>
      </c>
      <c r="BF721" s="3" t="s">
        <v>7010</v>
      </c>
      <c r="BG721" s="3" t="s">
        <v>7010</v>
      </c>
      <c r="BH721" s="3" t="s">
        <v>7010</v>
      </c>
      <c r="BI721" s="3" t="s">
        <v>7010</v>
      </c>
      <c r="BJ721" s="3" t="s">
        <v>7010</v>
      </c>
      <c r="BK721" s="74" t="str">
        <f t="shared" si="47"/>
        <v>No</v>
      </c>
    </row>
    <row r="722" spans="7:63">
      <c r="G722">
        <v>721</v>
      </c>
      <c r="H722" s="7" t="s">
        <v>371</v>
      </c>
      <c r="I722" t="s">
        <v>29</v>
      </c>
      <c r="J722">
        <f>LEN(H722)</f>
        <v>13</v>
      </c>
      <c r="K722" s="49" t="s">
        <v>2401</v>
      </c>
      <c r="O722" s="3" t="s">
        <v>7010</v>
      </c>
      <c r="P722" s="3" t="s">
        <v>7010</v>
      </c>
      <c r="Q722" s="3" t="s">
        <v>7010</v>
      </c>
      <c r="R722" s="3" t="s">
        <v>7010</v>
      </c>
      <c r="S722" s="3" t="s">
        <v>7010</v>
      </c>
      <c r="T722" s="3" t="s">
        <v>7010</v>
      </c>
      <c r="U722" s="3" t="s">
        <v>7010</v>
      </c>
      <c r="V722" s="3" t="s">
        <v>7010</v>
      </c>
      <c r="W722" s="74" t="str">
        <f t="shared" si="45"/>
        <v>No</v>
      </c>
      <c r="Z722">
        <v>721</v>
      </c>
      <c r="AA722" s="55" t="s">
        <v>5565</v>
      </c>
      <c r="AC722">
        <f t="shared" si="44"/>
        <v>7</v>
      </c>
      <c r="AD722" s="30" t="s">
        <v>5566</v>
      </c>
      <c r="AH722" s="3" t="s">
        <v>7015</v>
      </c>
      <c r="AI722" s="3" t="s">
        <v>7010</v>
      </c>
      <c r="AJ722" s="3" t="s">
        <v>7010</v>
      </c>
      <c r="AK722" s="3" t="s">
        <v>7015</v>
      </c>
      <c r="AL722" s="3" t="s">
        <v>7010</v>
      </c>
      <c r="AM722" s="3" t="s">
        <v>7010</v>
      </c>
      <c r="AN722" s="3" t="s">
        <v>7010</v>
      </c>
      <c r="AO722" s="3" t="s">
        <v>7010</v>
      </c>
      <c r="AP722" s="74" t="s">
        <v>7015</v>
      </c>
      <c r="AU722">
        <v>721</v>
      </c>
      <c r="AV722" t="s">
        <v>5567</v>
      </c>
      <c r="AW722" t="s">
        <v>2279</v>
      </c>
      <c r="AX722">
        <f t="shared" si="46"/>
        <v>8</v>
      </c>
      <c r="AY722" s="30" t="s">
        <v>5568</v>
      </c>
      <c r="BC722" s="3" t="s">
        <v>7010</v>
      </c>
      <c r="BD722" s="3" t="s">
        <v>7010</v>
      </c>
      <c r="BE722" s="3" t="s">
        <v>7015</v>
      </c>
      <c r="BF722" s="3" t="s">
        <v>7010</v>
      </c>
      <c r="BG722" s="3" t="s">
        <v>7010</v>
      </c>
      <c r="BH722" s="3" t="s">
        <v>7010</v>
      </c>
      <c r="BI722" s="3" t="s">
        <v>7010</v>
      </c>
      <c r="BJ722" s="3" t="s">
        <v>7010</v>
      </c>
      <c r="BK722" s="74" t="str">
        <f t="shared" si="47"/>
        <v>Yes</v>
      </c>
    </row>
    <row r="723" spans="7:63">
      <c r="G723">
        <v>722</v>
      </c>
      <c r="H723" s="7" t="s">
        <v>1124</v>
      </c>
      <c r="I723" t="s">
        <v>29</v>
      </c>
      <c r="J723">
        <f>LEN(H723)</f>
        <v>14</v>
      </c>
      <c r="K723" s="49" t="s">
        <v>4022</v>
      </c>
      <c r="O723" s="3" t="s">
        <v>7010</v>
      </c>
      <c r="P723" s="3" t="s">
        <v>7010</v>
      </c>
      <c r="Q723" s="3" t="s">
        <v>7010</v>
      </c>
      <c r="R723" s="3" t="s">
        <v>7010</v>
      </c>
      <c r="S723" s="3" t="s">
        <v>7010</v>
      </c>
      <c r="T723" s="3" t="s">
        <v>7010</v>
      </c>
      <c r="U723" s="3" t="s">
        <v>7010</v>
      </c>
      <c r="V723" s="3" t="s">
        <v>7010</v>
      </c>
      <c r="W723" s="74" t="str">
        <f t="shared" si="45"/>
        <v>No</v>
      </c>
      <c r="Z723">
        <v>722</v>
      </c>
      <c r="AA723" s="55" t="s">
        <v>5570</v>
      </c>
      <c r="AC723">
        <f t="shared" si="44"/>
        <v>8</v>
      </c>
      <c r="AD723" s="30" t="s">
        <v>5571</v>
      </c>
      <c r="AH723" s="3" t="s">
        <v>7015</v>
      </c>
      <c r="AI723" s="3" t="s">
        <v>7010</v>
      </c>
      <c r="AJ723" s="3" t="s">
        <v>7010</v>
      </c>
      <c r="AK723" s="3" t="s">
        <v>7015</v>
      </c>
      <c r="AL723" s="3" t="s">
        <v>7010</v>
      </c>
      <c r="AM723" s="3" t="s">
        <v>7010</v>
      </c>
      <c r="AN723" s="3" t="s">
        <v>7010</v>
      </c>
      <c r="AO723" s="3" t="s">
        <v>7010</v>
      </c>
      <c r="AP723" s="74" t="s">
        <v>7015</v>
      </c>
      <c r="AU723">
        <v>722</v>
      </c>
      <c r="AV723" t="s">
        <v>5572</v>
      </c>
      <c r="AW723" t="s">
        <v>2279</v>
      </c>
      <c r="AX723">
        <f t="shared" si="46"/>
        <v>9</v>
      </c>
      <c r="AY723" s="30" t="s">
        <v>5573</v>
      </c>
      <c r="BC723" s="3" t="s">
        <v>7010</v>
      </c>
      <c r="BD723" s="3" t="s">
        <v>7010</v>
      </c>
      <c r="BE723" s="3" t="s">
        <v>7015</v>
      </c>
      <c r="BF723" s="3" t="s">
        <v>7010</v>
      </c>
      <c r="BG723" s="3" t="s">
        <v>7010</v>
      </c>
      <c r="BH723" s="3" t="s">
        <v>7010</v>
      </c>
      <c r="BI723" s="3" t="s">
        <v>7010</v>
      </c>
      <c r="BJ723" s="3" t="s">
        <v>7010</v>
      </c>
      <c r="BK723" s="74" t="str">
        <f t="shared" si="47"/>
        <v>Yes</v>
      </c>
    </row>
    <row r="724" spans="7:63">
      <c r="G724">
        <v>723</v>
      </c>
      <c r="H724" s="7" t="s">
        <v>364</v>
      </c>
      <c r="I724" t="s">
        <v>29</v>
      </c>
      <c r="J724">
        <f>LEN(H724)</f>
        <v>14</v>
      </c>
      <c r="K724" s="49" t="s">
        <v>2377</v>
      </c>
      <c r="O724" s="3" t="s">
        <v>7010</v>
      </c>
      <c r="P724" s="3" t="s">
        <v>7010</v>
      </c>
      <c r="Q724" s="3" t="s">
        <v>7010</v>
      </c>
      <c r="R724" s="3" t="s">
        <v>7010</v>
      </c>
      <c r="S724" s="3" t="s">
        <v>7010</v>
      </c>
      <c r="T724" s="3" t="s">
        <v>7015</v>
      </c>
      <c r="U724" s="3" t="s">
        <v>7010</v>
      </c>
      <c r="V724" s="3" t="s">
        <v>7010</v>
      </c>
      <c r="W724" s="74" t="str">
        <f t="shared" si="45"/>
        <v>Yes</v>
      </c>
      <c r="Z724">
        <v>723</v>
      </c>
      <c r="AA724" s="55" t="s">
        <v>5575</v>
      </c>
      <c r="AC724">
        <f t="shared" si="44"/>
        <v>7</v>
      </c>
      <c r="AD724" s="30" t="s">
        <v>5576</v>
      </c>
      <c r="AH724" s="3" t="s">
        <v>7015</v>
      </c>
      <c r="AI724" s="3" t="s">
        <v>7010</v>
      </c>
      <c r="AJ724" s="3" t="s">
        <v>7010</v>
      </c>
      <c r="AK724" s="3" t="s">
        <v>7015</v>
      </c>
      <c r="AL724" s="3" t="s">
        <v>7010</v>
      </c>
      <c r="AM724" s="3" t="s">
        <v>7010</v>
      </c>
      <c r="AN724" s="3" t="s">
        <v>7010</v>
      </c>
      <c r="AO724" s="3" t="s">
        <v>7010</v>
      </c>
      <c r="AP724" s="74" t="s">
        <v>7015</v>
      </c>
      <c r="AU724">
        <v>723</v>
      </c>
      <c r="AV724" t="s">
        <v>5577</v>
      </c>
      <c r="AW724" t="s">
        <v>2279</v>
      </c>
      <c r="AX724">
        <f t="shared" si="46"/>
        <v>11</v>
      </c>
      <c r="AY724" s="30" t="s">
        <v>5578</v>
      </c>
      <c r="BC724" s="3" t="s">
        <v>7010</v>
      </c>
      <c r="BD724" s="3" t="s">
        <v>7010</v>
      </c>
      <c r="BE724" s="3" t="s">
        <v>7010</v>
      </c>
      <c r="BF724" s="3" t="s">
        <v>7010</v>
      </c>
      <c r="BG724" s="3" t="s">
        <v>7010</v>
      </c>
      <c r="BH724" s="3" t="s">
        <v>7010</v>
      </c>
      <c r="BI724" s="3" t="s">
        <v>7010</v>
      </c>
      <c r="BJ724" s="3" t="s">
        <v>7010</v>
      </c>
      <c r="BK724" s="74" t="str">
        <f t="shared" si="47"/>
        <v>No</v>
      </c>
    </row>
    <row r="725" spans="7:63">
      <c r="G725">
        <v>724</v>
      </c>
      <c r="H725" s="7" t="s">
        <v>1112</v>
      </c>
      <c r="I725" t="s">
        <v>29</v>
      </c>
      <c r="J725">
        <f>LEN(H725)</f>
        <v>15</v>
      </c>
      <c r="K725" s="49" t="s">
        <v>3992</v>
      </c>
      <c r="O725" s="3" t="s">
        <v>7010</v>
      </c>
      <c r="P725" s="3" t="s">
        <v>7010</v>
      </c>
      <c r="Q725" s="3" t="s">
        <v>7010</v>
      </c>
      <c r="R725" s="3" t="s">
        <v>7010</v>
      </c>
      <c r="S725" s="3" t="s">
        <v>7010</v>
      </c>
      <c r="T725" s="3" t="s">
        <v>7010</v>
      </c>
      <c r="U725" s="3" t="s">
        <v>7010</v>
      </c>
      <c r="V725" s="3" t="s">
        <v>7010</v>
      </c>
      <c r="W725" s="74" t="str">
        <f t="shared" si="45"/>
        <v>No</v>
      </c>
      <c r="Z725">
        <v>724</v>
      </c>
      <c r="AA725" s="55" t="s">
        <v>5580</v>
      </c>
      <c r="AC725">
        <f t="shared" si="44"/>
        <v>8</v>
      </c>
      <c r="AD725" s="30" t="s">
        <v>5581</v>
      </c>
      <c r="AH725" s="3" t="s">
        <v>7015</v>
      </c>
      <c r="AI725" s="3" t="s">
        <v>7010</v>
      </c>
      <c r="AJ725" s="3" t="s">
        <v>7010</v>
      </c>
      <c r="AK725" s="3" t="s">
        <v>7015</v>
      </c>
      <c r="AL725" s="3" t="s">
        <v>7010</v>
      </c>
      <c r="AM725" s="3" t="s">
        <v>7010</v>
      </c>
      <c r="AN725" s="3" t="s">
        <v>7010</v>
      </c>
      <c r="AO725" s="3" t="s">
        <v>7010</v>
      </c>
      <c r="AP725" s="74" t="s">
        <v>7015</v>
      </c>
      <c r="AU725">
        <v>724</v>
      </c>
      <c r="AV725" t="s">
        <v>5582</v>
      </c>
      <c r="AW725" t="s">
        <v>2279</v>
      </c>
      <c r="AX725">
        <f t="shared" si="46"/>
        <v>8</v>
      </c>
      <c r="AY725" s="30" t="s">
        <v>5583</v>
      </c>
      <c r="BC725" s="3" t="s">
        <v>7010</v>
      </c>
      <c r="BD725" s="3" t="s">
        <v>7010</v>
      </c>
      <c r="BE725" s="3" t="s">
        <v>7010</v>
      </c>
      <c r="BF725" s="3" t="s">
        <v>7010</v>
      </c>
      <c r="BG725" s="3" t="s">
        <v>7010</v>
      </c>
      <c r="BH725" s="3" t="s">
        <v>7010</v>
      </c>
      <c r="BI725" s="3" t="s">
        <v>7010</v>
      </c>
      <c r="BJ725" s="3" t="s">
        <v>7010</v>
      </c>
      <c r="BK725" s="74" t="str">
        <f t="shared" si="47"/>
        <v>No</v>
      </c>
    </row>
    <row r="726" spans="7:63">
      <c r="G726">
        <v>725</v>
      </c>
      <c r="H726" s="7" t="s">
        <v>1092</v>
      </c>
      <c r="I726" t="s">
        <v>29</v>
      </c>
      <c r="J726">
        <f>LEN(H726)</f>
        <v>10</v>
      </c>
      <c r="K726" s="49" t="s">
        <v>3942</v>
      </c>
      <c r="O726" s="3" t="s">
        <v>7010</v>
      </c>
      <c r="P726" s="3" t="s">
        <v>7010</v>
      </c>
      <c r="Q726" s="3" t="s">
        <v>7010</v>
      </c>
      <c r="R726" s="3" t="s">
        <v>7010</v>
      </c>
      <c r="S726" s="3" t="s">
        <v>7010</v>
      </c>
      <c r="T726" s="3" t="s">
        <v>7010</v>
      </c>
      <c r="U726" s="3" t="s">
        <v>7010</v>
      </c>
      <c r="V726" s="3" t="s">
        <v>7010</v>
      </c>
      <c r="W726" s="74" t="str">
        <f t="shared" si="45"/>
        <v>No</v>
      </c>
      <c r="Z726">
        <v>725</v>
      </c>
      <c r="AA726" s="55" t="s">
        <v>5585</v>
      </c>
      <c r="AC726">
        <f t="shared" si="44"/>
        <v>7</v>
      </c>
      <c r="AD726" s="30" t="s">
        <v>5586</v>
      </c>
      <c r="AH726" s="3" t="s">
        <v>7015</v>
      </c>
      <c r="AI726" s="3" t="s">
        <v>7010</v>
      </c>
      <c r="AJ726" s="3" t="s">
        <v>7010</v>
      </c>
      <c r="AK726" s="3" t="s">
        <v>7015</v>
      </c>
      <c r="AL726" s="3" t="s">
        <v>7010</v>
      </c>
      <c r="AM726" s="3" t="s">
        <v>7010</v>
      </c>
      <c r="AN726" s="3" t="s">
        <v>7010</v>
      </c>
      <c r="AO726" s="3" t="s">
        <v>7010</v>
      </c>
      <c r="AP726" s="74" t="s">
        <v>7015</v>
      </c>
      <c r="AU726">
        <v>725</v>
      </c>
      <c r="AV726" t="s">
        <v>5587</v>
      </c>
      <c r="AW726" t="s">
        <v>2279</v>
      </c>
      <c r="AX726">
        <f t="shared" si="46"/>
        <v>8</v>
      </c>
      <c r="AY726" s="30" t="s">
        <v>5588</v>
      </c>
      <c r="BC726" s="3" t="s">
        <v>7010</v>
      </c>
      <c r="BD726" s="3" t="s">
        <v>7010</v>
      </c>
      <c r="BE726" s="3" t="s">
        <v>7010</v>
      </c>
      <c r="BF726" s="3" t="s">
        <v>7010</v>
      </c>
      <c r="BG726" s="3" t="s">
        <v>7010</v>
      </c>
      <c r="BH726" s="3" t="s">
        <v>7010</v>
      </c>
      <c r="BI726" s="3" t="s">
        <v>7010</v>
      </c>
      <c r="BJ726" s="3" t="s">
        <v>7010</v>
      </c>
      <c r="BK726" s="74" t="str">
        <f t="shared" si="47"/>
        <v>No</v>
      </c>
    </row>
    <row r="727" spans="7:63">
      <c r="G727">
        <v>726</v>
      </c>
      <c r="H727" s="7" t="s">
        <v>2179</v>
      </c>
      <c r="I727" t="s">
        <v>29</v>
      </c>
      <c r="J727">
        <f>LEN(H727)</f>
        <v>20</v>
      </c>
      <c r="K727" s="49" t="s">
        <v>6772</v>
      </c>
      <c r="O727" s="3" t="s">
        <v>7010</v>
      </c>
      <c r="P727" s="3" t="s">
        <v>7010</v>
      </c>
      <c r="Q727" s="3" t="s">
        <v>7010</v>
      </c>
      <c r="R727" s="3" t="s">
        <v>7010</v>
      </c>
      <c r="S727" s="3" t="s">
        <v>7010</v>
      </c>
      <c r="T727" s="3" t="s">
        <v>7010</v>
      </c>
      <c r="U727" s="3" t="s">
        <v>7010</v>
      </c>
      <c r="V727" s="3" t="s">
        <v>7010</v>
      </c>
      <c r="W727" s="74" t="str">
        <f t="shared" si="45"/>
        <v>No</v>
      </c>
      <c r="Z727">
        <v>726</v>
      </c>
      <c r="AA727" s="55" t="s">
        <v>5590</v>
      </c>
      <c r="AC727">
        <f t="shared" si="44"/>
        <v>6</v>
      </c>
      <c r="AD727" s="30" t="s">
        <v>5591</v>
      </c>
      <c r="AH727" s="3" t="s">
        <v>7015</v>
      </c>
      <c r="AI727" s="3" t="s">
        <v>7010</v>
      </c>
      <c r="AJ727" s="3" t="s">
        <v>7010</v>
      </c>
      <c r="AK727" s="3" t="s">
        <v>7015</v>
      </c>
      <c r="AL727" s="3" t="s">
        <v>7010</v>
      </c>
      <c r="AM727" s="3" t="s">
        <v>7010</v>
      </c>
      <c r="AN727" s="3" t="s">
        <v>7010</v>
      </c>
      <c r="AO727" s="3" t="s">
        <v>7010</v>
      </c>
      <c r="AP727" s="74" t="s">
        <v>7015</v>
      </c>
      <c r="AU727">
        <v>726</v>
      </c>
      <c r="AV727" t="s">
        <v>5592</v>
      </c>
      <c r="AW727" t="s">
        <v>2279</v>
      </c>
      <c r="AX727">
        <f t="shared" si="46"/>
        <v>9</v>
      </c>
      <c r="AY727" s="30" t="s">
        <v>5593</v>
      </c>
      <c r="BC727" s="3" t="s">
        <v>7010</v>
      </c>
      <c r="BD727" s="3" t="s">
        <v>7010</v>
      </c>
      <c r="BE727" s="3" t="s">
        <v>7010</v>
      </c>
      <c r="BF727" s="3" t="s">
        <v>7010</v>
      </c>
      <c r="BG727" s="3" t="s">
        <v>7010</v>
      </c>
      <c r="BH727" s="3" t="s">
        <v>7010</v>
      </c>
      <c r="BI727" s="3" t="s">
        <v>7010</v>
      </c>
      <c r="BJ727" s="3" t="s">
        <v>7010</v>
      </c>
      <c r="BK727" s="74" t="str">
        <f t="shared" si="47"/>
        <v>No</v>
      </c>
    </row>
    <row r="728" spans="7:63">
      <c r="G728">
        <v>727</v>
      </c>
      <c r="H728" s="7" t="s">
        <v>2181</v>
      </c>
      <c r="I728" t="s">
        <v>29</v>
      </c>
      <c r="J728">
        <f>LEN(H728)</f>
        <v>17</v>
      </c>
      <c r="K728" s="49" t="s">
        <v>6777</v>
      </c>
      <c r="O728" s="3" t="s">
        <v>7010</v>
      </c>
      <c r="P728" s="3" t="s">
        <v>7010</v>
      </c>
      <c r="Q728" s="3" t="s">
        <v>7010</v>
      </c>
      <c r="R728" s="3" t="s">
        <v>7010</v>
      </c>
      <c r="S728" s="3" t="s">
        <v>7010</v>
      </c>
      <c r="T728" s="3" t="s">
        <v>7015</v>
      </c>
      <c r="U728" s="3" t="s">
        <v>7010</v>
      </c>
      <c r="V728" s="3" t="s">
        <v>7015</v>
      </c>
      <c r="W728" s="74" t="str">
        <f t="shared" si="45"/>
        <v>Yes</v>
      </c>
      <c r="Z728">
        <v>727</v>
      </c>
      <c r="AA728" s="55" t="s">
        <v>5595</v>
      </c>
      <c r="AC728">
        <f t="shared" si="44"/>
        <v>7</v>
      </c>
      <c r="AD728" s="30" t="s">
        <v>5596</v>
      </c>
      <c r="AH728" s="3" t="s">
        <v>7015</v>
      </c>
      <c r="AI728" s="3" t="s">
        <v>7010</v>
      </c>
      <c r="AJ728" s="3" t="s">
        <v>7010</v>
      </c>
      <c r="AK728" s="3" t="s">
        <v>7015</v>
      </c>
      <c r="AL728" s="3" t="s">
        <v>7010</v>
      </c>
      <c r="AM728" s="3" t="s">
        <v>7010</v>
      </c>
      <c r="AN728" s="3" t="s">
        <v>7010</v>
      </c>
      <c r="AO728" s="3" t="s">
        <v>7010</v>
      </c>
      <c r="AP728" s="74" t="s">
        <v>7015</v>
      </c>
      <c r="AU728">
        <v>727</v>
      </c>
      <c r="AV728" t="s">
        <v>5597</v>
      </c>
      <c r="AW728" t="s">
        <v>2279</v>
      </c>
      <c r="AX728">
        <f t="shared" si="46"/>
        <v>10</v>
      </c>
      <c r="AY728" s="30" t="s">
        <v>5598</v>
      </c>
      <c r="BC728" s="3" t="s">
        <v>7010</v>
      </c>
      <c r="BD728" s="3" t="s">
        <v>7010</v>
      </c>
      <c r="BE728" s="3" t="s">
        <v>7010</v>
      </c>
      <c r="BF728" s="3" t="s">
        <v>7010</v>
      </c>
      <c r="BG728" s="3" t="s">
        <v>7010</v>
      </c>
      <c r="BH728" s="3" t="s">
        <v>7010</v>
      </c>
      <c r="BI728" s="3" t="s">
        <v>7010</v>
      </c>
      <c r="BJ728" s="3" t="s">
        <v>7010</v>
      </c>
      <c r="BK728" s="74" t="str">
        <f t="shared" si="47"/>
        <v>No</v>
      </c>
    </row>
    <row r="729" spans="7:63">
      <c r="G729">
        <v>728</v>
      </c>
      <c r="H729" s="7" t="s">
        <v>417</v>
      </c>
      <c r="I729" t="s">
        <v>29</v>
      </c>
      <c r="J729">
        <f>LEN(H729)</f>
        <v>8</v>
      </c>
      <c r="K729" s="49" t="s">
        <v>2585</v>
      </c>
      <c r="O729" s="3" t="s">
        <v>7010</v>
      </c>
      <c r="P729" s="3" t="s">
        <v>7010</v>
      </c>
      <c r="Q729" s="3" t="s">
        <v>7010</v>
      </c>
      <c r="R729" s="3" t="s">
        <v>7010</v>
      </c>
      <c r="S729" s="3" t="s">
        <v>7010</v>
      </c>
      <c r="T729" s="3" t="s">
        <v>7015</v>
      </c>
      <c r="U729" s="3" t="s">
        <v>7010</v>
      </c>
      <c r="V729" s="3" t="s">
        <v>7010</v>
      </c>
      <c r="W729" s="74" t="str">
        <f t="shared" si="45"/>
        <v>Yes</v>
      </c>
      <c r="Z729">
        <v>728</v>
      </c>
      <c r="AA729" s="55" t="s">
        <v>5600</v>
      </c>
      <c r="AC729">
        <f t="shared" si="44"/>
        <v>6</v>
      </c>
      <c r="AD729" s="30" t="s">
        <v>5601</v>
      </c>
      <c r="AH729" s="3" t="s">
        <v>7015</v>
      </c>
      <c r="AI729" s="3" t="s">
        <v>7010</v>
      </c>
      <c r="AJ729" s="3" t="s">
        <v>7010</v>
      </c>
      <c r="AK729" s="3" t="s">
        <v>7015</v>
      </c>
      <c r="AL729" s="3" t="s">
        <v>7010</v>
      </c>
      <c r="AM729" s="3" t="s">
        <v>7010</v>
      </c>
      <c r="AN729" s="3" t="s">
        <v>7010</v>
      </c>
      <c r="AO729" s="3" t="s">
        <v>7010</v>
      </c>
      <c r="AP729" s="74" t="s">
        <v>7015</v>
      </c>
      <c r="AU729">
        <v>728</v>
      </c>
      <c r="AV729" t="s">
        <v>5602</v>
      </c>
      <c r="AW729" t="s">
        <v>2279</v>
      </c>
      <c r="AX729">
        <f t="shared" si="46"/>
        <v>8</v>
      </c>
      <c r="AY729" s="30" t="s">
        <v>5603</v>
      </c>
      <c r="BC729" s="3" t="s">
        <v>7010</v>
      </c>
      <c r="BD729" s="3" t="s">
        <v>7010</v>
      </c>
      <c r="BE729" s="3" t="s">
        <v>7010</v>
      </c>
      <c r="BF729" s="3" t="s">
        <v>7010</v>
      </c>
      <c r="BG729" s="3" t="s">
        <v>7010</v>
      </c>
      <c r="BH729" s="3" t="s">
        <v>7010</v>
      </c>
      <c r="BI729" s="3" t="s">
        <v>7010</v>
      </c>
      <c r="BJ729" s="3" t="s">
        <v>7010</v>
      </c>
      <c r="BK729" s="74" t="str">
        <f t="shared" si="47"/>
        <v>No</v>
      </c>
    </row>
    <row r="730" spans="7:63">
      <c r="G730">
        <v>729</v>
      </c>
      <c r="H730" s="7" t="s">
        <v>1042</v>
      </c>
      <c r="I730" t="s">
        <v>29</v>
      </c>
      <c r="J730">
        <f>LEN(H730)</f>
        <v>10</v>
      </c>
      <c r="K730" s="49" t="s">
        <v>3814</v>
      </c>
      <c r="O730" s="3" t="s">
        <v>7010</v>
      </c>
      <c r="P730" s="3" t="s">
        <v>7010</v>
      </c>
      <c r="Q730" s="3" t="s">
        <v>7010</v>
      </c>
      <c r="R730" s="3" t="s">
        <v>7010</v>
      </c>
      <c r="S730" s="3" t="s">
        <v>7010</v>
      </c>
      <c r="T730" s="3" t="s">
        <v>7015</v>
      </c>
      <c r="U730" s="3" t="s">
        <v>7010</v>
      </c>
      <c r="V730" s="3" t="s">
        <v>7010</v>
      </c>
      <c r="W730" s="74" t="str">
        <f t="shared" si="45"/>
        <v>Yes</v>
      </c>
      <c r="Z730">
        <v>729</v>
      </c>
      <c r="AA730" s="55" t="s">
        <v>5605</v>
      </c>
      <c r="AC730">
        <f t="shared" si="44"/>
        <v>7</v>
      </c>
      <c r="AD730" s="30" t="s">
        <v>5606</v>
      </c>
      <c r="AH730" s="3" t="s">
        <v>7015</v>
      </c>
      <c r="AI730" s="3" t="s">
        <v>7010</v>
      </c>
      <c r="AJ730" s="3" t="s">
        <v>7010</v>
      </c>
      <c r="AK730" s="3" t="s">
        <v>7015</v>
      </c>
      <c r="AL730" s="3" t="s">
        <v>7010</v>
      </c>
      <c r="AM730" s="3" t="s">
        <v>7010</v>
      </c>
      <c r="AN730" s="3" t="s">
        <v>7010</v>
      </c>
      <c r="AO730" s="3" t="s">
        <v>7010</v>
      </c>
      <c r="AP730" s="74" t="s">
        <v>7015</v>
      </c>
      <c r="AU730">
        <v>729</v>
      </c>
      <c r="AV730" t="s">
        <v>5607</v>
      </c>
      <c r="AW730" t="s">
        <v>2279</v>
      </c>
      <c r="AX730">
        <f t="shared" si="46"/>
        <v>17</v>
      </c>
      <c r="AY730" s="30" t="s">
        <v>5608</v>
      </c>
      <c r="BC730" s="3" t="s">
        <v>7010</v>
      </c>
      <c r="BD730" s="3" t="s">
        <v>7010</v>
      </c>
      <c r="BE730" s="3" t="s">
        <v>7010</v>
      </c>
      <c r="BF730" s="3" t="s">
        <v>7010</v>
      </c>
      <c r="BG730" s="3" t="s">
        <v>7010</v>
      </c>
      <c r="BH730" s="3" t="s">
        <v>7010</v>
      </c>
      <c r="BI730" s="3" t="s">
        <v>7010</v>
      </c>
      <c r="BJ730" s="3" t="s">
        <v>7010</v>
      </c>
      <c r="BK730" s="74" t="str">
        <f t="shared" si="47"/>
        <v>No</v>
      </c>
    </row>
    <row r="731" spans="7:63">
      <c r="G731">
        <v>730</v>
      </c>
      <c r="H731" s="7" t="s">
        <v>470</v>
      </c>
      <c r="I731" t="s">
        <v>29</v>
      </c>
      <c r="J731">
        <f>LEN(H731)</f>
        <v>15</v>
      </c>
      <c r="K731" s="49" t="s">
        <v>2797</v>
      </c>
      <c r="O731" s="3" t="s">
        <v>7010</v>
      </c>
      <c r="P731" s="3" t="s">
        <v>7010</v>
      </c>
      <c r="Q731" s="3" t="s">
        <v>7010</v>
      </c>
      <c r="R731" s="3" t="s">
        <v>7010</v>
      </c>
      <c r="S731" s="3" t="s">
        <v>7010</v>
      </c>
      <c r="T731" s="3" t="s">
        <v>7015</v>
      </c>
      <c r="U731" s="3" t="s">
        <v>7010</v>
      </c>
      <c r="V731" s="3" t="s">
        <v>7010</v>
      </c>
      <c r="W731" s="74" t="str">
        <f t="shared" si="45"/>
        <v>Yes</v>
      </c>
      <c r="Z731">
        <v>730</v>
      </c>
      <c r="AA731" s="55" t="s">
        <v>5610</v>
      </c>
      <c r="AC731">
        <f t="shared" si="44"/>
        <v>8</v>
      </c>
      <c r="AD731" s="30" t="s">
        <v>5611</v>
      </c>
      <c r="AH731" s="3" t="s">
        <v>7015</v>
      </c>
      <c r="AI731" s="3" t="s">
        <v>7010</v>
      </c>
      <c r="AJ731" s="3" t="s">
        <v>7010</v>
      </c>
      <c r="AK731" s="3" t="s">
        <v>7015</v>
      </c>
      <c r="AL731" s="3" t="s">
        <v>7010</v>
      </c>
      <c r="AM731" s="3" t="s">
        <v>7010</v>
      </c>
      <c r="AN731" s="3" t="s">
        <v>7010</v>
      </c>
      <c r="AO731" s="3" t="s">
        <v>7010</v>
      </c>
      <c r="AP731" s="74" t="s">
        <v>7015</v>
      </c>
      <c r="AU731">
        <v>730</v>
      </c>
      <c r="AV731" t="s">
        <v>5612</v>
      </c>
      <c r="AW731" t="s">
        <v>2279</v>
      </c>
      <c r="AX731">
        <f t="shared" si="46"/>
        <v>9</v>
      </c>
      <c r="AY731" s="30" t="s">
        <v>5613</v>
      </c>
      <c r="BC731" s="3" t="s">
        <v>7010</v>
      </c>
      <c r="BD731" s="3" t="s">
        <v>7010</v>
      </c>
      <c r="BE731" s="3" t="s">
        <v>7010</v>
      </c>
      <c r="BF731" s="3" t="s">
        <v>7010</v>
      </c>
      <c r="BG731" s="3" t="s">
        <v>7010</v>
      </c>
      <c r="BH731" s="3" t="s">
        <v>7010</v>
      </c>
      <c r="BI731" s="3" t="s">
        <v>7010</v>
      </c>
      <c r="BJ731" s="3" t="s">
        <v>7010</v>
      </c>
      <c r="BK731" s="74" t="str">
        <f t="shared" si="47"/>
        <v>No</v>
      </c>
    </row>
    <row r="732" spans="7:63">
      <c r="G732">
        <v>731</v>
      </c>
      <c r="H732" s="7" t="s">
        <v>1338</v>
      </c>
      <c r="I732" t="s">
        <v>29</v>
      </c>
      <c r="J732">
        <f>LEN(H732)</f>
        <v>11</v>
      </c>
      <c r="K732" s="49" t="s">
        <v>4560</v>
      </c>
      <c r="O732" s="3" t="s">
        <v>7010</v>
      </c>
      <c r="P732" s="3" t="s">
        <v>7010</v>
      </c>
      <c r="Q732" s="3" t="s">
        <v>7010</v>
      </c>
      <c r="R732" s="3" t="s">
        <v>7010</v>
      </c>
      <c r="S732" s="3" t="s">
        <v>7010</v>
      </c>
      <c r="T732" s="3" t="s">
        <v>7010</v>
      </c>
      <c r="U732" s="3" t="s">
        <v>7010</v>
      </c>
      <c r="V732" s="3" t="s">
        <v>7010</v>
      </c>
      <c r="W732" s="74" t="str">
        <f t="shared" si="45"/>
        <v>No</v>
      </c>
      <c r="Z732">
        <v>731</v>
      </c>
      <c r="AA732" s="55" t="s">
        <v>5615</v>
      </c>
      <c r="AC732">
        <f t="shared" si="44"/>
        <v>5</v>
      </c>
      <c r="AD732" s="30" t="s">
        <v>5616</v>
      </c>
      <c r="AH732" s="3" t="s">
        <v>7015</v>
      </c>
      <c r="AI732" s="3" t="s">
        <v>7010</v>
      </c>
      <c r="AJ732" s="3" t="s">
        <v>7010</v>
      </c>
      <c r="AK732" s="3" t="s">
        <v>7015</v>
      </c>
      <c r="AL732" s="3" t="s">
        <v>7010</v>
      </c>
      <c r="AM732" s="3" t="s">
        <v>7010</v>
      </c>
      <c r="AN732" s="3" t="s">
        <v>7010</v>
      </c>
      <c r="AO732" s="3" t="s">
        <v>7010</v>
      </c>
      <c r="AP732" s="74" t="s">
        <v>7015</v>
      </c>
      <c r="AU732">
        <v>731</v>
      </c>
      <c r="AV732" t="s">
        <v>5617</v>
      </c>
      <c r="AW732" t="s">
        <v>2279</v>
      </c>
      <c r="AX732">
        <f t="shared" si="46"/>
        <v>8</v>
      </c>
      <c r="AY732" s="30" t="s">
        <v>5618</v>
      </c>
      <c r="BC732" s="3" t="s">
        <v>7015</v>
      </c>
      <c r="BD732" s="3" t="s">
        <v>7010</v>
      </c>
      <c r="BE732" s="3" t="s">
        <v>7015</v>
      </c>
      <c r="BF732" s="3" t="s">
        <v>7010</v>
      </c>
      <c r="BG732" s="3" t="s">
        <v>7010</v>
      </c>
      <c r="BH732" s="3" t="s">
        <v>7010</v>
      </c>
      <c r="BI732" s="3" t="s">
        <v>7010</v>
      </c>
      <c r="BJ732" s="3" t="s">
        <v>7010</v>
      </c>
      <c r="BK732" s="74" t="str">
        <f t="shared" si="47"/>
        <v>Yes</v>
      </c>
    </row>
    <row r="733" spans="7:63">
      <c r="G733">
        <v>732</v>
      </c>
      <c r="H733" s="7" t="s">
        <v>1480</v>
      </c>
      <c r="I733" t="s">
        <v>29</v>
      </c>
      <c r="J733">
        <f>LEN(H733)</f>
        <v>9</v>
      </c>
      <c r="K733" s="49" t="s">
        <v>4924</v>
      </c>
      <c r="O733" s="3" t="s">
        <v>7010</v>
      </c>
      <c r="P733" s="3" t="s">
        <v>7010</v>
      </c>
      <c r="Q733" s="3" t="s">
        <v>7010</v>
      </c>
      <c r="R733" s="3" t="s">
        <v>7010</v>
      </c>
      <c r="S733" s="3" t="s">
        <v>7010</v>
      </c>
      <c r="T733" s="3" t="s">
        <v>7010</v>
      </c>
      <c r="U733" s="3" t="s">
        <v>7010</v>
      </c>
      <c r="V733" s="3" t="s">
        <v>7010</v>
      </c>
      <c r="W733" s="74" t="str">
        <f t="shared" si="45"/>
        <v>No</v>
      </c>
      <c r="Z733">
        <v>732</v>
      </c>
      <c r="AA733" s="55" t="s">
        <v>5620</v>
      </c>
      <c r="AC733">
        <f t="shared" si="44"/>
        <v>7</v>
      </c>
      <c r="AD733" s="30" t="s">
        <v>5621</v>
      </c>
      <c r="AH733" s="3" t="s">
        <v>7015</v>
      </c>
      <c r="AI733" s="3" t="s">
        <v>7010</v>
      </c>
      <c r="AJ733" s="3" t="s">
        <v>7010</v>
      </c>
      <c r="AK733" s="3" t="s">
        <v>7015</v>
      </c>
      <c r="AL733" s="3" t="s">
        <v>7010</v>
      </c>
      <c r="AM733" s="3" t="s">
        <v>7010</v>
      </c>
      <c r="AN733" s="3" t="s">
        <v>7010</v>
      </c>
      <c r="AO733" s="3" t="s">
        <v>7010</v>
      </c>
      <c r="AP733" s="74" t="s">
        <v>7015</v>
      </c>
      <c r="AU733">
        <v>732</v>
      </c>
      <c r="AV733" t="s">
        <v>5622</v>
      </c>
      <c r="AW733" t="s">
        <v>2279</v>
      </c>
      <c r="AX733">
        <f t="shared" si="46"/>
        <v>10</v>
      </c>
      <c r="AY733" s="30" t="s">
        <v>5623</v>
      </c>
      <c r="BC733" s="3" t="s">
        <v>7010</v>
      </c>
      <c r="BD733" s="3" t="s">
        <v>7010</v>
      </c>
      <c r="BE733" s="3" t="s">
        <v>7010</v>
      </c>
      <c r="BF733" s="3" t="s">
        <v>7010</v>
      </c>
      <c r="BG733" s="3" t="s">
        <v>7010</v>
      </c>
      <c r="BH733" s="3" t="s">
        <v>7010</v>
      </c>
      <c r="BI733" s="3" t="s">
        <v>7010</v>
      </c>
      <c r="BJ733" s="3" t="s">
        <v>7010</v>
      </c>
      <c r="BK733" s="74" t="str">
        <f t="shared" si="47"/>
        <v>No</v>
      </c>
    </row>
    <row r="734" spans="7:63">
      <c r="G734">
        <v>733</v>
      </c>
      <c r="H734" s="7" t="s">
        <v>1440</v>
      </c>
      <c r="I734" t="s">
        <v>29</v>
      </c>
      <c r="J734">
        <f>LEN(H734)</f>
        <v>9</v>
      </c>
      <c r="K734" s="49" t="s">
        <v>4825</v>
      </c>
      <c r="O734" s="3" t="s">
        <v>7010</v>
      </c>
      <c r="P734" s="3" t="s">
        <v>7010</v>
      </c>
      <c r="Q734" s="3" t="s">
        <v>7010</v>
      </c>
      <c r="R734" s="3" t="s">
        <v>7010</v>
      </c>
      <c r="S734" s="3" t="s">
        <v>7010</v>
      </c>
      <c r="T734" s="3" t="s">
        <v>7010</v>
      </c>
      <c r="U734" s="3" t="s">
        <v>7010</v>
      </c>
      <c r="V734" s="3" t="s">
        <v>7010</v>
      </c>
      <c r="W734" s="74" t="str">
        <f t="shared" si="45"/>
        <v>No</v>
      </c>
      <c r="Z734">
        <v>733</v>
      </c>
      <c r="AA734" s="55" t="s">
        <v>5625</v>
      </c>
      <c r="AC734">
        <f t="shared" si="44"/>
        <v>6</v>
      </c>
      <c r="AD734" s="30" t="s">
        <v>5626</v>
      </c>
      <c r="AH734" s="3" t="s">
        <v>7015</v>
      </c>
      <c r="AI734" s="3" t="s">
        <v>7010</v>
      </c>
      <c r="AJ734" s="3" t="s">
        <v>7010</v>
      </c>
      <c r="AK734" s="3" t="s">
        <v>7015</v>
      </c>
      <c r="AL734" s="3" t="s">
        <v>7010</v>
      </c>
      <c r="AM734" s="3" t="s">
        <v>7010</v>
      </c>
      <c r="AN734" s="3" t="s">
        <v>7010</v>
      </c>
      <c r="AO734" s="3" t="s">
        <v>7010</v>
      </c>
      <c r="AP734" s="74" t="s">
        <v>7015</v>
      </c>
      <c r="AU734">
        <v>733</v>
      </c>
      <c r="AV734" t="s">
        <v>5627</v>
      </c>
      <c r="AW734" t="s">
        <v>2279</v>
      </c>
      <c r="AX734">
        <f t="shared" si="46"/>
        <v>8</v>
      </c>
      <c r="AY734" s="30" t="s">
        <v>5628</v>
      </c>
      <c r="BC734" s="3" t="s">
        <v>7010</v>
      </c>
      <c r="BD734" s="3" t="s">
        <v>7010</v>
      </c>
      <c r="BE734" s="3" t="s">
        <v>7010</v>
      </c>
      <c r="BF734" s="3" t="s">
        <v>7010</v>
      </c>
      <c r="BG734" s="3" t="s">
        <v>7010</v>
      </c>
      <c r="BH734" s="3" t="s">
        <v>7010</v>
      </c>
      <c r="BI734" s="3" t="s">
        <v>7010</v>
      </c>
      <c r="BJ734" s="3" t="s">
        <v>7010</v>
      </c>
      <c r="BK734" s="74" t="str">
        <f t="shared" si="47"/>
        <v>No</v>
      </c>
    </row>
    <row r="735" spans="7:63">
      <c r="G735">
        <v>734</v>
      </c>
      <c r="H735" s="7" t="s">
        <v>1556</v>
      </c>
      <c r="I735" t="s">
        <v>29</v>
      </c>
      <c r="J735">
        <f>LEN(H735)</f>
        <v>12</v>
      </c>
      <c r="K735" s="49" t="s">
        <v>5118</v>
      </c>
      <c r="O735" s="3" t="s">
        <v>7010</v>
      </c>
      <c r="P735" s="3" t="s">
        <v>7010</v>
      </c>
      <c r="Q735" s="3" t="s">
        <v>7010</v>
      </c>
      <c r="R735" s="3" t="s">
        <v>7010</v>
      </c>
      <c r="S735" s="3" t="s">
        <v>7010</v>
      </c>
      <c r="T735" s="3" t="s">
        <v>7010</v>
      </c>
      <c r="U735" s="3" t="s">
        <v>7010</v>
      </c>
      <c r="V735" s="3" t="s">
        <v>7010</v>
      </c>
      <c r="W735" s="74" t="str">
        <f t="shared" si="45"/>
        <v>No</v>
      </c>
      <c r="Z735">
        <v>734</v>
      </c>
      <c r="AA735" s="55" t="s">
        <v>5630</v>
      </c>
      <c r="AC735">
        <f t="shared" si="44"/>
        <v>6</v>
      </c>
      <c r="AD735" s="30" t="s">
        <v>5631</v>
      </c>
      <c r="AH735" s="3" t="s">
        <v>7015</v>
      </c>
      <c r="AI735" s="3" t="s">
        <v>7010</v>
      </c>
      <c r="AJ735" s="3" t="s">
        <v>7010</v>
      </c>
      <c r="AK735" s="3" t="s">
        <v>7015</v>
      </c>
      <c r="AL735" s="3" t="s">
        <v>7010</v>
      </c>
      <c r="AM735" s="3" t="s">
        <v>7010</v>
      </c>
      <c r="AN735" s="3" t="s">
        <v>7010</v>
      </c>
      <c r="AO735" s="3" t="s">
        <v>7010</v>
      </c>
      <c r="AP735" s="74" t="s">
        <v>7015</v>
      </c>
      <c r="AU735">
        <v>734</v>
      </c>
      <c r="AV735" t="s">
        <v>5632</v>
      </c>
      <c r="AW735" t="s">
        <v>2279</v>
      </c>
      <c r="AX735">
        <f t="shared" si="46"/>
        <v>9</v>
      </c>
      <c r="AY735" s="30" t="s">
        <v>5633</v>
      </c>
      <c r="BC735" s="3" t="s">
        <v>7010</v>
      </c>
      <c r="BD735" s="3" t="s">
        <v>7010</v>
      </c>
      <c r="BE735" s="3" t="s">
        <v>7010</v>
      </c>
      <c r="BF735" s="3" t="s">
        <v>7010</v>
      </c>
      <c r="BG735" s="3" t="s">
        <v>7010</v>
      </c>
      <c r="BH735" s="3" t="s">
        <v>7010</v>
      </c>
      <c r="BI735" s="3" t="s">
        <v>7010</v>
      </c>
      <c r="BJ735" s="3" t="s">
        <v>7010</v>
      </c>
      <c r="BK735" s="74" t="str">
        <f t="shared" si="47"/>
        <v>No</v>
      </c>
    </row>
    <row r="736" spans="7:63">
      <c r="G736">
        <v>735</v>
      </c>
      <c r="H736" s="7" t="s">
        <v>1218</v>
      </c>
      <c r="I736" t="s">
        <v>29</v>
      </c>
      <c r="J736">
        <f>LEN(H736)</f>
        <v>10</v>
      </c>
      <c r="K736" s="49" t="s">
        <v>4260</v>
      </c>
      <c r="O736" s="3" t="s">
        <v>7010</v>
      </c>
      <c r="P736" s="3" t="s">
        <v>7010</v>
      </c>
      <c r="Q736" s="3" t="s">
        <v>7010</v>
      </c>
      <c r="R736" s="3" t="s">
        <v>7010</v>
      </c>
      <c r="S736" s="3" t="s">
        <v>7010</v>
      </c>
      <c r="T736" s="3" t="s">
        <v>7010</v>
      </c>
      <c r="U736" s="3" t="s">
        <v>7010</v>
      </c>
      <c r="V736" s="3" t="s">
        <v>7010</v>
      </c>
      <c r="W736" s="74" t="str">
        <f t="shared" si="45"/>
        <v>No</v>
      </c>
      <c r="Z736">
        <v>735</v>
      </c>
      <c r="AA736" s="55" t="s">
        <v>5635</v>
      </c>
      <c r="AC736">
        <f t="shared" si="44"/>
        <v>6</v>
      </c>
      <c r="AD736" s="30" t="s">
        <v>5636</v>
      </c>
      <c r="AH736" s="3" t="s">
        <v>7015</v>
      </c>
      <c r="AI736" s="3" t="s">
        <v>7010</v>
      </c>
      <c r="AJ736" s="3" t="s">
        <v>7010</v>
      </c>
      <c r="AK736" s="3" t="s">
        <v>7015</v>
      </c>
      <c r="AL736" s="3" t="s">
        <v>7010</v>
      </c>
      <c r="AM736" s="3" t="s">
        <v>7010</v>
      </c>
      <c r="AN736" s="3" t="s">
        <v>7010</v>
      </c>
      <c r="AO736" s="3" t="s">
        <v>7010</v>
      </c>
      <c r="AP736" s="74" t="s">
        <v>7015</v>
      </c>
      <c r="AU736">
        <v>735</v>
      </c>
      <c r="AV736" t="s">
        <v>5637</v>
      </c>
      <c r="AW736" t="s">
        <v>2279</v>
      </c>
      <c r="AX736">
        <f t="shared" si="46"/>
        <v>8</v>
      </c>
      <c r="AY736" s="30" t="s">
        <v>5638</v>
      </c>
      <c r="BC736" s="3" t="s">
        <v>7010</v>
      </c>
      <c r="BD736" s="3" t="s">
        <v>7010</v>
      </c>
      <c r="BE736" s="3" t="s">
        <v>7010</v>
      </c>
      <c r="BF736" s="3" t="s">
        <v>7010</v>
      </c>
      <c r="BG736" s="3" t="s">
        <v>7010</v>
      </c>
      <c r="BH736" s="3" t="s">
        <v>7010</v>
      </c>
      <c r="BI736" s="3" t="s">
        <v>7010</v>
      </c>
      <c r="BJ736" s="3" t="s">
        <v>7010</v>
      </c>
      <c r="BK736" s="74" t="str">
        <f t="shared" si="47"/>
        <v>No</v>
      </c>
    </row>
    <row r="737" spans="7:63">
      <c r="G737">
        <v>736</v>
      </c>
      <c r="H737" s="7" t="s">
        <v>1654</v>
      </c>
      <c r="I737" t="s">
        <v>29</v>
      </c>
      <c r="J737">
        <f>LEN(H737)</f>
        <v>11</v>
      </c>
      <c r="K737" s="49" t="s">
        <v>5366</v>
      </c>
      <c r="O737" s="3" t="s">
        <v>7010</v>
      </c>
      <c r="P737" s="3" t="s">
        <v>7010</v>
      </c>
      <c r="Q737" s="3" t="s">
        <v>7010</v>
      </c>
      <c r="R737" s="3" t="s">
        <v>7010</v>
      </c>
      <c r="S737" s="3" t="s">
        <v>7010</v>
      </c>
      <c r="T737" s="3" t="s">
        <v>7010</v>
      </c>
      <c r="U737" s="3" t="s">
        <v>7010</v>
      </c>
      <c r="V737" s="3" t="s">
        <v>7010</v>
      </c>
      <c r="W737" s="74" t="str">
        <f t="shared" si="45"/>
        <v>No</v>
      </c>
      <c r="Z737">
        <v>736</v>
      </c>
      <c r="AA737" s="55" t="s">
        <v>5640</v>
      </c>
      <c r="AC737">
        <f t="shared" si="44"/>
        <v>6</v>
      </c>
      <c r="AD737" s="30" t="s">
        <v>5641</v>
      </c>
      <c r="AH737" s="3" t="s">
        <v>7015</v>
      </c>
      <c r="AI737" s="3" t="s">
        <v>7010</v>
      </c>
      <c r="AJ737" s="3" t="s">
        <v>7010</v>
      </c>
      <c r="AK737" s="3" t="s">
        <v>7015</v>
      </c>
      <c r="AL737" s="3" t="s">
        <v>7010</v>
      </c>
      <c r="AM737" s="3" t="s">
        <v>7010</v>
      </c>
      <c r="AN737" s="3" t="s">
        <v>7010</v>
      </c>
      <c r="AO737" s="3" t="s">
        <v>7010</v>
      </c>
      <c r="AP737" s="74" t="s">
        <v>7015</v>
      </c>
      <c r="AU737">
        <v>736</v>
      </c>
      <c r="AV737" t="s">
        <v>5642</v>
      </c>
      <c r="AW737" t="s">
        <v>2279</v>
      </c>
      <c r="AX737">
        <f t="shared" si="46"/>
        <v>8</v>
      </c>
      <c r="AY737" s="30" t="s">
        <v>5643</v>
      </c>
      <c r="BC737" s="3" t="s">
        <v>7010</v>
      </c>
      <c r="BD737" s="3" t="s">
        <v>7010</v>
      </c>
      <c r="BE737" s="3" t="s">
        <v>7015</v>
      </c>
      <c r="BF737" s="3" t="s">
        <v>7010</v>
      </c>
      <c r="BG737" s="3" t="s">
        <v>7010</v>
      </c>
      <c r="BH737" s="3" t="s">
        <v>7010</v>
      </c>
      <c r="BI737" s="3" t="s">
        <v>7010</v>
      </c>
      <c r="BJ737" s="3" t="s">
        <v>7010</v>
      </c>
      <c r="BK737" s="74" t="str">
        <f t="shared" si="47"/>
        <v>Yes</v>
      </c>
    </row>
    <row r="738" spans="7:63">
      <c r="G738">
        <v>737</v>
      </c>
      <c r="H738" s="7" t="s">
        <v>1366</v>
      </c>
      <c r="I738" t="s">
        <v>29</v>
      </c>
      <c r="J738">
        <f>LEN(H738)</f>
        <v>9</v>
      </c>
      <c r="K738" s="49" t="s">
        <v>4629</v>
      </c>
      <c r="O738" s="3" t="s">
        <v>7010</v>
      </c>
      <c r="P738" s="3" t="s">
        <v>7010</v>
      </c>
      <c r="Q738" s="3" t="s">
        <v>7010</v>
      </c>
      <c r="R738" s="3" t="s">
        <v>7010</v>
      </c>
      <c r="S738" s="3" t="s">
        <v>7010</v>
      </c>
      <c r="T738" s="3" t="s">
        <v>7010</v>
      </c>
      <c r="U738" s="3" t="s">
        <v>7010</v>
      </c>
      <c r="V738" s="3" t="s">
        <v>7010</v>
      </c>
      <c r="W738" s="74" t="str">
        <f t="shared" si="45"/>
        <v>No</v>
      </c>
      <c r="Z738">
        <v>737</v>
      </c>
      <c r="AA738" s="55" t="s">
        <v>5645</v>
      </c>
      <c r="AC738">
        <f t="shared" si="44"/>
        <v>6</v>
      </c>
      <c r="AD738" s="30" t="s">
        <v>5646</v>
      </c>
      <c r="AH738" s="3" t="s">
        <v>7015</v>
      </c>
      <c r="AI738" s="3" t="s">
        <v>7010</v>
      </c>
      <c r="AJ738" s="3" t="s">
        <v>7010</v>
      </c>
      <c r="AK738" s="3" t="s">
        <v>7015</v>
      </c>
      <c r="AL738" s="3" t="s">
        <v>7010</v>
      </c>
      <c r="AM738" s="3" t="s">
        <v>7010</v>
      </c>
      <c r="AN738" s="3" t="s">
        <v>7010</v>
      </c>
      <c r="AO738" s="3" t="s">
        <v>7010</v>
      </c>
      <c r="AP738" s="74" t="s">
        <v>7015</v>
      </c>
      <c r="AU738">
        <v>737</v>
      </c>
      <c r="AV738" t="s">
        <v>5647</v>
      </c>
      <c r="AW738" t="s">
        <v>2279</v>
      </c>
      <c r="AX738">
        <f t="shared" si="46"/>
        <v>9</v>
      </c>
      <c r="AY738" s="30" t="s">
        <v>5648</v>
      </c>
      <c r="BC738" s="3" t="s">
        <v>7015</v>
      </c>
      <c r="BD738" s="3" t="s">
        <v>7010</v>
      </c>
      <c r="BE738" s="3" t="s">
        <v>7015</v>
      </c>
      <c r="BF738" s="3" t="s">
        <v>7010</v>
      </c>
      <c r="BG738" s="3" t="s">
        <v>7010</v>
      </c>
      <c r="BH738" s="3" t="s">
        <v>7010</v>
      </c>
      <c r="BI738" s="3" t="s">
        <v>7010</v>
      </c>
      <c r="BJ738" s="3" t="s">
        <v>7010</v>
      </c>
      <c r="BK738" s="74" t="str">
        <f t="shared" si="47"/>
        <v>Yes</v>
      </c>
    </row>
    <row r="739" spans="7:63">
      <c r="G739">
        <v>738</v>
      </c>
      <c r="H739" t="s">
        <v>6974</v>
      </c>
      <c r="I739" t="s">
        <v>29</v>
      </c>
      <c r="J739">
        <f>LEN(H739)</f>
        <v>10</v>
      </c>
      <c r="K739" s="49" t="s">
        <v>6975</v>
      </c>
      <c r="O739" s="3" t="s">
        <v>7010</v>
      </c>
      <c r="P739" s="3" t="s">
        <v>7010</v>
      </c>
      <c r="Q739" s="3" t="s">
        <v>7010</v>
      </c>
      <c r="R739" s="3" t="s">
        <v>7015</v>
      </c>
      <c r="S739" s="3" t="s">
        <v>7010</v>
      </c>
      <c r="T739" s="3" t="s">
        <v>7015</v>
      </c>
      <c r="U739" s="3" t="s">
        <v>7010</v>
      </c>
      <c r="V739" s="3" t="s">
        <v>7015</v>
      </c>
      <c r="W739" s="74" t="str">
        <f t="shared" si="45"/>
        <v>Yes</v>
      </c>
      <c r="Z739">
        <v>738</v>
      </c>
      <c r="AA739" s="55" t="s">
        <v>5650</v>
      </c>
      <c r="AC739">
        <f t="shared" si="44"/>
        <v>8</v>
      </c>
      <c r="AD739" s="30" t="s">
        <v>5651</v>
      </c>
      <c r="AH739" s="3" t="s">
        <v>7015</v>
      </c>
      <c r="AI739" s="3" t="s">
        <v>7010</v>
      </c>
      <c r="AJ739" s="3" t="s">
        <v>7010</v>
      </c>
      <c r="AK739" s="3" t="s">
        <v>7015</v>
      </c>
      <c r="AL739" s="3" t="s">
        <v>7010</v>
      </c>
      <c r="AM739" s="3" t="s">
        <v>7010</v>
      </c>
      <c r="AN739" s="3" t="s">
        <v>7010</v>
      </c>
      <c r="AO739" s="3" t="s">
        <v>7010</v>
      </c>
      <c r="AP739" s="74" t="s">
        <v>7015</v>
      </c>
      <c r="AU739">
        <v>738</v>
      </c>
      <c r="AV739" t="s">
        <v>5652</v>
      </c>
      <c r="AW739" t="s">
        <v>2279</v>
      </c>
      <c r="AX739">
        <f t="shared" si="46"/>
        <v>8</v>
      </c>
      <c r="AY739" s="30" t="s">
        <v>5653</v>
      </c>
      <c r="BC739" s="3" t="s">
        <v>7015</v>
      </c>
      <c r="BD739" s="3" t="s">
        <v>7010</v>
      </c>
      <c r="BE739" s="3" t="s">
        <v>7015</v>
      </c>
      <c r="BF739" s="3" t="s">
        <v>7010</v>
      </c>
      <c r="BG739" s="3" t="s">
        <v>7010</v>
      </c>
      <c r="BH739" s="3" t="s">
        <v>7010</v>
      </c>
      <c r="BI739" s="3" t="s">
        <v>7010</v>
      </c>
      <c r="BJ739" s="3" t="s">
        <v>7010</v>
      </c>
      <c r="BK739" s="74" t="str">
        <f t="shared" si="47"/>
        <v>Yes</v>
      </c>
    </row>
    <row r="740" spans="7:63">
      <c r="G740">
        <v>739</v>
      </c>
      <c r="H740" s="7" t="s">
        <v>501</v>
      </c>
      <c r="I740" t="s">
        <v>29</v>
      </c>
      <c r="J740">
        <f>LEN(H740)</f>
        <v>9</v>
      </c>
      <c r="K740" s="49" t="s">
        <v>2921</v>
      </c>
      <c r="O740" s="3" t="s">
        <v>7010</v>
      </c>
      <c r="P740" s="3" t="s">
        <v>7010</v>
      </c>
      <c r="Q740" s="3" t="s">
        <v>7010</v>
      </c>
      <c r="R740" s="3" t="s">
        <v>7010</v>
      </c>
      <c r="S740" s="3" t="s">
        <v>7010</v>
      </c>
      <c r="T740" s="3" t="s">
        <v>7015</v>
      </c>
      <c r="U740" s="3" t="s">
        <v>7010</v>
      </c>
      <c r="V740" s="3" t="s">
        <v>7010</v>
      </c>
      <c r="W740" s="74" t="str">
        <f t="shared" si="45"/>
        <v>Yes</v>
      </c>
      <c r="Z740">
        <v>739</v>
      </c>
      <c r="AA740" s="55" t="s">
        <v>5655</v>
      </c>
      <c r="AC740">
        <f t="shared" si="44"/>
        <v>6</v>
      </c>
      <c r="AD740" s="30" t="s">
        <v>5656</v>
      </c>
      <c r="AH740" s="3" t="s">
        <v>7015</v>
      </c>
      <c r="AI740" s="3" t="s">
        <v>7010</v>
      </c>
      <c r="AJ740" s="3" t="s">
        <v>7010</v>
      </c>
      <c r="AK740" s="3" t="s">
        <v>7015</v>
      </c>
      <c r="AL740" s="3" t="s">
        <v>7010</v>
      </c>
      <c r="AM740" s="3" t="s">
        <v>7010</v>
      </c>
      <c r="AN740" s="3" t="s">
        <v>7010</v>
      </c>
      <c r="AO740" s="3" t="s">
        <v>7010</v>
      </c>
      <c r="AP740" s="74" t="s">
        <v>7015</v>
      </c>
      <c r="AU740">
        <v>739</v>
      </c>
      <c r="AV740" t="s">
        <v>5657</v>
      </c>
      <c r="AW740" t="s">
        <v>2279</v>
      </c>
      <c r="AX740">
        <f t="shared" si="46"/>
        <v>8</v>
      </c>
      <c r="AY740" s="30" t="s">
        <v>5658</v>
      </c>
      <c r="BC740" s="3" t="s">
        <v>7010</v>
      </c>
      <c r="BD740" s="3" t="s">
        <v>7010</v>
      </c>
      <c r="BE740" s="3" t="s">
        <v>7010</v>
      </c>
      <c r="BF740" s="3" t="s">
        <v>7010</v>
      </c>
      <c r="BG740" s="3" t="s">
        <v>7010</v>
      </c>
      <c r="BH740" s="3" t="s">
        <v>7010</v>
      </c>
      <c r="BI740" s="3" t="s">
        <v>7010</v>
      </c>
      <c r="BJ740" s="3" t="s">
        <v>7010</v>
      </c>
      <c r="BK740" s="74" t="str">
        <f t="shared" si="47"/>
        <v>No</v>
      </c>
    </row>
    <row r="741" spans="7:63">
      <c r="G741">
        <v>740</v>
      </c>
      <c r="H741" s="7" t="s">
        <v>513</v>
      </c>
      <c r="I741" t="s">
        <v>29</v>
      </c>
      <c r="J741">
        <f>LEN(H741)</f>
        <v>12</v>
      </c>
      <c r="K741" s="49" t="s">
        <v>2969</v>
      </c>
      <c r="O741" s="3" t="s">
        <v>7010</v>
      </c>
      <c r="P741" s="3" t="s">
        <v>7010</v>
      </c>
      <c r="Q741" s="3" t="s">
        <v>7010</v>
      </c>
      <c r="R741" s="3" t="s">
        <v>7010</v>
      </c>
      <c r="S741" s="3" t="s">
        <v>7010</v>
      </c>
      <c r="T741" s="3" t="s">
        <v>7015</v>
      </c>
      <c r="U741" s="3" t="s">
        <v>7010</v>
      </c>
      <c r="V741" s="3" t="s">
        <v>7010</v>
      </c>
      <c r="W741" s="74" t="str">
        <f t="shared" si="45"/>
        <v>Yes</v>
      </c>
      <c r="Z741">
        <v>740</v>
      </c>
      <c r="AA741" s="55" t="s">
        <v>5660</v>
      </c>
      <c r="AC741">
        <f t="shared" si="44"/>
        <v>9</v>
      </c>
      <c r="AD741" s="30" t="s">
        <v>5661</v>
      </c>
      <c r="AH741" s="3" t="s">
        <v>7015</v>
      </c>
      <c r="AI741" s="3" t="s">
        <v>7010</v>
      </c>
      <c r="AJ741" s="3" t="s">
        <v>7010</v>
      </c>
      <c r="AK741" s="3" t="s">
        <v>7015</v>
      </c>
      <c r="AL741" s="3" t="s">
        <v>7010</v>
      </c>
      <c r="AM741" s="3" t="s">
        <v>7010</v>
      </c>
      <c r="AN741" s="3" t="s">
        <v>7010</v>
      </c>
      <c r="AO741" s="3" t="s">
        <v>7010</v>
      </c>
      <c r="AP741" s="74" t="s">
        <v>7015</v>
      </c>
      <c r="AU741">
        <v>740</v>
      </c>
      <c r="AV741" t="s">
        <v>5662</v>
      </c>
      <c r="AW741" t="s">
        <v>2279</v>
      </c>
      <c r="AX741">
        <f t="shared" si="46"/>
        <v>11</v>
      </c>
      <c r="AY741" s="30" t="s">
        <v>5663</v>
      </c>
      <c r="BC741" s="3" t="s">
        <v>7010</v>
      </c>
      <c r="BD741" s="3" t="s">
        <v>7010</v>
      </c>
      <c r="BE741" s="3" t="s">
        <v>7010</v>
      </c>
      <c r="BF741" s="3" t="s">
        <v>7010</v>
      </c>
      <c r="BG741" s="3" t="s">
        <v>7010</v>
      </c>
      <c r="BH741" s="3" t="s">
        <v>7010</v>
      </c>
      <c r="BI741" s="3" t="s">
        <v>7010</v>
      </c>
      <c r="BJ741" s="3" t="s">
        <v>7010</v>
      </c>
      <c r="BK741" s="74" t="str">
        <f t="shared" si="47"/>
        <v>No</v>
      </c>
    </row>
    <row r="742" spans="7:63">
      <c r="G742">
        <v>741</v>
      </c>
      <c r="H742" s="7" t="s">
        <v>495</v>
      </c>
      <c r="I742" t="s">
        <v>29</v>
      </c>
      <c r="J742">
        <f>LEN(H742)</f>
        <v>12</v>
      </c>
      <c r="K742" s="49" t="s">
        <v>2897</v>
      </c>
      <c r="O742" s="3" t="s">
        <v>7010</v>
      </c>
      <c r="P742" s="3" t="s">
        <v>7010</v>
      </c>
      <c r="Q742" s="3" t="s">
        <v>7010</v>
      </c>
      <c r="R742" s="3" t="s">
        <v>7010</v>
      </c>
      <c r="S742" s="3" t="s">
        <v>7010</v>
      </c>
      <c r="T742" s="3" t="s">
        <v>7015</v>
      </c>
      <c r="U742" s="3" t="s">
        <v>7010</v>
      </c>
      <c r="V742" s="3" t="s">
        <v>7010</v>
      </c>
      <c r="W742" s="74" t="str">
        <f t="shared" si="45"/>
        <v>Yes</v>
      </c>
      <c r="Z742">
        <v>741</v>
      </c>
      <c r="AA742" s="55" t="s">
        <v>5664</v>
      </c>
      <c r="AC742">
        <f t="shared" si="44"/>
        <v>5</v>
      </c>
      <c r="AD742" s="30" t="s">
        <v>5665</v>
      </c>
      <c r="AH742" s="3" t="s">
        <v>7015</v>
      </c>
      <c r="AI742" s="3" t="s">
        <v>7010</v>
      </c>
      <c r="AJ742" s="3" t="s">
        <v>7010</v>
      </c>
      <c r="AK742" s="3" t="s">
        <v>7015</v>
      </c>
      <c r="AL742" s="3" t="s">
        <v>7010</v>
      </c>
      <c r="AM742" s="3" t="s">
        <v>7010</v>
      </c>
      <c r="AN742" s="3" t="s">
        <v>7010</v>
      </c>
      <c r="AO742" s="3" t="s">
        <v>7010</v>
      </c>
      <c r="AP742" s="74" t="s">
        <v>7015</v>
      </c>
      <c r="AU742">
        <v>741</v>
      </c>
      <c r="AV742" t="s">
        <v>5666</v>
      </c>
      <c r="AW742" t="s">
        <v>2279</v>
      </c>
      <c r="AX742">
        <f t="shared" si="46"/>
        <v>8</v>
      </c>
      <c r="AY742" s="30" t="s">
        <v>5667</v>
      </c>
      <c r="BC742" s="3" t="s">
        <v>7010</v>
      </c>
      <c r="BD742" s="3" t="s">
        <v>7010</v>
      </c>
      <c r="BE742" s="3" t="s">
        <v>7010</v>
      </c>
      <c r="BF742" s="3" t="s">
        <v>7010</v>
      </c>
      <c r="BG742" s="3" t="s">
        <v>7010</v>
      </c>
      <c r="BH742" s="3" t="s">
        <v>7010</v>
      </c>
      <c r="BI742" s="3" t="s">
        <v>7010</v>
      </c>
      <c r="BJ742" s="3" t="s">
        <v>7010</v>
      </c>
      <c r="BK742" s="74" t="str">
        <f t="shared" si="47"/>
        <v>No</v>
      </c>
    </row>
    <row r="743" spans="7:63">
      <c r="G743">
        <v>742</v>
      </c>
      <c r="H743" s="7" t="s">
        <v>970</v>
      </c>
      <c r="I743" t="s">
        <v>29</v>
      </c>
      <c r="J743">
        <f>LEN(H743)</f>
        <v>10</v>
      </c>
      <c r="K743" s="49" t="s">
        <v>3620</v>
      </c>
      <c r="O743" s="3" t="s">
        <v>7010</v>
      </c>
      <c r="P743" s="3" t="s">
        <v>7010</v>
      </c>
      <c r="Q743" s="3" t="s">
        <v>7010</v>
      </c>
      <c r="R743" s="3" t="s">
        <v>7010</v>
      </c>
      <c r="S743" s="3" t="s">
        <v>7010</v>
      </c>
      <c r="T743" s="3" t="s">
        <v>7010</v>
      </c>
      <c r="U743" s="3" t="s">
        <v>7010</v>
      </c>
      <c r="V743" s="3" t="s">
        <v>7010</v>
      </c>
      <c r="W743" s="74" t="str">
        <f t="shared" si="45"/>
        <v>No</v>
      </c>
      <c r="Z743">
        <v>742</v>
      </c>
      <c r="AA743" s="55" t="s">
        <v>5669</v>
      </c>
      <c r="AC743">
        <f t="shared" si="44"/>
        <v>6</v>
      </c>
      <c r="AD743" s="30" t="s">
        <v>5670</v>
      </c>
      <c r="AH743" s="3" t="s">
        <v>7015</v>
      </c>
      <c r="AI743" s="3" t="s">
        <v>7010</v>
      </c>
      <c r="AJ743" s="3" t="s">
        <v>7010</v>
      </c>
      <c r="AK743" s="3" t="s">
        <v>7015</v>
      </c>
      <c r="AL743" s="3" t="s">
        <v>7010</v>
      </c>
      <c r="AM743" s="3" t="s">
        <v>7010</v>
      </c>
      <c r="AN743" s="3" t="s">
        <v>7010</v>
      </c>
      <c r="AO743" s="3" t="s">
        <v>7010</v>
      </c>
      <c r="AP743" s="74" t="s">
        <v>7015</v>
      </c>
      <c r="AU743">
        <v>742</v>
      </c>
      <c r="AV743" t="s">
        <v>5671</v>
      </c>
      <c r="AW743" t="s">
        <v>2279</v>
      </c>
      <c r="AX743">
        <f t="shared" si="46"/>
        <v>8</v>
      </c>
      <c r="AY743" s="30" t="s">
        <v>5672</v>
      </c>
      <c r="BC743" s="3" t="s">
        <v>7010</v>
      </c>
      <c r="BD743" s="3" t="s">
        <v>7010</v>
      </c>
      <c r="BE743" s="3" t="s">
        <v>7010</v>
      </c>
      <c r="BF743" s="3" t="s">
        <v>7010</v>
      </c>
      <c r="BG743" s="3" t="s">
        <v>7010</v>
      </c>
      <c r="BH743" s="3" t="s">
        <v>7010</v>
      </c>
      <c r="BI743" s="3" t="s">
        <v>7010</v>
      </c>
      <c r="BJ743" s="3" t="s">
        <v>7010</v>
      </c>
      <c r="BK743" s="74" t="str">
        <f t="shared" si="47"/>
        <v>No</v>
      </c>
    </row>
    <row r="744" spans="7:63">
      <c r="G744">
        <v>743</v>
      </c>
      <c r="H744" s="7" t="s">
        <v>1748</v>
      </c>
      <c r="I744" t="s">
        <v>29</v>
      </c>
      <c r="J744">
        <f>LEN(H744)</f>
        <v>15</v>
      </c>
      <c r="K744" s="49" t="s">
        <v>5599</v>
      </c>
      <c r="O744" s="3" t="s">
        <v>7010</v>
      </c>
      <c r="P744" s="3" t="s">
        <v>7010</v>
      </c>
      <c r="Q744" s="3" t="s">
        <v>7010</v>
      </c>
      <c r="R744" s="3" t="s">
        <v>7010</v>
      </c>
      <c r="S744" s="3" t="s">
        <v>7010</v>
      </c>
      <c r="T744" s="3" t="s">
        <v>7010</v>
      </c>
      <c r="U744" s="3" t="s">
        <v>7010</v>
      </c>
      <c r="V744" s="3" t="s">
        <v>7010</v>
      </c>
      <c r="W744" s="74" t="str">
        <f t="shared" si="45"/>
        <v>No</v>
      </c>
      <c r="Z744">
        <v>743</v>
      </c>
      <c r="AA744" s="55" t="s">
        <v>5674</v>
      </c>
      <c r="AC744">
        <f t="shared" si="44"/>
        <v>6</v>
      </c>
      <c r="AD744" s="30" t="s">
        <v>5675</v>
      </c>
      <c r="AH744" s="3" t="s">
        <v>7015</v>
      </c>
      <c r="AI744" s="3" t="s">
        <v>7010</v>
      </c>
      <c r="AJ744" s="3" t="s">
        <v>7010</v>
      </c>
      <c r="AK744" s="3" t="s">
        <v>7015</v>
      </c>
      <c r="AL744" s="3" t="s">
        <v>7010</v>
      </c>
      <c r="AM744" s="3" t="s">
        <v>7010</v>
      </c>
      <c r="AN744" s="3" t="s">
        <v>7010</v>
      </c>
      <c r="AO744" s="3" t="s">
        <v>7010</v>
      </c>
      <c r="AP744" s="74" t="s">
        <v>7015</v>
      </c>
      <c r="AU744">
        <v>743</v>
      </c>
      <c r="AV744" t="s">
        <v>5676</v>
      </c>
      <c r="AW744" t="s">
        <v>2279</v>
      </c>
      <c r="AX744">
        <f t="shared" si="46"/>
        <v>10</v>
      </c>
      <c r="AY744" s="30" t="s">
        <v>5677</v>
      </c>
      <c r="BC744" s="3" t="s">
        <v>7010</v>
      </c>
      <c r="BD744" s="3" t="s">
        <v>7010</v>
      </c>
      <c r="BE744" s="3" t="s">
        <v>7010</v>
      </c>
      <c r="BF744" s="3" t="s">
        <v>7010</v>
      </c>
      <c r="BG744" s="3" t="s">
        <v>7010</v>
      </c>
      <c r="BH744" s="3" t="s">
        <v>7010</v>
      </c>
      <c r="BI744" s="3" t="s">
        <v>7010</v>
      </c>
      <c r="BJ744" s="3" t="s">
        <v>7010</v>
      </c>
      <c r="BK744" s="74" t="str">
        <f t="shared" si="47"/>
        <v>No</v>
      </c>
    </row>
    <row r="745" spans="7:63">
      <c r="G745">
        <v>744</v>
      </c>
      <c r="H745" s="7" t="s">
        <v>958</v>
      </c>
      <c r="I745" t="s">
        <v>29</v>
      </c>
      <c r="J745">
        <f>LEN(H745)</f>
        <v>14</v>
      </c>
      <c r="K745" s="49" t="s">
        <v>3590</v>
      </c>
      <c r="O745" s="3" t="s">
        <v>7010</v>
      </c>
      <c r="P745" s="3" t="s">
        <v>7010</v>
      </c>
      <c r="Q745" s="3" t="s">
        <v>7010</v>
      </c>
      <c r="R745" s="3" t="s">
        <v>7010</v>
      </c>
      <c r="S745" s="3" t="s">
        <v>7010</v>
      </c>
      <c r="T745" s="3" t="s">
        <v>7010</v>
      </c>
      <c r="U745" s="3" t="s">
        <v>7010</v>
      </c>
      <c r="V745" s="3" t="s">
        <v>7010</v>
      </c>
      <c r="W745" s="74" t="str">
        <f t="shared" si="45"/>
        <v>No</v>
      </c>
      <c r="Z745">
        <v>744</v>
      </c>
      <c r="AA745" s="55" t="s">
        <v>5679</v>
      </c>
      <c r="AC745">
        <f t="shared" si="44"/>
        <v>6</v>
      </c>
      <c r="AD745" s="30" t="s">
        <v>5680</v>
      </c>
      <c r="AH745" s="3" t="s">
        <v>7015</v>
      </c>
      <c r="AI745" s="3" t="s">
        <v>7010</v>
      </c>
      <c r="AJ745" s="3" t="s">
        <v>7010</v>
      </c>
      <c r="AK745" s="3" t="s">
        <v>7015</v>
      </c>
      <c r="AL745" s="3" t="s">
        <v>7010</v>
      </c>
      <c r="AM745" s="3" t="s">
        <v>7010</v>
      </c>
      <c r="AN745" s="3" t="s">
        <v>7010</v>
      </c>
      <c r="AO745" s="3" t="s">
        <v>7010</v>
      </c>
      <c r="AP745" s="74" t="s">
        <v>7015</v>
      </c>
      <c r="AU745">
        <v>744</v>
      </c>
      <c r="AV745" t="s">
        <v>5681</v>
      </c>
      <c r="AW745" t="s">
        <v>2279</v>
      </c>
      <c r="AX745">
        <f t="shared" si="46"/>
        <v>13</v>
      </c>
      <c r="AY745" s="30" t="s">
        <v>5682</v>
      </c>
      <c r="BC745" s="3" t="s">
        <v>7010</v>
      </c>
      <c r="BD745" s="3" t="s">
        <v>7010</v>
      </c>
      <c r="BE745" s="3" t="s">
        <v>7010</v>
      </c>
      <c r="BF745" s="3" t="s">
        <v>7010</v>
      </c>
      <c r="BG745" s="3" t="s">
        <v>7010</v>
      </c>
      <c r="BH745" s="3" t="s">
        <v>7010</v>
      </c>
      <c r="BI745" s="3" t="s">
        <v>7010</v>
      </c>
      <c r="BJ745" s="3" t="s">
        <v>7010</v>
      </c>
      <c r="BK745" s="74" t="str">
        <f t="shared" si="47"/>
        <v>No</v>
      </c>
    </row>
    <row r="746" spans="7:63">
      <c r="G746">
        <v>745</v>
      </c>
      <c r="H746" s="7" t="s">
        <v>1134</v>
      </c>
      <c r="I746" t="s">
        <v>29</v>
      </c>
      <c r="J746">
        <f>LEN(H746)</f>
        <v>14</v>
      </c>
      <c r="K746" s="49" t="s">
        <v>4045</v>
      </c>
      <c r="O746" s="3" t="s">
        <v>7010</v>
      </c>
      <c r="P746" s="3" t="s">
        <v>7010</v>
      </c>
      <c r="Q746" s="3" t="s">
        <v>7010</v>
      </c>
      <c r="R746" s="3" t="s">
        <v>7010</v>
      </c>
      <c r="S746" s="3" t="s">
        <v>7010</v>
      </c>
      <c r="T746" s="3" t="s">
        <v>7010</v>
      </c>
      <c r="U746" s="3" t="s">
        <v>7010</v>
      </c>
      <c r="V746" s="3" t="s">
        <v>7010</v>
      </c>
      <c r="W746" s="74" t="str">
        <f t="shared" si="45"/>
        <v>No</v>
      </c>
      <c r="Z746">
        <v>745</v>
      </c>
      <c r="AA746" s="55" t="s">
        <v>5684</v>
      </c>
      <c r="AC746">
        <f t="shared" si="44"/>
        <v>6</v>
      </c>
      <c r="AD746" s="30" t="s">
        <v>5685</v>
      </c>
      <c r="AH746" s="3" t="s">
        <v>7015</v>
      </c>
      <c r="AI746" s="3" t="s">
        <v>7010</v>
      </c>
      <c r="AJ746" s="3" t="s">
        <v>7010</v>
      </c>
      <c r="AK746" s="3" t="s">
        <v>7015</v>
      </c>
      <c r="AL746" s="3" t="s">
        <v>7010</v>
      </c>
      <c r="AM746" s="3" t="s">
        <v>7010</v>
      </c>
      <c r="AN746" s="3" t="s">
        <v>7010</v>
      </c>
      <c r="AO746" s="3" t="s">
        <v>7010</v>
      </c>
      <c r="AP746" s="74" t="s">
        <v>7015</v>
      </c>
      <c r="AU746">
        <v>745</v>
      </c>
      <c r="AV746" t="s">
        <v>5686</v>
      </c>
      <c r="AW746" t="s">
        <v>2279</v>
      </c>
      <c r="AX746">
        <f t="shared" si="46"/>
        <v>8</v>
      </c>
      <c r="AY746" s="30" t="s">
        <v>5687</v>
      </c>
      <c r="BC746" s="3" t="s">
        <v>7015</v>
      </c>
      <c r="BD746" s="3" t="s">
        <v>7010</v>
      </c>
      <c r="BE746" s="3" t="s">
        <v>7015</v>
      </c>
      <c r="BF746" s="3" t="s">
        <v>7010</v>
      </c>
      <c r="BG746" s="3" t="s">
        <v>7010</v>
      </c>
      <c r="BH746" s="3" t="s">
        <v>7010</v>
      </c>
      <c r="BI746" s="3" t="s">
        <v>7010</v>
      </c>
      <c r="BJ746" s="3" t="s">
        <v>7010</v>
      </c>
      <c r="BK746" s="74" t="str">
        <f t="shared" si="47"/>
        <v>Yes</v>
      </c>
    </row>
    <row r="747" spans="7:63">
      <c r="G747">
        <v>746</v>
      </c>
      <c r="H747" s="7" t="s">
        <v>1778</v>
      </c>
      <c r="I747" t="s">
        <v>29</v>
      </c>
      <c r="J747">
        <f>LEN(H747)</f>
        <v>16</v>
      </c>
      <c r="K747" s="49" t="s">
        <v>5678</v>
      </c>
      <c r="O747" s="3" t="s">
        <v>7010</v>
      </c>
      <c r="P747" s="3" t="s">
        <v>7010</v>
      </c>
      <c r="Q747" s="3" t="s">
        <v>7010</v>
      </c>
      <c r="R747" s="3" t="s">
        <v>7010</v>
      </c>
      <c r="S747" s="3" t="s">
        <v>7010</v>
      </c>
      <c r="T747" s="3" t="s">
        <v>7010</v>
      </c>
      <c r="U747" s="3" t="s">
        <v>7010</v>
      </c>
      <c r="V747" s="3" t="s">
        <v>7010</v>
      </c>
      <c r="W747" s="74" t="str">
        <f t="shared" si="45"/>
        <v>No</v>
      </c>
      <c r="Z747">
        <v>746</v>
      </c>
      <c r="AA747" s="55" t="s">
        <v>5689</v>
      </c>
      <c r="AC747">
        <f t="shared" si="44"/>
        <v>8</v>
      </c>
      <c r="AD747" s="30" t="s">
        <v>5690</v>
      </c>
      <c r="AH747" s="3" t="s">
        <v>7015</v>
      </c>
      <c r="AI747" s="3" t="s">
        <v>7010</v>
      </c>
      <c r="AJ747" s="3" t="s">
        <v>7010</v>
      </c>
      <c r="AK747" s="3" t="s">
        <v>7015</v>
      </c>
      <c r="AL747" s="3" t="s">
        <v>7010</v>
      </c>
      <c r="AM747" s="3" t="s">
        <v>7010</v>
      </c>
      <c r="AN747" s="3" t="s">
        <v>7010</v>
      </c>
      <c r="AO747" s="3" t="s">
        <v>7010</v>
      </c>
      <c r="AP747" s="74" t="s">
        <v>7015</v>
      </c>
      <c r="AU747">
        <v>746</v>
      </c>
      <c r="AV747" t="s">
        <v>5691</v>
      </c>
      <c r="AW747" t="s">
        <v>2279</v>
      </c>
      <c r="AX747">
        <f t="shared" si="46"/>
        <v>9</v>
      </c>
      <c r="AY747" s="30" t="s">
        <v>5692</v>
      </c>
      <c r="BC747" s="3" t="s">
        <v>7010</v>
      </c>
      <c r="BD747" s="3" t="s">
        <v>7010</v>
      </c>
      <c r="BE747" s="3" t="s">
        <v>7010</v>
      </c>
      <c r="BF747" s="3" t="s">
        <v>7010</v>
      </c>
      <c r="BG747" s="3" t="s">
        <v>7010</v>
      </c>
      <c r="BH747" s="3" t="s">
        <v>7010</v>
      </c>
      <c r="BI747" s="3" t="s">
        <v>7010</v>
      </c>
      <c r="BJ747" s="3" t="s">
        <v>7010</v>
      </c>
      <c r="BK747" s="74" t="str">
        <f t="shared" si="47"/>
        <v>No</v>
      </c>
    </row>
    <row r="748" spans="7:63">
      <c r="G748">
        <v>747</v>
      </c>
      <c r="H748" s="7" t="s">
        <v>1002</v>
      </c>
      <c r="I748" t="s">
        <v>29</v>
      </c>
      <c r="J748">
        <f>LEN(H748)</f>
        <v>13</v>
      </c>
      <c r="K748" s="49" t="s">
        <v>3699</v>
      </c>
      <c r="O748" s="3" t="s">
        <v>7010</v>
      </c>
      <c r="P748" s="3" t="s">
        <v>7010</v>
      </c>
      <c r="Q748" s="3" t="s">
        <v>7010</v>
      </c>
      <c r="R748" s="3" t="s">
        <v>7010</v>
      </c>
      <c r="S748" s="3" t="s">
        <v>7010</v>
      </c>
      <c r="T748" s="3" t="s">
        <v>7010</v>
      </c>
      <c r="U748" s="3" t="s">
        <v>7010</v>
      </c>
      <c r="V748" s="3" t="s">
        <v>7010</v>
      </c>
      <c r="W748" s="74" t="str">
        <f t="shared" si="45"/>
        <v>No</v>
      </c>
      <c r="Z748">
        <v>747</v>
      </c>
      <c r="AA748" s="55" t="s">
        <v>5693</v>
      </c>
      <c r="AC748">
        <f t="shared" si="44"/>
        <v>6</v>
      </c>
      <c r="AD748" s="30" t="s">
        <v>5694</v>
      </c>
      <c r="AH748" s="3" t="s">
        <v>7015</v>
      </c>
      <c r="AI748" s="3" t="s">
        <v>7010</v>
      </c>
      <c r="AJ748" s="3" t="s">
        <v>7010</v>
      </c>
      <c r="AK748" s="3" t="s">
        <v>7015</v>
      </c>
      <c r="AL748" s="3" t="s">
        <v>7010</v>
      </c>
      <c r="AM748" s="3" t="s">
        <v>7010</v>
      </c>
      <c r="AN748" s="3" t="s">
        <v>7010</v>
      </c>
      <c r="AO748" s="3" t="s">
        <v>7010</v>
      </c>
      <c r="AP748" s="74" t="s">
        <v>7015</v>
      </c>
      <c r="AU748">
        <v>747</v>
      </c>
      <c r="AV748" t="s">
        <v>5695</v>
      </c>
      <c r="AW748" t="s">
        <v>2279</v>
      </c>
      <c r="AX748">
        <f t="shared" si="46"/>
        <v>11</v>
      </c>
      <c r="AY748" s="30" t="s">
        <v>5696</v>
      </c>
      <c r="BC748" s="3" t="s">
        <v>7010</v>
      </c>
      <c r="BD748" s="3" t="s">
        <v>7010</v>
      </c>
      <c r="BE748" s="3" t="s">
        <v>7010</v>
      </c>
      <c r="BF748" s="3" t="s">
        <v>7010</v>
      </c>
      <c r="BG748" s="3" t="s">
        <v>7010</v>
      </c>
      <c r="BH748" s="3" t="s">
        <v>7010</v>
      </c>
      <c r="BI748" s="3" t="s">
        <v>7010</v>
      </c>
      <c r="BJ748" s="3" t="s">
        <v>7010</v>
      </c>
      <c r="BK748" s="74" t="str">
        <f t="shared" si="47"/>
        <v>No</v>
      </c>
    </row>
    <row r="749" spans="7:63">
      <c r="G749">
        <v>748</v>
      </c>
      <c r="H749" s="7" t="s">
        <v>1196</v>
      </c>
      <c r="I749" t="s">
        <v>29</v>
      </c>
      <c r="J749">
        <f>LEN(H749)</f>
        <v>14</v>
      </c>
      <c r="K749" s="49" t="s">
        <v>4205</v>
      </c>
      <c r="O749" s="3" t="s">
        <v>7010</v>
      </c>
      <c r="P749" s="3" t="s">
        <v>7010</v>
      </c>
      <c r="Q749" s="3" t="s">
        <v>7010</v>
      </c>
      <c r="R749" s="3" t="s">
        <v>7010</v>
      </c>
      <c r="S749" s="3" t="s">
        <v>7010</v>
      </c>
      <c r="T749" s="3" t="s">
        <v>7010</v>
      </c>
      <c r="U749" s="3" t="s">
        <v>7010</v>
      </c>
      <c r="V749" s="3" t="s">
        <v>7010</v>
      </c>
      <c r="W749" s="74" t="str">
        <f t="shared" si="45"/>
        <v>No</v>
      </c>
      <c r="Z749">
        <v>748</v>
      </c>
      <c r="AA749" s="55" t="s">
        <v>5698</v>
      </c>
      <c r="AC749">
        <f t="shared" si="44"/>
        <v>7</v>
      </c>
      <c r="AD749" s="30" t="s">
        <v>5699</v>
      </c>
      <c r="AH749" s="3" t="s">
        <v>7015</v>
      </c>
      <c r="AI749" s="3" t="s">
        <v>7010</v>
      </c>
      <c r="AJ749" s="3" t="s">
        <v>7010</v>
      </c>
      <c r="AK749" s="3" t="s">
        <v>7015</v>
      </c>
      <c r="AL749" s="3" t="s">
        <v>7010</v>
      </c>
      <c r="AM749" s="3" t="s">
        <v>7010</v>
      </c>
      <c r="AN749" s="3" t="s">
        <v>7010</v>
      </c>
      <c r="AO749" s="3" t="s">
        <v>7010</v>
      </c>
      <c r="AP749" s="74" t="s">
        <v>7015</v>
      </c>
      <c r="AU749">
        <v>748</v>
      </c>
      <c r="AV749" t="s">
        <v>5700</v>
      </c>
      <c r="AW749" t="s">
        <v>2279</v>
      </c>
      <c r="AX749">
        <f t="shared" si="46"/>
        <v>8</v>
      </c>
      <c r="AY749" s="30" t="s">
        <v>5701</v>
      </c>
      <c r="BC749" s="3" t="s">
        <v>7010</v>
      </c>
      <c r="BD749" s="3" t="s">
        <v>7010</v>
      </c>
      <c r="BE749" s="3" t="s">
        <v>7010</v>
      </c>
      <c r="BF749" s="3" t="s">
        <v>7010</v>
      </c>
      <c r="BG749" s="3" t="s">
        <v>7010</v>
      </c>
      <c r="BH749" s="3" t="s">
        <v>7010</v>
      </c>
      <c r="BI749" s="3" t="s">
        <v>7010</v>
      </c>
      <c r="BJ749" s="3" t="s">
        <v>7010</v>
      </c>
      <c r="BK749" s="74" t="str">
        <f t="shared" si="47"/>
        <v>No</v>
      </c>
    </row>
    <row r="750" spans="7:63">
      <c r="G750">
        <v>749</v>
      </c>
      <c r="H750" s="7" t="s">
        <v>1806</v>
      </c>
      <c r="I750" t="s">
        <v>29</v>
      </c>
      <c r="J750">
        <f>LEN(H750)</f>
        <v>13</v>
      </c>
      <c r="K750" s="49" t="s">
        <v>5756</v>
      </c>
      <c r="O750" s="3" t="s">
        <v>7010</v>
      </c>
      <c r="P750" s="3" t="s">
        <v>7010</v>
      </c>
      <c r="Q750" s="3" t="s">
        <v>7010</v>
      </c>
      <c r="R750" s="3" t="s">
        <v>7010</v>
      </c>
      <c r="S750" s="3" t="s">
        <v>7010</v>
      </c>
      <c r="T750" s="3" t="s">
        <v>7010</v>
      </c>
      <c r="U750" s="3" t="s">
        <v>7010</v>
      </c>
      <c r="V750" s="3" t="s">
        <v>7010</v>
      </c>
      <c r="W750" s="74" t="str">
        <f t="shared" si="45"/>
        <v>No</v>
      </c>
      <c r="Z750">
        <v>749</v>
      </c>
      <c r="AA750" s="55" t="s">
        <v>5703</v>
      </c>
      <c r="AC750">
        <f t="shared" si="44"/>
        <v>6</v>
      </c>
      <c r="AD750" s="30" t="s">
        <v>5704</v>
      </c>
      <c r="AH750" s="3" t="s">
        <v>7015</v>
      </c>
      <c r="AI750" s="3" t="s">
        <v>7010</v>
      </c>
      <c r="AJ750" s="3" t="s">
        <v>7010</v>
      </c>
      <c r="AK750" s="3" t="s">
        <v>7015</v>
      </c>
      <c r="AL750" s="3" t="s">
        <v>7010</v>
      </c>
      <c r="AM750" s="3" t="s">
        <v>7010</v>
      </c>
      <c r="AN750" s="3" t="s">
        <v>7010</v>
      </c>
      <c r="AO750" s="3" t="s">
        <v>7010</v>
      </c>
      <c r="AP750" s="74" t="s">
        <v>7015</v>
      </c>
      <c r="AU750">
        <v>749</v>
      </c>
      <c r="AV750" t="s">
        <v>5705</v>
      </c>
      <c r="AW750" t="s">
        <v>2279</v>
      </c>
      <c r="AX750">
        <f t="shared" si="46"/>
        <v>9</v>
      </c>
      <c r="AY750" s="30" t="s">
        <v>5706</v>
      </c>
      <c r="BC750" s="3" t="s">
        <v>7010</v>
      </c>
      <c r="BD750" s="3" t="s">
        <v>7010</v>
      </c>
      <c r="BE750" s="3" t="s">
        <v>7010</v>
      </c>
      <c r="BF750" s="3" t="s">
        <v>7010</v>
      </c>
      <c r="BG750" s="3" t="s">
        <v>7010</v>
      </c>
      <c r="BH750" s="3" t="s">
        <v>7010</v>
      </c>
      <c r="BI750" s="3" t="s">
        <v>7010</v>
      </c>
      <c r="BJ750" s="3" t="s">
        <v>7010</v>
      </c>
      <c r="BK750" s="74" t="str">
        <f t="shared" si="47"/>
        <v>No</v>
      </c>
    </row>
    <row r="751" spans="7:63">
      <c r="G751">
        <v>750</v>
      </c>
      <c r="H751" s="7" t="s">
        <v>938</v>
      </c>
      <c r="I751" t="s">
        <v>29</v>
      </c>
      <c r="J751">
        <f>LEN(H751)</f>
        <v>12</v>
      </c>
      <c r="K751" s="49" t="s">
        <v>3541</v>
      </c>
      <c r="O751" s="3" t="s">
        <v>7010</v>
      </c>
      <c r="P751" s="3" t="s">
        <v>7010</v>
      </c>
      <c r="Q751" s="3" t="s">
        <v>7010</v>
      </c>
      <c r="R751" s="3" t="s">
        <v>7010</v>
      </c>
      <c r="S751" s="3" t="s">
        <v>7010</v>
      </c>
      <c r="T751" s="3" t="s">
        <v>7010</v>
      </c>
      <c r="U751" s="3" t="s">
        <v>7010</v>
      </c>
      <c r="V751" s="3" t="s">
        <v>7010</v>
      </c>
      <c r="W751" s="74" t="str">
        <f t="shared" si="45"/>
        <v>No</v>
      </c>
      <c r="Z751">
        <v>750</v>
      </c>
      <c r="AA751" s="55" t="s">
        <v>5708</v>
      </c>
      <c r="AC751">
        <f t="shared" si="44"/>
        <v>8</v>
      </c>
      <c r="AD751" s="30" t="s">
        <v>5709</v>
      </c>
      <c r="AH751" s="3" t="s">
        <v>7015</v>
      </c>
      <c r="AI751" s="3" t="s">
        <v>7010</v>
      </c>
      <c r="AJ751" s="3" t="s">
        <v>7010</v>
      </c>
      <c r="AK751" s="3" t="s">
        <v>7015</v>
      </c>
      <c r="AL751" s="3" t="s">
        <v>7010</v>
      </c>
      <c r="AM751" s="3" t="s">
        <v>7010</v>
      </c>
      <c r="AN751" s="3" t="s">
        <v>7010</v>
      </c>
      <c r="AO751" s="3" t="s">
        <v>7010</v>
      </c>
      <c r="AP751" s="74" t="s">
        <v>7015</v>
      </c>
      <c r="AU751">
        <v>750</v>
      </c>
      <c r="AV751" t="s">
        <v>5710</v>
      </c>
      <c r="AW751" t="s">
        <v>2279</v>
      </c>
      <c r="AX751">
        <f t="shared" si="46"/>
        <v>8</v>
      </c>
      <c r="AY751" s="30" t="s">
        <v>5711</v>
      </c>
      <c r="BC751" s="3" t="s">
        <v>7010</v>
      </c>
      <c r="BD751" s="3" t="s">
        <v>7010</v>
      </c>
      <c r="BE751" s="3" t="s">
        <v>7010</v>
      </c>
      <c r="BF751" s="3" t="s">
        <v>7010</v>
      </c>
      <c r="BG751" s="3" t="s">
        <v>7010</v>
      </c>
      <c r="BH751" s="3" t="s">
        <v>7010</v>
      </c>
      <c r="BI751" s="3" t="s">
        <v>7010</v>
      </c>
      <c r="BJ751" s="3" t="s">
        <v>7010</v>
      </c>
      <c r="BK751" s="74" t="str">
        <f t="shared" si="47"/>
        <v>No</v>
      </c>
    </row>
    <row r="752" spans="7:63">
      <c r="G752">
        <v>751</v>
      </c>
      <c r="H752" s="7" t="s">
        <v>1100</v>
      </c>
      <c r="I752" t="s">
        <v>29</v>
      </c>
      <c r="J752">
        <f>LEN(H752)</f>
        <v>8</v>
      </c>
      <c r="K752" s="49" t="s">
        <v>3962</v>
      </c>
      <c r="O752" s="3" t="s">
        <v>7010</v>
      </c>
      <c r="P752" s="3" t="s">
        <v>7010</v>
      </c>
      <c r="Q752" s="3" t="s">
        <v>7010</v>
      </c>
      <c r="R752" s="3" t="s">
        <v>7010</v>
      </c>
      <c r="S752" s="3" t="s">
        <v>7010</v>
      </c>
      <c r="T752" s="3" t="s">
        <v>7010</v>
      </c>
      <c r="U752" s="3" t="s">
        <v>7010</v>
      </c>
      <c r="V752" s="3" t="s">
        <v>7010</v>
      </c>
      <c r="W752" s="74" t="str">
        <f t="shared" si="45"/>
        <v>No</v>
      </c>
      <c r="Z752">
        <v>751</v>
      </c>
      <c r="AA752" s="55" t="s">
        <v>5713</v>
      </c>
      <c r="AC752">
        <f t="shared" si="44"/>
        <v>6</v>
      </c>
      <c r="AD752" s="30" t="s">
        <v>5714</v>
      </c>
      <c r="AH752" s="3" t="s">
        <v>7015</v>
      </c>
      <c r="AI752" s="3" t="s">
        <v>7010</v>
      </c>
      <c r="AJ752" s="3" t="s">
        <v>7010</v>
      </c>
      <c r="AK752" s="3" t="s">
        <v>7015</v>
      </c>
      <c r="AL752" s="3" t="s">
        <v>7010</v>
      </c>
      <c r="AM752" s="3" t="s">
        <v>7010</v>
      </c>
      <c r="AN752" s="3" t="s">
        <v>7010</v>
      </c>
      <c r="AO752" s="3" t="s">
        <v>7010</v>
      </c>
      <c r="AP752" s="74" t="s">
        <v>7015</v>
      </c>
      <c r="AU752">
        <v>751</v>
      </c>
      <c r="AV752" t="s">
        <v>5715</v>
      </c>
      <c r="AW752" t="s">
        <v>2279</v>
      </c>
      <c r="AX752">
        <f t="shared" si="46"/>
        <v>8</v>
      </c>
      <c r="AY752" s="31" t="s">
        <v>5716</v>
      </c>
      <c r="BC752" s="3" t="s">
        <v>7010</v>
      </c>
      <c r="BD752" s="3" t="s">
        <v>7010</v>
      </c>
      <c r="BE752" s="3" t="s">
        <v>7010</v>
      </c>
      <c r="BF752" s="3" t="s">
        <v>7010</v>
      </c>
      <c r="BG752" s="3" t="s">
        <v>7010</v>
      </c>
      <c r="BH752" s="3" t="s">
        <v>7010</v>
      </c>
      <c r="BI752" s="3" t="s">
        <v>7010</v>
      </c>
      <c r="BJ752" s="3" t="s">
        <v>7010</v>
      </c>
      <c r="BK752" s="74" t="str">
        <f t="shared" si="47"/>
        <v>No</v>
      </c>
    </row>
    <row r="753" spans="7:63">
      <c r="G753">
        <v>752</v>
      </c>
      <c r="H753" s="7" t="s">
        <v>918</v>
      </c>
      <c r="I753" t="s">
        <v>29</v>
      </c>
      <c r="J753">
        <f>LEN(H753)</f>
        <v>18</v>
      </c>
      <c r="K753" s="49" t="s">
        <v>3491</v>
      </c>
      <c r="O753" s="3" t="s">
        <v>7010</v>
      </c>
      <c r="P753" s="3" t="s">
        <v>7010</v>
      </c>
      <c r="Q753" s="3" t="s">
        <v>7010</v>
      </c>
      <c r="R753" s="3" t="s">
        <v>7010</v>
      </c>
      <c r="S753" s="3" t="s">
        <v>7010</v>
      </c>
      <c r="T753" s="3" t="s">
        <v>7010</v>
      </c>
      <c r="U753" s="3" t="s">
        <v>7010</v>
      </c>
      <c r="V753" s="3" t="s">
        <v>7010</v>
      </c>
      <c r="W753" s="74" t="str">
        <f t="shared" si="45"/>
        <v>No</v>
      </c>
      <c r="Z753">
        <v>752</v>
      </c>
      <c r="AA753" s="55" t="s">
        <v>5718</v>
      </c>
      <c r="AC753">
        <f t="shared" si="44"/>
        <v>6</v>
      </c>
      <c r="AD753" s="30" t="s">
        <v>5719</v>
      </c>
      <c r="AH753" s="3" t="s">
        <v>7015</v>
      </c>
      <c r="AI753" s="3" t="s">
        <v>7010</v>
      </c>
      <c r="AJ753" s="3" t="s">
        <v>7010</v>
      </c>
      <c r="AK753" s="3" t="s">
        <v>7015</v>
      </c>
      <c r="AL753" s="3" t="s">
        <v>7010</v>
      </c>
      <c r="AM753" s="3" t="s">
        <v>7010</v>
      </c>
      <c r="AN753" s="3" t="s">
        <v>7010</v>
      </c>
      <c r="AO753" s="3" t="s">
        <v>7010</v>
      </c>
      <c r="AP753" s="74" t="s">
        <v>7015</v>
      </c>
      <c r="AU753">
        <v>752</v>
      </c>
      <c r="AV753" t="s">
        <v>5720</v>
      </c>
      <c r="AW753" t="s">
        <v>2279</v>
      </c>
      <c r="AX753">
        <f t="shared" si="46"/>
        <v>8</v>
      </c>
      <c r="AY753" s="30" t="s">
        <v>5721</v>
      </c>
      <c r="BC753" s="3" t="s">
        <v>7010</v>
      </c>
      <c r="BD753" s="3" t="s">
        <v>7010</v>
      </c>
      <c r="BE753" s="3" t="s">
        <v>7010</v>
      </c>
      <c r="BF753" s="3" t="s">
        <v>7010</v>
      </c>
      <c r="BG753" s="3" t="s">
        <v>7010</v>
      </c>
      <c r="BH753" s="3" t="s">
        <v>7010</v>
      </c>
      <c r="BI753" s="3" t="s">
        <v>7010</v>
      </c>
      <c r="BJ753" s="3" t="s">
        <v>7010</v>
      </c>
      <c r="BK753" s="74" t="str">
        <f t="shared" si="47"/>
        <v>No</v>
      </c>
    </row>
    <row r="754" spans="7:63">
      <c r="G754">
        <v>753</v>
      </c>
      <c r="H754" s="7" t="s">
        <v>1178</v>
      </c>
      <c r="I754" t="s">
        <v>29</v>
      </c>
      <c r="J754">
        <f>LEN(H754)</f>
        <v>14</v>
      </c>
      <c r="K754" s="49" t="s">
        <v>4156</v>
      </c>
      <c r="O754" s="3" t="s">
        <v>7010</v>
      </c>
      <c r="P754" s="3" t="s">
        <v>7010</v>
      </c>
      <c r="Q754" s="3" t="s">
        <v>7010</v>
      </c>
      <c r="R754" s="3" t="s">
        <v>7010</v>
      </c>
      <c r="S754" s="3" t="s">
        <v>7010</v>
      </c>
      <c r="T754" s="3" t="s">
        <v>7010</v>
      </c>
      <c r="U754" s="3" t="s">
        <v>7010</v>
      </c>
      <c r="V754" s="3" t="s">
        <v>7010</v>
      </c>
      <c r="W754" s="74" t="str">
        <f t="shared" si="45"/>
        <v>No</v>
      </c>
      <c r="Z754">
        <v>753</v>
      </c>
      <c r="AA754" s="55" t="s">
        <v>5723</v>
      </c>
      <c r="AC754">
        <f t="shared" si="44"/>
        <v>8</v>
      </c>
      <c r="AD754" s="30" t="s">
        <v>5724</v>
      </c>
      <c r="AH754" s="3" t="s">
        <v>7015</v>
      </c>
      <c r="AI754" s="3" t="s">
        <v>7010</v>
      </c>
      <c r="AJ754" s="3" t="s">
        <v>7010</v>
      </c>
      <c r="AK754" s="3" t="s">
        <v>7015</v>
      </c>
      <c r="AL754" s="3" t="s">
        <v>7010</v>
      </c>
      <c r="AM754" s="3" t="s">
        <v>7010</v>
      </c>
      <c r="AN754" s="3" t="s">
        <v>7010</v>
      </c>
      <c r="AO754" s="3" t="s">
        <v>7010</v>
      </c>
      <c r="AP754" s="74" t="s">
        <v>7015</v>
      </c>
      <c r="AU754">
        <v>753</v>
      </c>
      <c r="AV754" t="s">
        <v>5725</v>
      </c>
      <c r="AW754" t="s">
        <v>2279</v>
      </c>
      <c r="AX754">
        <f t="shared" si="46"/>
        <v>9</v>
      </c>
      <c r="AY754" s="30" t="s">
        <v>5726</v>
      </c>
      <c r="BC754" s="3" t="s">
        <v>7010</v>
      </c>
      <c r="BD754" s="3" t="s">
        <v>7010</v>
      </c>
      <c r="BE754" s="3" t="s">
        <v>7010</v>
      </c>
      <c r="BF754" s="3" t="s">
        <v>7010</v>
      </c>
      <c r="BG754" s="3" t="s">
        <v>7010</v>
      </c>
      <c r="BH754" s="3" t="s">
        <v>7010</v>
      </c>
      <c r="BI754" s="3" t="s">
        <v>7010</v>
      </c>
      <c r="BJ754" s="3" t="s">
        <v>7010</v>
      </c>
      <c r="BK754" s="74" t="str">
        <f t="shared" si="47"/>
        <v>No</v>
      </c>
    </row>
    <row r="755" spans="7:63">
      <c r="G755">
        <v>754</v>
      </c>
      <c r="H755" s="7" t="s">
        <v>982</v>
      </c>
      <c r="I755" t="s">
        <v>29</v>
      </c>
      <c r="J755">
        <f>LEN(H755)</f>
        <v>12</v>
      </c>
      <c r="K755" s="49" t="s">
        <v>3649</v>
      </c>
      <c r="O755" s="3" t="s">
        <v>7010</v>
      </c>
      <c r="P755" s="3" t="s">
        <v>7010</v>
      </c>
      <c r="Q755" s="3" t="s">
        <v>7010</v>
      </c>
      <c r="R755" s="3" t="s">
        <v>7010</v>
      </c>
      <c r="S755" s="3" t="s">
        <v>7010</v>
      </c>
      <c r="T755" s="3" t="s">
        <v>7010</v>
      </c>
      <c r="U755" s="3" t="s">
        <v>7010</v>
      </c>
      <c r="V755" s="3" t="s">
        <v>7010</v>
      </c>
      <c r="W755" s="74" t="str">
        <f t="shared" si="45"/>
        <v>No</v>
      </c>
      <c r="Z755">
        <v>754</v>
      </c>
      <c r="AA755" s="55" t="s">
        <v>5728</v>
      </c>
      <c r="AC755">
        <f t="shared" si="44"/>
        <v>8</v>
      </c>
      <c r="AD755" s="30" t="s">
        <v>5729</v>
      </c>
      <c r="AH755" s="3" t="s">
        <v>7015</v>
      </c>
      <c r="AI755" s="3" t="s">
        <v>7010</v>
      </c>
      <c r="AJ755" s="3" t="s">
        <v>7010</v>
      </c>
      <c r="AK755" s="3" t="s">
        <v>7015</v>
      </c>
      <c r="AL755" s="3" t="s">
        <v>7010</v>
      </c>
      <c r="AM755" s="3" t="s">
        <v>7010</v>
      </c>
      <c r="AN755" s="3" t="s">
        <v>7010</v>
      </c>
      <c r="AO755" s="3" t="s">
        <v>7010</v>
      </c>
      <c r="AP755" s="74" t="s">
        <v>7015</v>
      </c>
      <c r="AU755">
        <v>754</v>
      </c>
      <c r="AV755" t="s">
        <v>5730</v>
      </c>
      <c r="AW755" t="s">
        <v>2279</v>
      </c>
      <c r="AX755">
        <f t="shared" si="46"/>
        <v>12</v>
      </c>
      <c r="AY755" s="30" t="s">
        <v>5731</v>
      </c>
      <c r="BC755" s="3" t="s">
        <v>7010</v>
      </c>
      <c r="BD755" s="3" t="s">
        <v>7010</v>
      </c>
      <c r="BE755" s="3" t="s">
        <v>7010</v>
      </c>
      <c r="BF755" s="3" t="s">
        <v>7010</v>
      </c>
      <c r="BG755" s="3" t="s">
        <v>7010</v>
      </c>
      <c r="BH755" s="3" t="s">
        <v>7010</v>
      </c>
      <c r="BI755" s="3" t="s">
        <v>7010</v>
      </c>
      <c r="BJ755" s="3" t="s">
        <v>7010</v>
      </c>
      <c r="BK755" s="74" t="str">
        <f t="shared" si="47"/>
        <v>No</v>
      </c>
    </row>
    <row r="756" spans="7:63">
      <c r="G756">
        <v>755</v>
      </c>
      <c r="H756" s="7" t="s">
        <v>946</v>
      </c>
      <c r="I756" t="s">
        <v>29</v>
      </c>
      <c r="J756">
        <f>LEN(H756)</f>
        <v>12</v>
      </c>
      <c r="K756" s="49" t="s">
        <v>3561</v>
      </c>
      <c r="O756" s="3" t="s">
        <v>7010</v>
      </c>
      <c r="P756" s="3" t="s">
        <v>7010</v>
      </c>
      <c r="Q756" s="3" t="s">
        <v>7010</v>
      </c>
      <c r="R756" s="3" t="s">
        <v>7010</v>
      </c>
      <c r="S756" s="3" t="s">
        <v>7010</v>
      </c>
      <c r="T756" s="3" t="s">
        <v>7010</v>
      </c>
      <c r="U756" s="3" t="s">
        <v>7010</v>
      </c>
      <c r="V756" s="3" t="s">
        <v>7010</v>
      </c>
      <c r="W756" s="74" t="str">
        <f t="shared" si="45"/>
        <v>No</v>
      </c>
      <c r="Z756">
        <v>755</v>
      </c>
      <c r="AA756" s="55" t="s">
        <v>5732</v>
      </c>
      <c r="AC756">
        <f t="shared" si="44"/>
        <v>6</v>
      </c>
      <c r="AD756" s="30" t="s">
        <v>5733</v>
      </c>
      <c r="AH756" s="3" t="s">
        <v>7015</v>
      </c>
      <c r="AI756" s="3" t="s">
        <v>7010</v>
      </c>
      <c r="AJ756" s="3" t="s">
        <v>7010</v>
      </c>
      <c r="AK756" s="3" t="s">
        <v>7015</v>
      </c>
      <c r="AL756" s="3" t="s">
        <v>7010</v>
      </c>
      <c r="AM756" s="3" t="s">
        <v>7010</v>
      </c>
      <c r="AN756" s="3" t="s">
        <v>7010</v>
      </c>
      <c r="AO756" s="3" t="s">
        <v>7010</v>
      </c>
      <c r="AP756" s="74" t="s">
        <v>7015</v>
      </c>
      <c r="AU756">
        <v>755</v>
      </c>
      <c r="AV756" t="s">
        <v>5734</v>
      </c>
      <c r="AW756" t="s">
        <v>2279</v>
      </c>
      <c r="AX756">
        <f t="shared" si="46"/>
        <v>19</v>
      </c>
      <c r="AY756" s="30" t="s">
        <v>5735</v>
      </c>
      <c r="BC756" s="3" t="s">
        <v>7010</v>
      </c>
      <c r="BD756" s="3" t="s">
        <v>7010</v>
      </c>
      <c r="BE756" s="3" t="s">
        <v>7010</v>
      </c>
      <c r="BF756" s="3" t="s">
        <v>7010</v>
      </c>
      <c r="BG756" s="3" t="s">
        <v>7010</v>
      </c>
      <c r="BH756" s="3" t="s">
        <v>7010</v>
      </c>
      <c r="BI756" s="3" t="s">
        <v>7010</v>
      </c>
      <c r="BJ756" s="3" t="s">
        <v>7010</v>
      </c>
      <c r="BK756" s="74" t="str">
        <f t="shared" si="47"/>
        <v>No</v>
      </c>
    </row>
    <row r="757" spans="7:63">
      <c r="G757">
        <v>756</v>
      </c>
      <c r="H757" s="7" t="s">
        <v>1162</v>
      </c>
      <c r="I757" t="s">
        <v>29</v>
      </c>
      <c r="J757">
        <f>LEN(H757)</f>
        <v>13</v>
      </c>
      <c r="K757" s="49" t="s">
        <v>4114</v>
      </c>
      <c r="O757" s="3" t="s">
        <v>7010</v>
      </c>
      <c r="P757" s="3" t="s">
        <v>7010</v>
      </c>
      <c r="Q757" s="3" t="s">
        <v>7010</v>
      </c>
      <c r="R757" s="3" t="s">
        <v>7010</v>
      </c>
      <c r="S757" s="3" t="s">
        <v>7010</v>
      </c>
      <c r="T757" s="3" t="s">
        <v>7010</v>
      </c>
      <c r="U757" s="3" t="s">
        <v>7010</v>
      </c>
      <c r="V757" s="3" t="s">
        <v>7010</v>
      </c>
      <c r="W757" s="74" t="str">
        <f t="shared" si="45"/>
        <v>No</v>
      </c>
      <c r="Z757">
        <v>756</v>
      </c>
      <c r="AA757" s="55" t="s">
        <v>5737</v>
      </c>
      <c r="AC757">
        <f t="shared" si="44"/>
        <v>8</v>
      </c>
      <c r="AD757" s="30" t="s">
        <v>5738</v>
      </c>
      <c r="AH757" s="3" t="s">
        <v>7015</v>
      </c>
      <c r="AI757" s="3" t="s">
        <v>7010</v>
      </c>
      <c r="AJ757" s="3" t="s">
        <v>7010</v>
      </c>
      <c r="AK757" s="3" t="s">
        <v>7015</v>
      </c>
      <c r="AL757" s="3" t="s">
        <v>7010</v>
      </c>
      <c r="AM757" s="3" t="s">
        <v>7010</v>
      </c>
      <c r="AN757" s="3" t="s">
        <v>7010</v>
      </c>
      <c r="AO757" s="3" t="s">
        <v>7010</v>
      </c>
      <c r="AP757" s="74" t="s">
        <v>7015</v>
      </c>
      <c r="AU757">
        <v>756</v>
      </c>
      <c r="AV757" t="s">
        <v>5739</v>
      </c>
      <c r="AW757" t="s">
        <v>2279</v>
      </c>
      <c r="AX757">
        <f t="shared" si="46"/>
        <v>17</v>
      </c>
      <c r="AY757" s="30" t="s">
        <v>5740</v>
      </c>
      <c r="BC757" s="3" t="s">
        <v>7010</v>
      </c>
      <c r="BD757" s="3" t="s">
        <v>7010</v>
      </c>
      <c r="BE757" s="3" t="s">
        <v>7010</v>
      </c>
      <c r="BF757" s="3" t="s">
        <v>7010</v>
      </c>
      <c r="BG757" s="3" t="s">
        <v>7010</v>
      </c>
      <c r="BH757" s="3" t="s">
        <v>7010</v>
      </c>
      <c r="BI757" s="3" t="s">
        <v>7010</v>
      </c>
      <c r="BJ757" s="3" t="s">
        <v>7010</v>
      </c>
      <c r="BK757" s="74" t="str">
        <f t="shared" si="47"/>
        <v>No</v>
      </c>
    </row>
    <row r="758" spans="7:63">
      <c r="G758">
        <v>757</v>
      </c>
      <c r="H758" s="7" t="s">
        <v>1716</v>
      </c>
      <c r="I758" t="s">
        <v>29</v>
      </c>
      <c r="J758">
        <f>LEN(H758)</f>
        <v>15</v>
      </c>
      <c r="K758" s="49" t="s">
        <v>5519</v>
      </c>
      <c r="O758" s="3" t="s">
        <v>7010</v>
      </c>
      <c r="P758" s="3" t="s">
        <v>7010</v>
      </c>
      <c r="Q758" s="3" t="s">
        <v>7010</v>
      </c>
      <c r="R758" s="3" t="s">
        <v>7010</v>
      </c>
      <c r="S758" s="3" t="s">
        <v>7010</v>
      </c>
      <c r="T758" s="3" t="s">
        <v>7010</v>
      </c>
      <c r="U758" s="3" t="s">
        <v>7010</v>
      </c>
      <c r="V758" s="3" t="s">
        <v>7010</v>
      </c>
      <c r="W758" s="74" t="str">
        <f t="shared" si="45"/>
        <v>No</v>
      </c>
      <c r="Z758">
        <v>757</v>
      </c>
      <c r="AA758" s="55" t="s">
        <v>5742</v>
      </c>
      <c r="AC758">
        <f t="shared" si="44"/>
        <v>6</v>
      </c>
      <c r="AD758" s="30" t="s">
        <v>5743</v>
      </c>
      <c r="AH758" s="3" t="s">
        <v>7015</v>
      </c>
      <c r="AI758" s="3" t="s">
        <v>7010</v>
      </c>
      <c r="AJ758" s="3" t="s">
        <v>7010</v>
      </c>
      <c r="AK758" s="3" t="s">
        <v>7015</v>
      </c>
      <c r="AL758" s="3" t="s">
        <v>7010</v>
      </c>
      <c r="AM758" s="3" t="s">
        <v>7010</v>
      </c>
      <c r="AN758" s="3" t="s">
        <v>7010</v>
      </c>
      <c r="AO758" s="3" t="s">
        <v>7010</v>
      </c>
      <c r="AP758" s="74" t="s">
        <v>7015</v>
      </c>
      <c r="AU758">
        <v>757</v>
      </c>
      <c r="AV758" t="s">
        <v>5744</v>
      </c>
      <c r="AW758" t="s">
        <v>2279</v>
      </c>
      <c r="AX758">
        <f t="shared" si="46"/>
        <v>16</v>
      </c>
      <c r="AY758" s="30" t="s">
        <v>5745</v>
      </c>
      <c r="BC758" s="3" t="s">
        <v>7010</v>
      </c>
      <c r="BD758" s="3" t="s">
        <v>7010</v>
      </c>
      <c r="BE758" s="3" t="s">
        <v>7010</v>
      </c>
      <c r="BF758" s="3" t="s">
        <v>7010</v>
      </c>
      <c r="BG758" s="3" t="s">
        <v>7010</v>
      </c>
      <c r="BH758" s="3" t="s">
        <v>7010</v>
      </c>
      <c r="BI758" s="3" t="s">
        <v>7010</v>
      </c>
      <c r="BJ758" s="3" t="s">
        <v>7010</v>
      </c>
      <c r="BK758" s="74" t="str">
        <f t="shared" si="47"/>
        <v>No</v>
      </c>
    </row>
    <row r="759" spans="7:63">
      <c r="G759">
        <v>758</v>
      </c>
      <c r="H759" s="7" t="s">
        <v>619</v>
      </c>
      <c r="I759" t="s">
        <v>29</v>
      </c>
      <c r="J759">
        <f>LEN(H759)</f>
        <v>9</v>
      </c>
      <c r="K759" s="49" t="s">
        <v>3393</v>
      </c>
      <c r="O759" s="3" t="s">
        <v>7010</v>
      </c>
      <c r="P759" s="3" t="s">
        <v>7010</v>
      </c>
      <c r="Q759" s="3" t="s">
        <v>7010</v>
      </c>
      <c r="R759" s="3" t="s">
        <v>7010</v>
      </c>
      <c r="S759" s="3" t="s">
        <v>7010</v>
      </c>
      <c r="T759" s="3" t="s">
        <v>7015</v>
      </c>
      <c r="U759" s="3" t="s">
        <v>7010</v>
      </c>
      <c r="V759" s="3" t="s">
        <v>7010</v>
      </c>
      <c r="W759" s="74" t="str">
        <f t="shared" si="45"/>
        <v>Yes</v>
      </c>
      <c r="Z759">
        <v>758</v>
      </c>
      <c r="AA759" s="55" t="s">
        <v>5747</v>
      </c>
      <c r="AC759">
        <f t="shared" si="44"/>
        <v>8</v>
      </c>
      <c r="AD759" s="30" t="s">
        <v>5748</v>
      </c>
      <c r="AH759" s="3" t="s">
        <v>7015</v>
      </c>
      <c r="AI759" s="3" t="s">
        <v>7010</v>
      </c>
      <c r="AJ759" s="3" t="s">
        <v>7010</v>
      </c>
      <c r="AK759" s="3" t="s">
        <v>7015</v>
      </c>
      <c r="AL759" s="3" t="s">
        <v>7010</v>
      </c>
      <c r="AM759" s="3" t="s">
        <v>7010</v>
      </c>
      <c r="AN759" s="3" t="s">
        <v>7010</v>
      </c>
      <c r="AO759" s="3" t="s">
        <v>7010</v>
      </c>
      <c r="AP759" s="74" t="s">
        <v>7015</v>
      </c>
      <c r="AU759">
        <v>758</v>
      </c>
      <c r="AV759" t="s">
        <v>5749</v>
      </c>
      <c r="AW759" t="s">
        <v>2279</v>
      </c>
      <c r="AX759">
        <f t="shared" si="46"/>
        <v>8</v>
      </c>
      <c r="AY759" s="30" t="s">
        <v>5750</v>
      </c>
      <c r="BC759" s="3" t="s">
        <v>7010</v>
      </c>
      <c r="BD759" s="3" t="s">
        <v>7010</v>
      </c>
      <c r="BE759" s="3" t="s">
        <v>7010</v>
      </c>
      <c r="BF759" s="3" t="s">
        <v>7010</v>
      </c>
      <c r="BG759" s="3" t="s">
        <v>7010</v>
      </c>
      <c r="BH759" s="3" t="s">
        <v>7010</v>
      </c>
      <c r="BI759" s="3" t="s">
        <v>7010</v>
      </c>
      <c r="BJ759" s="3" t="s">
        <v>7010</v>
      </c>
      <c r="BK759" s="74" t="str">
        <f t="shared" si="47"/>
        <v>No</v>
      </c>
    </row>
    <row r="760" spans="7:63">
      <c r="G760">
        <v>759</v>
      </c>
      <c r="H760" s="7" t="s">
        <v>607</v>
      </c>
      <c r="I760" t="s">
        <v>29</v>
      </c>
      <c r="J760">
        <f>LEN(H760)</f>
        <v>12</v>
      </c>
      <c r="K760" s="49" t="s">
        <v>3345</v>
      </c>
      <c r="O760" s="3" t="s">
        <v>7010</v>
      </c>
      <c r="P760" s="3" t="s">
        <v>7010</v>
      </c>
      <c r="Q760" s="3" t="s">
        <v>7010</v>
      </c>
      <c r="R760" s="3" t="s">
        <v>7010</v>
      </c>
      <c r="S760" s="3" t="s">
        <v>7010</v>
      </c>
      <c r="T760" s="3" t="s">
        <v>7010</v>
      </c>
      <c r="U760" s="3" t="s">
        <v>7010</v>
      </c>
      <c r="V760" s="3" t="s">
        <v>7010</v>
      </c>
      <c r="W760" s="74" t="str">
        <f t="shared" si="45"/>
        <v>No</v>
      </c>
      <c r="Z760">
        <v>759</v>
      </c>
      <c r="AA760" s="55" t="s">
        <v>5752</v>
      </c>
      <c r="AC760">
        <f t="shared" si="44"/>
        <v>7</v>
      </c>
      <c r="AD760" s="30" t="s">
        <v>5753</v>
      </c>
      <c r="AH760" s="3" t="s">
        <v>7015</v>
      </c>
      <c r="AI760" s="3" t="s">
        <v>7010</v>
      </c>
      <c r="AJ760" s="3" t="s">
        <v>7010</v>
      </c>
      <c r="AK760" s="3" t="s">
        <v>7015</v>
      </c>
      <c r="AL760" s="3" t="s">
        <v>7010</v>
      </c>
      <c r="AM760" s="3" t="s">
        <v>7010</v>
      </c>
      <c r="AN760" s="3" t="s">
        <v>7010</v>
      </c>
      <c r="AO760" s="3" t="s">
        <v>7010</v>
      </c>
      <c r="AP760" s="74" t="s">
        <v>7015</v>
      </c>
      <c r="AU760">
        <v>759</v>
      </c>
      <c r="AV760" t="s">
        <v>5754</v>
      </c>
      <c r="AW760" t="s">
        <v>2279</v>
      </c>
      <c r="AX760">
        <f t="shared" si="46"/>
        <v>10</v>
      </c>
      <c r="AY760" s="30" t="s">
        <v>5755</v>
      </c>
      <c r="BC760" s="3" t="s">
        <v>7010</v>
      </c>
      <c r="BD760" s="3" t="s">
        <v>7010</v>
      </c>
      <c r="BE760" s="3" t="s">
        <v>7010</v>
      </c>
      <c r="BF760" s="3" t="s">
        <v>7010</v>
      </c>
      <c r="BG760" s="3" t="s">
        <v>7010</v>
      </c>
      <c r="BH760" s="3" t="s">
        <v>7010</v>
      </c>
      <c r="BI760" s="3" t="s">
        <v>7010</v>
      </c>
      <c r="BJ760" s="3" t="s">
        <v>7010</v>
      </c>
      <c r="BK760" s="74" t="str">
        <f t="shared" si="47"/>
        <v>No</v>
      </c>
    </row>
    <row r="761" spans="7:63">
      <c r="G761">
        <v>760</v>
      </c>
      <c r="H761" s="7" t="s">
        <v>609</v>
      </c>
      <c r="I761" t="s">
        <v>29</v>
      </c>
      <c r="J761">
        <f>LEN(H761)</f>
        <v>13</v>
      </c>
      <c r="K761" s="49" t="s">
        <v>3353</v>
      </c>
      <c r="O761" s="3" t="s">
        <v>7010</v>
      </c>
      <c r="P761" s="3" t="s">
        <v>7010</v>
      </c>
      <c r="Q761" s="3" t="s">
        <v>7010</v>
      </c>
      <c r="R761" s="3" t="s">
        <v>7010</v>
      </c>
      <c r="S761" s="3" t="s">
        <v>7010</v>
      </c>
      <c r="T761" s="3" t="s">
        <v>7010</v>
      </c>
      <c r="U761" s="3" t="s">
        <v>7010</v>
      </c>
      <c r="V761" s="3" t="s">
        <v>7010</v>
      </c>
      <c r="W761" s="74" t="str">
        <f t="shared" si="45"/>
        <v>No</v>
      </c>
      <c r="Z761">
        <v>760</v>
      </c>
      <c r="AA761" s="55">
        <v>12345</v>
      </c>
      <c r="AC761">
        <f t="shared" si="44"/>
        <v>5</v>
      </c>
      <c r="AD761" s="30" t="s">
        <v>5757</v>
      </c>
      <c r="AH761" s="3" t="s">
        <v>7015</v>
      </c>
      <c r="AI761" s="3" t="s">
        <v>7010</v>
      </c>
      <c r="AJ761" s="3" t="s">
        <v>7010</v>
      </c>
      <c r="AK761" s="3" t="s">
        <v>7015</v>
      </c>
      <c r="AL761" s="3" t="s">
        <v>7010</v>
      </c>
      <c r="AM761" s="3" t="s">
        <v>7010</v>
      </c>
      <c r="AN761" s="3" t="s">
        <v>7010</v>
      </c>
      <c r="AO761" s="3" t="s">
        <v>7010</v>
      </c>
      <c r="AP761" s="74" t="s">
        <v>7015</v>
      </c>
      <c r="AU761">
        <v>760</v>
      </c>
      <c r="AV761" t="s">
        <v>5758</v>
      </c>
      <c r="AW761" t="s">
        <v>2279</v>
      </c>
      <c r="AX761">
        <f t="shared" si="46"/>
        <v>10</v>
      </c>
      <c r="AY761" s="30" t="s">
        <v>5759</v>
      </c>
      <c r="BC761" s="3" t="s">
        <v>7010</v>
      </c>
      <c r="BD761" s="3" t="s">
        <v>7010</v>
      </c>
      <c r="BE761" s="3" t="s">
        <v>7015</v>
      </c>
      <c r="BF761" s="3" t="s">
        <v>7010</v>
      </c>
      <c r="BG761" s="3" t="s">
        <v>7010</v>
      </c>
      <c r="BH761" s="3" t="s">
        <v>7010</v>
      </c>
      <c r="BI761" s="3" t="s">
        <v>7010</v>
      </c>
      <c r="BJ761" s="3" t="s">
        <v>7010</v>
      </c>
      <c r="BK761" s="74" t="str">
        <f t="shared" si="47"/>
        <v>Yes</v>
      </c>
    </row>
    <row r="762" spans="7:63">
      <c r="G762">
        <v>761</v>
      </c>
      <c r="H762" s="7" t="s">
        <v>1794</v>
      </c>
      <c r="I762" t="s">
        <v>29</v>
      </c>
      <c r="J762">
        <f>LEN(H762)</f>
        <v>14</v>
      </c>
      <c r="K762" s="49" t="s">
        <v>5722</v>
      </c>
      <c r="O762" s="3" t="s">
        <v>7010</v>
      </c>
      <c r="P762" s="3" t="s">
        <v>7010</v>
      </c>
      <c r="Q762" s="3" t="s">
        <v>7010</v>
      </c>
      <c r="R762" s="3" t="s">
        <v>7010</v>
      </c>
      <c r="S762" s="3" t="s">
        <v>7010</v>
      </c>
      <c r="T762" s="3" t="s">
        <v>7010</v>
      </c>
      <c r="U762" s="3" t="s">
        <v>7010</v>
      </c>
      <c r="V762" s="3" t="s">
        <v>7010</v>
      </c>
      <c r="W762" s="74" t="str">
        <f t="shared" si="45"/>
        <v>No</v>
      </c>
      <c r="Z762">
        <v>761</v>
      </c>
      <c r="AA762" s="55" t="s">
        <v>5761</v>
      </c>
      <c r="AC762">
        <f t="shared" si="44"/>
        <v>6</v>
      </c>
      <c r="AD762" s="30" t="s">
        <v>5762</v>
      </c>
      <c r="AH762" s="3" t="s">
        <v>7015</v>
      </c>
      <c r="AI762" s="3" t="s">
        <v>7010</v>
      </c>
      <c r="AJ762" s="3" t="s">
        <v>7010</v>
      </c>
      <c r="AK762" s="3" t="s">
        <v>7015</v>
      </c>
      <c r="AL762" s="3" t="s">
        <v>7010</v>
      </c>
      <c r="AM762" s="3" t="s">
        <v>7010</v>
      </c>
      <c r="AN762" s="3" t="s">
        <v>7010</v>
      </c>
      <c r="AO762" s="3" t="s">
        <v>7010</v>
      </c>
      <c r="AP762" s="74" t="s">
        <v>7015</v>
      </c>
      <c r="AU762">
        <v>761</v>
      </c>
      <c r="AV762" t="s">
        <v>5763</v>
      </c>
      <c r="AW762" t="s">
        <v>2279</v>
      </c>
      <c r="AX762">
        <f t="shared" si="46"/>
        <v>8</v>
      </c>
      <c r="AY762" s="30" t="s">
        <v>5764</v>
      </c>
      <c r="BC762" s="3" t="s">
        <v>7010</v>
      </c>
      <c r="BD762" s="3" t="s">
        <v>7010</v>
      </c>
      <c r="BE762" s="3" t="s">
        <v>7010</v>
      </c>
      <c r="BF762" s="3" t="s">
        <v>7010</v>
      </c>
      <c r="BG762" s="3" t="s">
        <v>7010</v>
      </c>
      <c r="BH762" s="3" t="s">
        <v>7010</v>
      </c>
      <c r="BI762" s="3" t="s">
        <v>7010</v>
      </c>
      <c r="BJ762" s="3" t="s">
        <v>7010</v>
      </c>
      <c r="BK762" s="74" t="str">
        <f t="shared" si="47"/>
        <v>No</v>
      </c>
    </row>
    <row r="763" spans="7:63">
      <c r="G763">
        <v>762</v>
      </c>
      <c r="H763" s="7" t="s">
        <v>926</v>
      </c>
      <c r="I763" t="s">
        <v>29</v>
      </c>
      <c r="J763">
        <f>LEN(H763)</f>
        <v>11</v>
      </c>
      <c r="K763" s="49" t="s">
        <v>3511</v>
      </c>
      <c r="O763" s="3" t="s">
        <v>7010</v>
      </c>
      <c r="P763" s="3" t="s">
        <v>7010</v>
      </c>
      <c r="Q763" s="3" t="s">
        <v>7010</v>
      </c>
      <c r="R763" s="3" t="s">
        <v>7010</v>
      </c>
      <c r="S763" s="3" t="s">
        <v>7010</v>
      </c>
      <c r="T763" s="3" t="s">
        <v>7010</v>
      </c>
      <c r="U763" s="3" t="s">
        <v>7010</v>
      </c>
      <c r="V763" s="3" t="s">
        <v>7010</v>
      </c>
      <c r="W763" s="74" t="str">
        <f t="shared" si="45"/>
        <v>No</v>
      </c>
      <c r="Z763">
        <v>762</v>
      </c>
      <c r="AA763" s="55" t="s">
        <v>5766</v>
      </c>
      <c r="AC763">
        <f t="shared" si="44"/>
        <v>6</v>
      </c>
      <c r="AD763" s="30" t="s">
        <v>5767</v>
      </c>
      <c r="AH763" s="3" t="s">
        <v>7015</v>
      </c>
      <c r="AI763" s="3" t="s">
        <v>7010</v>
      </c>
      <c r="AJ763" s="3" t="s">
        <v>7010</v>
      </c>
      <c r="AK763" s="3" t="s">
        <v>7015</v>
      </c>
      <c r="AL763" s="3" t="s">
        <v>7010</v>
      </c>
      <c r="AM763" s="3" t="s">
        <v>7010</v>
      </c>
      <c r="AN763" s="3" t="s">
        <v>7010</v>
      </c>
      <c r="AO763" s="3" t="s">
        <v>7010</v>
      </c>
      <c r="AP763" s="74" t="s">
        <v>7015</v>
      </c>
      <c r="AU763">
        <v>762</v>
      </c>
      <c r="AV763" t="s">
        <v>5768</v>
      </c>
      <c r="AW763" t="s">
        <v>2279</v>
      </c>
      <c r="AX763">
        <f t="shared" si="46"/>
        <v>9</v>
      </c>
      <c r="AY763" s="30" t="s">
        <v>5769</v>
      </c>
      <c r="BC763" s="3" t="s">
        <v>7010</v>
      </c>
      <c r="BD763" s="3" t="s">
        <v>7010</v>
      </c>
      <c r="BE763" s="3" t="s">
        <v>7015</v>
      </c>
      <c r="BF763" s="3" t="s">
        <v>7010</v>
      </c>
      <c r="BG763" s="3" t="s">
        <v>7010</v>
      </c>
      <c r="BH763" s="3" t="s">
        <v>7010</v>
      </c>
      <c r="BI763" s="3" t="s">
        <v>7010</v>
      </c>
      <c r="BJ763" s="3" t="s">
        <v>7010</v>
      </c>
      <c r="BK763" s="74" t="str">
        <f t="shared" si="47"/>
        <v>Yes</v>
      </c>
    </row>
    <row r="764" spans="7:63">
      <c r="G764">
        <v>763</v>
      </c>
      <c r="H764" s="7" t="s">
        <v>1704</v>
      </c>
      <c r="I764" t="s">
        <v>29</v>
      </c>
      <c r="J764">
        <f>LEN(H764)</f>
        <v>20</v>
      </c>
      <c r="K764" s="49" t="s">
        <v>5490</v>
      </c>
      <c r="O764" s="3" t="s">
        <v>7010</v>
      </c>
      <c r="P764" s="3" t="s">
        <v>7010</v>
      </c>
      <c r="Q764" s="3" t="s">
        <v>7010</v>
      </c>
      <c r="R764" s="3" t="s">
        <v>7010</v>
      </c>
      <c r="S764" s="3" t="s">
        <v>7010</v>
      </c>
      <c r="T764" s="3" t="s">
        <v>7010</v>
      </c>
      <c r="U764" s="3" t="s">
        <v>7010</v>
      </c>
      <c r="V764" s="3" t="s">
        <v>7010</v>
      </c>
      <c r="W764" s="74" t="str">
        <f t="shared" si="45"/>
        <v>No</v>
      </c>
      <c r="Z764">
        <v>763</v>
      </c>
      <c r="AA764" s="55" t="s">
        <v>5770</v>
      </c>
      <c r="AC764">
        <f t="shared" si="44"/>
        <v>7</v>
      </c>
      <c r="AD764" s="30" t="s">
        <v>5771</v>
      </c>
      <c r="AH764" s="3" t="s">
        <v>7015</v>
      </c>
      <c r="AI764" s="3" t="s">
        <v>7010</v>
      </c>
      <c r="AJ764" s="3" t="s">
        <v>7010</v>
      </c>
      <c r="AK764" s="3" t="s">
        <v>7015</v>
      </c>
      <c r="AL764" s="3" t="s">
        <v>7010</v>
      </c>
      <c r="AM764" s="3" t="s">
        <v>7010</v>
      </c>
      <c r="AN764" s="3" t="s">
        <v>7010</v>
      </c>
      <c r="AO764" s="3" t="s">
        <v>7010</v>
      </c>
      <c r="AP764" s="74" t="s">
        <v>7015</v>
      </c>
      <c r="AU764">
        <v>763</v>
      </c>
      <c r="AV764" t="s">
        <v>5772</v>
      </c>
      <c r="AW764" t="s">
        <v>2279</v>
      </c>
      <c r="AX764">
        <f t="shared" si="46"/>
        <v>10</v>
      </c>
      <c r="AY764" s="30" t="s">
        <v>5773</v>
      </c>
      <c r="BC764" s="3" t="s">
        <v>7010</v>
      </c>
      <c r="BD764" s="3" t="s">
        <v>7010</v>
      </c>
      <c r="BE764" s="3" t="s">
        <v>7010</v>
      </c>
      <c r="BF764" s="3" t="s">
        <v>7010</v>
      </c>
      <c r="BG764" s="3" t="s">
        <v>7010</v>
      </c>
      <c r="BH764" s="3" t="s">
        <v>7010</v>
      </c>
      <c r="BI764" s="3" t="s">
        <v>7010</v>
      </c>
      <c r="BJ764" s="3" t="s">
        <v>7010</v>
      </c>
      <c r="BK764" s="74" t="str">
        <f t="shared" si="47"/>
        <v>No</v>
      </c>
    </row>
    <row r="765" spans="7:63">
      <c r="G765">
        <v>764</v>
      </c>
      <c r="H765" s="7" t="s">
        <v>1110</v>
      </c>
      <c r="I765" t="s">
        <v>29</v>
      </c>
      <c r="J765">
        <f>LEN(H765)</f>
        <v>16</v>
      </c>
      <c r="K765" s="49" t="s">
        <v>3987</v>
      </c>
      <c r="O765" s="3" t="s">
        <v>7010</v>
      </c>
      <c r="P765" s="3" t="s">
        <v>7010</v>
      </c>
      <c r="Q765" s="3" t="s">
        <v>7010</v>
      </c>
      <c r="R765" s="3" t="s">
        <v>7010</v>
      </c>
      <c r="S765" s="3" t="s">
        <v>7010</v>
      </c>
      <c r="T765" s="3" t="s">
        <v>7010</v>
      </c>
      <c r="U765" s="3" t="s">
        <v>7010</v>
      </c>
      <c r="V765" s="3" t="s">
        <v>7010</v>
      </c>
      <c r="W765" s="74" t="str">
        <f t="shared" si="45"/>
        <v>No</v>
      </c>
      <c r="Z765">
        <v>764</v>
      </c>
      <c r="AA765" s="55" t="s">
        <v>5775</v>
      </c>
      <c r="AC765">
        <f t="shared" si="44"/>
        <v>6</v>
      </c>
      <c r="AD765" s="30" t="s">
        <v>5776</v>
      </c>
      <c r="AH765" s="3" t="s">
        <v>7015</v>
      </c>
      <c r="AI765" s="3" t="s">
        <v>7010</v>
      </c>
      <c r="AJ765" s="3" t="s">
        <v>7010</v>
      </c>
      <c r="AK765" s="3" t="s">
        <v>7015</v>
      </c>
      <c r="AL765" s="3" t="s">
        <v>7010</v>
      </c>
      <c r="AM765" s="3" t="s">
        <v>7010</v>
      </c>
      <c r="AN765" s="3" t="s">
        <v>7010</v>
      </c>
      <c r="AO765" s="3" t="s">
        <v>7010</v>
      </c>
      <c r="AP765" s="74" t="s">
        <v>7015</v>
      </c>
      <c r="AU765">
        <v>764</v>
      </c>
      <c r="AV765" t="s">
        <v>5777</v>
      </c>
      <c r="AW765" t="s">
        <v>2279</v>
      </c>
      <c r="AX765">
        <f t="shared" si="46"/>
        <v>10</v>
      </c>
      <c r="AY765" s="31" t="s">
        <v>5778</v>
      </c>
      <c r="BC765" s="3" t="s">
        <v>7010</v>
      </c>
      <c r="BD765" s="3" t="s">
        <v>7010</v>
      </c>
      <c r="BE765" s="3" t="s">
        <v>7010</v>
      </c>
      <c r="BF765" s="3" t="s">
        <v>7010</v>
      </c>
      <c r="BG765" s="3" t="s">
        <v>7010</v>
      </c>
      <c r="BH765" s="3" t="s">
        <v>7010</v>
      </c>
      <c r="BI765" s="3" t="s">
        <v>7010</v>
      </c>
      <c r="BJ765" s="3" t="s">
        <v>7010</v>
      </c>
      <c r="BK765" s="74" t="str">
        <f t="shared" si="47"/>
        <v>No</v>
      </c>
    </row>
    <row r="766" spans="7:63">
      <c r="G766">
        <v>765</v>
      </c>
      <c r="H766" s="7" t="s">
        <v>1766</v>
      </c>
      <c r="I766" t="s">
        <v>29</v>
      </c>
      <c r="J766">
        <f>LEN(H766)</f>
        <v>16</v>
      </c>
      <c r="K766" s="49" t="s">
        <v>5644</v>
      </c>
      <c r="O766" s="3" t="s">
        <v>7010</v>
      </c>
      <c r="P766" s="3" t="s">
        <v>7010</v>
      </c>
      <c r="Q766" s="3" t="s">
        <v>7010</v>
      </c>
      <c r="R766" s="3" t="s">
        <v>7010</v>
      </c>
      <c r="S766" s="3" t="s">
        <v>7010</v>
      </c>
      <c r="T766" s="3" t="s">
        <v>7010</v>
      </c>
      <c r="U766" s="3" t="s">
        <v>7010</v>
      </c>
      <c r="V766" s="3" t="s">
        <v>7010</v>
      </c>
      <c r="W766" s="74" t="str">
        <f t="shared" si="45"/>
        <v>No</v>
      </c>
      <c r="Z766">
        <v>765</v>
      </c>
      <c r="AA766" s="55" t="s">
        <v>5780</v>
      </c>
      <c r="AC766">
        <f t="shared" si="44"/>
        <v>6</v>
      </c>
      <c r="AD766" s="30" t="s">
        <v>5781</v>
      </c>
      <c r="AH766" s="3" t="s">
        <v>7015</v>
      </c>
      <c r="AI766" s="3" t="s">
        <v>7010</v>
      </c>
      <c r="AJ766" s="3" t="s">
        <v>7010</v>
      </c>
      <c r="AK766" s="3" t="s">
        <v>7015</v>
      </c>
      <c r="AL766" s="3" t="s">
        <v>7010</v>
      </c>
      <c r="AM766" s="3" t="s">
        <v>7010</v>
      </c>
      <c r="AN766" s="3" t="s">
        <v>7010</v>
      </c>
      <c r="AO766" s="3" t="s">
        <v>7010</v>
      </c>
      <c r="AP766" s="74" t="s">
        <v>7015</v>
      </c>
      <c r="AU766">
        <v>765</v>
      </c>
      <c r="AV766" t="s">
        <v>5782</v>
      </c>
      <c r="AW766" t="s">
        <v>2279</v>
      </c>
      <c r="AX766">
        <f t="shared" si="46"/>
        <v>9</v>
      </c>
      <c r="AY766" s="30" t="s">
        <v>5783</v>
      </c>
      <c r="BC766" s="3" t="s">
        <v>7010</v>
      </c>
      <c r="BD766" s="3" t="s">
        <v>7010</v>
      </c>
      <c r="BE766" s="3" t="s">
        <v>7010</v>
      </c>
      <c r="BF766" s="3" t="s">
        <v>7010</v>
      </c>
      <c r="BG766" s="3" t="s">
        <v>7010</v>
      </c>
      <c r="BH766" s="3" t="s">
        <v>7010</v>
      </c>
      <c r="BI766" s="3" t="s">
        <v>7010</v>
      </c>
      <c r="BJ766" s="3" t="s">
        <v>7010</v>
      </c>
      <c r="BK766" s="74" t="str">
        <f t="shared" si="47"/>
        <v>No</v>
      </c>
    </row>
    <row r="767" spans="7:63">
      <c r="G767">
        <v>766</v>
      </c>
      <c r="H767" s="7" t="s">
        <v>992</v>
      </c>
      <c r="I767" t="s">
        <v>29</v>
      </c>
      <c r="J767">
        <f>LEN(H767)</f>
        <v>12</v>
      </c>
      <c r="K767" s="49" t="s">
        <v>3674</v>
      </c>
      <c r="O767" s="3" t="s">
        <v>7010</v>
      </c>
      <c r="P767" s="3" t="s">
        <v>7010</v>
      </c>
      <c r="Q767" s="3" t="s">
        <v>7010</v>
      </c>
      <c r="R767" s="3" t="s">
        <v>7010</v>
      </c>
      <c r="S767" s="3" t="s">
        <v>7010</v>
      </c>
      <c r="T767" s="3" t="s">
        <v>7010</v>
      </c>
      <c r="U767" s="3" t="s">
        <v>7010</v>
      </c>
      <c r="V767" s="3" t="s">
        <v>7010</v>
      </c>
      <c r="W767" s="74" t="str">
        <f t="shared" si="45"/>
        <v>No</v>
      </c>
      <c r="Z767">
        <v>766</v>
      </c>
      <c r="AA767" s="55" t="s">
        <v>5785</v>
      </c>
      <c r="AC767">
        <f t="shared" si="44"/>
        <v>6</v>
      </c>
      <c r="AD767" s="30" t="s">
        <v>5786</v>
      </c>
      <c r="AH767" s="3" t="s">
        <v>7015</v>
      </c>
      <c r="AI767" s="3" t="s">
        <v>7010</v>
      </c>
      <c r="AJ767" s="3" t="s">
        <v>7010</v>
      </c>
      <c r="AK767" s="3" t="s">
        <v>7015</v>
      </c>
      <c r="AL767" s="3" t="s">
        <v>7010</v>
      </c>
      <c r="AM767" s="3" t="s">
        <v>7010</v>
      </c>
      <c r="AN767" s="3" t="s">
        <v>7010</v>
      </c>
      <c r="AO767" s="3" t="s">
        <v>7010</v>
      </c>
      <c r="AP767" s="74" t="s">
        <v>7015</v>
      </c>
      <c r="AU767">
        <v>766</v>
      </c>
      <c r="AV767" t="s">
        <v>5787</v>
      </c>
      <c r="AW767" t="s">
        <v>2279</v>
      </c>
      <c r="AX767">
        <f t="shared" si="46"/>
        <v>14</v>
      </c>
      <c r="AY767" s="30" t="s">
        <v>5788</v>
      </c>
      <c r="BC767" s="3" t="s">
        <v>7010</v>
      </c>
      <c r="BD767" s="3" t="s">
        <v>7010</v>
      </c>
      <c r="BE767" s="3" t="s">
        <v>7010</v>
      </c>
      <c r="BF767" s="3" t="s">
        <v>7010</v>
      </c>
      <c r="BG767" s="3" t="s">
        <v>7010</v>
      </c>
      <c r="BH767" s="3" t="s">
        <v>7010</v>
      </c>
      <c r="BI767" s="3" t="s">
        <v>7010</v>
      </c>
      <c r="BJ767" s="3" t="s">
        <v>7010</v>
      </c>
      <c r="BK767" s="74" t="str">
        <f t="shared" si="47"/>
        <v>No</v>
      </c>
    </row>
    <row r="768" spans="7:63">
      <c r="G768">
        <v>767</v>
      </c>
      <c r="H768" s="7" t="s">
        <v>1150</v>
      </c>
      <c r="I768" t="s">
        <v>29</v>
      </c>
      <c r="J768">
        <f>LEN(H768)</f>
        <v>15</v>
      </c>
      <c r="K768" s="49" t="s">
        <v>4084</v>
      </c>
      <c r="O768" s="3" t="s">
        <v>7010</v>
      </c>
      <c r="P768" s="3" t="s">
        <v>7010</v>
      </c>
      <c r="Q768" s="3" t="s">
        <v>7010</v>
      </c>
      <c r="R768" s="3" t="s">
        <v>7010</v>
      </c>
      <c r="S768" s="3" t="s">
        <v>7010</v>
      </c>
      <c r="T768" s="3" t="s">
        <v>7010</v>
      </c>
      <c r="U768" s="3" t="s">
        <v>7010</v>
      </c>
      <c r="V768" s="3" t="s">
        <v>7010</v>
      </c>
      <c r="W768" s="74" t="str">
        <f t="shared" si="45"/>
        <v>No</v>
      </c>
      <c r="Z768">
        <v>767</v>
      </c>
      <c r="AA768" s="55" t="s">
        <v>5789</v>
      </c>
      <c r="AC768">
        <f t="shared" si="44"/>
        <v>5</v>
      </c>
      <c r="AD768" s="30" t="s">
        <v>5790</v>
      </c>
      <c r="AH768" s="3" t="s">
        <v>7015</v>
      </c>
      <c r="AI768" s="3" t="s">
        <v>7010</v>
      </c>
      <c r="AJ768" s="3" t="s">
        <v>7010</v>
      </c>
      <c r="AK768" s="3" t="s">
        <v>7015</v>
      </c>
      <c r="AL768" s="3" t="s">
        <v>7010</v>
      </c>
      <c r="AM768" s="3" t="s">
        <v>7010</v>
      </c>
      <c r="AN768" s="3" t="s">
        <v>7010</v>
      </c>
      <c r="AO768" s="3" t="s">
        <v>7010</v>
      </c>
      <c r="AP768" s="74" t="s">
        <v>7015</v>
      </c>
      <c r="AU768">
        <v>767</v>
      </c>
      <c r="AV768" t="s">
        <v>5791</v>
      </c>
      <c r="AW768" t="s">
        <v>2279</v>
      </c>
      <c r="AX768">
        <f t="shared" si="46"/>
        <v>9</v>
      </c>
      <c r="AY768" s="30" t="s">
        <v>5792</v>
      </c>
      <c r="BC768" s="3" t="s">
        <v>7010</v>
      </c>
      <c r="BD768" s="3" t="s">
        <v>7010</v>
      </c>
      <c r="BE768" s="3" t="s">
        <v>7010</v>
      </c>
      <c r="BF768" s="3" t="s">
        <v>7010</v>
      </c>
      <c r="BG768" s="3" t="s">
        <v>7010</v>
      </c>
      <c r="BH768" s="3" t="s">
        <v>7010</v>
      </c>
      <c r="BI768" s="3" t="s">
        <v>7010</v>
      </c>
      <c r="BJ768" s="3" t="s">
        <v>7010</v>
      </c>
      <c r="BK768" s="74" t="str">
        <f t="shared" si="47"/>
        <v>No</v>
      </c>
    </row>
    <row r="769" spans="7:63">
      <c r="G769">
        <v>768</v>
      </c>
      <c r="H769" s="7" t="s">
        <v>612</v>
      </c>
      <c r="I769" t="s">
        <v>29</v>
      </c>
      <c r="J769">
        <f>LEN(H769)</f>
        <v>11</v>
      </c>
      <c r="K769" s="49" t="s">
        <v>3365</v>
      </c>
      <c r="O769" s="3" t="s">
        <v>7010</v>
      </c>
      <c r="P769" s="3" t="s">
        <v>7010</v>
      </c>
      <c r="Q769" s="3" t="s">
        <v>7010</v>
      </c>
      <c r="R769" s="3" t="s">
        <v>7010</v>
      </c>
      <c r="S769" s="3" t="s">
        <v>7010</v>
      </c>
      <c r="T769" s="3" t="s">
        <v>7015</v>
      </c>
      <c r="U769" s="3" t="s">
        <v>7010</v>
      </c>
      <c r="V769" s="3" t="s">
        <v>7010</v>
      </c>
      <c r="W769" s="74" t="str">
        <f t="shared" si="45"/>
        <v>Yes</v>
      </c>
      <c r="Z769">
        <v>768</v>
      </c>
      <c r="AA769" s="55" t="s">
        <v>5794</v>
      </c>
      <c r="AC769">
        <f t="shared" si="44"/>
        <v>6</v>
      </c>
      <c r="AD769" s="30" t="s">
        <v>5795</v>
      </c>
      <c r="AH769" s="3" t="s">
        <v>7015</v>
      </c>
      <c r="AI769" s="3" t="s">
        <v>7010</v>
      </c>
      <c r="AJ769" s="3" t="s">
        <v>7010</v>
      </c>
      <c r="AK769" s="3" t="s">
        <v>7015</v>
      </c>
      <c r="AL769" s="3" t="s">
        <v>7010</v>
      </c>
      <c r="AM769" s="3" t="s">
        <v>7010</v>
      </c>
      <c r="AN769" s="3" t="s">
        <v>7010</v>
      </c>
      <c r="AO769" s="3" t="s">
        <v>7010</v>
      </c>
      <c r="AP769" s="74" t="s">
        <v>7015</v>
      </c>
      <c r="AU769">
        <v>768</v>
      </c>
      <c r="AV769" t="s">
        <v>5796</v>
      </c>
      <c r="AW769" t="s">
        <v>2279</v>
      </c>
      <c r="AX769">
        <f t="shared" si="46"/>
        <v>8</v>
      </c>
      <c r="AY769" s="30" t="s">
        <v>5797</v>
      </c>
      <c r="BC769" s="3" t="s">
        <v>7010</v>
      </c>
      <c r="BD769" s="3" t="s">
        <v>7010</v>
      </c>
      <c r="BE769" s="3" t="s">
        <v>7010</v>
      </c>
      <c r="BF769" s="3" t="s">
        <v>7010</v>
      </c>
      <c r="BG769" s="3" t="s">
        <v>7010</v>
      </c>
      <c r="BH769" s="3" t="s">
        <v>7010</v>
      </c>
      <c r="BI769" s="3" t="s">
        <v>7010</v>
      </c>
      <c r="BJ769" s="3" t="s">
        <v>7010</v>
      </c>
      <c r="BK769" s="74" t="str">
        <f t="shared" si="47"/>
        <v>No</v>
      </c>
    </row>
    <row r="770" spans="7:63">
      <c r="G770">
        <v>769</v>
      </c>
      <c r="H770" s="18" t="s">
        <v>36</v>
      </c>
      <c r="I770" t="s">
        <v>29</v>
      </c>
      <c r="J770">
        <f>LEN(H770)</f>
        <v>16</v>
      </c>
      <c r="K770" s="49" t="s">
        <v>2276</v>
      </c>
      <c r="O770" s="3" t="s">
        <v>7010</v>
      </c>
      <c r="P770" s="3" t="s">
        <v>7010</v>
      </c>
      <c r="Q770" s="3" t="s">
        <v>7010</v>
      </c>
      <c r="R770" s="3" t="s">
        <v>7015</v>
      </c>
      <c r="S770" s="3" t="s">
        <v>7010</v>
      </c>
      <c r="T770" s="3" t="s">
        <v>7010</v>
      </c>
      <c r="U770" s="3" t="s">
        <v>7010</v>
      </c>
      <c r="V770" s="3" t="s">
        <v>7010</v>
      </c>
      <c r="W770" s="74" t="str">
        <f t="shared" si="45"/>
        <v>Yes</v>
      </c>
      <c r="Z770">
        <v>769</v>
      </c>
      <c r="AA770" s="55" t="s">
        <v>5799</v>
      </c>
      <c r="AC770">
        <f t="shared" ref="AC770:AC833" si="48">LEN(AA770)</f>
        <v>9</v>
      </c>
      <c r="AD770" s="30" t="s">
        <v>5800</v>
      </c>
      <c r="AH770" s="3" t="s">
        <v>7015</v>
      </c>
      <c r="AI770" s="3" t="s">
        <v>7010</v>
      </c>
      <c r="AJ770" s="3" t="s">
        <v>7010</v>
      </c>
      <c r="AK770" s="3" t="s">
        <v>7015</v>
      </c>
      <c r="AL770" s="3" t="s">
        <v>7010</v>
      </c>
      <c r="AM770" s="3" t="s">
        <v>7010</v>
      </c>
      <c r="AN770" s="3" t="s">
        <v>7010</v>
      </c>
      <c r="AO770" s="3" t="s">
        <v>7010</v>
      </c>
      <c r="AP770" s="74" t="s">
        <v>7015</v>
      </c>
      <c r="AU770">
        <v>769</v>
      </c>
      <c r="AV770" t="s">
        <v>5801</v>
      </c>
      <c r="AW770" t="s">
        <v>2279</v>
      </c>
      <c r="AX770">
        <f t="shared" si="46"/>
        <v>12</v>
      </c>
      <c r="AY770" s="30" t="s">
        <v>5802</v>
      </c>
      <c r="BC770" s="3" t="s">
        <v>7010</v>
      </c>
      <c r="BD770" s="3" t="s">
        <v>7010</v>
      </c>
      <c r="BE770" s="3" t="s">
        <v>7010</v>
      </c>
      <c r="BF770" s="3" t="s">
        <v>7010</v>
      </c>
      <c r="BG770" s="3" t="s">
        <v>7010</v>
      </c>
      <c r="BH770" s="3" t="s">
        <v>7010</v>
      </c>
      <c r="BI770" s="3" t="s">
        <v>7010</v>
      </c>
      <c r="BJ770" s="3" t="s">
        <v>7010</v>
      </c>
      <c r="BK770" s="74" t="str">
        <f t="shared" si="47"/>
        <v>No</v>
      </c>
    </row>
    <row r="771" spans="7:63">
      <c r="G771">
        <v>770</v>
      </c>
      <c r="H771" s="7" t="s">
        <v>1126</v>
      </c>
      <c r="I771" t="s">
        <v>29</v>
      </c>
      <c r="J771">
        <f>LEN(H771)</f>
        <v>14</v>
      </c>
      <c r="K771" s="49" t="s">
        <v>4027</v>
      </c>
      <c r="O771" s="3" t="s">
        <v>7010</v>
      </c>
      <c r="P771" s="3" t="s">
        <v>7010</v>
      </c>
      <c r="Q771" s="3" t="s">
        <v>7010</v>
      </c>
      <c r="R771" s="3" t="s">
        <v>7010</v>
      </c>
      <c r="S771" s="3" t="s">
        <v>7010</v>
      </c>
      <c r="T771" s="3" t="s">
        <v>7015</v>
      </c>
      <c r="U771" s="3" t="s">
        <v>7010</v>
      </c>
      <c r="V771" s="3" t="s">
        <v>7010</v>
      </c>
      <c r="W771" s="74" t="str">
        <f t="shared" ref="W771:W834" si="49">IF(COUNTIF(O771:V771, "Yes") &gt; 0, "Yes", "No")</f>
        <v>Yes</v>
      </c>
      <c r="Z771">
        <v>770</v>
      </c>
      <c r="AA771" s="55" t="s">
        <v>5804</v>
      </c>
      <c r="AC771">
        <f t="shared" si="48"/>
        <v>6</v>
      </c>
      <c r="AD771" s="30" t="s">
        <v>5805</v>
      </c>
      <c r="AH771" s="3" t="s">
        <v>7015</v>
      </c>
      <c r="AI771" s="3" t="s">
        <v>7010</v>
      </c>
      <c r="AJ771" s="3" t="s">
        <v>7010</v>
      </c>
      <c r="AK771" s="3" t="s">
        <v>7015</v>
      </c>
      <c r="AL771" s="3" t="s">
        <v>7010</v>
      </c>
      <c r="AM771" s="3" t="s">
        <v>7010</v>
      </c>
      <c r="AN771" s="3" t="s">
        <v>7010</v>
      </c>
      <c r="AO771" s="3" t="s">
        <v>7010</v>
      </c>
      <c r="AP771" s="74" t="s">
        <v>7015</v>
      </c>
      <c r="AU771">
        <v>770</v>
      </c>
      <c r="AV771" t="s">
        <v>5806</v>
      </c>
      <c r="AW771" t="s">
        <v>2279</v>
      </c>
      <c r="AX771">
        <f t="shared" ref="AX771:AX834" si="50">LEN(AV771)</f>
        <v>8</v>
      </c>
      <c r="AY771" s="30" t="s">
        <v>5807</v>
      </c>
      <c r="BC771" s="3" t="s">
        <v>7010</v>
      </c>
      <c r="BD771" s="3" t="s">
        <v>7010</v>
      </c>
      <c r="BE771" s="3" t="s">
        <v>7010</v>
      </c>
      <c r="BF771" s="3" t="s">
        <v>7010</v>
      </c>
      <c r="BG771" s="3" t="s">
        <v>7010</v>
      </c>
      <c r="BH771" s="3" t="s">
        <v>7010</v>
      </c>
      <c r="BI771" s="3" t="s">
        <v>7010</v>
      </c>
      <c r="BJ771" s="3" t="s">
        <v>7010</v>
      </c>
      <c r="BK771" s="74" t="str">
        <f t="shared" ref="BK771:BK834" si="51">IF(COUNTIF(BC771:BJ771, "Yes") &gt; 0, "Yes", "No")</f>
        <v>No</v>
      </c>
    </row>
    <row r="772" spans="7:63">
      <c r="G772">
        <v>771</v>
      </c>
      <c r="H772" s="7" t="s">
        <v>1034</v>
      </c>
      <c r="I772" t="s">
        <v>29</v>
      </c>
      <c r="J772">
        <f>LEN(H772)</f>
        <v>13</v>
      </c>
      <c r="K772" s="49" t="s">
        <v>3787</v>
      </c>
      <c r="O772" s="3" t="s">
        <v>7010</v>
      </c>
      <c r="P772" s="3" t="s">
        <v>7010</v>
      </c>
      <c r="Q772" s="3" t="s">
        <v>7010</v>
      </c>
      <c r="R772" s="3" t="s">
        <v>7010</v>
      </c>
      <c r="S772" s="3" t="s">
        <v>7010</v>
      </c>
      <c r="T772" s="3" t="s">
        <v>7015</v>
      </c>
      <c r="U772" s="3" t="s">
        <v>7010</v>
      </c>
      <c r="V772" s="3" t="s">
        <v>7010</v>
      </c>
      <c r="W772" s="74" t="str">
        <f t="shared" si="49"/>
        <v>Yes</v>
      </c>
      <c r="Z772">
        <v>771</v>
      </c>
      <c r="AA772" s="55" t="s">
        <v>5809</v>
      </c>
      <c r="AC772">
        <f t="shared" si="48"/>
        <v>7</v>
      </c>
      <c r="AD772" s="30" t="s">
        <v>5810</v>
      </c>
      <c r="AH772" s="3" t="s">
        <v>7015</v>
      </c>
      <c r="AI772" s="3" t="s">
        <v>7010</v>
      </c>
      <c r="AJ772" s="3" t="s">
        <v>7010</v>
      </c>
      <c r="AK772" s="3" t="s">
        <v>7015</v>
      </c>
      <c r="AL772" s="3" t="s">
        <v>7010</v>
      </c>
      <c r="AM772" s="3" t="s">
        <v>7010</v>
      </c>
      <c r="AN772" s="3" t="s">
        <v>7010</v>
      </c>
      <c r="AO772" s="3" t="s">
        <v>7010</v>
      </c>
      <c r="AP772" s="74" t="s">
        <v>7015</v>
      </c>
      <c r="AU772">
        <v>771</v>
      </c>
      <c r="AV772" t="s">
        <v>5811</v>
      </c>
      <c r="AW772" t="s">
        <v>2279</v>
      </c>
      <c r="AX772">
        <f t="shared" si="50"/>
        <v>9</v>
      </c>
      <c r="AY772" s="30" t="s">
        <v>5812</v>
      </c>
      <c r="BC772" s="3" t="s">
        <v>7010</v>
      </c>
      <c r="BD772" s="3" t="s">
        <v>7010</v>
      </c>
      <c r="BE772" s="3" t="s">
        <v>7010</v>
      </c>
      <c r="BF772" s="3" t="s">
        <v>7010</v>
      </c>
      <c r="BG772" s="3" t="s">
        <v>7010</v>
      </c>
      <c r="BH772" s="3" t="s">
        <v>7010</v>
      </c>
      <c r="BI772" s="3" t="s">
        <v>7010</v>
      </c>
      <c r="BJ772" s="3" t="s">
        <v>7010</v>
      </c>
      <c r="BK772" s="74" t="str">
        <f t="shared" si="51"/>
        <v>No</v>
      </c>
    </row>
    <row r="773" spans="7:63">
      <c r="G773">
        <v>772</v>
      </c>
      <c r="H773" s="7" t="s">
        <v>247</v>
      </c>
      <c r="I773" t="s">
        <v>29</v>
      </c>
      <c r="J773">
        <f>LEN(H773)</f>
        <v>13</v>
      </c>
      <c r="K773" s="49" t="s">
        <v>2329</v>
      </c>
      <c r="O773" s="3" t="s">
        <v>7010</v>
      </c>
      <c r="P773" s="3" t="s">
        <v>7010</v>
      </c>
      <c r="Q773" s="3" t="s">
        <v>7010</v>
      </c>
      <c r="R773" s="3" t="s">
        <v>7015</v>
      </c>
      <c r="S773" s="3" t="s">
        <v>7010</v>
      </c>
      <c r="T773" s="3" t="s">
        <v>7010</v>
      </c>
      <c r="U773" s="3" t="s">
        <v>7010</v>
      </c>
      <c r="V773" s="3" t="s">
        <v>7010</v>
      </c>
      <c r="W773" s="74" t="str">
        <f t="shared" si="49"/>
        <v>Yes</v>
      </c>
      <c r="Z773">
        <v>772</v>
      </c>
      <c r="AA773" s="55" t="s">
        <v>5814</v>
      </c>
      <c r="AC773">
        <f t="shared" si="48"/>
        <v>8</v>
      </c>
      <c r="AD773" s="30" t="s">
        <v>5815</v>
      </c>
      <c r="AH773" s="3" t="s">
        <v>7015</v>
      </c>
      <c r="AI773" s="3" t="s">
        <v>7010</v>
      </c>
      <c r="AJ773" s="3" t="s">
        <v>7010</v>
      </c>
      <c r="AK773" s="3" t="s">
        <v>7015</v>
      </c>
      <c r="AL773" s="3" t="s">
        <v>7010</v>
      </c>
      <c r="AM773" s="3" t="s">
        <v>7010</v>
      </c>
      <c r="AN773" s="3" t="s">
        <v>7010</v>
      </c>
      <c r="AO773" s="3" t="s">
        <v>7010</v>
      </c>
      <c r="AP773" s="74" t="s">
        <v>7015</v>
      </c>
      <c r="AU773">
        <v>772</v>
      </c>
      <c r="AV773" t="s">
        <v>5816</v>
      </c>
      <c r="AW773" t="s">
        <v>2279</v>
      </c>
      <c r="AX773">
        <f t="shared" si="50"/>
        <v>9</v>
      </c>
      <c r="AY773" s="30" t="s">
        <v>5817</v>
      </c>
      <c r="BC773" s="3" t="s">
        <v>7010</v>
      </c>
      <c r="BD773" s="3" t="s">
        <v>7010</v>
      </c>
      <c r="BE773" s="3" t="s">
        <v>7010</v>
      </c>
      <c r="BF773" s="3" t="s">
        <v>7010</v>
      </c>
      <c r="BG773" s="3" t="s">
        <v>7010</v>
      </c>
      <c r="BH773" s="3" t="s">
        <v>7010</v>
      </c>
      <c r="BI773" s="3" t="s">
        <v>7010</v>
      </c>
      <c r="BJ773" s="3" t="s">
        <v>7010</v>
      </c>
      <c r="BK773" s="74" t="str">
        <f t="shared" si="51"/>
        <v>No</v>
      </c>
    </row>
    <row r="774" spans="7:63">
      <c r="G774">
        <v>773</v>
      </c>
      <c r="H774" s="7" t="s">
        <v>231</v>
      </c>
      <c r="I774" t="s">
        <v>29</v>
      </c>
      <c r="J774">
        <f>LEN(H774)</f>
        <v>14</v>
      </c>
      <c r="K774" s="49" t="s">
        <v>2325</v>
      </c>
      <c r="O774" s="3" t="s">
        <v>7010</v>
      </c>
      <c r="P774" s="3" t="s">
        <v>7010</v>
      </c>
      <c r="Q774" s="3" t="s">
        <v>7010</v>
      </c>
      <c r="R774" s="3" t="s">
        <v>7015</v>
      </c>
      <c r="S774" s="3" t="s">
        <v>7010</v>
      </c>
      <c r="T774" s="3" t="s">
        <v>7010</v>
      </c>
      <c r="U774" s="3" t="s">
        <v>7010</v>
      </c>
      <c r="V774" s="3" t="s">
        <v>7010</v>
      </c>
      <c r="W774" s="74" t="str">
        <f t="shared" si="49"/>
        <v>Yes</v>
      </c>
      <c r="Z774">
        <v>773</v>
      </c>
      <c r="AA774" s="55" t="s">
        <v>5818</v>
      </c>
      <c r="AC774">
        <f t="shared" si="48"/>
        <v>6</v>
      </c>
      <c r="AD774" s="30" t="s">
        <v>5819</v>
      </c>
      <c r="AH774" s="3" t="s">
        <v>7015</v>
      </c>
      <c r="AI774" s="3" t="s">
        <v>7010</v>
      </c>
      <c r="AJ774" s="3" t="s">
        <v>7010</v>
      </c>
      <c r="AK774" s="3" t="s">
        <v>7015</v>
      </c>
      <c r="AL774" s="3" t="s">
        <v>7010</v>
      </c>
      <c r="AM774" s="3" t="s">
        <v>7010</v>
      </c>
      <c r="AN774" s="3" t="s">
        <v>7010</v>
      </c>
      <c r="AO774" s="3" t="s">
        <v>7010</v>
      </c>
      <c r="AP774" s="74" t="s">
        <v>7015</v>
      </c>
      <c r="AU774">
        <v>773</v>
      </c>
      <c r="AV774" t="s">
        <v>5820</v>
      </c>
      <c r="AW774" t="s">
        <v>2279</v>
      </c>
      <c r="AX774">
        <f t="shared" si="50"/>
        <v>11</v>
      </c>
      <c r="AY774" s="30" t="s">
        <v>5821</v>
      </c>
      <c r="BC774" s="3" t="s">
        <v>7010</v>
      </c>
      <c r="BD774" s="3" t="s">
        <v>7010</v>
      </c>
      <c r="BE774" s="3" t="s">
        <v>7010</v>
      </c>
      <c r="BF774" s="3" t="s">
        <v>7010</v>
      </c>
      <c r="BG774" s="3" t="s">
        <v>7010</v>
      </c>
      <c r="BH774" s="3" t="s">
        <v>7010</v>
      </c>
      <c r="BI774" s="3" t="s">
        <v>7010</v>
      </c>
      <c r="BJ774" s="3" t="s">
        <v>7010</v>
      </c>
      <c r="BK774" s="74" t="str">
        <f t="shared" si="51"/>
        <v>No</v>
      </c>
    </row>
    <row r="775" spans="7:63">
      <c r="G775">
        <v>774</v>
      </c>
      <c r="H775" s="7" t="s">
        <v>423</v>
      </c>
      <c r="I775" t="s">
        <v>29</v>
      </c>
      <c r="J775">
        <f>LEN(H775)</f>
        <v>12</v>
      </c>
      <c r="K775" s="49" t="s">
        <v>2609</v>
      </c>
      <c r="O775" s="3" t="s">
        <v>7010</v>
      </c>
      <c r="P775" s="3" t="s">
        <v>7010</v>
      </c>
      <c r="Q775" s="3" t="s">
        <v>7010</v>
      </c>
      <c r="R775" s="3" t="s">
        <v>7010</v>
      </c>
      <c r="S775" s="3" t="s">
        <v>7010</v>
      </c>
      <c r="T775" s="3" t="s">
        <v>7010</v>
      </c>
      <c r="U775" s="3" t="s">
        <v>7010</v>
      </c>
      <c r="V775" s="3" t="s">
        <v>7010</v>
      </c>
      <c r="W775" s="74" t="str">
        <f t="shared" si="49"/>
        <v>No</v>
      </c>
      <c r="Z775">
        <v>774</v>
      </c>
      <c r="AA775" s="55" t="s">
        <v>5822</v>
      </c>
      <c r="AC775">
        <f t="shared" si="48"/>
        <v>7</v>
      </c>
      <c r="AD775" s="30" t="s">
        <v>5823</v>
      </c>
      <c r="AH775" s="3" t="s">
        <v>7015</v>
      </c>
      <c r="AI775" s="3" t="s">
        <v>7010</v>
      </c>
      <c r="AJ775" s="3" t="s">
        <v>7010</v>
      </c>
      <c r="AK775" s="3" t="s">
        <v>7015</v>
      </c>
      <c r="AL775" s="3" t="s">
        <v>7010</v>
      </c>
      <c r="AM775" s="3" t="s">
        <v>7010</v>
      </c>
      <c r="AN775" s="3" t="s">
        <v>7010</v>
      </c>
      <c r="AO775" s="3" t="s">
        <v>7010</v>
      </c>
      <c r="AP775" s="74" t="s">
        <v>7015</v>
      </c>
      <c r="AU775">
        <v>774</v>
      </c>
      <c r="AV775" t="s">
        <v>5824</v>
      </c>
      <c r="AW775" t="s">
        <v>2279</v>
      </c>
      <c r="AX775">
        <f t="shared" si="50"/>
        <v>13</v>
      </c>
      <c r="AY775" s="30" t="s">
        <v>5825</v>
      </c>
      <c r="BC775" s="3" t="s">
        <v>7010</v>
      </c>
      <c r="BD775" s="3" t="s">
        <v>7010</v>
      </c>
      <c r="BE775" s="3" t="s">
        <v>7010</v>
      </c>
      <c r="BF775" s="3" t="s">
        <v>7010</v>
      </c>
      <c r="BG775" s="3" t="s">
        <v>7010</v>
      </c>
      <c r="BH775" s="3" t="s">
        <v>7010</v>
      </c>
      <c r="BI775" s="3" t="s">
        <v>7010</v>
      </c>
      <c r="BJ775" s="3" t="s">
        <v>7010</v>
      </c>
      <c r="BK775" s="74" t="str">
        <f t="shared" si="51"/>
        <v>No</v>
      </c>
    </row>
    <row r="776" spans="7:63">
      <c r="G776">
        <v>775</v>
      </c>
      <c r="H776" s="7" t="s">
        <v>6376</v>
      </c>
      <c r="I776" t="s">
        <v>29</v>
      </c>
      <c r="J776">
        <f>LEN(H776)</f>
        <v>10</v>
      </c>
      <c r="K776" s="49" t="s">
        <v>6377</v>
      </c>
      <c r="O776" s="3" t="s">
        <v>7010</v>
      </c>
      <c r="P776" s="3" t="s">
        <v>7010</v>
      </c>
      <c r="Q776" s="3" t="s">
        <v>7010</v>
      </c>
      <c r="R776" s="3" t="s">
        <v>7010</v>
      </c>
      <c r="S776" s="3" t="s">
        <v>7010</v>
      </c>
      <c r="T776" s="3" t="s">
        <v>7010</v>
      </c>
      <c r="U776" s="3" t="s">
        <v>7010</v>
      </c>
      <c r="V776" s="3" t="s">
        <v>7010</v>
      </c>
      <c r="W776" s="74" t="str">
        <f t="shared" si="49"/>
        <v>No</v>
      </c>
      <c r="Z776">
        <v>775</v>
      </c>
      <c r="AA776" s="55" t="s">
        <v>5826</v>
      </c>
      <c r="AC776">
        <f t="shared" si="48"/>
        <v>7</v>
      </c>
      <c r="AD776" s="30" t="s">
        <v>5827</v>
      </c>
      <c r="AH776" s="3" t="s">
        <v>7015</v>
      </c>
      <c r="AI776" s="3" t="s">
        <v>7010</v>
      </c>
      <c r="AJ776" s="3" t="s">
        <v>7010</v>
      </c>
      <c r="AK776" s="3" t="s">
        <v>7015</v>
      </c>
      <c r="AL776" s="3" t="s">
        <v>7010</v>
      </c>
      <c r="AM776" s="3" t="s">
        <v>7010</v>
      </c>
      <c r="AN776" s="3" t="s">
        <v>7010</v>
      </c>
      <c r="AO776" s="3" t="s">
        <v>7010</v>
      </c>
      <c r="AP776" s="74" t="s">
        <v>7015</v>
      </c>
      <c r="AU776">
        <v>775</v>
      </c>
      <c r="AV776" t="s">
        <v>5828</v>
      </c>
      <c r="AW776" t="s">
        <v>2279</v>
      </c>
      <c r="AX776">
        <f t="shared" si="50"/>
        <v>13</v>
      </c>
      <c r="AY776" s="30" t="s">
        <v>5829</v>
      </c>
      <c r="BC776" s="3" t="s">
        <v>7010</v>
      </c>
      <c r="BD776" s="3" t="s">
        <v>7010</v>
      </c>
      <c r="BE776" s="3" t="s">
        <v>7010</v>
      </c>
      <c r="BF776" s="3" t="s">
        <v>7010</v>
      </c>
      <c r="BG776" s="3" t="s">
        <v>7010</v>
      </c>
      <c r="BH776" s="3" t="s">
        <v>7010</v>
      </c>
      <c r="BI776" s="3" t="s">
        <v>7010</v>
      </c>
      <c r="BJ776" s="3" t="s">
        <v>7010</v>
      </c>
      <c r="BK776" s="74" t="str">
        <f t="shared" si="51"/>
        <v>No</v>
      </c>
    </row>
    <row r="777" spans="7:63">
      <c r="G777">
        <v>776</v>
      </c>
      <c r="H777" s="7" t="s">
        <v>2135</v>
      </c>
      <c r="I777" t="s">
        <v>29</v>
      </c>
      <c r="J777">
        <f>LEN(H777)</f>
        <v>13</v>
      </c>
      <c r="K777" s="49" t="s">
        <v>6663</v>
      </c>
      <c r="O777" s="3" t="s">
        <v>7010</v>
      </c>
      <c r="P777" s="3" t="s">
        <v>7010</v>
      </c>
      <c r="Q777" s="3" t="s">
        <v>7010</v>
      </c>
      <c r="R777" s="3" t="s">
        <v>7010</v>
      </c>
      <c r="S777" s="3" t="s">
        <v>7010</v>
      </c>
      <c r="T777" s="3" t="s">
        <v>7015</v>
      </c>
      <c r="U777" s="3" t="s">
        <v>7010</v>
      </c>
      <c r="V777" s="3" t="s">
        <v>7010</v>
      </c>
      <c r="W777" s="74" t="str">
        <f t="shared" si="49"/>
        <v>Yes</v>
      </c>
      <c r="Z777">
        <v>776</v>
      </c>
      <c r="AA777" s="55" t="s">
        <v>5830</v>
      </c>
      <c r="AC777">
        <f t="shared" si="48"/>
        <v>7</v>
      </c>
      <c r="AD777" s="30" t="s">
        <v>5831</v>
      </c>
      <c r="AH777" s="3" t="s">
        <v>7015</v>
      </c>
      <c r="AI777" s="3" t="s">
        <v>7010</v>
      </c>
      <c r="AJ777" s="3" t="s">
        <v>7010</v>
      </c>
      <c r="AK777" s="3" t="s">
        <v>7015</v>
      </c>
      <c r="AL777" s="3" t="s">
        <v>7010</v>
      </c>
      <c r="AM777" s="3" t="s">
        <v>7010</v>
      </c>
      <c r="AN777" s="3" t="s">
        <v>7010</v>
      </c>
      <c r="AO777" s="3" t="s">
        <v>7010</v>
      </c>
      <c r="AP777" s="74" t="s">
        <v>7015</v>
      </c>
      <c r="AU777">
        <v>776</v>
      </c>
      <c r="AV777" t="s">
        <v>5832</v>
      </c>
      <c r="AW777" t="s">
        <v>2279</v>
      </c>
      <c r="AX777">
        <f t="shared" si="50"/>
        <v>10</v>
      </c>
      <c r="AY777" s="30" t="s">
        <v>5833</v>
      </c>
      <c r="BC777" s="3" t="s">
        <v>7010</v>
      </c>
      <c r="BD777" s="3" t="s">
        <v>7010</v>
      </c>
      <c r="BE777" s="3" t="s">
        <v>7010</v>
      </c>
      <c r="BF777" s="3" t="s">
        <v>7010</v>
      </c>
      <c r="BG777" s="3" t="s">
        <v>7010</v>
      </c>
      <c r="BH777" s="3" t="s">
        <v>7010</v>
      </c>
      <c r="BI777" s="3" t="s">
        <v>7010</v>
      </c>
      <c r="BJ777" s="3" t="s">
        <v>7010</v>
      </c>
      <c r="BK777" s="74" t="str">
        <f t="shared" si="51"/>
        <v>No</v>
      </c>
    </row>
    <row r="778" spans="7:63">
      <c r="G778">
        <v>777</v>
      </c>
      <c r="H778" s="7" t="s">
        <v>521</v>
      </c>
      <c r="I778" t="s">
        <v>29</v>
      </c>
      <c r="J778">
        <f>LEN(H778)</f>
        <v>15</v>
      </c>
      <c r="K778" s="49" t="s">
        <v>3001</v>
      </c>
      <c r="O778" s="3" t="s">
        <v>7010</v>
      </c>
      <c r="P778" s="3" t="s">
        <v>7010</v>
      </c>
      <c r="Q778" s="3" t="s">
        <v>7010</v>
      </c>
      <c r="R778" s="3" t="s">
        <v>7010</v>
      </c>
      <c r="S778" s="3" t="s">
        <v>7010</v>
      </c>
      <c r="T778" s="3" t="s">
        <v>7010</v>
      </c>
      <c r="U778" s="3" t="s">
        <v>7010</v>
      </c>
      <c r="V778" s="3" t="s">
        <v>7010</v>
      </c>
      <c r="W778" s="74" t="str">
        <f t="shared" si="49"/>
        <v>No</v>
      </c>
      <c r="Z778">
        <v>777</v>
      </c>
      <c r="AA778" s="55" t="s">
        <v>5834</v>
      </c>
      <c r="AC778">
        <f t="shared" si="48"/>
        <v>5</v>
      </c>
      <c r="AD778" s="30" t="s">
        <v>5835</v>
      </c>
      <c r="AH778" s="3" t="s">
        <v>7015</v>
      </c>
      <c r="AI778" s="3" t="s">
        <v>7010</v>
      </c>
      <c r="AJ778" s="3" t="s">
        <v>7010</v>
      </c>
      <c r="AK778" s="3" t="s">
        <v>7015</v>
      </c>
      <c r="AL778" s="3" t="s">
        <v>7010</v>
      </c>
      <c r="AM778" s="3" t="s">
        <v>7010</v>
      </c>
      <c r="AN778" s="3" t="s">
        <v>7010</v>
      </c>
      <c r="AO778" s="3" t="s">
        <v>7010</v>
      </c>
      <c r="AP778" s="74" t="s">
        <v>7015</v>
      </c>
      <c r="AU778">
        <v>777</v>
      </c>
      <c r="AV778" t="s">
        <v>5836</v>
      </c>
      <c r="AW778" t="s">
        <v>2279</v>
      </c>
      <c r="AX778">
        <f t="shared" si="50"/>
        <v>8</v>
      </c>
      <c r="AY778" s="30" t="s">
        <v>5837</v>
      </c>
      <c r="BC778" s="3" t="s">
        <v>7010</v>
      </c>
      <c r="BD778" s="3" t="s">
        <v>7010</v>
      </c>
      <c r="BE778" s="3" t="s">
        <v>7010</v>
      </c>
      <c r="BF778" s="3" t="s">
        <v>7010</v>
      </c>
      <c r="BG778" s="3" t="s">
        <v>7010</v>
      </c>
      <c r="BH778" s="3" t="s">
        <v>7010</v>
      </c>
      <c r="BI778" s="3" t="s">
        <v>7010</v>
      </c>
      <c r="BJ778" s="3" t="s">
        <v>7010</v>
      </c>
      <c r="BK778" s="74" t="str">
        <f t="shared" si="51"/>
        <v>No</v>
      </c>
    </row>
    <row r="779" spans="7:63">
      <c r="G779">
        <v>778</v>
      </c>
      <c r="H779" s="7" t="s">
        <v>1074</v>
      </c>
      <c r="I779" t="s">
        <v>29</v>
      </c>
      <c r="J779">
        <f>LEN(H779)</f>
        <v>9</v>
      </c>
      <c r="K779" s="49" t="s">
        <v>3897</v>
      </c>
      <c r="O779" s="3" t="s">
        <v>7010</v>
      </c>
      <c r="P779" s="3" t="s">
        <v>7010</v>
      </c>
      <c r="Q779" s="3" t="s">
        <v>7010</v>
      </c>
      <c r="R779" s="3" t="s">
        <v>7010</v>
      </c>
      <c r="S779" s="3" t="s">
        <v>7010</v>
      </c>
      <c r="T779" s="3" t="s">
        <v>7015</v>
      </c>
      <c r="U779" s="3" t="s">
        <v>7010</v>
      </c>
      <c r="V779" s="3" t="s">
        <v>7010</v>
      </c>
      <c r="W779" s="74" t="str">
        <f t="shared" si="49"/>
        <v>Yes</v>
      </c>
      <c r="Z779">
        <v>778</v>
      </c>
      <c r="AA779" s="55" t="s">
        <v>5838</v>
      </c>
      <c r="AC779">
        <f t="shared" si="48"/>
        <v>5</v>
      </c>
      <c r="AD779" s="30" t="s">
        <v>5839</v>
      </c>
      <c r="AH779" s="3" t="s">
        <v>7015</v>
      </c>
      <c r="AI779" s="3" t="s">
        <v>7010</v>
      </c>
      <c r="AJ779" s="3" t="s">
        <v>7010</v>
      </c>
      <c r="AK779" s="3" t="s">
        <v>7015</v>
      </c>
      <c r="AL779" s="3" t="s">
        <v>7010</v>
      </c>
      <c r="AM779" s="3" t="s">
        <v>7010</v>
      </c>
      <c r="AN779" s="3" t="s">
        <v>7010</v>
      </c>
      <c r="AO779" s="3" t="s">
        <v>7010</v>
      </c>
      <c r="AP779" s="74" t="s">
        <v>7015</v>
      </c>
      <c r="AU779">
        <v>778</v>
      </c>
      <c r="AV779" t="s">
        <v>5840</v>
      </c>
      <c r="AW779" t="s">
        <v>2279</v>
      </c>
      <c r="AX779">
        <f t="shared" si="50"/>
        <v>15</v>
      </c>
      <c r="AY779" s="30" t="s">
        <v>5841</v>
      </c>
      <c r="BC779" s="3" t="s">
        <v>7010</v>
      </c>
      <c r="BD779" s="3" t="s">
        <v>7010</v>
      </c>
      <c r="BE779" s="3" t="s">
        <v>7010</v>
      </c>
      <c r="BF779" s="3" t="s">
        <v>7010</v>
      </c>
      <c r="BG779" s="3" t="s">
        <v>7010</v>
      </c>
      <c r="BH779" s="3" t="s">
        <v>7010</v>
      </c>
      <c r="BI779" s="3" t="s">
        <v>7010</v>
      </c>
      <c r="BJ779" s="3" t="s">
        <v>7010</v>
      </c>
      <c r="BK779" s="74" t="str">
        <f t="shared" si="51"/>
        <v>No</v>
      </c>
    </row>
    <row r="780" spans="7:63">
      <c r="G780">
        <v>779</v>
      </c>
      <c r="H780" s="7" t="s">
        <v>1612</v>
      </c>
      <c r="I780" t="s">
        <v>29</v>
      </c>
      <c r="J780">
        <f>LEN(H780)</f>
        <v>13</v>
      </c>
      <c r="K780" s="49" t="s">
        <v>5258</v>
      </c>
      <c r="O780" s="3" t="s">
        <v>7010</v>
      </c>
      <c r="P780" s="3" t="s">
        <v>7010</v>
      </c>
      <c r="Q780" s="3" t="s">
        <v>7010</v>
      </c>
      <c r="R780" s="3" t="s">
        <v>7010</v>
      </c>
      <c r="S780" s="3" t="s">
        <v>7010</v>
      </c>
      <c r="T780" s="3" t="s">
        <v>7010</v>
      </c>
      <c r="U780" s="3" t="s">
        <v>7015</v>
      </c>
      <c r="V780" s="3" t="s">
        <v>7010</v>
      </c>
      <c r="W780" s="74" t="str">
        <f t="shared" si="49"/>
        <v>Yes</v>
      </c>
      <c r="Z780">
        <v>779</v>
      </c>
      <c r="AA780" s="55" t="s">
        <v>5843</v>
      </c>
      <c r="AC780">
        <f t="shared" si="48"/>
        <v>6</v>
      </c>
      <c r="AD780" s="30" t="s">
        <v>5844</v>
      </c>
      <c r="AH780" s="3" t="s">
        <v>7015</v>
      </c>
      <c r="AI780" s="3" t="s">
        <v>7010</v>
      </c>
      <c r="AJ780" s="3" t="s">
        <v>7010</v>
      </c>
      <c r="AK780" s="3" t="s">
        <v>7015</v>
      </c>
      <c r="AL780" s="3" t="s">
        <v>7010</v>
      </c>
      <c r="AM780" s="3" t="s">
        <v>7010</v>
      </c>
      <c r="AN780" s="3" t="s">
        <v>7010</v>
      </c>
      <c r="AO780" s="3" t="s">
        <v>7010</v>
      </c>
      <c r="AP780" s="74" t="s">
        <v>7015</v>
      </c>
      <c r="AU780">
        <v>779</v>
      </c>
      <c r="AV780" t="s">
        <v>5845</v>
      </c>
      <c r="AW780" t="s">
        <v>2279</v>
      </c>
      <c r="AX780">
        <f t="shared" si="50"/>
        <v>8</v>
      </c>
      <c r="AY780" s="30" t="s">
        <v>5846</v>
      </c>
      <c r="BC780" s="3" t="s">
        <v>7010</v>
      </c>
      <c r="BD780" s="3" t="s">
        <v>7010</v>
      </c>
      <c r="BE780" s="3" t="s">
        <v>7015</v>
      </c>
      <c r="BF780" s="3" t="s">
        <v>7010</v>
      </c>
      <c r="BG780" s="3" t="s">
        <v>7010</v>
      </c>
      <c r="BH780" s="3" t="s">
        <v>7010</v>
      </c>
      <c r="BI780" s="3" t="s">
        <v>7010</v>
      </c>
      <c r="BJ780" s="3" t="s">
        <v>7010</v>
      </c>
      <c r="BK780" s="74" t="str">
        <f t="shared" si="51"/>
        <v>Yes</v>
      </c>
    </row>
    <row r="781" spans="7:63">
      <c r="G781">
        <v>780</v>
      </c>
      <c r="H781" s="7" t="s">
        <v>483</v>
      </c>
      <c r="I781" t="s">
        <v>29</v>
      </c>
      <c r="J781">
        <f>LEN(H781)</f>
        <v>11</v>
      </c>
      <c r="K781" s="49" t="s">
        <v>2849</v>
      </c>
      <c r="O781" s="3" t="s">
        <v>7010</v>
      </c>
      <c r="P781" s="3" t="s">
        <v>7010</v>
      </c>
      <c r="Q781" s="3" t="s">
        <v>7010</v>
      </c>
      <c r="R781" s="3" t="s">
        <v>7010</v>
      </c>
      <c r="S781" s="3" t="s">
        <v>7010</v>
      </c>
      <c r="T781" s="3" t="s">
        <v>7010</v>
      </c>
      <c r="U781" s="3" t="s">
        <v>7010</v>
      </c>
      <c r="V781" s="3" t="s">
        <v>7010</v>
      </c>
      <c r="W781" s="74" t="str">
        <f t="shared" si="49"/>
        <v>No</v>
      </c>
      <c r="Z781">
        <v>780</v>
      </c>
      <c r="AA781" s="55" t="s">
        <v>5848</v>
      </c>
      <c r="AC781">
        <f t="shared" si="48"/>
        <v>7</v>
      </c>
      <c r="AD781" s="30" t="s">
        <v>5849</v>
      </c>
      <c r="AH781" s="3" t="s">
        <v>7015</v>
      </c>
      <c r="AI781" s="3" t="s">
        <v>7010</v>
      </c>
      <c r="AJ781" s="3" t="s">
        <v>7010</v>
      </c>
      <c r="AK781" s="3" t="s">
        <v>7015</v>
      </c>
      <c r="AL781" s="3" t="s">
        <v>7010</v>
      </c>
      <c r="AM781" s="3" t="s">
        <v>7010</v>
      </c>
      <c r="AN781" s="3" t="s">
        <v>7010</v>
      </c>
      <c r="AO781" s="3" t="s">
        <v>7010</v>
      </c>
      <c r="AP781" s="74" t="s">
        <v>7015</v>
      </c>
      <c r="AU781">
        <v>780</v>
      </c>
      <c r="AV781" t="s">
        <v>5850</v>
      </c>
      <c r="AW781" t="s">
        <v>2279</v>
      </c>
      <c r="AX781">
        <f t="shared" si="50"/>
        <v>8</v>
      </c>
      <c r="AY781" s="30" t="s">
        <v>5851</v>
      </c>
      <c r="BC781" s="3" t="s">
        <v>7010</v>
      </c>
      <c r="BD781" s="3" t="s">
        <v>7010</v>
      </c>
      <c r="BE781" s="3" t="s">
        <v>7010</v>
      </c>
      <c r="BF781" s="3" t="s">
        <v>7010</v>
      </c>
      <c r="BG781" s="3" t="s">
        <v>7010</v>
      </c>
      <c r="BH781" s="3" t="s">
        <v>7010</v>
      </c>
      <c r="BI781" s="3" t="s">
        <v>7010</v>
      </c>
      <c r="BJ781" s="3" t="s">
        <v>7010</v>
      </c>
      <c r="BK781" s="74" t="str">
        <f t="shared" si="51"/>
        <v>No</v>
      </c>
    </row>
    <row r="782" spans="7:63">
      <c r="G782">
        <v>781</v>
      </c>
      <c r="H782" s="7" t="s">
        <v>396</v>
      </c>
      <c r="I782" t="s">
        <v>29</v>
      </c>
      <c r="J782">
        <f>LEN(H782)</f>
        <v>13</v>
      </c>
      <c r="K782" s="49" t="s">
        <v>2501</v>
      </c>
      <c r="O782" s="3" t="s">
        <v>7010</v>
      </c>
      <c r="P782" s="3" t="s">
        <v>7010</v>
      </c>
      <c r="Q782" s="3" t="s">
        <v>7010</v>
      </c>
      <c r="R782" s="3" t="s">
        <v>7010</v>
      </c>
      <c r="S782" s="3" t="s">
        <v>7010</v>
      </c>
      <c r="T782" s="3" t="s">
        <v>7010</v>
      </c>
      <c r="U782" s="3" t="s">
        <v>7010</v>
      </c>
      <c r="V782" s="3" t="s">
        <v>7010</v>
      </c>
      <c r="W782" s="74" t="str">
        <f t="shared" si="49"/>
        <v>No</v>
      </c>
      <c r="Z782">
        <v>781</v>
      </c>
      <c r="AA782" s="55" t="s">
        <v>5852</v>
      </c>
      <c r="AC782">
        <f t="shared" si="48"/>
        <v>9</v>
      </c>
      <c r="AD782" s="30" t="s">
        <v>5853</v>
      </c>
      <c r="AH782" s="3" t="s">
        <v>7015</v>
      </c>
      <c r="AI782" s="3" t="s">
        <v>7010</v>
      </c>
      <c r="AJ782" s="3" t="s">
        <v>7010</v>
      </c>
      <c r="AK782" s="3" t="s">
        <v>7015</v>
      </c>
      <c r="AL782" s="3" t="s">
        <v>7010</v>
      </c>
      <c r="AM782" s="3" t="s">
        <v>7010</v>
      </c>
      <c r="AN782" s="3" t="s">
        <v>7010</v>
      </c>
      <c r="AO782" s="3" t="s">
        <v>7010</v>
      </c>
      <c r="AP782" s="74" t="s">
        <v>7015</v>
      </c>
      <c r="AU782">
        <v>781</v>
      </c>
      <c r="AV782" t="s">
        <v>5854</v>
      </c>
      <c r="AW782" t="s">
        <v>2279</v>
      </c>
      <c r="AX782">
        <f t="shared" si="50"/>
        <v>8</v>
      </c>
      <c r="AY782" s="30" t="s">
        <v>5855</v>
      </c>
      <c r="BC782" s="3" t="s">
        <v>7010</v>
      </c>
      <c r="BD782" s="3" t="s">
        <v>7010</v>
      </c>
      <c r="BE782" s="3" t="s">
        <v>7010</v>
      </c>
      <c r="BF782" s="3" t="s">
        <v>7010</v>
      </c>
      <c r="BG782" s="3" t="s">
        <v>7010</v>
      </c>
      <c r="BH782" s="3" t="s">
        <v>7010</v>
      </c>
      <c r="BI782" s="3" t="s">
        <v>7010</v>
      </c>
      <c r="BJ782" s="3" t="s">
        <v>7010</v>
      </c>
      <c r="BK782" s="74" t="str">
        <f t="shared" si="51"/>
        <v>No</v>
      </c>
    </row>
    <row r="783" spans="7:63">
      <c r="G783">
        <v>782</v>
      </c>
      <c r="H783" s="7" t="s">
        <v>373</v>
      </c>
      <c r="I783" t="s">
        <v>29</v>
      </c>
      <c r="J783">
        <f>LEN(H783)</f>
        <v>12</v>
      </c>
      <c r="K783" s="49" t="s">
        <v>2409</v>
      </c>
      <c r="O783" s="3" t="s">
        <v>7015</v>
      </c>
      <c r="P783" s="3" t="s">
        <v>7010</v>
      </c>
      <c r="Q783" s="3" t="s">
        <v>7010</v>
      </c>
      <c r="R783" s="3" t="s">
        <v>7015</v>
      </c>
      <c r="S783" s="3" t="s">
        <v>7010</v>
      </c>
      <c r="T783" s="3" t="s">
        <v>7015</v>
      </c>
      <c r="U783" s="3" t="s">
        <v>7010</v>
      </c>
      <c r="V783" s="3" t="s">
        <v>7010</v>
      </c>
      <c r="W783" s="74" t="str">
        <f t="shared" si="49"/>
        <v>Yes</v>
      </c>
      <c r="Z783">
        <v>782</v>
      </c>
      <c r="AA783" s="55">
        <v>151515</v>
      </c>
      <c r="AC783">
        <f t="shared" si="48"/>
        <v>6</v>
      </c>
      <c r="AD783" s="30" t="s">
        <v>5856</v>
      </c>
      <c r="AH783" s="3" t="s">
        <v>7015</v>
      </c>
      <c r="AI783" s="3" t="s">
        <v>7010</v>
      </c>
      <c r="AJ783" s="3" t="s">
        <v>7010</v>
      </c>
      <c r="AK783" s="3" t="s">
        <v>7015</v>
      </c>
      <c r="AL783" s="3" t="s">
        <v>7010</v>
      </c>
      <c r="AM783" s="3" t="s">
        <v>7010</v>
      </c>
      <c r="AN783" s="3" t="s">
        <v>7010</v>
      </c>
      <c r="AO783" s="3" t="s">
        <v>7010</v>
      </c>
      <c r="AP783" s="74" t="s">
        <v>7015</v>
      </c>
      <c r="AU783">
        <v>782</v>
      </c>
      <c r="AV783" t="s">
        <v>5857</v>
      </c>
      <c r="AW783" t="s">
        <v>2279</v>
      </c>
      <c r="AX783">
        <f t="shared" si="50"/>
        <v>10</v>
      </c>
      <c r="AY783" s="30" t="s">
        <v>5858</v>
      </c>
      <c r="BC783" s="3" t="s">
        <v>7010</v>
      </c>
      <c r="BD783" s="3" t="s">
        <v>7010</v>
      </c>
      <c r="BE783" s="3" t="s">
        <v>7015</v>
      </c>
      <c r="BF783" s="3" t="s">
        <v>7010</v>
      </c>
      <c r="BG783" s="3" t="s">
        <v>7010</v>
      </c>
      <c r="BH783" s="3" t="s">
        <v>7010</v>
      </c>
      <c r="BI783" s="3" t="s">
        <v>7010</v>
      </c>
      <c r="BJ783" s="3" t="s">
        <v>7010</v>
      </c>
      <c r="BK783" s="74" t="str">
        <f t="shared" si="51"/>
        <v>Yes</v>
      </c>
    </row>
    <row r="784" spans="7:63">
      <c r="G784">
        <v>783</v>
      </c>
      <c r="H784" s="7" t="s">
        <v>1918</v>
      </c>
      <c r="I784" t="s">
        <v>29</v>
      </c>
      <c r="J784">
        <f>LEN(H784)</f>
        <v>10</v>
      </c>
      <c r="K784" s="49" t="s">
        <v>6103</v>
      </c>
      <c r="O784" s="3" t="s">
        <v>7010</v>
      </c>
      <c r="P784" s="3" t="s">
        <v>7010</v>
      </c>
      <c r="Q784" s="3" t="s">
        <v>7010</v>
      </c>
      <c r="R784" s="3" t="s">
        <v>7010</v>
      </c>
      <c r="S784" s="3" t="s">
        <v>7010</v>
      </c>
      <c r="T784" s="3" t="s">
        <v>7010</v>
      </c>
      <c r="U784" s="3" t="s">
        <v>7010</v>
      </c>
      <c r="V784" s="3" t="s">
        <v>7010</v>
      </c>
      <c r="W784" s="74" t="str">
        <f t="shared" si="49"/>
        <v>No</v>
      </c>
      <c r="Z784">
        <v>783</v>
      </c>
      <c r="AA784" s="55" t="s">
        <v>5859</v>
      </c>
      <c r="AC784">
        <f t="shared" si="48"/>
        <v>5</v>
      </c>
      <c r="AD784" s="30" t="s">
        <v>5860</v>
      </c>
      <c r="AH784" s="3" t="s">
        <v>7015</v>
      </c>
      <c r="AI784" s="3" t="s">
        <v>7010</v>
      </c>
      <c r="AJ784" s="3" t="s">
        <v>7010</v>
      </c>
      <c r="AK784" s="3" t="s">
        <v>7015</v>
      </c>
      <c r="AL784" s="3" t="s">
        <v>7010</v>
      </c>
      <c r="AM784" s="3" t="s">
        <v>7010</v>
      </c>
      <c r="AN784" s="3" t="s">
        <v>7010</v>
      </c>
      <c r="AO784" s="3" t="s">
        <v>7010</v>
      </c>
      <c r="AP784" s="74" t="s">
        <v>7015</v>
      </c>
      <c r="AU784">
        <v>783</v>
      </c>
      <c r="AV784" t="s">
        <v>5861</v>
      </c>
      <c r="AW784" t="s">
        <v>2279</v>
      </c>
      <c r="AX784">
        <f t="shared" si="50"/>
        <v>8</v>
      </c>
      <c r="AY784" s="30" t="s">
        <v>5862</v>
      </c>
      <c r="BC784" s="3" t="s">
        <v>7010</v>
      </c>
      <c r="BD784" s="3" t="s">
        <v>7010</v>
      </c>
      <c r="BE784" s="3" t="s">
        <v>7010</v>
      </c>
      <c r="BF784" s="3" t="s">
        <v>7010</v>
      </c>
      <c r="BG784" s="3" t="s">
        <v>7010</v>
      </c>
      <c r="BH784" s="3" t="s">
        <v>7010</v>
      </c>
      <c r="BI784" s="3" t="s">
        <v>7010</v>
      </c>
      <c r="BJ784" s="3" t="s">
        <v>7010</v>
      </c>
      <c r="BK784" s="74" t="str">
        <f t="shared" si="51"/>
        <v>No</v>
      </c>
    </row>
    <row r="785" spans="7:63">
      <c r="G785">
        <v>784</v>
      </c>
      <c r="H785" s="7" t="s">
        <v>426</v>
      </c>
      <c r="I785" t="s">
        <v>29</v>
      </c>
      <c r="J785">
        <f>LEN(H785)</f>
        <v>7</v>
      </c>
      <c r="K785" s="49" t="s">
        <v>2621</v>
      </c>
      <c r="O785" s="3" t="s">
        <v>7010</v>
      </c>
      <c r="P785" s="3" t="s">
        <v>7010</v>
      </c>
      <c r="Q785" s="3" t="s">
        <v>7010</v>
      </c>
      <c r="R785" s="3" t="s">
        <v>7015</v>
      </c>
      <c r="S785" s="3" t="s">
        <v>7010</v>
      </c>
      <c r="T785" s="3" t="s">
        <v>7010</v>
      </c>
      <c r="U785" s="3" t="s">
        <v>7010</v>
      </c>
      <c r="V785" s="3" t="s">
        <v>7010</v>
      </c>
      <c r="W785" s="74" t="str">
        <f t="shared" si="49"/>
        <v>Yes</v>
      </c>
      <c r="Z785">
        <v>784</v>
      </c>
      <c r="AA785" s="55" t="s">
        <v>5863</v>
      </c>
      <c r="AC785">
        <f t="shared" si="48"/>
        <v>6</v>
      </c>
      <c r="AD785" s="30" t="s">
        <v>5864</v>
      </c>
      <c r="AH785" s="3" t="s">
        <v>7015</v>
      </c>
      <c r="AI785" s="3" t="s">
        <v>7010</v>
      </c>
      <c r="AJ785" s="3" t="s">
        <v>7010</v>
      </c>
      <c r="AK785" s="3" t="s">
        <v>7015</v>
      </c>
      <c r="AL785" s="3" t="s">
        <v>7010</v>
      </c>
      <c r="AM785" s="3" t="s">
        <v>7010</v>
      </c>
      <c r="AN785" s="3" t="s">
        <v>7010</v>
      </c>
      <c r="AO785" s="3" t="s">
        <v>7010</v>
      </c>
      <c r="AP785" s="74" t="s">
        <v>7015</v>
      </c>
      <c r="AU785">
        <v>784</v>
      </c>
      <c r="AV785" t="s">
        <v>5865</v>
      </c>
      <c r="AW785" t="s">
        <v>2279</v>
      </c>
      <c r="AX785">
        <f t="shared" si="50"/>
        <v>8</v>
      </c>
      <c r="AY785" s="30" t="s">
        <v>5866</v>
      </c>
      <c r="BC785" s="3" t="s">
        <v>7010</v>
      </c>
      <c r="BD785" s="3" t="s">
        <v>7010</v>
      </c>
      <c r="BE785" s="3" t="s">
        <v>7010</v>
      </c>
      <c r="BF785" s="3" t="s">
        <v>7010</v>
      </c>
      <c r="BG785" s="3" t="s">
        <v>7010</v>
      </c>
      <c r="BH785" s="3" t="s">
        <v>7010</v>
      </c>
      <c r="BI785" s="3" t="s">
        <v>7010</v>
      </c>
      <c r="BJ785" s="3" t="s">
        <v>7010</v>
      </c>
      <c r="BK785" s="74" t="str">
        <f t="shared" si="51"/>
        <v>No</v>
      </c>
    </row>
    <row r="786" spans="7:63">
      <c r="G786">
        <v>785</v>
      </c>
      <c r="H786" s="7" t="s">
        <v>1967</v>
      </c>
      <c r="I786" t="s">
        <v>29</v>
      </c>
      <c r="J786">
        <f>LEN(H786)</f>
        <v>15</v>
      </c>
      <c r="K786" s="49" t="s">
        <v>6239</v>
      </c>
      <c r="O786" s="3" t="s">
        <v>7010</v>
      </c>
      <c r="P786" s="3" t="s">
        <v>7010</v>
      </c>
      <c r="Q786" s="3" t="s">
        <v>7010</v>
      </c>
      <c r="R786" s="3" t="s">
        <v>7010</v>
      </c>
      <c r="S786" s="3" t="s">
        <v>7010</v>
      </c>
      <c r="T786" s="3" t="s">
        <v>7010</v>
      </c>
      <c r="U786" s="3" t="s">
        <v>7010</v>
      </c>
      <c r="V786" s="3" t="s">
        <v>7010</v>
      </c>
      <c r="W786" s="74" t="str">
        <f t="shared" si="49"/>
        <v>No</v>
      </c>
      <c r="Z786">
        <v>785</v>
      </c>
      <c r="AA786" s="55">
        <v>202020</v>
      </c>
      <c r="AC786">
        <f t="shared" si="48"/>
        <v>6</v>
      </c>
      <c r="AD786" s="30" t="s">
        <v>5868</v>
      </c>
      <c r="AH786" s="3" t="s">
        <v>7015</v>
      </c>
      <c r="AI786" s="3" t="s">
        <v>7010</v>
      </c>
      <c r="AJ786" s="3" t="s">
        <v>7010</v>
      </c>
      <c r="AK786" s="3" t="s">
        <v>7015</v>
      </c>
      <c r="AL786" s="3" t="s">
        <v>7010</v>
      </c>
      <c r="AM786" s="3" t="s">
        <v>7010</v>
      </c>
      <c r="AN786" s="3" t="s">
        <v>7010</v>
      </c>
      <c r="AO786" s="3" t="s">
        <v>7010</v>
      </c>
      <c r="AP786" s="74" t="s">
        <v>7015</v>
      </c>
      <c r="AU786">
        <v>785</v>
      </c>
      <c r="AV786" t="s">
        <v>5869</v>
      </c>
      <c r="AW786" t="s">
        <v>2279</v>
      </c>
      <c r="AX786">
        <f t="shared" si="50"/>
        <v>8</v>
      </c>
      <c r="AY786" s="30" t="s">
        <v>5870</v>
      </c>
      <c r="BC786" s="3" t="s">
        <v>7010</v>
      </c>
      <c r="BD786" s="3" t="s">
        <v>7010</v>
      </c>
      <c r="BE786" s="3" t="s">
        <v>7010</v>
      </c>
      <c r="BF786" s="3" t="s">
        <v>7010</v>
      </c>
      <c r="BG786" s="3" t="s">
        <v>7010</v>
      </c>
      <c r="BH786" s="3" t="s">
        <v>7010</v>
      </c>
      <c r="BI786" s="3" t="s">
        <v>7010</v>
      </c>
      <c r="BJ786" s="3" t="s">
        <v>7010</v>
      </c>
      <c r="BK786" s="74" t="str">
        <f t="shared" si="51"/>
        <v>No</v>
      </c>
    </row>
    <row r="787" spans="7:63">
      <c r="G787">
        <v>786</v>
      </c>
      <c r="H787" s="7" t="s">
        <v>2045</v>
      </c>
      <c r="I787" t="s">
        <v>29</v>
      </c>
      <c r="J787">
        <f>LEN(H787)</f>
        <v>14</v>
      </c>
      <c r="K787" s="49" t="s">
        <v>6442</v>
      </c>
      <c r="O787" s="3" t="s">
        <v>7010</v>
      </c>
      <c r="P787" s="3" t="s">
        <v>7010</v>
      </c>
      <c r="Q787" s="3" t="s">
        <v>7010</v>
      </c>
      <c r="R787" s="3" t="s">
        <v>7010</v>
      </c>
      <c r="S787" s="3" t="s">
        <v>7010</v>
      </c>
      <c r="T787" s="3" t="s">
        <v>7015</v>
      </c>
      <c r="U787" s="3" t="s">
        <v>7010</v>
      </c>
      <c r="V787" s="3" t="s">
        <v>7010</v>
      </c>
      <c r="W787" s="74" t="str">
        <f t="shared" si="49"/>
        <v>Yes</v>
      </c>
      <c r="Z787">
        <v>786</v>
      </c>
      <c r="AA787" s="55" t="s">
        <v>5872</v>
      </c>
      <c r="AC787">
        <f t="shared" si="48"/>
        <v>6</v>
      </c>
      <c r="AD787" s="30" t="s">
        <v>5873</v>
      </c>
      <c r="AH787" s="3" t="s">
        <v>7015</v>
      </c>
      <c r="AI787" s="3" t="s">
        <v>7010</v>
      </c>
      <c r="AJ787" s="3" t="s">
        <v>7010</v>
      </c>
      <c r="AK787" s="3" t="s">
        <v>7015</v>
      </c>
      <c r="AL787" s="3" t="s">
        <v>7010</v>
      </c>
      <c r="AM787" s="3" t="s">
        <v>7010</v>
      </c>
      <c r="AN787" s="3" t="s">
        <v>7010</v>
      </c>
      <c r="AO787" s="3" t="s">
        <v>7010</v>
      </c>
      <c r="AP787" s="74" t="s">
        <v>7015</v>
      </c>
      <c r="AU787">
        <v>786</v>
      </c>
      <c r="AV787" t="s">
        <v>5874</v>
      </c>
      <c r="AW787" t="s">
        <v>2279</v>
      </c>
      <c r="AX787">
        <f t="shared" si="50"/>
        <v>9</v>
      </c>
      <c r="AY787" s="30" t="s">
        <v>5875</v>
      </c>
      <c r="BC787" s="3" t="s">
        <v>7010</v>
      </c>
      <c r="BD787" s="3" t="s">
        <v>7010</v>
      </c>
      <c r="BE787" s="3" t="s">
        <v>7010</v>
      </c>
      <c r="BF787" s="3" t="s">
        <v>7010</v>
      </c>
      <c r="BG787" s="3" t="s">
        <v>7010</v>
      </c>
      <c r="BH787" s="3" t="s">
        <v>7010</v>
      </c>
      <c r="BI787" s="3" t="s">
        <v>7010</v>
      </c>
      <c r="BJ787" s="3" t="s">
        <v>7010</v>
      </c>
      <c r="BK787" s="74" t="str">
        <f t="shared" si="51"/>
        <v>No</v>
      </c>
    </row>
    <row r="788" spans="7:63">
      <c r="G788">
        <v>787</v>
      </c>
      <c r="H788" s="7" t="s">
        <v>477</v>
      </c>
      <c r="I788" t="s">
        <v>29</v>
      </c>
      <c r="J788">
        <f>LEN(H788)</f>
        <v>15</v>
      </c>
      <c r="K788" s="49" t="s">
        <v>2825</v>
      </c>
      <c r="O788" s="3" t="s">
        <v>7010</v>
      </c>
      <c r="P788" s="3" t="s">
        <v>7010</v>
      </c>
      <c r="Q788" s="3" t="s">
        <v>7010</v>
      </c>
      <c r="R788" s="3" t="s">
        <v>7010</v>
      </c>
      <c r="S788" s="3" t="s">
        <v>7010</v>
      </c>
      <c r="T788" s="3" t="s">
        <v>7010</v>
      </c>
      <c r="U788" s="3" t="s">
        <v>7010</v>
      </c>
      <c r="V788" s="3" t="s">
        <v>7010</v>
      </c>
      <c r="W788" s="74" t="str">
        <f t="shared" si="49"/>
        <v>No</v>
      </c>
      <c r="Z788">
        <v>787</v>
      </c>
      <c r="AA788" s="55" t="s">
        <v>5876</v>
      </c>
      <c r="AC788">
        <f t="shared" si="48"/>
        <v>10</v>
      </c>
      <c r="AD788" s="30" t="s">
        <v>5877</v>
      </c>
      <c r="AH788" s="3" t="s">
        <v>7015</v>
      </c>
      <c r="AI788" s="3" t="s">
        <v>7010</v>
      </c>
      <c r="AJ788" s="3" t="s">
        <v>7010</v>
      </c>
      <c r="AK788" s="3" t="s">
        <v>7015</v>
      </c>
      <c r="AL788" s="3" t="s">
        <v>7010</v>
      </c>
      <c r="AM788" s="3" t="s">
        <v>7010</v>
      </c>
      <c r="AN788" s="3" t="s">
        <v>7010</v>
      </c>
      <c r="AO788" s="3" t="s">
        <v>7010</v>
      </c>
      <c r="AP788" s="74" t="s">
        <v>7015</v>
      </c>
      <c r="AU788">
        <v>787</v>
      </c>
      <c r="AV788" t="s">
        <v>5878</v>
      </c>
      <c r="AW788" t="s">
        <v>2279</v>
      </c>
      <c r="AX788">
        <f t="shared" si="50"/>
        <v>11</v>
      </c>
      <c r="AY788" s="30" t="s">
        <v>5879</v>
      </c>
      <c r="BC788" s="3" t="s">
        <v>7010</v>
      </c>
      <c r="BD788" s="3" t="s">
        <v>7010</v>
      </c>
      <c r="BE788" s="3" t="s">
        <v>7010</v>
      </c>
      <c r="BF788" s="3" t="s">
        <v>7010</v>
      </c>
      <c r="BG788" s="3" t="s">
        <v>7010</v>
      </c>
      <c r="BH788" s="3" t="s">
        <v>7010</v>
      </c>
      <c r="BI788" s="3" t="s">
        <v>7010</v>
      </c>
      <c r="BJ788" s="3" t="s">
        <v>7010</v>
      </c>
      <c r="BK788" s="74" t="str">
        <f t="shared" si="51"/>
        <v>No</v>
      </c>
    </row>
    <row r="789" spans="7:63">
      <c r="G789">
        <v>788</v>
      </c>
      <c r="H789" s="7" t="s">
        <v>1332</v>
      </c>
      <c r="I789" t="s">
        <v>29</v>
      </c>
      <c r="J789">
        <f>LEN(H789)</f>
        <v>9</v>
      </c>
      <c r="K789" s="49" t="s">
        <v>4545</v>
      </c>
      <c r="O789" s="3" t="s">
        <v>7010</v>
      </c>
      <c r="P789" s="3" t="s">
        <v>7010</v>
      </c>
      <c r="Q789" s="3" t="s">
        <v>7010</v>
      </c>
      <c r="R789" s="3" t="s">
        <v>7010</v>
      </c>
      <c r="S789" s="3" t="s">
        <v>7010</v>
      </c>
      <c r="T789" s="3" t="s">
        <v>7010</v>
      </c>
      <c r="U789" s="3" t="s">
        <v>7010</v>
      </c>
      <c r="V789" s="3" t="s">
        <v>7010</v>
      </c>
      <c r="W789" s="74" t="str">
        <f t="shared" si="49"/>
        <v>No</v>
      </c>
      <c r="Z789">
        <v>788</v>
      </c>
      <c r="AA789" s="55" t="s">
        <v>5880</v>
      </c>
      <c r="AC789">
        <f t="shared" si="48"/>
        <v>7</v>
      </c>
      <c r="AD789" s="30" t="s">
        <v>5881</v>
      </c>
      <c r="AH789" s="3" t="s">
        <v>7015</v>
      </c>
      <c r="AI789" s="3" t="s">
        <v>7010</v>
      </c>
      <c r="AJ789" s="3" t="s">
        <v>7010</v>
      </c>
      <c r="AK789" s="3" t="s">
        <v>7015</v>
      </c>
      <c r="AL789" s="3" t="s">
        <v>7010</v>
      </c>
      <c r="AM789" s="3" t="s">
        <v>7010</v>
      </c>
      <c r="AN789" s="3" t="s">
        <v>7010</v>
      </c>
      <c r="AO789" s="3" t="s">
        <v>7010</v>
      </c>
      <c r="AP789" s="74" t="s">
        <v>7015</v>
      </c>
      <c r="AU789">
        <v>788</v>
      </c>
      <c r="AV789" t="s">
        <v>5882</v>
      </c>
      <c r="AW789" t="s">
        <v>2279</v>
      </c>
      <c r="AX789">
        <f t="shared" si="50"/>
        <v>8</v>
      </c>
      <c r="AY789" s="30" t="s">
        <v>5883</v>
      </c>
      <c r="BC789" s="3" t="s">
        <v>7015</v>
      </c>
      <c r="BD789" s="3" t="s">
        <v>7010</v>
      </c>
      <c r="BE789" s="3" t="s">
        <v>7015</v>
      </c>
      <c r="BF789" s="3" t="s">
        <v>7010</v>
      </c>
      <c r="BG789" s="3" t="s">
        <v>7010</v>
      </c>
      <c r="BH789" s="3" t="s">
        <v>7010</v>
      </c>
      <c r="BI789" s="3" t="s">
        <v>7010</v>
      </c>
      <c r="BJ789" s="3" t="s">
        <v>7010</v>
      </c>
      <c r="BK789" s="74" t="str">
        <f t="shared" si="51"/>
        <v>Yes</v>
      </c>
    </row>
    <row r="790" spans="7:63">
      <c r="G790">
        <v>789</v>
      </c>
      <c r="H790" s="7" t="s">
        <v>1632</v>
      </c>
      <c r="I790" t="s">
        <v>29</v>
      </c>
      <c r="J790">
        <f>LEN(H790)</f>
        <v>8</v>
      </c>
      <c r="K790" s="49" t="s">
        <v>5310</v>
      </c>
      <c r="O790" s="3" t="s">
        <v>7010</v>
      </c>
      <c r="P790" s="3" t="s">
        <v>7010</v>
      </c>
      <c r="Q790" s="3" t="s">
        <v>7010</v>
      </c>
      <c r="R790" s="3" t="s">
        <v>7010</v>
      </c>
      <c r="S790" s="3" t="s">
        <v>7010</v>
      </c>
      <c r="T790" s="3" t="s">
        <v>7010</v>
      </c>
      <c r="U790" s="3" t="s">
        <v>7015</v>
      </c>
      <c r="V790" s="3" t="s">
        <v>7010</v>
      </c>
      <c r="W790" s="74" t="str">
        <f t="shared" si="49"/>
        <v>Yes</v>
      </c>
      <c r="Z790">
        <v>789</v>
      </c>
      <c r="AA790" s="55" t="s">
        <v>5885</v>
      </c>
      <c r="AC790">
        <f t="shared" si="48"/>
        <v>8</v>
      </c>
      <c r="AD790" s="30" t="s">
        <v>5886</v>
      </c>
      <c r="AH790" s="3" t="s">
        <v>7015</v>
      </c>
      <c r="AI790" s="3" t="s">
        <v>7010</v>
      </c>
      <c r="AJ790" s="3" t="s">
        <v>7010</v>
      </c>
      <c r="AK790" s="3" t="s">
        <v>7015</v>
      </c>
      <c r="AL790" s="3" t="s">
        <v>7010</v>
      </c>
      <c r="AM790" s="3" t="s">
        <v>7010</v>
      </c>
      <c r="AN790" s="3" t="s">
        <v>7010</v>
      </c>
      <c r="AO790" s="3" t="s">
        <v>7010</v>
      </c>
      <c r="AP790" s="74" t="s">
        <v>7015</v>
      </c>
      <c r="AU790">
        <v>789</v>
      </c>
      <c r="AV790" t="s">
        <v>5887</v>
      </c>
      <c r="AW790" t="s">
        <v>2279</v>
      </c>
      <c r="AX790">
        <f t="shared" si="50"/>
        <v>10</v>
      </c>
      <c r="AY790" s="30" t="s">
        <v>5888</v>
      </c>
      <c r="BC790" s="3" t="s">
        <v>7010</v>
      </c>
      <c r="BD790" s="3" t="s">
        <v>7010</v>
      </c>
      <c r="BE790" s="3" t="s">
        <v>7010</v>
      </c>
      <c r="BF790" s="3" t="s">
        <v>7010</v>
      </c>
      <c r="BG790" s="3" t="s">
        <v>7010</v>
      </c>
      <c r="BH790" s="3" t="s">
        <v>7010</v>
      </c>
      <c r="BI790" s="3" t="s">
        <v>7010</v>
      </c>
      <c r="BJ790" s="3" t="s">
        <v>7010</v>
      </c>
      <c r="BK790" s="74" t="str">
        <f t="shared" si="51"/>
        <v>No</v>
      </c>
    </row>
    <row r="791" spans="7:63">
      <c r="G791">
        <v>790</v>
      </c>
      <c r="H791" s="7" t="s">
        <v>1388</v>
      </c>
      <c r="I791" t="s">
        <v>29</v>
      </c>
      <c r="J791">
        <f>LEN(H791)</f>
        <v>12</v>
      </c>
      <c r="K791" s="49" t="s">
        <v>4691</v>
      </c>
      <c r="O791" s="3" t="s">
        <v>7010</v>
      </c>
      <c r="P791" s="3" t="s">
        <v>7010</v>
      </c>
      <c r="Q791" s="3" t="s">
        <v>7010</v>
      </c>
      <c r="R791" s="3" t="s">
        <v>7010</v>
      </c>
      <c r="S791" s="3" t="s">
        <v>7010</v>
      </c>
      <c r="T791" s="3" t="s">
        <v>7010</v>
      </c>
      <c r="U791" s="3" t="s">
        <v>7010</v>
      </c>
      <c r="V791" s="3" t="s">
        <v>7010</v>
      </c>
      <c r="W791" s="74" t="str">
        <f t="shared" si="49"/>
        <v>No</v>
      </c>
      <c r="Z791">
        <v>790</v>
      </c>
      <c r="AA791" s="55" t="s">
        <v>5890</v>
      </c>
      <c r="AC791">
        <f t="shared" si="48"/>
        <v>7</v>
      </c>
      <c r="AD791" s="30" t="s">
        <v>5891</v>
      </c>
      <c r="AH791" s="3" t="s">
        <v>7015</v>
      </c>
      <c r="AI791" s="3" t="s">
        <v>7010</v>
      </c>
      <c r="AJ791" s="3" t="s">
        <v>7010</v>
      </c>
      <c r="AK791" s="3" t="s">
        <v>7015</v>
      </c>
      <c r="AL791" s="3" t="s">
        <v>7010</v>
      </c>
      <c r="AM791" s="3" t="s">
        <v>7010</v>
      </c>
      <c r="AN791" s="3" t="s">
        <v>7010</v>
      </c>
      <c r="AO791" s="3" t="s">
        <v>7010</v>
      </c>
      <c r="AP791" s="74" t="s">
        <v>7015</v>
      </c>
      <c r="AU791">
        <v>790</v>
      </c>
      <c r="AV791" t="s">
        <v>5892</v>
      </c>
      <c r="AW791" t="s">
        <v>2279</v>
      </c>
      <c r="AX791">
        <f t="shared" si="50"/>
        <v>8</v>
      </c>
      <c r="AY791" s="30" t="s">
        <v>5893</v>
      </c>
      <c r="BC791" s="3" t="s">
        <v>7015</v>
      </c>
      <c r="BD791" s="3" t="s">
        <v>7010</v>
      </c>
      <c r="BE791" s="3" t="s">
        <v>7015</v>
      </c>
      <c r="BF791" s="3" t="s">
        <v>7010</v>
      </c>
      <c r="BG791" s="3" t="s">
        <v>7010</v>
      </c>
      <c r="BH791" s="3" t="s">
        <v>7010</v>
      </c>
      <c r="BI791" s="3" t="s">
        <v>7010</v>
      </c>
      <c r="BJ791" s="3" t="s">
        <v>7010</v>
      </c>
      <c r="BK791" s="74" t="str">
        <f t="shared" si="51"/>
        <v>Yes</v>
      </c>
    </row>
    <row r="792" spans="7:63">
      <c r="G792">
        <v>791</v>
      </c>
      <c r="H792" s="7" t="s">
        <v>1600</v>
      </c>
      <c r="I792" t="s">
        <v>29</v>
      </c>
      <c r="J792">
        <f>LEN(H792)</f>
        <v>15</v>
      </c>
      <c r="K792" s="49" t="s">
        <v>5228</v>
      </c>
      <c r="O792" s="3" t="s">
        <v>7010</v>
      </c>
      <c r="P792" s="3" t="s">
        <v>7010</v>
      </c>
      <c r="Q792" s="3" t="s">
        <v>7010</v>
      </c>
      <c r="R792" s="3" t="s">
        <v>7010</v>
      </c>
      <c r="S792" s="3" t="s">
        <v>7010</v>
      </c>
      <c r="T792" s="3" t="s">
        <v>7010</v>
      </c>
      <c r="U792" s="3" t="s">
        <v>7010</v>
      </c>
      <c r="V792" s="3" t="s">
        <v>7010</v>
      </c>
      <c r="W792" s="74" t="str">
        <f t="shared" si="49"/>
        <v>No</v>
      </c>
      <c r="Z792">
        <v>791</v>
      </c>
      <c r="AA792" s="55" t="s">
        <v>5895</v>
      </c>
      <c r="AC792">
        <f t="shared" si="48"/>
        <v>6</v>
      </c>
      <c r="AD792" s="30" t="s">
        <v>5896</v>
      </c>
      <c r="AH792" s="3" t="s">
        <v>7015</v>
      </c>
      <c r="AI792" s="3" t="s">
        <v>7010</v>
      </c>
      <c r="AJ792" s="3" t="s">
        <v>7010</v>
      </c>
      <c r="AK792" s="3" t="s">
        <v>7015</v>
      </c>
      <c r="AL792" s="3" t="s">
        <v>7010</v>
      </c>
      <c r="AM792" s="3" t="s">
        <v>7010</v>
      </c>
      <c r="AN792" s="3" t="s">
        <v>7010</v>
      </c>
      <c r="AO792" s="3" t="s">
        <v>7010</v>
      </c>
      <c r="AP792" s="74" t="s">
        <v>7015</v>
      </c>
      <c r="AU792">
        <v>791</v>
      </c>
      <c r="AV792" t="s">
        <v>5897</v>
      </c>
      <c r="AW792" t="s">
        <v>2279</v>
      </c>
      <c r="AX792">
        <f t="shared" si="50"/>
        <v>8</v>
      </c>
      <c r="AY792" s="30" t="s">
        <v>5898</v>
      </c>
      <c r="BC792" s="3" t="s">
        <v>7010</v>
      </c>
      <c r="BD792" s="3" t="s">
        <v>7010</v>
      </c>
      <c r="BE792" s="3" t="s">
        <v>7010</v>
      </c>
      <c r="BF792" s="3" t="s">
        <v>7010</v>
      </c>
      <c r="BG792" s="3" t="s">
        <v>7010</v>
      </c>
      <c r="BH792" s="3" t="s">
        <v>7010</v>
      </c>
      <c r="BI792" s="3" t="s">
        <v>7010</v>
      </c>
      <c r="BJ792" s="3" t="s">
        <v>7010</v>
      </c>
      <c r="BK792" s="74" t="str">
        <f t="shared" si="51"/>
        <v>No</v>
      </c>
    </row>
    <row r="793" spans="7:63">
      <c r="G793">
        <v>792</v>
      </c>
      <c r="H793" s="7" t="s">
        <v>1474</v>
      </c>
      <c r="I793" t="s">
        <v>29</v>
      </c>
      <c r="J793">
        <f>LEN(H793)</f>
        <v>11</v>
      </c>
      <c r="K793" s="49" t="s">
        <v>4910</v>
      </c>
      <c r="O793" s="3" t="s">
        <v>7010</v>
      </c>
      <c r="P793" s="3" t="s">
        <v>7010</v>
      </c>
      <c r="Q793" s="3" t="s">
        <v>7010</v>
      </c>
      <c r="R793" s="3" t="s">
        <v>7010</v>
      </c>
      <c r="S793" s="3" t="s">
        <v>7010</v>
      </c>
      <c r="T793" s="3" t="s">
        <v>7010</v>
      </c>
      <c r="U793" s="3" t="s">
        <v>7010</v>
      </c>
      <c r="V793" s="3" t="s">
        <v>7010</v>
      </c>
      <c r="W793" s="74" t="str">
        <f t="shared" si="49"/>
        <v>No</v>
      </c>
      <c r="Z793">
        <v>792</v>
      </c>
      <c r="AA793" s="55" t="s">
        <v>5900</v>
      </c>
      <c r="AC793">
        <f t="shared" si="48"/>
        <v>9</v>
      </c>
      <c r="AD793" s="30" t="s">
        <v>5901</v>
      </c>
      <c r="AH793" s="3" t="s">
        <v>7015</v>
      </c>
      <c r="AI793" s="3" t="s">
        <v>7010</v>
      </c>
      <c r="AJ793" s="3" t="s">
        <v>7010</v>
      </c>
      <c r="AK793" s="3" t="s">
        <v>7015</v>
      </c>
      <c r="AL793" s="3" t="s">
        <v>7010</v>
      </c>
      <c r="AM793" s="3" t="s">
        <v>7010</v>
      </c>
      <c r="AN793" s="3" t="s">
        <v>7010</v>
      </c>
      <c r="AO793" s="3" t="s">
        <v>7010</v>
      </c>
      <c r="AP793" s="74" t="s">
        <v>7015</v>
      </c>
      <c r="AU793">
        <v>792</v>
      </c>
      <c r="AV793" t="s">
        <v>5902</v>
      </c>
      <c r="AW793" t="s">
        <v>2279</v>
      </c>
      <c r="AX793">
        <f t="shared" si="50"/>
        <v>8</v>
      </c>
      <c r="AY793" s="30" t="s">
        <v>5903</v>
      </c>
      <c r="BC793" s="3" t="s">
        <v>7015</v>
      </c>
      <c r="BD793" s="3" t="s">
        <v>7010</v>
      </c>
      <c r="BE793" s="3" t="s">
        <v>7015</v>
      </c>
      <c r="BF793" s="3" t="s">
        <v>7010</v>
      </c>
      <c r="BG793" s="3" t="s">
        <v>7010</v>
      </c>
      <c r="BH793" s="3" t="s">
        <v>7010</v>
      </c>
      <c r="BI793" s="3" t="s">
        <v>7010</v>
      </c>
      <c r="BJ793" s="3" t="s">
        <v>7010</v>
      </c>
      <c r="BK793" s="74" t="str">
        <f t="shared" si="51"/>
        <v>Yes</v>
      </c>
    </row>
    <row r="794" spans="7:63">
      <c r="G794">
        <v>793</v>
      </c>
      <c r="H794" s="7" t="s">
        <v>542</v>
      </c>
      <c r="I794" t="s">
        <v>29</v>
      </c>
      <c r="J794">
        <f>LEN(H794)</f>
        <v>15</v>
      </c>
      <c r="K794" s="49" t="s">
        <v>3085</v>
      </c>
      <c r="O794" s="3" t="s">
        <v>7010</v>
      </c>
      <c r="P794" s="3" t="s">
        <v>7010</v>
      </c>
      <c r="Q794" s="3" t="s">
        <v>7010</v>
      </c>
      <c r="R794" s="3" t="s">
        <v>7010</v>
      </c>
      <c r="S794" s="3" t="s">
        <v>7010</v>
      </c>
      <c r="T794" s="3" t="s">
        <v>7010</v>
      </c>
      <c r="U794" s="3" t="s">
        <v>7010</v>
      </c>
      <c r="V794" s="3" t="s">
        <v>7010</v>
      </c>
      <c r="W794" s="74" t="str">
        <f t="shared" si="49"/>
        <v>No</v>
      </c>
      <c r="Z794">
        <v>793</v>
      </c>
      <c r="AA794" s="55" t="s">
        <v>5905</v>
      </c>
      <c r="AC794">
        <f t="shared" si="48"/>
        <v>7</v>
      </c>
      <c r="AD794" s="30" t="s">
        <v>5906</v>
      </c>
      <c r="AH794" s="3" t="s">
        <v>7015</v>
      </c>
      <c r="AI794" s="3" t="s">
        <v>7010</v>
      </c>
      <c r="AJ794" s="3" t="s">
        <v>7010</v>
      </c>
      <c r="AK794" s="3" t="s">
        <v>7015</v>
      </c>
      <c r="AL794" s="3" t="s">
        <v>7010</v>
      </c>
      <c r="AM794" s="3" t="s">
        <v>7010</v>
      </c>
      <c r="AN794" s="3" t="s">
        <v>7010</v>
      </c>
      <c r="AO794" s="3" t="s">
        <v>7010</v>
      </c>
      <c r="AP794" s="74" t="s">
        <v>7015</v>
      </c>
      <c r="AU794">
        <v>793</v>
      </c>
      <c r="AV794" t="s">
        <v>5907</v>
      </c>
      <c r="AW794" t="s">
        <v>2279</v>
      </c>
      <c r="AX794">
        <f t="shared" si="50"/>
        <v>10</v>
      </c>
      <c r="AY794" s="30" t="s">
        <v>5908</v>
      </c>
      <c r="BC794" s="3" t="s">
        <v>7010</v>
      </c>
      <c r="BD794" s="3" t="s">
        <v>7010</v>
      </c>
      <c r="BE794" s="3" t="s">
        <v>7015</v>
      </c>
      <c r="BF794" s="3" t="s">
        <v>7010</v>
      </c>
      <c r="BG794" s="3" t="s">
        <v>7010</v>
      </c>
      <c r="BH794" s="3" t="s">
        <v>7010</v>
      </c>
      <c r="BI794" s="3" t="s">
        <v>7010</v>
      </c>
      <c r="BJ794" s="3" t="s">
        <v>7010</v>
      </c>
      <c r="BK794" s="74" t="str">
        <f t="shared" si="51"/>
        <v>Yes</v>
      </c>
    </row>
    <row r="795" spans="7:63">
      <c r="G795">
        <v>794</v>
      </c>
      <c r="H795" s="7" t="s">
        <v>1656</v>
      </c>
      <c r="I795" t="s">
        <v>29</v>
      </c>
      <c r="J795">
        <f>LEN(H795)</f>
        <v>14</v>
      </c>
      <c r="K795" s="49" t="s">
        <v>5371</v>
      </c>
      <c r="O795" s="3" t="s">
        <v>7010</v>
      </c>
      <c r="P795" s="3" t="s">
        <v>7010</v>
      </c>
      <c r="Q795" s="3" t="s">
        <v>7010</v>
      </c>
      <c r="R795" s="3" t="s">
        <v>7010</v>
      </c>
      <c r="S795" s="3" t="s">
        <v>7010</v>
      </c>
      <c r="T795" s="3" t="s">
        <v>7010</v>
      </c>
      <c r="U795" s="3" t="s">
        <v>7010</v>
      </c>
      <c r="V795" s="3" t="s">
        <v>7010</v>
      </c>
      <c r="W795" s="74" t="str">
        <f t="shared" si="49"/>
        <v>No</v>
      </c>
      <c r="Z795">
        <v>794</v>
      </c>
      <c r="AA795" s="55" t="s">
        <v>5910</v>
      </c>
      <c r="AC795">
        <f t="shared" si="48"/>
        <v>5</v>
      </c>
      <c r="AD795" s="30" t="s">
        <v>5911</v>
      </c>
      <c r="AH795" s="3" t="s">
        <v>7015</v>
      </c>
      <c r="AI795" s="3" t="s">
        <v>7010</v>
      </c>
      <c r="AJ795" s="3" t="s">
        <v>7010</v>
      </c>
      <c r="AK795" s="3" t="s">
        <v>7015</v>
      </c>
      <c r="AL795" s="3" t="s">
        <v>7010</v>
      </c>
      <c r="AM795" s="3" t="s">
        <v>7010</v>
      </c>
      <c r="AN795" s="3" t="s">
        <v>7010</v>
      </c>
      <c r="AO795" s="3" t="s">
        <v>7010</v>
      </c>
      <c r="AP795" s="74" t="s">
        <v>7015</v>
      </c>
      <c r="AU795">
        <v>794</v>
      </c>
      <c r="AV795" t="s">
        <v>5912</v>
      </c>
      <c r="AW795" t="s">
        <v>2279</v>
      </c>
      <c r="AX795">
        <f t="shared" si="50"/>
        <v>9</v>
      </c>
      <c r="AY795" s="30" t="s">
        <v>5913</v>
      </c>
      <c r="BC795" s="3" t="s">
        <v>7010</v>
      </c>
      <c r="BD795" s="3" t="s">
        <v>7010</v>
      </c>
      <c r="BE795" s="3" t="s">
        <v>7010</v>
      </c>
      <c r="BF795" s="3" t="s">
        <v>7010</v>
      </c>
      <c r="BG795" s="3" t="s">
        <v>7010</v>
      </c>
      <c r="BH795" s="3" t="s">
        <v>7010</v>
      </c>
      <c r="BI795" s="3" t="s">
        <v>7010</v>
      </c>
      <c r="BJ795" s="3" t="s">
        <v>7010</v>
      </c>
      <c r="BK795" s="74" t="str">
        <f t="shared" si="51"/>
        <v>No</v>
      </c>
    </row>
    <row r="796" spans="7:63">
      <c r="G796">
        <v>795</v>
      </c>
      <c r="H796" s="7" t="s">
        <v>1434</v>
      </c>
      <c r="I796" t="s">
        <v>29</v>
      </c>
      <c r="J796">
        <f>LEN(H796)</f>
        <v>11</v>
      </c>
      <c r="K796" s="49" t="s">
        <v>4810</v>
      </c>
      <c r="O796" s="3" t="s">
        <v>7010</v>
      </c>
      <c r="P796" s="3" t="s">
        <v>7010</v>
      </c>
      <c r="Q796" s="3" t="s">
        <v>7010</v>
      </c>
      <c r="R796" s="3" t="s">
        <v>7010</v>
      </c>
      <c r="S796" s="3" t="s">
        <v>7010</v>
      </c>
      <c r="T796" s="3" t="s">
        <v>7010</v>
      </c>
      <c r="U796" s="3" t="s">
        <v>7010</v>
      </c>
      <c r="V796" s="3" t="s">
        <v>7010</v>
      </c>
      <c r="W796" s="74" t="str">
        <f t="shared" si="49"/>
        <v>No</v>
      </c>
      <c r="Z796">
        <v>795</v>
      </c>
      <c r="AA796" s="55" t="s">
        <v>5914</v>
      </c>
      <c r="AC796">
        <f t="shared" si="48"/>
        <v>6</v>
      </c>
      <c r="AD796" s="30" t="s">
        <v>5915</v>
      </c>
      <c r="AH796" s="3" t="s">
        <v>7015</v>
      </c>
      <c r="AI796" s="3" t="s">
        <v>7010</v>
      </c>
      <c r="AJ796" s="3" t="s">
        <v>7010</v>
      </c>
      <c r="AK796" s="3" t="s">
        <v>7015</v>
      </c>
      <c r="AL796" s="3" t="s">
        <v>7010</v>
      </c>
      <c r="AM796" s="3" t="s">
        <v>7010</v>
      </c>
      <c r="AN796" s="3" t="s">
        <v>7010</v>
      </c>
      <c r="AO796" s="3" t="s">
        <v>7010</v>
      </c>
      <c r="AP796" s="74" t="s">
        <v>7015</v>
      </c>
      <c r="AU796">
        <v>795</v>
      </c>
      <c r="AV796" t="s">
        <v>5916</v>
      </c>
      <c r="AW796" t="s">
        <v>2279</v>
      </c>
      <c r="AX796">
        <f t="shared" si="50"/>
        <v>9</v>
      </c>
      <c r="AY796" s="31" t="s">
        <v>5917</v>
      </c>
      <c r="BC796" s="3" t="s">
        <v>7010</v>
      </c>
      <c r="BD796" s="3" t="s">
        <v>7010</v>
      </c>
      <c r="BE796" s="3" t="s">
        <v>7010</v>
      </c>
      <c r="BF796" s="3" t="s">
        <v>7010</v>
      </c>
      <c r="BG796" s="3" t="s">
        <v>7010</v>
      </c>
      <c r="BH796" s="3" t="s">
        <v>7010</v>
      </c>
      <c r="BI796" s="3" t="s">
        <v>7010</v>
      </c>
      <c r="BJ796" s="3" t="s">
        <v>7010</v>
      </c>
      <c r="BK796" s="74" t="str">
        <f t="shared" si="51"/>
        <v>No</v>
      </c>
    </row>
    <row r="797" spans="7:63">
      <c r="G797">
        <v>796</v>
      </c>
      <c r="H797" s="7" t="s">
        <v>1358</v>
      </c>
      <c r="I797" t="s">
        <v>29</v>
      </c>
      <c r="J797">
        <f>LEN(H797)</f>
        <v>11</v>
      </c>
      <c r="K797" s="49" t="s">
        <v>4610</v>
      </c>
      <c r="O797" s="3" t="s">
        <v>7010</v>
      </c>
      <c r="P797" s="3" t="s">
        <v>7010</v>
      </c>
      <c r="Q797" s="3" t="s">
        <v>7010</v>
      </c>
      <c r="R797" s="3" t="s">
        <v>7010</v>
      </c>
      <c r="S797" s="3" t="s">
        <v>7010</v>
      </c>
      <c r="T797" s="3" t="s">
        <v>7010</v>
      </c>
      <c r="U797" s="3" t="s">
        <v>7010</v>
      </c>
      <c r="V797" s="3" t="s">
        <v>7010</v>
      </c>
      <c r="W797" s="74" t="str">
        <f t="shared" si="49"/>
        <v>No</v>
      </c>
      <c r="Z797">
        <v>796</v>
      </c>
      <c r="AA797" s="55" t="s">
        <v>5919</v>
      </c>
      <c r="AC797">
        <f t="shared" si="48"/>
        <v>5</v>
      </c>
      <c r="AD797" s="30" t="s">
        <v>5920</v>
      </c>
      <c r="AH797" s="3" t="s">
        <v>7015</v>
      </c>
      <c r="AI797" s="3" t="s">
        <v>7010</v>
      </c>
      <c r="AJ797" s="3" t="s">
        <v>7010</v>
      </c>
      <c r="AK797" s="3" t="s">
        <v>7015</v>
      </c>
      <c r="AL797" s="3" t="s">
        <v>7010</v>
      </c>
      <c r="AM797" s="3" t="s">
        <v>7010</v>
      </c>
      <c r="AN797" s="3" t="s">
        <v>7010</v>
      </c>
      <c r="AO797" s="3" t="s">
        <v>7010</v>
      </c>
      <c r="AP797" s="74" t="s">
        <v>7015</v>
      </c>
      <c r="AU797">
        <v>796</v>
      </c>
      <c r="AV797" t="s">
        <v>5921</v>
      </c>
      <c r="AW797" t="s">
        <v>2279</v>
      </c>
      <c r="AX797">
        <f t="shared" si="50"/>
        <v>8</v>
      </c>
      <c r="AY797" s="30" t="s">
        <v>5922</v>
      </c>
      <c r="BC797" s="3" t="s">
        <v>7010</v>
      </c>
      <c r="BD797" s="3" t="s">
        <v>7010</v>
      </c>
      <c r="BE797" s="3" t="s">
        <v>7010</v>
      </c>
      <c r="BF797" s="3" t="s">
        <v>7010</v>
      </c>
      <c r="BG797" s="3" t="s">
        <v>7010</v>
      </c>
      <c r="BH797" s="3" t="s">
        <v>7010</v>
      </c>
      <c r="BI797" s="3" t="s">
        <v>7010</v>
      </c>
      <c r="BJ797" s="3" t="s">
        <v>7010</v>
      </c>
      <c r="BK797" s="74" t="str">
        <f t="shared" si="51"/>
        <v>No</v>
      </c>
    </row>
    <row r="798" spans="7:63">
      <c r="G798">
        <v>797</v>
      </c>
      <c r="H798" s="7" t="s">
        <v>1554</v>
      </c>
      <c r="I798" t="s">
        <v>29</v>
      </c>
      <c r="J798">
        <f>LEN(H798)</f>
        <v>14</v>
      </c>
      <c r="K798" s="49" t="s">
        <v>5113</v>
      </c>
      <c r="O798" s="3" t="s">
        <v>7010</v>
      </c>
      <c r="P798" s="3" t="s">
        <v>7010</v>
      </c>
      <c r="Q798" s="3" t="s">
        <v>7010</v>
      </c>
      <c r="R798" s="3" t="s">
        <v>7010</v>
      </c>
      <c r="S798" s="3" t="s">
        <v>7010</v>
      </c>
      <c r="T798" s="3" t="s">
        <v>7010</v>
      </c>
      <c r="U798" s="3" t="s">
        <v>7010</v>
      </c>
      <c r="V798" s="3" t="s">
        <v>7010</v>
      </c>
      <c r="W798" s="74" t="str">
        <f t="shared" si="49"/>
        <v>No</v>
      </c>
      <c r="Z798">
        <v>797</v>
      </c>
      <c r="AA798" s="55" t="s">
        <v>5923</v>
      </c>
      <c r="AC798">
        <f t="shared" si="48"/>
        <v>11</v>
      </c>
      <c r="AD798" s="30" t="s">
        <v>5924</v>
      </c>
      <c r="AH798" s="3" t="s">
        <v>7015</v>
      </c>
      <c r="AI798" s="3" t="s">
        <v>7010</v>
      </c>
      <c r="AJ798" s="3" t="s">
        <v>7010</v>
      </c>
      <c r="AK798" s="3" t="s">
        <v>7015</v>
      </c>
      <c r="AL798" s="3" t="s">
        <v>7010</v>
      </c>
      <c r="AM798" s="3" t="s">
        <v>7010</v>
      </c>
      <c r="AN798" s="3" t="s">
        <v>7010</v>
      </c>
      <c r="AO798" s="3" t="s">
        <v>7010</v>
      </c>
      <c r="AP798" s="74" t="s">
        <v>7015</v>
      </c>
      <c r="AU798">
        <v>797</v>
      </c>
      <c r="AV798" t="s">
        <v>5925</v>
      </c>
      <c r="AW798" t="s">
        <v>2279</v>
      </c>
      <c r="AX798">
        <f t="shared" si="50"/>
        <v>9</v>
      </c>
      <c r="AY798" s="30" t="s">
        <v>5926</v>
      </c>
      <c r="BC798" s="3" t="s">
        <v>7015</v>
      </c>
      <c r="BD798" s="3" t="s">
        <v>7010</v>
      </c>
      <c r="BE798" s="3" t="s">
        <v>7015</v>
      </c>
      <c r="BF798" s="3" t="s">
        <v>7010</v>
      </c>
      <c r="BG798" s="3" t="s">
        <v>7010</v>
      </c>
      <c r="BH798" s="3" t="s">
        <v>7010</v>
      </c>
      <c r="BI798" s="3" t="s">
        <v>7010</v>
      </c>
      <c r="BJ798" s="3" t="s">
        <v>7010</v>
      </c>
      <c r="BK798" s="74" t="str">
        <f t="shared" si="51"/>
        <v>Yes</v>
      </c>
    </row>
    <row r="799" spans="7:63">
      <c r="G799">
        <v>798</v>
      </c>
      <c r="H799" s="7" t="s">
        <v>1220</v>
      </c>
      <c r="I799" t="s">
        <v>29</v>
      </c>
      <c r="J799">
        <f>LEN(H799)</f>
        <v>12</v>
      </c>
      <c r="K799" s="49" t="s">
        <v>4265</v>
      </c>
      <c r="O799" s="3" t="s">
        <v>7010</v>
      </c>
      <c r="P799" s="3" t="s">
        <v>7010</v>
      </c>
      <c r="Q799" s="3" t="s">
        <v>7010</v>
      </c>
      <c r="R799" s="3" t="s">
        <v>7010</v>
      </c>
      <c r="S799" s="3" t="s">
        <v>7010</v>
      </c>
      <c r="T799" s="3" t="s">
        <v>7010</v>
      </c>
      <c r="U799" s="3" t="s">
        <v>7010</v>
      </c>
      <c r="V799" s="3" t="s">
        <v>7010</v>
      </c>
      <c r="W799" s="74" t="str">
        <f t="shared" si="49"/>
        <v>No</v>
      </c>
      <c r="Z799">
        <v>798</v>
      </c>
      <c r="AA799" s="55" t="s">
        <v>5927</v>
      </c>
      <c r="AC799">
        <f t="shared" si="48"/>
        <v>9</v>
      </c>
      <c r="AD799" s="30" t="s">
        <v>5928</v>
      </c>
      <c r="AH799" s="3" t="s">
        <v>7015</v>
      </c>
      <c r="AI799" s="3" t="s">
        <v>7010</v>
      </c>
      <c r="AJ799" s="3" t="s">
        <v>7010</v>
      </c>
      <c r="AK799" s="3" t="s">
        <v>7015</v>
      </c>
      <c r="AL799" s="3" t="s">
        <v>7010</v>
      </c>
      <c r="AM799" s="3" t="s">
        <v>7010</v>
      </c>
      <c r="AN799" s="3" t="s">
        <v>7010</v>
      </c>
      <c r="AO799" s="3" t="s">
        <v>7010</v>
      </c>
      <c r="AP799" s="74" t="s">
        <v>7015</v>
      </c>
      <c r="AU799">
        <v>798</v>
      </c>
      <c r="AV799" t="s">
        <v>5929</v>
      </c>
      <c r="AW799" t="s">
        <v>2279</v>
      </c>
      <c r="AX799">
        <f t="shared" si="50"/>
        <v>8</v>
      </c>
      <c r="AY799" s="30" t="s">
        <v>5930</v>
      </c>
      <c r="BC799" s="3" t="s">
        <v>7010</v>
      </c>
      <c r="BD799" s="3" t="s">
        <v>7010</v>
      </c>
      <c r="BE799" s="3" t="s">
        <v>7010</v>
      </c>
      <c r="BF799" s="3" t="s">
        <v>7010</v>
      </c>
      <c r="BG799" s="3" t="s">
        <v>7010</v>
      </c>
      <c r="BH799" s="3" t="s">
        <v>7010</v>
      </c>
      <c r="BI799" s="3" t="s">
        <v>7010</v>
      </c>
      <c r="BJ799" s="3" t="s">
        <v>7010</v>
      </c>
      <c r="BK799" s="74" t="str">
        <f t="shared" si="51"/>
        <v>No</v>
      </c>
    </row>
    <row r="800" spans="7:63">
      <c r="G800">
        <v>799</v>
      </c>
      <c r="H800" s="7" t="s">
        <v>558</v>
      </c>
      <c r="I800" t="s">
        <v>29</v>
      </c>
      <c r="J800">
        <f>LEN(H800)</f>
        <v>12</v>
      </c>
      <c r="K800" s="49" t="s">
        <v>3149</v>
      </c>
      <c r="O800" s="3" t="s">
        <v>7010</v>
      </c>
      <c r="P800" s="3" t="s">
        <v>7010</v>
      </c>
      <c r="Q800" s="3" t="s">
        <v>7010</v>
      </c>
      <c r="R800" s="3" t="s">
        <v>7010</v>
      </c>
      <c r="S800" s="3" t="s">
        <v>7010</v>
      </c>
      <c r="T800" s="3" t="s">
        <v>7010</v>
      </c>
      <c r="U800" s="3" t="s">
        <v>7010</v>
      </c>
      <c r="V800" s="3" t="s">
        <v>7010</v>
      </c>
      <c r="W800" s="74" t="str">
        <f t="shared" si="49"/>
        <v>No</v>
      </c>
      <c r="Z800">
        <v>799</v>
      </c>
      <c r="AA800" s="55" t="s">
        <v>5932</v>
      </c>
      <c r="AC800">
        <f t="shared" si="48"/>
        <v>8</v>
      </c>
      <c r="AD800" s="30" t="s">
        <v>5933</v>
      </c>
      <c r="AH800" s="3" t="s">
        <v>7015</v>
      </c>
      <c r="AI800" s="3" t="s">
        <v>7010</v>
      </c>
      <c r="AJ800" s="3" t="s">
        <v>7010</v>
      </c>
      <c r="AK800" s="3" t="s">
        <v>7015</v>
      </c>
      <c r="AL800" s="3" t="s">
        <v>7010</v>
      </c>
      <c r="AM800" s="3" t="s">
        <v>7010</v>
      </c>
      <c r="AN800" s="3" t="s">
        <v>7010</v>
      </c>
      <c r="AO800" s="3" t="s">
        <v>7010</v>
      </c>
      <c r="AP800" s="74" t="s">
        <v>7015</v>
      </c>
      <c r="AU800">
        <v>799</v>
      </c>
      <c r="AV800" t="s">
        <v>5934</v>
      </c>
      <c r="AW800" t="s">
        <v>2279</v>
      </c>
      <c r="AX800">
        <f t="shared" si="50"/>
        <v>8</v>
      </c>
      <c r="AY800" s="30" t="s">
        <v>5935</v>
      </c>
      <c r="BC800" s="3" t="s">
        <v>7010</v>
      </c>
      <c r="BD800" s="3" t="s">
        <v>7010</v>
      </c>
      <c r="BE800" s="3" t="s">
        <v>7010</v>
      </c>
      <c r="BF800" s="3" t="s">
        <v>7010</v>
      </c>
      <c r="BG800" s="3" t="s">
        <v>7010</v>
      </c>
      <c r="BH800" s="3" t="s">
        <v>7010</v>
      </c>
      <c r="BI800" s="3" t="s">
        <v>7010</v>
      </c>
      <c r="BJ800" s="3" t="s">
        <v>7010</v>
      </c>
      <c r="BK800" s="74" t="str">
        <f t="shared" si="51"/>
        <v>No</v>
      </c>
    </row>
    <row r="801" spans="7:63">
      <c r="G801">
        <v>800</v>
      </c>
      <c r="H801" s="7" t="s">
        <v>569</v>
      </c>
      <c r="I801" t="s">
        <v>29</v>
      </c>
      <c r="J801">
        <f>LEN(H801)</f>
        <v>15</v>
      </c>
      <c r="K801" s="49" t="s">
        <v>3193</v>
      </c>
      <c r="O801" s="3" t="s">
        <v>7010</v>
      </c>
      <c r="P801" s="3" t="s">
        <v>7010</v>
      </c>
      <c r="Q801" s="3" t="s">
        <v>7010</v>
      </c>
      <c r="R801" s="3" t="s">
        <v>7010</v>
      </c>
      <c r="S801" s="3" t="s">
        <v>7010</v>
      </c>
      <c r="T801" s="3" t="s">
        <v>7015</v>
      </c>
      <c r="U801" s="3" t="s">
        <v>7010</v>
      </c>
      <c r="V801" s="3" t="s">
        <v>7010</v>
      </c>
      <c r="W801" s="74" t="str">
        <f t="shared" si="49"/>
        <v>Yes</v>
      </c>
      <c r="Z801">
        <v>800</v>
      </c>
      <c r="AA801" s="55" t="s">
        <v>5937</v>
      </c>
      <c r="AC801">
        <f t="shared" si="48"/>
        <v>6</v>
      </c>
      <c r="AD801" s="30" t="s">
        <v>5938</v>
      </c>
      <c r="AH801" s="3" t="s">
        <v>7015</v>
      </c>
      <c r="AI801" s="3" t="s">
        <v>7010</v>
      </c>
      <c r="AJ801" s="3" t="s">
        <v>7010</v>
      </c>
      <c r="AK801" s="3" t="s">
        <v>7015</v>
      </c>
      <c r="AL801" s="3" t="s">
        <v>7010</v>
      </c>
      <c r="AM801" s="3" t="s">
        <v>7010</v>
      </c>
      <c r="AN801" s="3" t="s">
        <v>7010</v>
      </c>
      <c r="AO801" s="3" t="s">
        <v>7010</v>
      </c>
      <c r="AP801" s="74" t="s">
        <v>7015</v>
      </c>
      <c r="AU801">
        <v>800</v>
      </c>
      <c r="AV801" t="s">
        <v>5939</v>
      </c>
      <c r="AW801" t="s">
        <v>2279</v>
      </c>
      <c r="AX801">
        <f t="shared" si="50"/>
        <v>11</v>
      </c>
      <c r="AY801" s="30" t="s">
        <v>5940</v>
      </c>
      <c r="BC801" s="3" t="s">
        <v>7010</v>
      </c>
      <c r="BD801" s="3" t="s">
        <v>7010</v>
      </c>
      <c r="BE801" s="3" t="s">
        <v>7010</v>
      </c>
      <c r="BF801" s="3" t="s">
        <v>7010</v>
      </c>
      <c r="BG801" s="3" t="s">
        <v>7010</v>
      </c>
      <c r="BH801" s="3" t="s">
        <v>7010</v>
      </c>
      <c r="BI801" s="3" t="s">
        <v>7010</v>
      </c>
      <c r="BJ801" s="3" t="s">
        <v>7010</v>
      </c>
      <c r="BK801" s="74" t="str">
        <f t="shared" si="51"/>
        <v>No</v>
      </c>
    </row>
    <row r="802" spans="7:63">
      <c r="G802">
        <v>801</v>
      </c>
      <c r="H802" s="9" t="s">
        <v>385</v>
      </c>
      <c r="I802" t="s">
        <v>29</v>
      </c>
      <c r="J802">
        <f>LEN(H802)</f>
        <v>12</v>
      </c>
      <c r="K802" s="49" t="s">
        <v>2457</v>
      </c>
      <c r="O802" s="3" t="s">
        <v>7010</v>
      </c>
      <c r="P802" s="3" t="s">
        <v>7010</v>
      </c>
      <c r="Q802" s="3" t="s">
        <v>7010</v>
      </c>
      <c r="R802" s="3" t="s">
        <v>7010</v>
      </c>
      <c r="S802" s="3" t="s">
        <v>7010</v>
      </c>
      <c r="T802" s="3" t="s">
        <v>7010</v>
      </c>
      <c r="U802" s="3" t="s">
        <v>7010</v>
      </c>
      <c r="V802" s="3" t="s">
        <v>7010</v>
      </c>
      <c r="W802" s="74" t="str">
        <f t="shared" si="49"/>
        <v>No</v>
      </c>
      <c r="Z802">
        <v>801</v>
      </c>
      <c r="AA802" s="55" t="s">
        <v>5942</v>
      </c>
      <c r="AC802">
        <f t="shared" si="48"/>
        <v>6</v>
      </c>
      <c r="AD802" s="30" t="s">
        <v>5943</v>
      </c>
      <c r="AH802" s="3" t="s">
        <v>7015</v>
      </c>
      <c r="AI802" s="3" t="s">
        <v>7010</v>
      </c>
      <c r="AJ802" s="3" t="s">
        <v>7010</v>
      </c>
      <c r="AK802" s="3" t="s">
        <v>7015</v>
      </c>
      <c r="AL802" s="3" t="s">
        <v>7010</v>
      </c>
      <c r="AM802" s="3" t="s">
        <v>7010</v>
      </c>
      <c r="AN802" s="3" t="s">
        <v>7010</v>
      </c>
      <c r="AO802" s="3" t="s">
        <v>7010</v>
      </c>
      <c r="AP802" s="74" t="s">
        <v>7015</v>
      </c>
      <c r="AU802">
        <v>801</v>
      </c>
      <c r="AV802" t="s">
        <v>5944</v>
      </c>
      <c r="AW802" t="s">
        <v>2279</v>
      </c>
      <c r="AX802">
        <f t="shared" si="50"/>
        <v>8</v>
      </c>
      <c r="AY802" s="30" t="s">
        <v>5945</v>
      </c>
      <c r="BC802" s="3" t="s">
        <v>7010</v>
      </c>
      <c r="BD802" s="3" t="s">
        <v>7010</v>
      </c>
      <c r="BE802" s="3" t="s">
        <v>7010</v>
      </c>
      <c r="BF802" s="3" t="s">
        <v>7010</v>
      </c>
      <c r="BG802" s="3" t="s">
        <v>7010</v>
      </c>
      <c r="BH802" s="3" t="s">
        <v>7010</v>
      </c>
      <c r="BI802" s="3" t="s">
        <v>7010</v>
      </c>
      <c r="BJ802" s="3" t="s">
        <v>7010</v>
      </c>
      <c r="BK802" s="74" t="str">
        <f t="shared" si="51"/>
        <v>No</v>
      </c>
    </row>
    <row r="803" spans="7:63">
      <c r="G803">
        <v>802</v>
      </c>
      <c r="H803" s="7" t="s">
        <v>1082</v>
      </c>
      <c r="I803" t="s">
        <v>29</v>
      </c>
      <c r="J803">
        <f>LEN(H803)</f>
        <v>12</v>
      </c>
      <c r="K803" s="49" t="s">
        <v>3917</v>
      </c>
      <c r="O803" s="3" t="s">
        <v>7010</v>
      </c>
      <c r="P803" s="3" t="s">
        <v>7010</v>
      </c>
      <c r="Q803" s="3" t="s">
        <v>7010</v>
      </c>
      <c r="R803" s="3" t="s">
        <v>7010</v>
      </c>
      <c r="S803" s="3" t="s">
        <v>7010</v>
      </c>
      <c r="T803" s="3" t="s">
        <v>7015</v>
      </c>
      <c r="U803" s="3" t="s">
        <v>7010</v>
      </c>
      <c r="V803" s="3" t="s">
        <v>7010</v>
      </c>
      <c r="W803" s="74" t="str">
        <f t="shared" si="49"/>
        <v>Yes</v>
      </c>
      <c r="Z803">
        <v>802</v>
      </c>
      <c r="AA803" s="55" t="s">
        <v>5947</v>
      </c>
      <c r="AC803">
        <f t="shared" si="48"/>
        <v>7</v>
      </c>
      <c r="AD803" s="30" t="s">
        <v>5948</v>
      </c>
      <c r="AH803" s="3" t="s">
        <v>7015</v>
      </c>
      <c r="AI803" s="3" t="s">
        <v>7010</v>
      </c>
      <c r="AJ803" s="3" t="s">
        <v>7010</v>
      </c>
      <c r="AK803" s="3" t="s">
        <v>7015</v>
      </c>
      <c r="AL803" s="3" t="s">
        <v>7010</v>
      </c>
      <c r="AM803" s="3" t="s">
        <v>7010</v>
      </c>
      <c r="AN803" s="3" t="s">
        <v>7010</v>
      </c>
      <c r="AO803" s="3" t="s">
        <v>7010</v>
      </c>
      <c r="AP803" s="74" t="s">
        <v>7015</v>
      </c>
      <c r="AU803">
        <v>802</v>
      </c>
      <c r="AV803" t="s">
        <v>5949</v>
      </c>
      <c r="AW803" t="s">
        <v>2279</v>
      </c>
      <c r="AX803">
        <f t="shared" si="50"/>
        <v>8</v>
      </c>
      <c r="AY803" s="30" t="s">
        <v>5950</v>
      </c>
      <c r="BC803" s="3" t="s">
        <v>7010</v>
      </c>
      <c r="BD803" s="3" t="s">
        <v>7010</v>
      </c>
      <c r="BE803" s="3" t="s">
        <v>7010</v>
      </c>
      <c r="BF803" s="3" t="s">
        <v>7010</v>
      </c>
      <c r="BG803" s="3" t="s">
        <v>7010</v>
      </c>
      <c r="BH803" s="3" t="s">
        <v>7010</v>
      </c>
      <c r="BI803" s="3" t="s">
        <v>7010</v>
      </c>
      <c r="BJ803" s="3" t="s">
        <v>7010</v>
      </c>
      <c r="BK803" s="74" t="str">
        <f t="shared" si="51"/>
        <v>No</v>
      </c>
    </row>
    <row r="804" spans="7:63">
      <c r="G804">
        <v>803</v>
      </c>
      <c r="H804" t="s">
        <v>6936</v>
      </c>
      <c r="I804" t="s">
        <v>29</v>
      </c>
      <c r="J804">
        <f>LEN(H804)</f>
        <v>12</v>
      </c>
      <c r="K804" s="49" t="s">
        <v>6937</v>
      </c>
      <c r="O804" s="3" t="s">
        <v>7010</v>
      </c>
      <c r="P804" s="3" t="s">
        <v>7010</v>
      </c>
      <c r="Q804" s="3" t="s">
        <v>7010</v>
      </c>
      <c r="R804" s="3" t="s">
        <v>7015</v>
      </c>
      <c r="S804" s="3" t="s">
        <v>7010</v>
      </c>
      <c r="T804" s="3" t="s">
        <v>7015</v>
      </c>
      <c r="U804" s="3" t="s">
        <v>7010</v>
      </c>
      <c r="V804" s="3" t="s">
        <v>7010</v>
      </c>
      <c r="W804" s="74" t="str">
        <f t="shared" si="49"/>
        <v>Yes</v>
      </c>
      <c r="Z804">
        <v>803</v>
      </c>
      <c r="AA804" s="55" t="s">
        <v>5952</v>
      </c>
      <c r="AC804">
        <f t="shared" si="48"/>
        <v>8</v>
      </c>
      <c r="AD804" s="30" t="s">
        <v>5953</v>
      </c>
      <c r="AH804" s="3" t="s">
        <v>7015</v>
      </c>
      <c r="AI804" s="3" t="s">
        <v>7010</v>
      </c>
      <c r="AJ804" s="3" t="s">
        <v>7010</v>
      </c>
      <c r="AK804" s="3" t="s">
        <v>7015</v>
      </c>
      <c r="AL804" s="3" t="s">
        <v>7010</v>
      </c>
      <c r="AM804" s="3" t="s">
        <v>7010</v>
      </c>
      <c r="AN804" s="3" t="s">
        <v>7010</v>
      </c>
      <c r="AO804" s="3" t="s">
        <v>7010</v>
      </c>
      <c r="AP804" s="74" t="s">
        <v>7015</v>
      </c>
      <c r="AU804">
        <v>803</v>
      </c>
      <c r="AV804" t="s">
        <v>5954</v>
      </c>
      <c r="AW804" t="s">
        <v>2279</v>
      </c>
      <c r="AX804">
        <f t="shared" si="50"/>
        <v>8</v>
      </c>
      <c r="AY804" s="30" t="s">
        <v>5955</v>
      </c>
      <c r="BC804" s="3" t="s">
        <v>7010</v>
      </c>
      <c r="BD804" s="3" t="s">
        <v>7010</v>
      </c>
      <c r="BE804" s="3" t="s">
        <v>7010</v>
      </c>
      <c r="BF804" s="3" t="s">
        <v>7010</v>
      </c>
      <c r="BG804" s="3" t="s">
        <v>7010</v>
      </c>
      <c r="BH804" s="3" t="s">
        <v>7010</v>
      </c>
      <c r="BI804" s="3" t="s">
        <v>7010</v>
      </c>
      <c r="BJ804" s="3" t="s">
        <v>7010</v>
      </c>
      <c r="BK804" s="74" t="str">
        <f t="shared" si="51"/>
        <v>No</v>
      </c>
    </row>
    <row r="805" spans="7:63">
      <c r="G805">
        <v>804</v>
      </c>
      <c r="H805" s="7" t="s">
        <v>503</v>
      </c>
      <c r="I805" t="s">
        <v>29</v>
      </c>
      <c r="J805">
        <f>LEN(H805)</f>
        <v>10</v>
      </c>
      <c r="K805" s="49" t="s">
        <v>2929</v>
      </c>
      <c r="O805" s="3" t="s">
        <v>7010</v>
      </c>
      <c r="P805" s="3" t="s">
        <v>7010</v>
      </c>
      <c r="Q805" s="3" t="s">
        <v>7010</v>
      </c>
      <c r="R805" s="3" t="s">
        <v>7015</v>
      </c>
      <c r="S805" s="3" t="s">
        <v>7010</v>
      </c>
      <c r="T805" s="3" t="s">
        <v>7010</v>
      </c>
      <c r="U805" s="3" t="s">
        <v>7010</v>
      </c>
      <c r="V805" s="3" t="s">
        <v>7010</v>
      </c>
      <c r="W805" s="74" t="str">
        <f t="shared" si="49"/>
        <v>Yes</v>
      </c>
      <c r="Z805">
        <v>804</v>
      </c>
      <c r="AA805" s="55" t="s">
        <v>5957</v>
      </c>
      <c r="AC805">
        <f t="shared" si="48"/>
        <v>7</v>
      </c>
      <c r="AD805" s="30" t="s">
        <v>5958</v>
      </c>
      <c r="AH805" s="3" t="s">
        <v>7015</v>
      </c>
      <c r="AI805" s="3" t="s">
        <v>7010</v>
      </c>
      <c r="AJ805" s="3" t="s">
        <v>7010</v>
      </c>
      <c r="AK805" s="3" t="s">
        <v>7015</v>
      </c>
      <c r="AL805" s="3" t="s">
        <v>7010</v>
      </c>
      <c r="AM805" s="3" t="s">
        <v>7010</v>
      </c>
      <c r="AN805" s="3" t="s">
        <v>7010</v>
      </c>
      <c r="AO805" s="3" t="s">
        <v>7010</v>
      </c>
      <c r="AP805" s="74" t="s">
        <v>7015</v>
      </c>
      <c r="AU805">
        <v>804</v>
      </c>
      <c r="AV805" t="s">
        <v>5959</v>
      </c>
      <c r="AW805" t="s">
        <v>2279</v>
      </c>
      <c r="AX805">
        <f t="shared" si="50"/>
        <v>14</v>
      </c>
      <c r="AY805" s="30" t="s">
        <v>5960</v>
      </c>
      <c r="BC805" s="3" t="s">
        <v>7010</v>
      </c>
      <c r="BD805" s="3" t="s">
        <v>7010</v>
      </c>
      <c r="BE805" s="3" t="s">
        <v>7010</v>
      </c>
      <c r="BF805" s="3" t="s">
        <v>7010</v>
      </c>
      <c r="BG805" s="3" t="s">
        <v>7010</v>
      </c>
      <c r="BH805" s="3" t="s">
        <v>7010</v>
      </c>
      <c r="BI805" s="3" t="s">
        <v>7010</v>
      </c>
      <c r="BJ805" s="3" t="s">
        <v>7010</v>
      </c>
      <c r="BK805" s="74" t="str">
        <f t="shared" si="51"/>
        <v>No</v>
      </c>
    </row>
    <row r="806" spans="7:63">
      <c r="G806">
        <v>805</v>
      </c>
      <c r="H806" s="7" t="s">
        <v>1650</v>
      </c>
      <c r="I806" t="s">
        <v>29</v>
      </c>
      <c r="J806">
        <f>LEN(H806)</f>
        <v>11</v>
      </c>
      <c r="K806" s="49" t="s">
        <v>5356</v>
      </c>
      <c r="O806" s="3" t="s">
        <v>7010</v>
      </c>
      <c r="P806" s="3" t="s">
        <v>7010</v>
      </c>
      <c r="Q806" s="3" t="s">
        <v>7010</v>
      </c>
      <c r="R806" s="3" t="s">
        <v>7010</v>
      </c>
      <c r="S806" s="3" t="s">
        <v>7010</v>
      </c>
      <c r="T806" s="3" t="s">
        <v>7015</v>
      </c>
      <c r="U806" s="3" t="s">
        <v>7010</v>
      </c>
      <c r="V806" s="3" t="s">
        <v>7010</v>
      </c>
      <c r="W806" s="74" t="str">
        <f t="shared" si="49"/>
        <v>Yes</v>
      </c>
      <c r="Z806">
        <v>805</v>
      </c>
      <c r="AA806" s="55" t="s">
        <v>5962</v>
      </c>
      <c r="AC806">
        <f t="shared" si="48"/>
        <v>6</v>
      </c>
      <c r="AD806" s="30" t="s">
        <v>5963</v>
      </c>
      <c r="AH806" s="3" t="s">
        <v>7015</v>
      </c>
      <c r="AI806" s="3" t="s">
        <v>7010</v>
      </c>
      <c r="AJ806" s="3" t="s">
        <v>7010</v>
      </c>
      <c r="AK806" s="3" t="s">
        <v>7015</v>
      </c>
      <c r="AL806" s="3" t="s">
        <v>7010</v>
      </c>
      <c r="AM806" s="3" t="s">
        <v>7010</v>
      </c>
      <c r="AN806" s="3" t="s">
        <v>7010</v>
      </c>
      <c r="AO806" s="3" t="s">
        <v>7010</v>
      </c>
      <c r="AP806" s="74" t="s">
        <v>7015</v>
      </c>
      <c r="AU806">
        <v>805</v>
      </c>
      <c r="AV806" t="s">
        <v>5964</v>
      </c>
      <c r="AW806" t="s">
        <v>2279</v>
      </c>
      <c r="AX806">
        <f t="shared" si="50"/>
        <v>8</v>
      </c>
      <c r="AY806" s="30" t="s">
        <v>5965</v>
      </c>
      <c r="BC806" s="3" t="s">
        <v>7010</v>
      </c>
      <c r="BD806" s="3" t="s">
        <v>7010</v>
      </c>
      <c r="BE806" s="3" t="s">
        <v>7010</v>
      </c>
      <c r="BF806" s="3" t="s">
        <v>7010</v>
      </c>
      <c r="BG806" s="3" t="s">
        <v>7010</v>
      </c>
      <c r="BH806" s="3" t="s">
        <v>7010</v>
      </c>
      <c r="BI806" s="3" t="s">
        <v>7010</v>
      </c>
      <c r="BJ806" s="3" t="s">
        <v>7010</v>
      </c>
      <c r="BK806" s="74" t="str">
        <f t="shared" si="51"/>
        <v>No</v>
      </c>
    </row>
    <row r="807" spans="7:63">
      <c r="G807">
        <v>806</v>
      </c>
      <c r="H807" s="7" t="s">
        <v>1300</v>
      </c>
      <c r="I807" t="s">
        <v>29</v>
      </c>
      <c r="J807">
        <f>LEN(H807)</f>
        <v>8</v>
      </c>
      <c r="K807" s="49" t="s">
        <v>4467</v>
      </c>
      <c r="O807" s="3" t="s">
        <v>7010</v>
      </c>
      <c r="P807" s="3" t="s">
        <v>7010</v>
      </c>
      <c r="Q807" s="3" t="s">
        <v>7010</v>
      </c>
      <c r="R807" s="3" t="s">
        <v>7010</v>
      </c>
      <c r="S807" s="3" t="s">
        <v>7010</v>
      </c>
      <c r="T807" s="3" t="s">
        <v>7015</v>
      </c>
      <c r="U807" s="3" t="s">
        <v>7010</v>
      </c>
      <c r="V807" s="3" t="s">
        <v>7010</v>
      </c>
      <c r="W807" s="74" t="str">
        <f t="shared" si="49"/>
        <v>Yes</v>
      </c>
      <c r="Z807">
        <v>806</v>
      </c>
      <c r="AA807" s="55" t="s">
        <v>5967</v>
      </c>
      <c r="AC807">
        <f t="shared" si="48"/>
        <v>7</v>
      </c>
      <c r="AD807" s="30" t="s">
        <v>5968</v>
      </c>
      <c r="AH807" s="3" t="s">
        <v>7015</v>
      </c>
      <c r="AI807" s="3" t="s">
        <v>7010</v>
      </c>
      <c r="AJ807" s="3" t="s">
        <v>7010</v>
      </c>
      <c r="AK807" s="3" t="s">
        <v>7015</v>
      </c>
      <c r="AL807" s="3" t="s">
        <v>7010</v>
      </c>
      <c r="AM807" s="3" t="s">
        <v>7010</v>
      </c>
      <c r="AN807" s="3" t="s">
        <v>7010</v>
      </c>
      <c r="AO807" s="3" t="s">
        <v>7010</v>
      </c>
      <c r="AP807" s="74" t="s">
        <v>7015</v>
      </c>
      <c r="AU807">
        <v>806</v>
      </c>
      <c r="AV807" t="s">
        <v>5969</v>
      </c>
      <c r="AW807" t="s">
        <v>2279</v>
      </c>
      <c r="AX807">
        <f t="shared" si="50"/>
        <v>9</v>
      </c>
      <c r="AY807" s="30" t="s">
        <v>5970</v>
      </c>
      <c r="BC807" s="3" t="s">
        <v>7010</v>
      </c>
      <c r="BD807" s="3" t="s">
        <v>7010</v>
      </c>
      <c r="BE807" s="3" t="s">
        <v>7010</v>
      </c>
      <c r="BF807" s="3" t="s">
        <v>7010</v>
      </c>
      <c r="BG807" s="3" t="s">
        <v>7010</v>
      </c>
      <c r="BH807" s="3" t="s">
        <v>7010</v>
      </c>
      <c r="BI807" s="3" t="s">
        <v>7010</v>
      </c>
      <c r="BJ807" s="3" t="s">
        <v>7010</v>
      </c>
      <c r="BK807" s="74" t="str">
        <f t="shared" si="51"/>
        <v>No</v>
      </c>
    </row>
    <row r="808" spans="7:63">
      <c r="G808">
        <v>807</v>
      </c>
      <c r="H808" s="7" t="s">
        <v>1420</v>
      </c>
      <c r="I808" t="s">
        <v>29</v>
      </c>
      <c r="J808">
        <f>LEN(H808)</f>
        <v>7</v>
      </c>
      <c r="K808" s="49" t="s">
        <v>4773</v>
      </c>
      <c r="O808" s="3" t="s">
        <v>7010</v>
      </c>
      <c r="P808" s="3" t="s">
        <v>7010</v>
      </c>
      <c r="Q808" s="3" t="s">
        <v>7010</v>
      </c>
      <c r="R808" s="3" t="s">
        <v>7010</v>
      </c>
      <c r="S808" s="3" t="s">
        <v>7010</v>
      </c>
      <c r="T808" s="3" t="s">
        <v>7010</v>
      </c>
      <c r="U808" s="3" t="s">
        <v>7010</v>
      </c>
      <c r="V808" s="3" t="s">
        <v>7010</v>
      </c>
      <c r="W808" s="74" t="str">
        <f t="shared" si="49"/>
        <v>No</v>
      </c>
      <c r="Z808">
        <v>807</v>
      </c>
      <c r="AA808" s="55" t="s">
        <v>5972</v>
      </c>
      <c r="AC808">
        <f t="shared" si="48"/>
        <v>7</v>
      </c>
      <c r="AD808" s="30" t="s">
        <v>5973</v>
      </c>
      <c r="AH808" s="3" t="s">
        <v>7015</v>
      </c>
      <c r="AI808" s="3" t="s">
        <v>7010</v>
      </c>
      <c r="AJ808" s="3" t="s">
        <v>7010</v>
      </c>
      <c r="AK808" s="3" t="s">
        <v>7015</v>
      </c>
      <c r="AL808" s="3" t="s">
        <v>7010</v>
      </c>
      <c r="AM808" s="3" t="s">
        <v>7010</v>
      </c>
      <c r="AN808" s="3" t="s">
        <v>7010</v>
      </c>
      <c r="AO808" s="3" t="s">
        <v>7010</v>
      </c>
      <c r="AP808" s="74" t="s">
        <v>7015</v>
      </c>
      <c r="AU808">
        <v>807</v>
      </c>
      <c r="AV808" t="s">
        <v>5974</v>
      </c>
      <c r="AW808" t="s">
        <v>2279</v>
      </c>
      <c r="AX808">
        <f t="shared" si="50"/>
        <v>19</v>
      </c>
      <c r="AY808" s="30" t="s">
        <v>5975</v>
      </c>
      <c r="BC808" s="3" t="s">
        <v>7010</v>
      </c>
      <c r="BD808" s="3" t="s">
        <v>7010</v>
      </c>
      <c r="BE808" s="3" t="s">
        <v>7010</v>
      </c>
      <c r="BF808" s="3" t="s">
        <v>7010</v>
      </c>
      <c r="BG808" s="3" t="s">
        <v>7010</v>
      </c>
      <c r="BH808" s="3" t="s">
        <v>7010</v>
      </c>
      <c r="BI808" s="3" t="s">
        <v>7010</v>
      </c>
      <c r="BJ808" s="3" t="s">
        <v>7010</v>
      </c>
      <c r="BK808" s="74" t="str">
        <f t="shared" si="51"/>
        <v>No</v>
      </c>
    </row>
    <row r="809" spans="7:63">
      <c r="G809">
        <v>808</v>
      </c>
      <c r="H809" s="7" t="s">
        <v>1528</v>
      </c>
      <c r="I809" t="s">
        <v>29</v>
      </c>
      <c r="J809">
        <f>LEN(H809)</f>
        <v>10</v>
      </c>
      <c r="K809" s="49" t="s">
        <v>5047</v>
      </c>
      <c r="O809" s="3" t="s">
        <v>7010</v>
      </c>
      <c r="P809" s="3" t="s">
        <v>7010</v>
      </c>
      <c r="Q809" s="3" t="s">
        <v>7010</v>
      </c>
      <c r="R809" s="3" t="s">
        <v>7010</v>
      </c>
      <c r="S809" s="3" t="s">
        <v>7010</v>
      </c>
      <c r="T809" s="3" t="s">
        <v>7015</v>
      </c>
      <c r="U809" s="3" t="s">
        <v>7015</v>
      </c>
      <c r="V809" s="3" t="s">
        <v>7015</v>
      </c>
      <c r="W809" s="74" t="str">
        <f t="shared" si="49"/>
        <v>Yes</v>
      </c>
      <c r="Z809">
        <v>808</v>
      </c>
      <c r="AA809" s="55">
        <v>141414</v>
      </c>
      <c r="AC809">
        <f t="shared" si="48"/>
        <v>6</v>
      </c>
      <c r="AD809" s="30" t="s">
        <v>5977</v>
      </c>
      <c r="AH809" s="3" t="s">
        <v>7015</v>
      </c>
      <c r="AI809" s="3" t="s">
        <v>7010</v>
      </c>
      <c r="AJ809" s="3" t="s">
        <v>7010</v>
      </c>
      <c r="AK809" s="3" t="s">
        <v>7015</v>
      </c>
      <c r="AL809" s="3" t="s">
        <v>7010</v>
      </c>
      <c r="AM809" s="3" t="s">
        <v>7010</v>
      </c>
      <c r="AN809" s="3" t="s">
        <v>7010</v>
      </c>
      <c r="AO809" s="3" t="s">
        <v>7010</v>
      </c>
      <c r="AP809" s="74" t="s">
        <v>7015</v>
      </c>
      <c r="AU809">
        <v>808</v>
      </c>
      <c r="AV809" t="s">
        <v>5978</v>
      </c>
      <c r="AW809" t="s">
        <v>2279</v>
      </c>
      <c r="AX809">
        <f t="shared" si="50"/>
        <v>11</v>
      </c>
      <c r="AY809" s="30" t="s">
        <v>5979</v>
      </c>
      <c r="BC809" s="3" t="s">
        <v>7010</v>
      </c>
      <c r="BD809" s="3" t="s">
        <v>7010</v>
      </c>
      <c r="BE809" s="3" t="s">
        <v>7010</v>
      </c>
      <c r="BF809" s="3" t="s">
        <v>7010</v>
      </c>
      <c r="BG809" s="3" t="s">
        <v>7010</v>
      </c>
      <c r="BH809" s="3" t="s">
        <v>7010</v>
      </c>
      <c r="BI809" s="3" t="s">
        <v>7010</v>
      </c>
      <c r="BJ809" s="3" t="s">
        <v>7010</v>
      </c>
      <c r="BK809" s="74" t="str">
        <f t="shared" si="51"/>
        <v>No</v>
      </c>
    </row>
    <row r="810" spans="7:63">
      <c r="G810">
        <v>809</v>
      </c>
      <c r="H810" s="7" t="s">
        <v>1252</v>
      </c>
      <c r="I810" t="s">
        <v>29</v>
      </c>
      <c r="J810">
        <f>LEN(H810)</f>
        <v>13</v>
      </c>
      <c r="K810" s="49" t="s">
        <v>4346</v>
      </c>
      <c r="O810" s="3" t="s">
        <v>7010</v>
      </c>
      <c r="P810" s="3" t="s">
        <v>7010</v>
      </c>
      <c r="Q810" s="3" t="s">
        <v>7010</v>
      </c>
      <c r="R810" s="3" t="s">
        <v>7010</v>
      </c>
      <c r="S810" s="3" t="s">
        <v>7010</v>
      </c>
      <c r="T810" s="3" t="s">
        <v>7010</v>
      </c>
      <c r="U810" s="3" t="s">
        <v>7010</v>
      </c>
      <c r="V810" s="3" t="s">
        <v>7010</v>
      </c>
      <c r="W810" s="74" t="str">
        <f t="shared" si="49"/>
        <v>No</v>
      </c>
      <c r="Z810">
        <v>809</v>
      </c>
      <c r="AA810" s="55">
        <v>11111111</v>
      </c>
      <c r="AC810">
        <f t="shared" si="48"/>
        <v>8</v>
      </c>
      <c r="AD810" s="30" t="s">
        <v>5981</v>
      </c>
      <c r="AH810" s="3" t="s">
        <v>7015</v>
      </c>
      <c r="AI810" s="3" t="s">
        <v>7010</v>
      </c>
      <c r="AJ810" s="3" t="s">
        <v>7010</v>
      </c>
      <c r="AK810" s="3" t="s">
        <v>7015</v>
      </c>
      <c r="AL810" s="3" t="s">
        <v>7010</v>
      </c>
      <c r="AM810" s="3" t="s">
        <v>7010</v>
      </c>
      <c r="AN810" s="3" t="s">
        <v>7010</v>
      </c>
      <c r="AO810" s="3" t="s">
        <v>7010</v>
      </c>
      <c r="AP810" s="74" t="s">
        <v>7015</v>
      </c>
      <c r="AU810">
        <v>809</v>
      </c>
      <c r="AV810" t="s">
        <v>5982</v>
      </c>
      <c r="AW810" t="s">
        <v>2279</v>
      </c>
      <c r="AX810">
        <f t="shared" si="50"/>
        <v>8</v>
      </c>
      <c r="AY810" s="30" t="s">
        <v>5983</v>
      </c>
      <c r="BC810" s="3" t="s">
        <v>7010</v>
      </c>
      <c r="BD810" s="3" t="s">
        <v>7010</v>
      </c>
      <c r="BE810" s="3" t="s">
        <v>7010</v>
      </c>
      <c r="BF810" s="3" t="s">
        <v>7010</v>
      </c>
      <c r="BG810" s="3" t="s">
        <v>7010</v>
      </c>
      <c r="BH810" s="3" t="s">
        <v>7010</v>
      </c>
      <c r="BI810" s="3" t="s">
        <v>7010</v>
      </c>
      <c r="BJ810" s="3" t="s">
        <v>7010</v>
      </c>
      <c r="BK810" s="74" t="str">
        <f t="shared" si="51"/>
        <v>No</v>
      </c>
    </row>
    <row r="811" spans="7:63">
      <c r="G811">
        <v>810</v>
      </c>
      <c r="H811" s="7" t="s">
        <v>1334</v>
      </c>
      <c r="I811" t="s">
        <v>29</v>
      </c>
      <c r="J811">
        <f>LEN(H811)</f>
        <v>9</v>
      </c>
      <c r="K811" s="49" t="s">
        <v>4550</v>
      </c>
      <c r="O811" s="3" t="s">
        <v>7010</v>
      </c>
      <c r="P811" s="3" t="s">
        <v>7010</v>
      </c>
      <c r="Q811" s="3" t="s">
        <v>7010</v>
      </c>
      <c r="R811" s="3" t="s">
        <v>7010</v>
      </c>
      <c r="S811" s="3" t="s">
        <v>7010</v>
      </c>
      <c r="T811" s="3" t="s">
        <v>7010</v>
      </c>
      <c r="U811" s="3" t="s">
        <v>7010</v>
      </c>
      <c r="V811" s="3" t="s">
        <v>7010</v>
      </c>
      <c r="W811" s="74" t="str">
        <f t="shared" si="49"/>
        <v>No</v>
      </c>
      <c r="Z811">
        <v>810</v>
      </c>
      <c r="AA811" s="55" t="s">
        <v>5985</v>
      </c>
      <c r="AC811">
        <f t="shared" si="48"/>
        <v>7</v>
      </c>
      <c r="AD811" s="30" t="s">
        <v>5986</v>
      </c>
      <c r="AH811" s="3" t="s">
        <v>7015</v>
      </c>
      <c r="AI811" s="3" t="s">
        <v>7010</v>
      </c>
      <c r="AJ811" s="3" t="s">
        <v>7010</v>
      </c>
      <c r="AK811" s="3" t="s">
        <v>7015</v>
      </c>
      <c r="AL811" s="3" t="s">
        <v>7010</v>
      </c>
      <c r="AM811" s="3" t="s">
        <v>7010</v>
      </c>
      <c r="AN811" s="3" t="s">
        <v>7010</v>
      </c>
      <c r="AO811" s="3" t="s">
        <v>7010</v>
      </c>
      <c r="AP811" s="74" t="s">
        <v>7015</v>
      </c>
      <c r="AU811">
        <v>810</v>
      </c>
      <c r="AV811" t="s">
        <v>5987</v>
      </c>
      <c r="AW811" t="s">
        <v>2279</v>
      </c>
      <c r="AX811">
        <f t="shared" si="50"/>
        <v>10</v>
      </c>
      <c r="AY811" s="30" t="s">
        <v>5988</v>
      </c>
      <c r="BC811" s="3" t="s">
        <v>7010</v>
      </c>
      <c r="BD811" s="3" t="s">
        <v>7010</v>
      </c>
      <c r="BE811" s="3" t="s">
        <v>7015</v>
      </c>
      <c r="BF811" s="3" t="s">
        <v>7010</v>
      </c>
      <c r="BG811" s="3" t="s">
        <v>7010</v>
      </c>
      <c r="BH811" s="3" t="s">
        <v>7010</v>
      </c>
      <c r="BI811" s="3" t="s">
        <v>7010</v>
      </c>
      <c r="BJ811" s="3" t="s">
        <v>7010</v>
      </c>
      <c r="BK811" s="74" t="str">
        <f t="shared" si="51"/>
        <v>Yes</v>
      </c>
    </row>
    <row r="812" spans="7:63">
      <c r="G812">
        <v>811</v>
      </c>
      <c r="H812" s="7" t="s">
        <v>1464</v>
      </c>
      <c r="I812" t="s">
        <v>29</v>
      </c>
      <c r="J812">
        <f>LEN(H812)</f>
        <v>9</v>
      </c>
      <c r="K812" s="49" t="s">
        <v>4885</v>
      </c>
      <c r="O812" s="3" t="s">
        <v>7010</v>
      </c>
      <c r="P812" s="3" t="s">
        <v>7010</v>
      </c>
      <c r="Q812" s="3" t="s">
        <v>7010</v>
      </c>
      <c r="R812" s="3" t="s">
        <v>7010</v>
      </c>
      <c r="S812" s="3" t="s">
        <v>7010</v>
      </c>
      <c r="T812" s="3" t="s">
        <v>7010</v>
      </c>
      <c r="U812" s="3" t="s">
        <v>7010</v>
      </c>
      <c r="V812" s="3" t="s">
        <v>7010</v>
      </c>
      <c r="W812" s="74" t="str">
        <f t="shared" si="49"/>
        <v>No</v>
      </c>
      <c r="Z812">
        <v>811</v>
      </c>
      <c r="AA812" s="55" t="s">
        <v>5990</v>
      </c>
      <c r="AC812">
        <f t="shared" si="48"/>
        <v>6</v>
      </c>
      <c r="AD812" s="30" t="s">
        <v>5991</v>
      </c>
      <c r="AH812" s="3" t="s">
        <v>7015</v>
      </c>
      <c r="AI812" s="3" t="s">
        <v>7010</v>
      </c>
      <c r="AJ812" s="3" t="s">
        <v>7010</v>
      </c>
      <c r="AK812" s="3" t="s">
        <v>7015</v>
      </c>
      <c r="AL812" s="3" t="s">
        <v>7010</v>
      </c>
      <c r="AM812" s="3" t="s">
        <v>7010</v>
      </c>
      <c r="AN812" s="3" t="s">
        <v>7010</v>
      </c>
      <c r="AO812" s="3" t="s">
        <v>7010</v>
      </c>
      <c r="AP812" s="74" t="s">
        <v>7015</v>
      </c>
      <c r="AU812">
        <v>811</v>
      </c>
      <c r="AV812" t="s">
        <v>5992</v>
      </c>
      <c r="AW812" t="s">
        <v>2279</v>
      </c>
      <c r="AX812">
        <f t="shared" si="50"/>
        <v>19</v>
      </c>
      <c r="AY812" s="30" t="s">
        <v>5993</v>
      </c>
      <c r="BC812" s="3" t="s">
        <v>7010</v>
      </c>
      <c r="BD812" s="3" t="s">
        <v>7010</v>
      </c>
      <c r="BE812" s="3" t="s">
        <v>7010</v>
      </c>
      <c r="BF812" s="3" t="s">
        <v>7010</v>
      </c>
      <c r="BG812" s="3" t="s">
        <v>7010</v>
      </c>
      <c r="BH812" s="3" t="s">
        <v>7010</v>
      </c>
      <c r="BI812" s="3" t="s">
        <v>7010</v>
      </c>
      <c r="BJ812" s="3" t="s">
        <v>7010</v>
      </c>
      <c r="BK812" s="74" t="str">
        <f t="shared" si="51"/>
        <v>No</v>
      </c>
    </row>
    <row r="813" spans="7:63">
      <c r="G813">
        <v>812</v>
      </c>
      <c r="H813" s="7" t="s">
        <v>1536</v>
      </c>
      <c r="I813" t="s">
        <v>29</v>
      </c>
      <c r="J813">
        <f>LEN(H813)</f>
        <v>12</v>
      </c>
      <c r="K813" s="49" t="s">
        <v>5067</v>
      </c>
      <c r="O813" s="3" t="s">
        <v>7010</v>
      </c>
      <c r="P813" s="3" t="s">
        <v>7010</v>
      </c>
      <c r="Q813" s="3" t="s">
        <v>7010</v>
      </c>
      <c r="R813" s="3" t="s">
        <v>7010</v>
      </c>
      <c r="S813" s="3" t="s">
        <v>7010</v>
      </c>
      <c r="T813" s="3" t="s">
        <v>7010</v>
      </c>
      <c r="U813" s="3" t="s">
        <v>7010</v>
      </c>
      <c r="V813" s="3" t="s">
        <v>7010</v>
      </c>
      <c r="W813" s="74" t="str">
        <f t="shared" si="49"/>
        <v>No</v>
      </c>
      <c r="Z813">
        <v>812</v>
      </c>
      <c r="AA813" s="55" t="s">
        <v>5995</v>
      </c>
      <c r="AC813">
        <f t="shared" si="48"/>
        <v>6</v>
      </c>
      <c r="AD813" s="30" t="s">
        <v>5996</v>
      </c>
      <c r="AH813" s="3" t="s">
        <v>7015</v>
      </c>
      <c r="AI813" s="3" t="s">
        <v>7010</v>
      </c>
      <c r="AJ813" s="3" t="s">
        <v>7010</v>
      </c>
      <c r="AK813" s="3" t="s">
        <v>7015</v>
      </c>
      <c r="AL813" s="3" t="s">
        <v>7010</v>
      </c>
      <c r="AM813" s="3" t="s">
        <v>7010</v>
      </c>
      <c r="AN813" s="3" t="s">
        <v>7010</v>
      </c>
      <c r="AO813" s="3" t="s">
        <v>7010</v>
      </c>
      <c r="AP813" s="74" t="s">
        <v>7015</v>
      </c>
      <c r="AU813">
        <v>812</v>
      </c>
      <c r="AV813" t="s">
        <v>5997</v>
      </c>
      <c r="AW813" t="s">
        <v>2279</v>
      </c>
      <c r="AX813">
        <f t="shared" si="50"/>
        <v>10</v>
      </c>
      <c r="AY813" s="30" t="s">
        <v>5998</v>
      </c>
      <c r="BC813" s="3" t="s">
        <v>7010</v>
      </c>
      <c r="BD813" s="3" t="s">
        <v>7010</v>
      </c>
      <c r="BE813" s="3" t="s">
        <v>7010</v>
      </c>
      <c r="BF813" s="3" t="s">
        <v>7010</v>
      </c>
      <c r="BG813" s="3" t="s">
        <v>7010</v>
      </c>
      <c r="BH813" s="3" t="s">
        <v>7010</v>
      </c>
      <c r="BI813" s="3" t="s">
        <v>7010</v>
      </c>
      <c r="BJ813" s="3" t="s">
        <v>7010</v>
      </c>
      <c r="BK813" s="74" t="str">
        <f t="shared" si="51"/>
        <v>No</v>
      </c>
    </row>
    <row r="814" spans="7:63">
      <c r="G814">
        <v>813</v>
      </c>
      <c r="H814" s="7" t="s">
        <v>4980</v>
      </c>
      <c r="I814" t="s">
        <v>29</v>
      </c>
      <c r="J814">
        <f>LEN(H814)</f>
        <v>14</v>
      </c>
      <c r="K814" s="49" t="s">
        <v>4981</v>
      </c>
      <c r="O814" s="3" t="s">
        <v>7010</v>
      </c>
      <c r="P814" s="3" t="s">
        <v>7010</v>
      </c>
      <c r="Q814" s="3" t="s">
        <v>7010</v>
      </c>
      <c r="R814" s="3" t="s">
        <v>7010</v>
      </c>
      <c r="S814" s="3" t="s">
        <v>7010</v>
      </c>
      <c r="T814" s="3" t="s">
        <v>7010</v>
      </c>
      <c r="U814" s="3" t="s">
        <v>7010</v>
      </c>
      <c r="V814" s="3" t="s">
        <v>7010</v>
      </c>
      <c r="W814" s="74" t="str">
        <f t="shared" si="49"/>
        <v>No</v>
      </c>
      <c r="Z814">
        <v>813</v>
      </c>
      <c r="AA814" s="55" t="s">
        <v>6000</v>
      </c>
      <c r="AC814">
        <f t="shared" si="48"/>
        <v>6</v>
      </c>
      <c r="AD814" s="30" t="s">
        <v>6001</v>
      </c>
      <c r="AH814" s="3" t="s">
        <v>7015</v>
      </c>
      <c r="AI814" s="3" t="s">
        <v>7010</v>
      </c>
      <c r="AJ814" s="3" t="s">
        <v>7010</v>
      </c>
      <c r="AK814" s="3" t="s">
        <v>7015</v>
      </c>
      <c r="AL814" s="3" t="s">
        <v>7010</v>
      </c>
      <c r="AM814" s="3" t="s">
        <v>7010</v>
      </c>
      <c r="AN814" s="3" t="s">
        <v>7010</v>
      </c>
      <c r="AO814" s="3" t="s">
        <v>7010</v>
      </c>
      <c r="AP814" s="74" t="s">
        <v>7015</v>
      </c>
      <c r="AU814">
        <v>813</v>
      </c>
      <c r="AV814" t="s">
        <v>6002</v>
      </c>
      <c r="AW814" t="s">
        <v>2279</v>
      </c>
      <c r="AX814">
        <f t="shared" si="50"/>
        <v>8</v>
      </c>
      <c r="AY814" s="30" t="s">
        <v>6003</v>
      </c>
      <c r="BC814" s="3" t="s">
        <v>7015</v>
      </c>
      <c r="BD814" s="3" t="s">
        <v>7010</v>
      </c>
      <c r="BE814" s="3" t="s">
        <v>7015</v>
      </c>
      <c r="BF814" s="3" t="s">
        <v>7010</v>
      </c>
      <c r="BG814" s="3" t="s">
        <v>7010</v>
      </c>
      <c r="BH814" s="3" t="s">
        <v>7010</v>
      </c>
      <c r="BI814" s="3" t="s">
        <v>7010</v>
      </c>
      <c r="BJ814" s="3" t="s">
        <v>7010</v>
      </c>
      <c r="BK814" s="74" t="str">
        <f t="shared" si="51"/>
        <v>Yes</v>
      </c>
    </row>
    <row r="815" spans="7:63">
      <c r="G815">
        <v>814</v>
      </c>
      <c r="H815" s="7" t="s">
        <v>4230</v>
      </c>
      <c r="I815" t="s">
        <v>29</v>
      </c>
      <c r="J815">
        <f>LEN(H815)</f>
        <v>13</v>
      </c>
      <c r="K815" s="49" t="s">
        <v>4231</v>
      </c>
      <c r="O815" s="3" t="s">
        <v>7010</v>
      </c>
      <c r="P815" s="3" t="s">
        <v>7010</v>
      </c>
      <c r="Q815" s="3" t="s">
        <v>7010</v>
      </c>
      <c r="R815" s="3" t="s">
        <v>7010</v>
      </c>
      <c r="S815" s="3" t="s">
        <v>7010</v>
      </c>
      <c r="T815" s="3" t="s">
        <v>7010</v>
      </c>
      <c r="U815" s="3" t="s">
        <v>7010</v>
      </c>
      <c r="V815" s="3" t="s">
        <v>7010</v>
      </c>
      <c r="W815" s="74" t="str">
        <f t="shared" si="49"/>
        <v>No</v>
      </c>
      <c r="Z815">
        <v>814</v>
      </c>
      <c r="AA815" s="55" t="s">
        <v>6005</v>
      </c>
      <c r="AC815">
        <f t="shared" si="48"/>
        <v>7</v>
      </c>
      <c r="AD815" s="30" t="s">
        <v>6006</v>
      </c>
      <c r="AH815" s="3" t="s">
        <v>7015</v>
      </c>
      <c r="AI815" s="3" t="s">
        <v>7010</v>
      </c>
      <c r="AJ815" s="3" t="s">
        <v>7010</v>
      </c>
      <c r="AK815" s="3" t="s">
        <v>7015</v>
      </c>
      <c r="AL815" s="3" t="s">
        <v>7010</v>
      </c>
      <c r="AM815" s="3" t="s">
        <v>7010</v>
      </c>
      <c r="AN815" s="3" t="s">
        <v>7010</v>
      </c>
      <c r="AO815" s="3" t="s">
        <v>7010</v>
      </c>
      <c r="AP815" s="74" t="s">
        <v>7015</v>
      </c>
      <c r="AU815">
        <v>814</v>
      </c>
      <c r="AV815" t="s">
        <v>6007</v>
      </c>
      <c r="AW815" t="s">
        <v>2279</v>
      </c>
      <c r="AX815">
        <f t="shared" si="50"/>
        <v>8</v>
      </c>
      <c r="AY815" s="30" t="s">
        <v>6008</v>
      </c>
      <c r="BC815" s="3" t="s">
        <v>7010</v>
      </c>
      <c r="BD815" s="3" t="s">
        <v>7010</v>
      </c>
      <c r="BE815" s="3" t="s">
        <v>7010</v>
      </c>
      <c r="BF815" s="3" t="s">
        <v>7010</v>
      </c>
      <c r="BG815" s="3" t="s">
        <v>7010</v>
      </c>
      <c r="BH815" s="3" t="s">
        <v>7010</v>
      </c>
      <c r="BI815" s="3" t="s">
        <v>7010</v>
      </c>
      <c r="BJ815" s="3" t="s">
        <v>7010</v>
      </c>
      <c r="BK815" s="74" t="str">
        <f t="shared" si="51"/>
        <v>No</v>
      </c>
    </row>
    <row r="816" spans="7:63">
      <c r="G816">
        <v>815</v>
      </c>
      <c r="H816" s="7" t="s">
        <v>4740</v>
      </c>
      <c r="I816" t="s">
        <v>29</v>
      </c>
      <c r="J816">
        <f>LEN(H816)</f>
        <v>13</v>
      </c>
      <c r="K816" s="49" t="s">
        <v>4741</v>
      </c>
      <c r="O816" s="3" t="s">
        <v>7010</v>
      </c>
      <c r="P816" s="3" t="s">
        <v>7010</v>
      </c>
      <c r="Q816" s="3" t="s">
        <v>7010</v>
      </c>
      <c r="R816" s="3" t="s">
        <v>7010</v>
      </c>
      <c r="S816" s="3" t="s">
        <v>7010</v>
      </c>
      <c r="T816" s="3" t="s">
        <v>7010</v>
      </c>
      <c r="U816" s="3" t="s">
        <v>7010</v>
      </c>
      <c r="V816" s="3" t="s">
        <v>7010</v>
      </c>
      <c r="W816" s="74" t="str">
        <f t="shared" si="49"/>
        <v>No</v>
      </c>
      <c r="Z816">
        <v>815</v>
      </c>
      <c r="AA816" s="55" t="s">
        <v>6010</v>
      </c>
      <c r="AC816">
        <f t="shared" si="48"/>
        <v>7</v>
      </c>
      <c r="AD816" s="30" t="s">
        <v>6011</v>
      </c>
      <c r="AH816" s="3" t="s">
        <v>7015</v>
      </c>
      <c r="AI816" s="3" t="s">
        <v>7010</v>
      </c>
      <c r="AJ816" s="3" t="s">
        <v>7010</v>
      </c>
      <c r="AK816" s="3" t="s">
        <v>7015</v>
      </c>
      <c r="AL816" s="3" t="s">
        <v>7010</v>
      </c>
      <c r="AM816" s="3" t="s">
        <v>7010</v>
      </c>
      <c r="AN816" s="3" t="s">
        <v>7010</v>
      </c>
      <c r="AO816" s="3" t="s">
        <v>7010</v>
      </c>
      <c r="AP816" s="74" t="s">
        <v>7015</v>
      </c>
      <c r="AU816">
        <v>815</v>
      </c>
      <c r="AV816" t="s">
        <v>6012</v>
      </c>
      <c r="AW816" t="s">
        <v>2279</v>
      </c>
      <c r="AX816">
        <f t="shared" si="50"/>
        <v>11</v>
      </c>
      <c r="AY816" s="30" t="s">
        <v>6013</v>
      </c>
      <c r="BC816" s="3" t="s">
        <v>7010</v>
      </c>
      <c r="BD816" s="3" t="s">
        <v>7010</v>
      </c>
      <c r="BE816" s="3" t="s">
        <v>7010</v>
      </c>
      <c r="BF816" s="3" t="s">
        <v>7010</v>
      </c>
      <c r="BG816" s="3" t="s">
        <v>7010</v>
      </c>
      <c r="BH816" s="3" t="s">
        <v>7010</v>
      </c>
      <c r="BI816" s="3" t="s">
        <v>7010</v>
      </c>
      <c r="BJ816" s="3" t="s">
        <v>7010</v>
      </c>
      <c r="BK816" s="74" t="str">
        <f t="shared" si="51"/>
        <v>No</v>
      </c>
    </row>
    <row r="817" spans="7:63">
      <c r="G817">
        <v>816</v>
      </c>
      <c r="H817" s="7" t="s">
        <v>4435</v>
      </c>
      <c r="I817" t="s">
        <v>29</v>
      </c>
      <c r="J817">
        <f>LEN(H817)</f>
        <v>12</v>
      </c>
      <c r="K817" s="49" t="s">
        <v>4436</v>
      </c>
      <c r="O817" s="3" t="s">
        <v>7010</v>
      </c>
      <c r="P817" s="3" t="s">
        <v>7010</v>
      </c>
      <c r="Q817" s="3" t="s">
        <v>7010</v>
      </c>
      <c r="R817" s="3" t="s">
        <v>7010</v>
      </c>
      <c r="S817" s="3" t="s">
        <v>7010</v>
      </c>
      <c r="T817" s="3" t="s">
        <v>7010</v>
      </c>
      <c r="U817" s="3" t="s">
        <v>7010</v>
      </c>
      <c r="V817" s="3" t="s">
        <v>7010</v>
      </c>
      <c r="W817" s="74" t="str">
        <f t="shared" si="49"/>
        <v>No</v>
      </c>
      <c r="Z817">
        <v>816</v>
      </c>
      <c r="AA817" s="55" t="s">
        <v>6015</v>
      </c>
      <c r="AC817">
        <f t="shared" si="48"/>
        <v>8</v>
      </c>
      <c r="AD817" s="30" t="s">
        <v>6016</v>
      </c>
      <c r="AH817" s="3" t="s">
        <v>7015</v>
      </c>
      <c r="AI817" s="3" t="s">
        <v>7010</v>
      </c>
      <c r="AJ817" s="3" t="s">
        <v>7010</v>
      </c>
      <c r="AK817" s="3" t="s">
        <v>7015</v>
      </c>
      <c r="AL817" s="3" t="s">
        <v>7010</v>
      </c>
      <c r="AM817" s="3" t="s">
        <v>7010</v>
      </c>
      <c r="AN817" s="3" t="s">
        <v>7010</v>
      </c>
      <c r="AO817" s="3" t="s">
        <v>7010</v>
      </c>
      <c r="AP817" s="74" t="s">
        <v>7015</v>
      </c>
      <c r="AU817">
        <v>816</v>
      </c>
      <c r="AV817" t="s">
        <v>6017</v>
      </c>
      <c r="AW817" t="s">
        <v>2279</v>
      </c>
      <c r="AX817">
        <f t="shared" si="50"/>
        <v>11</v>
      </c>
      <c r="AY817" s="30" t="s">
        <v>6018</v>
      </c>
      <c r="BC817" s="3" t="s">
        <v>7010</v>
      </c>
      <c r="BD817" s="3" t="s">
        <v>7010</v>
      </c>
      <c r="BE817" s="3" t="s">
        <v>7010</v>
      </c>
      <c r="BF817" s="3" t="s">
        <v>7010</v>
      </c>
      <c r="BG817" s="3" t="s">
        <v>7010</v>
      </c>
      <c r="BH817" s="3" t="s">
        <v>7010</v>
      </c>
      <c r="BI817" s="3" t="s">
        <v>7010</v>
      </c>
      <c r="BJ817" s="3" t="s">
        <v>7010</v>
      </c>
      <c r="BK817" s="74" t="str">
        <f t="shared" si="51"/>
        <v>No</v>
      </c>
    </row>
    <row r="818" spans="7:63">
      <c r="G818">
        <v>817</v>
      </c>
      <c r="H818" s="7" t="s">
        <v>1488</v>
      </c>
      <c r="I818" t="s">
        <v>29</v>
      </c>
      <c r="J818">
        <f>LEN(H818)</f>
        <v>13</v>
      </c>
      <c r="K818" s="49" t="s">
        <v>4944</v>
      </c>
      <c r="O818" s="3" t="s">
        <v>7010</v>
      </c>
      <c r="P818" s="3" t="s">
        <v>7010</v>
      </c>
      <c r="Q818" s="3" t="s">
        <v>7010</v>
      </c>
      <c r="R818" s="3" t="s">
        <v>7010</v>
      </c>
      <c r="S818" s="3" t="s">
        <v>7010</v>
      </c>
      <c r="T818" s="3" t="s">
        <v>7010</v>
      </c>
      <c r="U818" s="3" t="s">
        <v>7010</v>
      </c>
      <c r="V818" s="3" t="s">
        <v>7010</v>
      </c>
      <c r="W818" s="74" t="str">
        <f t="shared" si="49"/>
        <v>No</v>
      </c>
      <c r="Z818">
        <v>817</v>
      </c>
      <c r="AA818" s="55" t="s">
        <v>6020</v>
      </c>
      <c r="AC818">
        <f t="shared" si="48"/>
        <v>7</v>
      </c>
      <c r="AD818" s="30" t="s">
        <v>6021</v>
      </c>
      <c r="AH818" s="3" t="s">
        <v>7015</v>
      </c>
      <c r="AI818" s="3" t="s">
        <v>7010</v>
      </c>
      <c r="AJ818" s="3" t="s">
        <v>7010</v>
      </c>
      <c r="AK818" s="3" t="s">
        <v>7015</v>
      </c>
      <c r="AL818" s="3" t="s">
        <v>7010</v>
      </c>
      <c r="AM818" s="3" t="s">
        <v>7010</v>
      </c>
      <c r="AN818" s="3" t="s">
        <v>7010</v>
      </c>
      <c r="AO818" s="3" t="s">
        <v>7010</v>
      </c>
      <c r="AP818" s="74" t="s">
        <v>7015</v>
      </c>
      <c r="AU818">
        <v>817</v>
      </c>
      <c r="AV818" t="s">
        <v>6022</v>
      </c>
      <c r="AW818" t="s">
        <v>2279</v>
      </c>
      <c r="AX818">
        <f t="shared" si="50"/>
        <v>8</v>
      </c>
      <c r="AY818" s="30" t="s">
        <v>6023</v>
      </c>
      <c r="BC818" s="3" t="s">
        <v>7010</v>
      </c>
      <c r="BD818" s="3" t="s">
        <v>7010</v>
      </c>
      <c r="BE818" s="3" t="s">
        <v>7010</v>
      </c>
      <c r="BF818" s="3" t="s">
        <v>7010</v>
      </c>
      <c r="BG818" s="3" t="s">
        <v>7010</v>
      </c>
      <c r="BH818" s="3" t="s">
        <v>7010</v>
      </c>
      <c r="BI818" s="3" t="s">
        <v>7010</v>
      </c>
      <c r="BJ818" s="3" t="s">
        <v>7010</v>
      </c>
      <c r="BK818" s="74" t="str">
        <f t="shared" si="51"/>
        <v>No</v>
      </c>
    </row>
    <row r="819" spans="7:63">
      <c r="G819">
        <v>818</v>
      </c>
      <c r="H819" s="7" t="s">
        <v>1588</v>
      </c>
      <c r="I819" t="s">
        <v>29</v>
      </c>
      <c r="J819">
        <f>LEN(H819)</f>
        <v>16</v>
      </c>
      <c r="K819" s="49" t="s">
        <v>5198</v>
      </c>
      <c r="O819" s="3" t="s">
        <v>7010</v>
      </c>
      <c r="P819" s="3" t="s">
        <v>7010</v>
      </c>
      <c r="Q819" s="3" t="s">
        <v>7010</v>
      </c>
      <c r="R819" s="3" t="s">
        <v>7010</v>
      </c>
      <c r="S819" s="3" t="s">
        <v>7010</v>
      </c>
      <c r="T819" s="3" t="s">
        <v>7010</v>
      </c>
      <c r="U819" s="3" t="s">
        <v>7015</v>
      </c>
      <c r="V819" s="3" t="s">
        <v>7010</v>
      </c>
      <c r="W819" s="74" t="str">
        <f t="shared" si="49"/>
        <v>Yes</v>
      </c>
      <c r="Z819">
        <v>818</v>
      </c>
      <c r="AA819" s="55" t="s">
        <v>6025</v>
      </c>
      <c r="AC819">
        <f t="shared" si="48"/>
        <v>9</v>
      </c>
      <c r="AD819" s="30" t="s">
        <v>6026</v>
      </c>
      <c r="AH819" s="3" t="s">
        <v>7015</v>
      </c>
      <c r="AI819" s="3" t="s">
        <v>7010</v>
      </c>
      <c r="AJ819" s="3" t="s">
        <v>7010</v>
      </c>
      <c r="AK819" s="3" t="s">
        <v>7015</v>
      </c>
      <c r="AL819" s="3" t="s">
        <v>7010</v>
      </c>
      <c r="AM819" s="3" t="s">
        <v>7010</v>
      </c>
      <c r="AN819" s="3" t="s">
        <v>7010</v>
      </c>
      <c r="AO819" s="3" t="s">
        <v>7010</v>
      </c>
      <c r="AP819" s="74" t="s">
        <v>7015</v>
      </c>
      <c r="AU819">
        <v>818</v>
      </c>
      <c r="AV819" t="s">
        <v>6027</v>
      </c>
      <c r="AW819" t="s">
        <v>2279</v>
      </c>
      <c r="AX819">
        <f t="shared" si="50"/>
        <v>8</v>
      </c>
      <c r="AY819" s="30" t="s">
        <v>6028</v>
      </c>
      <c r="BC819" s="3" t="s">
        <v>7010</v>
      </c>
      <c r="BD819" s="3" t="s">
        <v>7010</v>
      </c>
      <c r="BE819" s="3" t="s">
        <v>7010</v>
      </c>
      <c r="BF819" s="3" t="s">
        <v>7010</v>
      </c>
      <c r="BG819" s="3" t="s">
        <v>7010</v>
      </c>
      <c r="BH819" s="3" t="s">
        <v>7010</v>
      </c>
      <c r="BI819" s="3" t="s">
        <v>7010</v>
      </c>
      <c r="BJ819" s="3" t="s">
        <v>7010</v>
      </c>
      <c r="BK819" s="74" t="str">
        <f t="shared" si="51"/>
        <v>No</v>
      </c>
    </row>
    <row r="820" spans="7:63">
      <c r="G820">
        <v>819</v>
      </c>
      <c r="H820" s="7" t="s">
        <v>1272</v>
      </c>
      <c r="I820" t="s">
        <v>29</v>
      </c>
      <c r="J820">
        <f>LEN(H820)</f>
        <v>12</v>
      </c>
      <c r="K820" s="49" t="s">
        <v>4395</v>
      </c>
      <c r="O820" s="3" t="s">
        <v>7010</v>
      </c>
      <c r="P820" s="3" t="s">
        <v>7010</v>
      </c>
      <c r="Q820" s="3" t="s">
        <v>7010</v>
      </c>
      <c r="R820" s="3" t="s">
        <v>7010</v>
      </c>
      <c r="S820" s="3" t="s">
        <v>7010</v>
      </c>
      <c r="T820" s="3" t="s">
        <v>7010</v>
      </c>
      <c r="U820" s="3" t="s">
        <v>7010</v>
      </c>
      <c r="V820" s="3" t="s">
        <v>7010</v>
      </c>
      <c r="W820" s="74" t="str">
        <f t="shared" si="49"/>
        <v>No</v>
      </c>
      <c r="Z820">
        <v>819</v>
      </c>
      <c r="AA820" s="55" t="s">
        <v>6030</v>
      </c>
      <c r="AC820">
        <f t="shared" si="48"/>
        <v>6</v>
      </c>
      <c r="AD820" s="30" t="s">
        <v>6031</v>
      </c>
      <c r="AH820" s="3" t="s">
        <v>7015</v>
      </c>
      <c r="AI820" s="3" t="s">
        <v>7010</v>
      </c>
      <c r="AJ820" s="3" t="s">
        <v>7010</v>
      </c>
      <c r="AK820" s="3" t="s">
        <v>7015</v>
      </c>
      <c r="AL820" s="3" t="s">
        <v>7010</v>
      </c>
      <c r="AM820" s="3" t="s">
        <v>7010</v>
      </c>
      <c r="AN820" s="3" t="s">
        <v>7010</v>
      </c>
      <c r="AO820" s="3" t="s">
        <v>7010</v>
      </c>
      <c r="AP820" s="74" t="s">
        <v>7015</v>
      </c>
      <c r="AU820">
        <v>819</v>
      </c>
      <c r="AV820" t="s">
        <v>6032</v>
      </c>
      <c r="AW820" t="s">
        <v>2279</v>
      </c>
      <c r="AX820">
        <f t="shared" si="50"/>
        <v>9</v>
      </c>
      <c r="AY820" s="30" t="s">
        <v>6033</v>
      </c>
      <c r="BC820" s="3" t="s">
        <v>7010</v>
      </c>
      <c r="BD820" s="3" t="s">
        <v>7010</v>
      </c>
      <c r="BE820" s="3" t="s">
        <v>7015</v>
      </c>
      <c r="BF820" s="3" t="s">
        <v>7010</v>
      </c>
      <c r="BG820" s="3" t="s">
        <v>7010</v>
      </c>
      <c r="BH820" s="3" t="s">
        <v>7010</v>
      </c>
      <c r="BI820" s="3" t="s">
        <v>7010</v>
      </c>
      <c r="BJ820" s="3" t="s">
        <v>7010</v>
      </c>
      <c r="BK820" s="74" t="str">
        <f t="shared" si="51"/>
        <v>Yes</v>
      </c>
    </row>
    <row r="821" spans="7:63">
      <c r="G821">
        <v>820</v>
      </c>
      <c r="H821" s="7" t="s">
        <v>1682</v>
      </c>
      <c r="I821" t="s">
        <v>29</v>
      </c>
      <c r="J821">
        <f>LEN(H821)</f>
        <v>17</v>
      </c>
      <c r="K821" s="49" t="s">
        <v>5435</v>
      </c>
      <c r="O821" s="3" t="s">
        <v>7010</v>
      </c>
      <c r="P821" s="3" t="s">
        <v>7010</v>
      </c>
      <c r="Q821" s="3" t="s">
        <v>7010</v>
      </c>
      <c r="R821" s="3" t="s">
        <v>7010</v>
      </c>
      <c r="S821" s="3" t="s">
        <v>7010</v>
      </c>
      <c r="T821" s="3" t="s">
        <v>7010</v>
      </c>
      <c r="U821" s="3" t="s">
        <v>7015</v>
      </c>
      <c r="V821" s="3" t="s">
        <v>7010</v>
      </c>
      <c r="W821" s="74" t="str">
        <f t="shared" si="49"/>
        <v>Yes</v>
      </c>
      <c r="Z821">
        <v>820</v>
      </c>
      <c r="AA821" s="55" t="s">
        <v>6035</v>
      </c>
      <c r="AC821">
        <f t="shared" si="48"/>
        <v>6</v>
      </c>
      <c r="AD821" s="30" t="s">
        <v>6036</v>
      </c>
      <c r="AH821" s="3" t="s">
        <v>7015</v>
      </c>
      <c r="AI821" s="3" t="s">
        <v>7010</v>
      </c>
      <c r="AJ821" s="3" t="s">
        <v>7010</v>
      </c>
      <c r="AK821" s="3" t="s">
        <v>7015</v>
      </c>
      <c r="AL821" s="3" t="s">
        <v>7010</v>
      </c>
      <c r="AM821" s="3" t="s">
        <v>7010</v>
      </c>
      <c r="AN821" s="3" t="s">
        <v>7010</v>
      </c>
      <c r="AO821" s="3" t="s">
        <v>7010</v>
      </c>
      <c r="AP821" s="74" t="s">
        <v>7015</v>
      </c>
      <c r="AU821">
        <v>820</v>
      </c>
      <c r="AV821" t="s">
        <v>6037</v>
      </c>
      <c r="AW821" t="s">
        <v>2279</v>
      </c>
      <c r="AX821">
        <f t="shared" si="50"/>
        <v>8</v>
      </c>
      <c r="AY821" s="30" t="s">
        <v>6038</v>
      </c>
      <c r="BC821" s="3" t="s">
        <v>7010</v>
      </c>
      <c r="BD821" s="3" t="s">
        <v>7010</v>
      </c>
      <c r="BE821" s="3" t="s">
        <v>7010</v>
      </c>
      <c r="BF821" s="3" t="s">
        <v>7010</v>
      </c>
      <c r="BG821" s="3" t="s">
        <v>7010</v>
      </c>
      <c r="BH821" s="3" t="s">
        <v>7010</v>
      </c>
      <c r="BI821" s="3" t="s">
        <v>7010</v>
      </c>
      <c r="BJ821" s="3" t="s">
        <v>7010</v>
      </c>
      <c r="BK821" s="74" t="str">
        <f t="shared" si="51"/>
        <v>No</v>
      </c>
    </row>
    <row r="822" spans="7:63">
      <c r="G822">
        <v>821</v>
      </c>
      <c r="H822" s="7" t="s">
        <v>1370</v>
      </c>
      <c r="I822" t="s">
        <v>29</v>
      </c>
      <c r="J822">
        <f>LEN(H822)</f>
        <v>13</v>
      </c>
      <c r="K822" s="49" t="s">
        <v>4643</v>
      </c>
      <c r="O822" s="3" t="s">
        <v>7010</v>
      </c>
      <c r="P822" s="3" t="s">
        <v>7010</v>
      </c>
      <c r="Q822" s="3" t="s">
        <v>7010</v>
      </c>
      <c r="R822" s="3" t="s">
        <v>7010</v>
      </c>
      <c r="S822" s="3" t="s">
        <v>7010</v>
      </c>
      <c r="T822" s="3" t="s">
        <v>7010</v>
      </c>
      <c r="U822" s="3" t="s">
        <v>7010</v>
      </c>
      <c r="V822" s="3" t="s">
        <v>7010</v>
      </c>
      <c r="W822" s="74" t="str">
        <f t="shared" si="49"/>
        <v>No</v>
      </c>
      <c r="Z822">
        <v>821</v>
      </c>
      <c r="AA822" s="55" t="s">
        <v>6040</v>
      </c>
      <c r="AC822">
        <f t="shared" si="48"/>
        <v>8</v>
      </c>
      <c r="AD822" s="30" t="s">
        <v>6041</v>
      </c>
      <c r="AH822" s="3" t="s">
        <v>7015</v>
      </c>
      <c r="AI822" s="3" t="s">
        <v>7010</v>
      </c>
      <c r="AJ822" s="3" t="s">
        <v>7010</v>
      </c>
      <c r="AK822" s="3" t="s">
        <v>7015</v>
      </c>
      <c r="AL822" s="3" t="s">
        <v>7010</v>
      </c>
      <c r="AM822" s="3" t="s">
        <v>7010</v>
      </c>
      <c r="AN822" s="3" t="s">
        <v>7010</v>
      </c>
      <c r="AO822" s="3" t="s">
        <v>7010</v>
      </c>
      <c r="AP822" s="74" t="s">
        <v>7015</v>
      </c>
      <c r="AU822">
        <v>821</v>
      </c>
      <c r="AV822" t="s">
        <v>6042</v>
      </c>
      <c r="AW822" t="s">
        <v>2279</v>
      </c>
      <c r="AX822">
        <f t="shared" si="50"/>
        <v>8</v>
      </c>
      <c r="AY822" s="30" t="s">
        <v>6043</v>
      </c>
      <c r="BC822" s="3" t="s">
        <v>7010</v>
      </c>
      <c r="BD822" s="3" t="s">
        <v>7010</v>
      </c>
      <c r="BE822" s="3" t="s">
        <v>7010</v>
      </c>
      <c r="BF822" s="3" t="s">
        <v>7010</v>
      </c>
      <c r="BG822" s="3" t="s">
        <v>7010</v>
      </c>
      <c r="BH822" s="3" t="s">
        <v>7010</v>
      </c>
      <c r="BI822" s="3" t="s">
        <v>7010</v>
      </c>
      <c r="BJ822" s="3" t="s">
        <v>7010</v>
      </c>
      <c r="BK822" s="74" t="str">
        <f t="shared" si="51"/>
        <v>No</v>
      </c>
    </row>
    <row r="823" spans="7:63">
      <c r="G823">
        <v>822</v>
      </c>
      <c r="H823" s="7" t="s">
        <v>1989</v>
      </c>
      <c r="I823" t="s">
        <v>29</v>
      </c>
      <c r="J823">
        <f>LEN(H823)</f>
        <v>13</v>
      </c>
      <c r="K823" s="49" t="s">
        <v>6297</v>
      </c>
      <c r="O823" s="3" t="s">
        <v>7010</v>
      </c>
      <c r="P823" s="3" t="s">
        <v>7010</v>
      </c>
      <c r="Q823" s="3" t="s">
        <v>7010</v>
      </c>
      <c r="R823" s="3" t="s">
        <v>7015</v>
      </c>
      <c r="S823" s="3" t="s">
        <v>7010</v>
      </c>
      <c r="T823" s="3" t="s">
        <v>7015</v>
      </c>
      <c r="U823" s="3" t="s">
        <v>7010</v>
      </c>
      <c r="V823" s="3" t="s">
        <v>7010</v>
      </c>
      <c r="W823" s="74" t="str">
        <f t="shared" si="49"/>
        <v>Yes</v>
      </c>
      <c r="Z823">
        <v>822</v>
      </c>
      <c r="AA823" s="55" t="s">
        <v>6045</v>
      </c>
      <c r="AC823">
        <f t="shared" si="48"/>
        <v>6</v>
      </c>
      <c r="AD823" s="30" t="s">
        <v>6046</v>
      </c>
      <c r="AH823" s="3" t="s">
        <v>7015</v>
      </c>
      <c r="AI823" s="3" t="s">
        <v>7010</v>
      </c>
      <c r="AJ823" s="3" t="s">
        <v>7010</v>
      </c>
      <c r="AK823" s="3" t="s">
        <v>7015</v>
      </c>
      <c r="AL823" s="3" t="s">
        <v>7010</v>
      </c>
      <c r="AM823" s="3" t="s">
        <v>7010</v>
      </c>
      <c r="AN823" s="3" t="s">
        <v>7010</v>
      </c>
      <c r="AO823" s="3" t="s">
        <v>7010</v>
      </c>
      <c r="AP823" s="74" t="s">
        <v>7015</v>
      </c>
      <c r="AU823">
        <v>822</v>
      </c>
      <c r="AV823" t="s">
        <v>6047</v>
      </c>
      <c r="AW823" t="s">
        <v>2279</v>
      </c>
      <c r="AX823">
        <f t="shared" si="50"/>
        <v>10</v>
      </c>
      <c r="AY823" s="30" t="s">
        <v>6048</v>
      </c>
      <c r="BC823" s="3" t="s">
        <v>7010</v>
      </c>
      <c r="BD823" s="3" t="s">
        <v>7010</v>
      </c>
      <c r="BE823" s="3" t="s">
        <v>7010</v>
      </c>
      <c r="BF823" s="3" t="s">
        <v>7010</v>
      </c>
      <c r="BG823" s="3" t="s">
        <v>7010</v>
      </c>
      <c r="BH823" s="3" t="s">
        <v>7010</v>
      </c>
      <c r="BI823" s="3" t="s">
        <v>7010</v>
      </c>
      <c r="BJ823" s="3" t="s">
        <v>7010</v>
      </c>
      <c r="BK823" s="74" t="str">
        <f t="shared" si="51"/>
        <v>No</v>
      </c>
    </row>
    <row r="824" spans="7:63">
      <c r="G824">
        <v>823</v>
      </c>
      <c r="H824" s="7" t="s">
        <v>1858</v>
      </c>
      <c r="I824" t="s">
        <v>29</v>
      </c>
      <c r="J824">
        <f>LEN(H824)</f>
        <v>13</v>
      </c>
      <c r="K824" s="49" t="s">
        <v>5951</v>
      </c>
      <c r="O824" s="3" t="s">
        <v>7010</v>
      </c>
      <c r="P824" s="3" t="s">
        <v>7010</v>
      </c>
      <c r="Q824" s="3" t="s">
        <v>7010</v>
      </c>
      <c r="R824" s="3" t="s">
        <v>7010</v>
      </c>
      <c r="S824" s="3" t="s">
        <v>7010</v>
      </c>
      <c r="T824" s="3" t="s">
        <v>7010</v>
      </c>
      <c r="U824" s="3" t="s">
        <v>7010</v>
      </c>
      <c r="V824" s="3" t="s">
        <v>7010</v>
      </c>
      <c r="W824" s="74" t="str">
        <f t="shared" si="49"/>
        <v>No</v>
      </c>
      <c r="Z824">
        <v>823</v>
      </c>
      <c r="AA824" s="55" t="s">
        <v>6050</v>
      </c>
      <c r="AC824">
        <f t="shared" si="48"/>
        <v>6</v>
      </c>
      <c r="AD824" s="30" t="s">
        <v>6051</v>
      </c>
      <c r="AH824" s="3" t="s">
        <v>7015</v>
      </c>
      <c r="AI824" s="3" t="s">
        <v>7010</v>
      </c>
      <c r="AJ824" s="3" t="s">
        <v>7010</v>
      </c>
      <c r="AK824" s="3" t="s">
        <v>7015</v>
      </c>
      <c r="AL824" s="3" t="s">
        <v>7010</v>
      </c>
      <c r="AM824" s="3" t="s">
        <v>7010</v>
      </c>
      <c r="AN824" s="3" t="s">
        <v>7010</v>
      </c>
      <c r="AO824" s="3" t="s">
        <v>7010</v>
      </c>
      <c r="AP824" s="74" t="s">
        <v>7015</v>
      </c>
      <c r="AU824">
        <v>823</v>
      </c>
      <c r="AV824" t="s">
        <v>6052</v>
      </c>
      <c r="AW824" t="s">
        <v>2279</v>
      </c>
      <c r="AX824">
        <f t="shared" si="50"/>
        <v>8</v>
      </c>
      <c r="AY824" s="30" t="s">
        <v>6053</v>
      </c>
      <c r="BC824" s="3" t="s">
        <v>7010</v>
      </c>
      <c r="BD824" s="3" t="s">
        <v>7010</v>
      </c>
      <c r="BE824" s="3" t="s">
        <v>7010</v>
      </c>
      <c r="BF824" s="3" t="s">
        <v>7010</v>
      </c>
      <c r="BG824" s="3" t="s">
        <v>7010</v>
      </c>
      <c r="BH824" s="3" t="s">
        <v>7010</v>
      </c>
      <c r="BI824" s="3" t="s">
        <v>7010</v>
      </c>
      <c r="BJ824" s="3" t="s">
        <v>7010</v>
      </c>
      <c r="BK824" s="74" t="str">
        <f t="shared" si="51"/>
        <v>No</v>
      </c>
    </row>
    <row r="825" spans="7:63">
      <c r="G825">
        <v>824</v>
      </c>
      <c r="H825" t="s">
        <v>6984</v>
      </c>
      <c r="I825" t="s">
        <v>29</v>
      </c>
      <c r="J825">
        <f>LEN(H825)</f>
        <v>7</v>
      </c>
      <c r="K825" s="49" t="s">
        <v>6985</v>
      </c>
      <c r="O825" s="3" t="s">
        <v>7010</v>
      </c>
      <c r="P825" s="3" t="s">
        <v>7010</v>
      </c>
      <c r="Q825" s="3" t="s">
        <v>7010</v>
      </c>
      <c r="R825" s="3" t="s">
        <v>7015</v>
      </c>
      <c r="S825" s="3" t="s">
        <v>7010</v>
      </c>
      <c r="T825" s="3" t="s">
        <v>7015</v>
      </c>
      <c r="U825" s="3" t="s">
        <v>7010</v>
      </c>
      <c r="V825" s="3" t="s">
        <v>7010</v>
      </c>
      <c r="W825" s="74" t="str">
        <f t="shared" si="49"/>
        <v>Yes</v>
      </c>
      <c r="Z825">
        <v>824</v>
      </c>
      <c r="AA825" s="55" t="s">
        <v>6055</v>
      </c>
      <c r="AC825">
        <f t="shared" si="48"/>
        <v>6</v>
      </c>
      <c r="AD825" s="30" t="s">
        <v>6056</v>
      </c>
      <c r="AH825" s="3" t="s">
        <v>7015</v>
      </c>
      <c r="AI825" s="3" t="s">
        <v>7010</v>
      </c>
      <c r="AJ825" s="3" t="s">
        <v>7010</v>
      </c>
      <c r="AK825" s="3" t="s">
        <v>7015</v>
      </c>
      <c r="AL825" s="3" t="s">
        <v>7010</v>
      </c>
      <c r="AM825" s="3" t="s">
        <v>7010</v>
      </c>
      <c r="AN825" s="3" t="s">
        <v>7010</v>
      </c>
      <c r="AO825" s="3" t="s">
        <v>7010</v>
      </c>
      <c r="AP825" s="74" t="s">
        <v>7015</v>
      </c>
      <c r="AU825">
        <v>824</v>
      </c>
      <c r="AV825" t="s">
        <v>6057</v>
      </c>
      <c r="AW825" t="s">
        <v>2279</v>
      </c>
      <c r="AX825">
        <f t="shared" si="50"/>
        <v>8</v>
      </c>
      <c r="AY825" s="30" t="s">
        <v>6058</v>
      </c>
      <c r="BC825" s="3" t="s">
        <v>7010</v>
      </c>
      <c r="BD825" s="3" t="s">
        <v>7010</v>
      </c>
      <c r="BE825" s="3" t="s">
        <v>7010</v>
      </c>
      <c r="BF825" s="3" t="s">
        <v>7010</v>
      </c>
      <c r="BG825" s="3" t="s">
        <v>7010</v>
      </c>
      <c r="BH825" s="3" t="s">
        <v>7010</v>
      </c>
      <c r="BI825" s="3" t="s">
        <v>7010</v>
      </c>
      <c r="BJ825" s="3" t="s">
        <v>7010</v>
      </c>
      <c r="BK825" s="74" t="str">
        <f t="shared" si="51"/>
        <v>No</v>
      </c>
    </row>
    <row r="826" spans="7:63">
      <c r="G826">
        <v>825</v>
      </c>
      <c r="H826" s="7" t="s">
        <v>1963</v>
      </c>
      <c r="I826" t="s">
        <v>29</v>
      </c>
      <c r="J826">
        <f>LEN(H826)</f>
        <v>8</v>
      </c>
      <c r="K826" s="49" t="s">
        <v>6225</v>
      </c>
      <c r="O826" s="3" t="s">
        <v>7010</v>
      </c>
      <c r="P826" s="3" t="s">
        <v>7010</v>
      </c>
      <c r="Q826" s="3" t="s">
        <v>7010</v>
      </c>
      <c r="R826" s="3" t="s">
        <v>7015</v>
      </c>
      <c r="S826" s="3" t="s">
        <v>7010</v>
      </c>
      <c r="T826" s="3" t="s">
        <v>7015</v>
      </c>
      <c r="U826" s="3" t="s">
        <v>7010</v>
      </c>
      <c r="V826" s="3" t="s">
        <v>7010</v>
      </c>
      <c r="W826" s="74" t="str">
        <f t="shared" si="49"/>
        <v>Yes</v>
      </c>
      <c r="Z826">
        <v>825</v>
      </c>
      <c r="AA826" s="55" t="s">
        <v>6059</v>
      </c>
      <c r="AC826">
        <f t="shared" si="48"/>
        <v>7</v>
      </c>
      <c r="AD826" s="30" t="s">
        <v>6060</v>
      </c>
      <c r="AH826" s="3" t="s">
        <v>7015</v>
      </c>
      <c r="AI826" s="3" t="s">
        <v>7010</v>
      </c>
      <c r="AJ826" s="3" t="s">
        <v>7010</v>
      </c>
      <c r="AK826" s="3" t="s">
        <v>7015</v>
      </c>
      <c r="AL826" s="3" t="s">
        <v>7010</v>
      </c>
      <c r="AM826" s="3" t="s">
        <v>7010</v>
      </c>
      <c r="AN826" s="3" t="s">
        <v>7010</v>
      </c>
      <c r="AO826" s="3" t="s">
        <v>7010</v>
      </c>
      <c r="AP826" s="74" t="s">
        <v>7015</v>
      </c>
      <c r="AU826">
        <v>825</v>
      </c>
      <c r="AV826" t="s">
        <v>6061</v>
      </c>
      <c r="AW826" t="s">
        <v>2279</v>
      </c>
      <c r="AX826">
        <f t="shared" si="50"/>
        <v>8</v>
      </c>
      <c r="AY826" s="30" t="s">
        <v>6062</v>
      </c>
      <c r="BC826" s="3" t="s">
        <v>7015</v>
      </c>
      <c r="BD826" s="3" t="s">
        <v>7010</v>
      </c>
      <c r="BE826" s="3" t="s">
        <v>7015</v>
      </c>
      <c r="BF826" s="3" t="s">
        <v>7010</v>
      </c>
      <c r="BG826" s="3" t="s">
        <v>7010</v>
      </c>
      <c r="BH826" s="3" t="s">
        <v>7010</v>
      </c>
      <c r="BI826" s="3" t="s">
        <v>7010</v>
      </c>
      <c r="BJ826" s="3" t="s">
        <v>7010</v>
      </c>
      <c r="BK826" s="74" t="str">
        <f t="shared" si="51"/>
        <v>Yes</v>
      </c>
    </row>
    <row r="827" spans="7:63">
      <c r="G827">
        <v>826</v>
      </c>
      <c r="H827" s="7" t="s">
        <v>1943</v>
      </c>
      <c r="I827" t="s">
        <v>29</v>
      </c>
      <c r="J827">
        <f>LEN(H827)</f>
        <v>10</v>
      </c>
      <c r="K827" s="49" t="s">
        <v>6175</v>
      </c>
      <c r="O827" s="3" t="s">
        <v>7010</v>
      </c>
      <c r="P827" s="3" t="s">
        <v>7010</v>
      </c>
      <c r="Q827" s="3" t="s">
        <v>7010</v>
      </c>
      <c r="R827" s="3" t="s">
        <v>7010</v>
      </c>
      <c r="S827" s="3" t="s">
        <v>7010</v>
      </c>
      <c r="T827" s="3" t="s">
        <v>7015</v>
      </c>
      <c r="U827" s="3" t="s">
        <v>7010</v>
      </c>
      <c r="V827" s="3" t="s">
        <v>7010</v>
      </c>
      <c r="W827" s="74" t="str">
        <f t="shared" si="49"/>
        <v>Yes</v>
      </c>
      <c r="Z827">
        <v>826</v>
      </c>
      <c r="AA827" s="55" t="s">
        <v>6064</v>
      </c>
      <c r="AC827">
        <f t="shared" si="48"/>
        <v>8</v>
      </c>
      <c r="AD827" s="30" t="s">
        <v>6065</v>
      </c>
      <c r="AH827" s="3" t="s">
        <v>7015</v>
      </c>
      <c r="AI827" s="3" t="s">
        <v>7010</v>
      </c>
      <c r="AJ827" s="3" t="s">
        <v>7010</v>
      </c>
      <c r="AK827" s="3" t="s">
        <v>7015</v>
      </c>
      <c r="AL827" s="3" t="s">
        <v>7010</v>
      </c>
      <c r="AM827" s="3" t="s">
        <v>7010</v>
      </c>
      <c r="AN827" s="3" t="s">
        <v>7010</v>
      </c>
      <c r="AO827" s="3" t="s">
        <v>7010</v>
      </c>
      <c r="AP827" s="74" t="s">
        <v>7015</v>
      </c>
      <c r="AU827">
        <v>826</v>
      </c>
      <c r="AV827" t="s">
        <v>6066</v>
      </c>
      <c r="AW827" t="s">
        <v>2279</v>
      </c>
      <c r="AX827">
        <f t="shared" si="50"/>
        <v>8</v>
      </c>
      <c r="AY827" s="30" t="s">
        <v>6067</v>
      </c>
      <c r="BC827" s="3" t="s">
        <v>7010</v>
      </c>
      <c r="BD827" s="3" t="s">
        <v>7010</v>
      </c>
      <c r="BE827" s="3" t="s">
        <v>7010</v>
      </c>
      <c r="BF827" s="3" t="s">
        <v>7010</v>
      </c>
      <c r="BG827" s="3" t="s">
        <v>7010</v>
      </c>
      <c r="BH827" s="3" t="s">
        <v>7010</v>
      </c>
      <c r="BI827" s="3" t="s">
        <v>7010</v>
      </c>
      <c r="BJ827" s="3" t="s">
        <v>7010</v>
      </c>
      <c r="BK827" s="74" t="str">
        <f t="shared" si="51"/>
        <v>No</v>
      </c>
    </row>
    <row r="828" spans="7:63">
      <c r="G828">
        <v>827</v>
      </c>
      <c r="H828" s="7" t="s">
        <v>2005</v>
      </c>
      <c r="I828" t="s">
        <v>29</v>
      </c>
      <c r="J828">
        <f>LEN(H828)</f>
        <v>11</v>
      </c>
      <c r="K828" s="49" t="s">
        <v>6337</v>
      </c>
      <c r="O828" s="3" t="s">
        <v>7010</v>
      </c>
      <c r="P828" s="3" t="s">
        <v>7010</v>
      </c>
      <c r="Q828" s="3" t="s">
        <v>7010</v>
      </c>
      <c r="R828" s="3" t="s">
        <v>7010</v>
      </c>
      <c r="S828" s="3" t="s">
        <v>7010</v>
      </c>
      <c r="T828" s="3" t="s">
        <v>7010</v>
      </c>
      <c r="U828" s="3" t="s">
        <v>7010</v>
      </c>
      <c r="V828" s="3" t="s">
        <v>7010</v>
      </c>
      <c r="W828" s="74" t="str">
        <f t="shared" si="49"/>
        <v>No</v>
      </c>
      <c r="Z828">
        <v>827</v>
      </c>
      <c r="AA828" s="55" t="s">
        <v>6069</v>
      </c>
      <c r="AC828">
        <f t="shared" si="48"/>
        <v>6</v>
      </c>
      <c r="AD828" s="30" t="s">
        <v>6070</v>
      </c>
      <c r="AH828" s="3" t="s">
        <v>7015</v>
      </c>
      <c r="AI828" s="3" t="s">
        <v>7010</v>
      </c>
      <c r="AJ828" s="3" t="s">
        <v>7010</v>
      </c>
      <c r="AK828" s="3" t="s">
        <v>7015</v>
      </c>
      <c r="AL828" s="3" t="s">
        <v>7010</v>
      </c>
      <c r="AM828" s="3" t="s">
        <v>7010</v>
      </c>
      <c r="AN828" s="3" t="s">
        <v>7010</v>
      </c>
      <c r="AO828" s="3" t="s">
        <v>7010</v>
      </c>
      <c r="AP828" s="74" t="s">
        <v>7015</v>
      </c>
      <c r="AU828">
        <v>827</v>
      </c>
      <c r="AV828" t="s">
        <v>6071</v>
      </c>
      <c r="AW828" t="s">
        <v>2279</v>
      </c>
      <c r="AX828">
        <f t="shared" si="50"/>
        <v>8</v>
      </c>
      <c r="AY828" s="30" t="s">
        <v>6072</v>
      </c>
      <c r="BC828" s="3" t="s">
        <v>7010</v>
      </c>
      <c r="BD828" s="3" t="s">
        <v>7010</v>
      </c>
      <c r="BE828" s="3" t="s">
        <v>7010</v>
      </c>
      <c r="BF828" s="3" t="s">
        <v>7010</v>
      </c>
      <c r="BG828" s="3" t="s">
        <v>7010</v>
      </c>
      <c r="BH828" s="3" t="s">
        <v>7010</v>
      </c>
      <c r="BI828" s="3" t="s">
        <v>7010</v>
      </c>
      <c r="BJ828" s="3" t="s">
        <v>7010</v>
      </c>
      <c r="BK828" s="74" t="str">
        <f t="shared" si="51"/>
        <v>No</v>
      </c>
    </row>
    <row r="829" spans="7:63">
      <c r="G829">
        <v>828</v>
      </c>
      <c r="H829" s="7" t="s">
        <v>407</v>
      </c>
      <c r="I829" t="s">
        <v>29</v>
      </c>
      <c r="J829">
        <f>LEN(H829)</f>
        <v>8</v>
      </c>
      <c r="K829" s="49" t="s">
        <v>2545</v>
      </c>
      <c r="O829" s="3" t="s">
        <v>7010</v>
      </c>
      <c r="P829" s="3" t="s">
        <v>7010</v>
      </c>
      <c r="Q829" s="3" t="s">
        <v>7010</v>
      </c>
      <c r="R829" s="3" t="s">
        <v>7010</v>
      </c>
      <c r="S829" s="3" t="s">
        <v>7010</v>
      </c>
      <c r="T829" s="3" t="s">
        <v>7015</v>
      </c>
      <c r="U829" s="3" t="s">
        <v>7010</v>
      </c>
      <c r="V829" s="3" t="s">
        <v>7010</v>
      </c>
      <c r="W829" s="74" t="str">
        <f t="shared" si="49"/>
        <v>Yes</v>
      </c>
      <c r="Z829">
        <v>828</v>
      </c>
      <c r="AA829" s="55" t="s">
        <v>6074</v>
      </c>
      <c r="AC829">
        <f t="shared" si="48"/>
        <v>6</v>
      </c>
      <c r="AD829" s="30" t="s">
        <v>6075</v>
      </c>
      <c r="AH829" s="3" t="s">
        <v>7015</v>
      </c>
      <c r="AI829" s="3" t="s">
        <v>7010</v>
      </c>
      <c r="AJ829" s="3" t="s">
        <v>7010</v>
      </c>
      <c r="AK829" s="3" t="s">
        <v>7015</v>
      </c>
      <c r="AL829" s="3" t="s">
        <v>7010</v>
      </c>
      <c r="AM829" s="3" t="s">
        <v>7010</v>
      </c>
      <c r="AN829" s="3" t="s">
        <v>7010</v>
      </c>
      <c r="AO829" s="3" t="s">
        <v>7010</v>
      </c>
      <c r="AP829" s="74" t="s">
        <v>7015</v>
      </c>
      <c r="AU829">
        <v>828</v>
      </c>
      <c r="AV829" t="s">
        <v>6076</v>
      </c>
      <c r="AW829" t="s">
        <v>2279</v>
      </c>
      <c r="AX829">
        <f t="shared" si="50"/>
        <v>9</v>
      </c>
      <c r="AY829" s="30" t="s">
        <v>6077</v>
      </c>
      <c r="BC829" s="3" t="s">
        <v>7010</v>
      </c>
      <c r="BD829" s="3" t="s">
        <v>7010</v>
      </c>
      <c r="BE829" s="3" t="s">
        <v>7010</v>
      </c>
      <c r="BF829" s="3" t="s">
        <v>7010</v>
      </c>
      <c r="BG829" s="3" t="s">
        <v>7010</v>
      </c>
      <c r="BH829" s="3" t="s">
        <v>7010</v>
      </c>
      <c r="BI829" s="3" t="s">
        <v>7010</v>
      </c>
      <c r="BJ829" s="3" t="s">
        <v>7010</v>
      </c>
      <c r="BK829" s="74" t="str">
        <f t="shared" si="51"/>
        <v>No</v>
      </c>
    </row>
    <row r="830" spans="7:63">
      <c r="G830">
        <v>829</v>
      </c>
      <c r="H830" s="7" t="s">
        <v>414</v>
      </c>
      <c r="I830" t="s">
        <v>29</v>
      </c>
      <c r="J830">
        <f>LEN(H830)</f>
        <v>13</v>
      </c>
      <c r="K830" s="49" t="s">
        <v>2573</v>
      </c>
      <c r="O830" s="3" t="s">
        <v>7010</v>
      </c>
      <c r="P830" s="3" t="s">
        <v>7010</v>
      </c>
      <c r="Q830" s="3" t="s">
        <v>7010</v>
      </c>
      <c r="R830" s="3" t="s">
        <v>7010</v>
      </c>
      <c r="S830" s="3" t="s">
        <v>7010</v>
      </c>
      <c r="T830" s="3" t="s">
        <v>7015</v>
      </c>
      <c r="U830" s="3" t="s">
        <v>7010</v>
      </c>
      <c r="V830" s="3" t="s">
        <v>7010</v>
      </c>
      <c r="W830" s="74" t="str">
        <f t="shared" si="49"/>
        <v>Yes</v>
      </c>
      <c r="Z830">
        <v>829</v>
      </c>
      <c r="AA830" s="55" t="s">
        <v>6079</v>
      </c>
      <c r="AC830">
        <f t="shared" si="48"/>
        <v>7</v>
      </c>
      <c r="AD830" s="30" t="s">
        <v>6080</v>
      </c>
      <c r="AH830" s="3" t="s">
        <v>7015</v>
      </c>
      <c r="AI830" s="3" t="s">
        <v>7010</v>
      </c>
      <c r="AJ830" s="3" t="s">
        <v>7010</v>
      </c>
      <c r="AK830" s="3" t="s">
        <v>7015</v>
      </c>
      <c r="AL830" s="3" t="s">
        <v>7010</v>
      </c>
      <c r="AM830" s="3" t="s">
        <v>7010</v>
      </c>
      <c r="AN830" s="3" t="s">
        <v>7010</v>
      </c>
      <c r="AO830" s="3" t="s">
        <v>7010</v>
      </c>
      <c r="AP830" s="74" t="s">
        <v>7015</v>
      </c>
      <c r="AU830">
        <v>829</v>
      </c>
      <c r="AV830" t="s">
        <v>6081</v>
      </c>
      <c r="AW830" t="s">
        <v>2279</v>
      </c>
      <c r="AX830">
        <f t="shared" si="50"/>
        <v>11</v>
      </c>
      <c r="AY830" s="30" t="s">
        <v>6082</v>
      </c>
      <c r="BC830" s="3" t="s">
        <v>7010</v>
      </c>
      <c r="BD830" s="3" t="s">
        <v>7010</v>
      </c>
      <c r="BE830" s="3" t="s">
        <v>7015</v>
      </c>
      <c r="BF830" s="3" t="s">
        <v>7010</v>
      </c>
      <c r="BG830" s="3" t="s">
        <v>7010</v>
      </c>
      <c r="BH830" s="3" t="s">
        <v>7010</v>
      </c>
      <c r="BI830" s="3" t="s">
        <v>7010</v>
      </c>
      <c r="BJ830" s="3" t="s">
        <v>7010</v>
      </c>
      <c r="BK830" s="74" t="str">
        <f t="shared" si="51"/>
        <v>Yes</v>
      </c>
    </row>
    <row r="831" spans="7:63">
      <c r="G831">
        <v>830</v>
      </c>
      <c r="H831" s="7" t="s">
        <v>1040</v>
      </c>
      <c r="I831" t="s">
        <v>29</v>
      </c>
      <c r="J831">
        <f>LEN(H831)</f>
        <v>11</v>
      </c>
      <c r="K831" s="49" t="s">
        <v>3810</v>
      </c>
      <c r="O831" s="3" t="s">
        <v>7010</v>
      </c>
      <c r="P831" s="3" t="s">
        <v>7010</v>
      </c>
      <c r="Q831" s="3" t="s">
        <v>7010</v>
      </c>
      <c r="R831" s="3" t="s">
        <v>7010</v>
      </c>
      <c r="S831" s="3" t="s">
        <v>7010</v>
      </c>
      <c r="T831" s="3" t="s">
        <v>7010</v>
      </c>
      <c r="U831" s="3" t="s">
        <v>7010</v>
      </c>
      <c r="V831" s="3" t="s">
        <v>7010</v>
      </c>
      <c r="W831" s="74" t="str">
        <f t="shared" si="49"/>
        <v>No</v>
      </c>
      <c r="Z831">
        <v>830</v>
      </c>
      <c r="AA831" s="55" t="s">
        <v>6084</v>
      </c>
      <c r="AC831">
        <f t="shared" si="48"/>
        <v>6</v>
      </c>
      <c r="AD831" s="30" t="s">
        <v>6085</v>
      </c>
      <c r="AH831" s="3" t="s">
        <v>7015</v>
      </c>
      <c r="AI831" s="3" t="s">
        <v>7010</v>
      </c>
      <c r="AJ831" s="3" t="s">
        <v>7010</v>
      </c>
      <c r="AK831" s="3" t="s">
        <v>7015</v>
      </c>
      <c r="AL831" s="3" t="s">
        <v>7010</v>
      </c>
      <c r="AM831" s="3" t="s">
        <v>7010</v>
      </c>
      <c r="AN831" s="3" t="s">
        <v>7010</v>
      </c>
      <c r="AO831" s="3" t="s">
        <v>7010</v>
      </c>
      <c r="AP831" s="74" t="s">
        <v>7015</v>
      </c>
      <c r="AU831">
        <v>830</v>
      </c>
      <c r="AV831" t="s">
        <v>6086</v>
      </c>
      <c r="AW831" t="s">
        <v>2279</v>
      </c>
      <c r="AX831">
        <f t="shared" si="50"/>
        <v>8</v>
      </c>
      <c r="AY831" s="31" t="s">
        <v>6087</v>
      </c>
      <c r="BC831" s="3" t="s">
        <v>7015</v>
      </c>
      <c r="BD831" s="3" t="s">
        <v>7010</v>
      </c>
      <c r="BE831" s="3" t="s">
        <v>7015</v>
      </c>
      <c r="BF831" s="3" t="s">
        <v>7010</v>
      </c>
      <c r="BG831" s="3" t="s">
        <v>7010</v>
      </c>
      <c r="BH831" s="3" t="s">
        <v>7010</v>
      </c>
      <c r="BI831" s="3" t="s">
        <v>7010</v>
      </c>
      <c r="BJ831" s="3" t="s">
        <v>7010</v>
      </c>
      <c r="BK831" s="74" t="str">
        <f t="shared" si="51"/>
        <v>Yes</v>
      </c>
    </row>
    <row r="832" spans="7:63">
      <c r="G832">
        <v>831</v>
      </c>
      <c r="H832" s="7" t="s">
        <v>1886</v>
      </c>
      <c r="I832" t="s">
        <v>29</v>
      </c>
      <c r="J832">
        <f>LEN(H832)</f>
        <v>11</v>
      </c>
      <c r="K832" s="49" t="s">
        <v>6019</v>
      </c>
      <c r="O832" s="3" t="s">
        <v>7010</v>
      </c>
      <c r="P832" s="3" t="s">
        <v>7010</v>
      </c>
      <c r="Q832" s="3" t="s">
        <v>7010</v>
      </c>
      <c r="R832" s="3" t="s">
        <v>7010</v>
      </c>
      <c r="S832" s="3" t="s">
        <v>7010</v>
      </c>
      <c r="T832" s="3" t="s">
        <v>7015</v>
      </c>
      <c r="U832" s="3" t="s">
        <v>7010</v>
      </c>
      <c r="V832" s="3" t="s">
        <v>7010</v>
      </c>
      <c r="W832" s="74" t="str">
        <f t="shared" si="49"/>
        <v>Yes</v>
      </c>
      <c r="Z832">
        <v>831</v>
      </c>
      <c r="AA832" s="55" t="s">
        <v>6089</v>
      </c>
      <c r="AC832">
        <f t="shared" si="48"/>
        <v>6</v>
      </c>
      <c r="AD832" s="30" t="s">
        <v>6090</v>
      </c>
      <c r="AH832" s="3" t="s">
        <v>7015</v>
      </c>
      <c r="AI832" s="3" t="s">
        <v>7010</v>
      </c>
      <c r="AJ832" s="3" t="s">
        <v>7010</v>
      </c>
      <c r="AK832" s="3" t="s">
        <v>7015</v>
      </c>
      <c r="AL832" s="3" t="s">
        <v>7010</v>
      </c>
      <c r="AM832" s="3" t="s">
        <v>7010</v>
      </c>
      <c r="AN832" s="3" t="s">
        <v>7010</v>
      </c>
      <c r="AO832" s="3" t="s">
        <v>7010</v>
      </c>
      <c r="AP832" s="74" t="s">
        <v>7015</v>
      </c>
      <c r="AU832">
        <v>831</v>
      </c>
      <c r="AV832" t="s">
        <v>6091</v>
      </c>
      <c r="AW832" t="s">
        <v>2279</v>
      </c>
      <c r="AX832">
        <f t="shared" si="50"/>
        <v>11</v>
      </c>
      <c r="AY832" s="30" t="s">
        <v>6092</v>
      </c>
      <c r="BC832" s="3" t="s">
        <v>7010</v>
      </c>
      <c r="BD832" s="3" t="s">
        <v>7010</v>
      </c>
      <c r="BE832" s="3" t="s">
        <v>7010</v>
      </c>
      <c r="BF832" s="3" t="s">
        <v>7010</v>
      </c>
      <c r="BG832" s="3" t="s">
        <v>7010</v>
      </c>
      <c r="BH832" s="3" t="s">
        <v>7010</v>
      </c>
      <c r="BI832" s="3" t="s">
        <v>7010</v>
      </c>
      <c r="BJ832" s="3" t="s">
        <v>7010</v>
      </c>
      <c r="BK832" s="74" t="str">
        <f t="shared" si="51"/>
        <v>No</v>
      </c>
    </row>
    <row r="833" spans="7:63">
      <c r="G833">
        <v>832</v>
      </c>
      <c r="H833" s="7" t="s">
        <v>606</v>
      </c>
      <c r="I833" t="s">
        <v>29</v>
      </c>
      <c r="J833">
        <f>LEN(H833)</f>
        <v>13</v>
      </c>
      <c r="K833" s="49" t="s">
        <v>3341</v>
      </c>
      <c r="O833" s="3" t="s">
        <v>7010</v>
      </c>
      <c r="P833" s="3" t="s">
        <v>7010</v>
      </c>
      <c r="Q833" s="3" t="s">
        <v>7010</v>
      </c>
      <c r="R833" s="3" t="s">
        <v>7010</v>
      </c>
      <c r="S833" s="3" t="s">
        <v>7010</v>
      </c>
      <c r="T833" s="3" t="s">
        <v>7010</v>
      </c>
      <c r="U833" s="3" t="s">
        <v>7010</v>
      </c>
      <c r="V833" s="3" t="s">
        <v>7010</v>
      </c>
      <c r="W833" s="74" t="str">
        <f t="shared" si="49"/>
        <v>No</v>
      </c>
      <c r="Z833">
        <v>832</v>
      </c>
      <c r="AA833" s="55" t="s">
        <v>6094</v>
      </c>
      <c r="AC833">
        <f t="shared" si="48"/>
        <v>7</v>
      </c>
      <c r="AD833" s="30" t="s">
        <v>6095</v>
      </c>
      <c r="AH833" s="3" t="s">
        <v>7015</v>
      </c>
      <c r="AI833" s="3" t="s">
        <v>7010</v>
      </c>
      <c r="AJ833" s="3" t="s">
        <v>7010</v>
      </c>
      <c r="AK833" s="3" t="s">
        <v>7015</v>
      </c>
      <c r="AL833" s="3" t="s">
        <v>7010</v>
      </c>
      <c r="AM833" s="3" t="s">
        <v>7010</v>
      </c>
      <c r="AN833" s="3" t="s">
        <v>7010</v>
      </c>
      <c r="AO833" s="3" t="s">
        <v>7010</v>
      </c>
      <c r="AP833" s="74" t="s">
        <v>7015</v>
      </c>
      <c r="AU833">
        <v>832</v>
      </c>
      <c r="AV833" t="s">
        <v>6096</v>
      </c>
      <c r="AW833" t="s">
        <v>2279</v>
      </c>
      <c r="AX833">
        <f t="shared" si="50"/>
        <v>12</v>
      </c>
      <c r="AY833" s="30" t="s">
        <v>6097</v>
      </c>
      <c r="BC833" s="3" t="s">
        <v>7010</v>
      </c>
      <c r="BD833" s="3" t="s">
        <v>7010</v>
      </c>
      <c r="BE833" s="3" t="s">
        <v>7010</v>
      </c>
      <c r="BF833" s="3" t="s">
        <v>7010</v>
      </c>
      <c r="BG833" s="3" t="s">
        <v>7010</v>
      </c>
      <c r="BH833" s="3" t="s">
        <v>7010</v>
      </c>
      <c r="BI833" s="3" t="s">
        <v>7010</v>
      </c>
      <c r="BJ833" s="3" t="s">
        <v>7010</v>
      </c>
      <c r="BK833" s="74" t="str">
        <f t="shared" si="51"/>
        <v>No</v>
      </c>
    </row>
    <row r="834" spans="7:63">
      <c r="G834">
        <v>833</v>
      </c>
      <c r="H834" s="7" t="s">
        <v>439</v>
      </c>
      <c r="I834" t="s">
        <v>29</v>
      </c>
      <c r="J834">
        <f>LEN(H834)</f>
        <v>9</v>
      </c>
      <c r="K834" s="49" t="s">
        <v>2673</v>
      </c>
      <c r="O834" s="3" t="s">
        <v>7010</v>
      </c>
      <c r="P834" s="3" t="s">
        <v>7010</v>
      </c>
      <c r="Q834" s="3" t="s">
        <v>7010</v>
      </c>
      <c r="R834" s="3" t="s">
        <v>7010</v>
      </c>
      <c r="S834" s="3" t="s">
        <v>7010</v>
      </c>
      <c r="T834" s="3" t="s">
        <v>7015</v>
      </c>
      <c r="U834" s="3" t="s">
        <v>7010</v>
      </c>
      <c r="V834" s="3" t="s">
        <v>7010</v>
      </c>
      <c r="W834" s="74" t="str">
        <f t="shared" si="49"/>
        <v>Yes</v>
      </c>
      <c r="Z834">
        <v>833</v>
      </c>
      <c r="AA834" s="55" t="s">
        <v>6099</v>
      </c>
      <c r="AC834">
        <f t="shared" ref="AC834:AC897" si="52">LEN(AA834)</f>
        <v>9</v>
      </c>
      <c r="AD834" s="30" t="s">
        <v>6100</v>
      </c>
      <c r="AH834" s="3" t="s">
        <v>7015</v>
      </c>
      <c r="AI834" s="3" t="s">
        <v>7010</v>
      </c>
      <c r="AJ834" s="3" t="s">
        <v>7010</v>
      </c>
      <c r="AK834" s="3" t="s">
        <v>7015</v>
      </c>
      <c r="AL834" s="3" t="s">
        <v>7010</v>
      </c>
      <c r="AM834" s="3" t="s">
        <v>7010</v>
      </c>
      <c r="AN834" s="3" t="s">
        <v>7010</v>
      </c>
      <c r="AO834" s="3" t="s">
        <v>7010</v>
      </c>
      <c r="AP834" s="74" t="s">
        <v>7015</v>
      </c>
      <c r="AU834">
        <v>833</v>
      </c>
      <c r="AV834" t="s">
        <v>6101</v>
      </c>
      <c r="AW834" t="s">
        <v>2279</v>
      </c>
      <c r="AX834">
        <f t="shared" si="50"/>
        <v>15</v>
      </c>
      <c r="AY834" s="30" t="s">
        <v>6102</v>
      </c>
      <c r="BC834" s="3" t="s">
        <v>7010</v>
      </c>
      <c r="BD834" s="3" t="s">
        <v>7010</v>
      </c>
      <c r="BE834" s="3" t="s">
        <v>7010</v>
      </c>
      <c r="BF834" s="3" t="s">
        <v>7010</v>
      </c>
      <c r="BG834" s="3" t="s">
        <v>7010</v>
      </c>
      <c r="BH834" s="3" t="s">
        <v>7010</v>
      </c>
      <c r="BI834" s="3" t="s">
        <v>7010</v>
      </c>
      <c r="BJ834" s="3" t="s">
        <v>7010</v>
      </c>
      <c r="BK834" s="74" t="str">
        <f t="shared" si="51"/>
        <v>No</v>
      </c>
    </row>
    <row r="835" spans="7:63">
      <c r="G835">
        <v>834</v>
      </c>
      <c r="H835" s="7" t="s">
        <v>1870</v>
      </c>
      <c r="I835" t="s">
        <v>29</v>
      </c>
      <c r="J835">
        <f>LEN(H835)</f>
        <v>15</v>
      </c>
      <c r="K835" s="49" t="s">
        <v>5980</v>
      </c>
      <c r="O835" s="3" t="s">
        <v>7010</v>
      </c>
      <c r="P835" s="3" t="s">
        <v>7010</v>
      </c>
      <c r="Q835" s="3" t="s">
        <v>7010</v>
      </c>
      <c r="R835" s="3" t="s">
        <v>7010</v>
      </c>
      <c r="S835" s="3" t="s">
        <v>7010</v>
      </c>
      <c r="T835" s="3" t="s">
        <v>7010</v>
      </c>
      <c r="U835" s="3" t="s">
        <v>7010</v>
      </c>
      <c r="V835" s="3" t="s">
        <v>7010</v>
      </c>
      <c r="W835" s="74" t="str">
        <f t="shared" ref="W835:W898" si="53">IF(COUNTIF(O835:V835, "Yes") &gt; 0, "Yes", "No")</f>
        <v>No</v>
      </c>
      <c r="Z835">
        <v>834</v>
      </c>
      <c r="AA835" s="55" t="s">
        <v>6104</v>
      </c>
      <c r="AC835">
        <f t="shared" si="52"/>
        <v>6</v>
      </c>
      <c r="AD835" s="30" t="s">
        <v>6105</v>
      </c>
      <c r="AH835" s="3" t="s">
        <v>7015</v>
      </c>
      <c r="AI835" s="3" t="s">
        <v>7010</v>
      </c>
      <c r="AJ835" s="3" t="s">
        <v>7010</v>
      </c>
      <c r="AK835" s="3" t="s">
        <v>7015</v>
      </c>
      <c r="AL835" s="3" t="s">
        <v>7010</v>
      </c>
      <c r="AM835" s="3" t="s">
        <v>7010</v>
      </c>
      <c r="AN835" s="3" t="s">
        <v>7010</v>
      </c>
      <c r="AO835" s="3" t="s">
        <v>7010</v>
      </c>
      <c r="AP835" s="74" t="s">
        <v>7015</v>
      </c>
      <c r="AU835">
        <v>834</v>
      </c>
      <c r="AV835" t="s">
        <v>6106</v>
      </c>
      <c r="AW835" t="s">
        <v>2279</v>
      </c>
      <c r="AX835">
        <f t="shared" ref="AX835:AX898" si="54">LEN(AV835)</f>
        <v>8</v>
      </c>
      <c r="AY835" s="30" t="s">
        <v>6107</v>
      </c>
      <c r="BC835" s="3" t="s">
        <v>7010</v>
      </c>
      <c r="BD835" s="3" t="s">
        <v>7010</v>
      </c>
      <c r="BE835" s="3" t="s">
        <v>7010</v>
      </c>
      <c r="BF835" s="3" t="s">
        <v>7010</v>
      </c>
      <c r="BG835" s="3" t="s">
        <v>7010</v>
      </c>
      <c r="BH835" s="3" t="s">
        <v>7010</v>
      </c>
      <c r="BI835" s="3" t="s">
        <v>7010</v>
      </c>
      <c r="BJ835" s="3" t="s">
        <v>7010</v>
      </c>
      <c r="BK835" s="74" t="str">
        <f t="shared" ref="BK835:BK898" si="55">IF(COUNTIF(BC835:BJ835, "Yes") &gt; 0, "Yes", "No")</f>
        <v>No</v>
      </c>
    </row>
    <row r="836" spans="7:63">
      <c r="G836">
        <v>835</v>
      </c>
      <c r="H836" s="7" t="s">
        <v>368</v>
      </c>
      <c r="I836" t="s">
        <v>29</v>
      </c>
      <c r="J836">
        <f>LEN(H836)</f>
        <v>10</v>
      </c>
      <c r="K836" s="49" t="s">
        <v>2389</v>
      </c>
      <c r="O836" s="3" t="s">
        <v>7010</v>
      </c>
      <c r="P836" s="3" t="s">
        <v>7010</v>
      </c>
      <c r="Q836" s="3" t="s">
        <v>7010</v>
      </c>
      <c r="R836" s="3" t="s">
        <v>7010</v>
      </c>
      <c r="S836" s="3" t="s">
        <v>7010</v>
      </c>
      <c r="T836" s="3" t="s">
        <v>7010</v>
      </c>
      <c r="U836" s="3" t="s">
        <v>7010</v>
      </c>
      <c r="V836" s="3" t="s">
        <v>7010</v>
      </c>
      <c r="W836" s="74" t="str">
        <f t="shared" si="53"/>
        <v>No</v>
      </c>
      <c r="Z836">
        <v>835</v>
      </c>
      <c r="AA836" s="55" t="s">
        <v>6109</v>
      </c>
      <c r="AC836">
        <f t="shared" si="52"/>
        <v>5</v>
      </c>
      <c r="AD836" s="30" t="s">
        <v>6110</v>
      </c>
      <c r="AH836" s="3" t="s">
        <v>7015</v>
      </c>
      <c r="AI836" s="3" t="s">
        <v>7010</v>
      </c>
      <c r="AJ836" s="3" t="s">
        <v>7010</v>
      </c>
      <c r="AK836" s="3" t="s">
        <v>7015</v>
      </c>
      <c r="AL836" s="3" t="s">
        <v>7010</v>
      </c>
      <c r="AM836" s="3" t="s">
        <v>7010</v>
      </c>
      <c r="AN836" s="3" t="s">
        <v>7010</v>
      </c>
      <c r="AO836" s="3" t="s">
        <v>7010</v>
      </c>
      <c r="AP836" s="74" t="s">
        <v>7015</v>
      </c>
      <c r="AU836">
        <v>835</v>
      </c>
      <c r="AV836" t="s">
        <v>6111</v>
      </c>
      <c r="AW836" t="s">
        <v>2279</v>
      </c>
      <c r="AX836">
        <f t="shared" si="54"/>
        <v>11</v>
      </c>
      <c r="AY836" s="30" t="s">
        <v>6112</v>
      </c>
      <c r="BC836" s="3" t="s">
        <v>7010</v>
      </c>
      <c r="BD836" s="3" t="s">
        <v>7010</v>
      </c>
      <c r="BE836" s="3" t="s">
        <v>7010</v>
      </c>
      <c r="BF836" s="3" t="s">
        <v>7010</v>
      </c>
      <c r="BG836" s="3" t="s">
        <v>7010</v>
      </c>
      <c r="BH836" s="3" t="s">
        <v>7010</v>
      </c>
      <c r="BI836" s="3" t="s">
        <v>7010</v>
      </c>
      <c r="BJ836" s="3" t="s">
        <v>7010</v>
      </c>
      <c r="BK836" s="74" t="str">
        <f t="shared" si="55"/>
        <v>No</v>
      </c>
    </row>
    <row r="837" spans="7:63">
      <c r="G837">
        <v>836</v>
      </c>
      <c r="H837" s="7" t="s">
        <v>377</v>
      </c>
      <c r="I837" t="s">
        <v>29</v>
      </c>
      <c r="J837">
        <f>LEN(H837)</f>
        <v>13</v>
      </c>
      <c r="K837" s="49" t="s">
        <v>2425</v>
      </c>
      <c r="O837" s="3" t="s">
        <v>7010</v>
      </c>
      <c r="P837" s="3" t="s">
        <v>7010</v>
      </c>
      <c r="Q837" s="3" t="s">
        <v>7010</v>
      </c>
      <c r="R837" s="3" t="s">
        <v>7010</v>
      </c>
      <c r="S837" s="3" t="s">
        <v>7010</v>
      </c>
      <c r="T837" s="3" t="s">
        <v>7010</v>
      </c>
      <c r="U837" s="3" t="s">
        <v>7010</v>
      </c>
      <c r="V837" s="3" t="s">
        <v>7010</v>
      </c>
      <c r="W837" s="74" t="str">
        <f t="shared" si="53"/>
        <v>No</v>
      </c>
      <c r="Z837">
        <v>836</v>
      </c>
      <c r="AA837" s="55" t="s">
        <v>6114</v>
      </c>
      <c r="AC837">
        <f t="shared" si="52"/>
        <v>10</v>
      </c>
      <c r="AD837" s="30" t="s">
        <v>6115</v>
      </c>
      <c r="AH837" s="3" t="s">
        <v>7015</v>
      </c>
      <c r="AI837" s="3" t="s">
        <v>7010</v>
      </c>
      <c r="AJ837" s="3" t="s">
        <v>7010</v>
      </c>
      <c r="AK837" s="3" t="s">
        <v>7015</v>
      </c>
      <c r="AL837" s="3" t="s">
        <v>7010</v>
      </c>
      <c r="AM837" s="3" t="s">
        <v>7010</v>
      </c>
      <c r="AN837" s="3" t="s">
        <v>7010</v>
      </c>
      <c r="AO837" s="3" t="s">
        <v>7010</v>
      </c>
      <c r="AP837" s="74" t="s">
        <v>7015</v>
      </c>
      <c r="AU837">
        <v>836</v>
      </c>
      <c r="AV837" t="s">
        <v>6116</v>
      </c>
      <c r="AW837" t="s">
        <v>2279</v>
      </c>
      <c r="AX837">
        <f t="shared" si="54"/>
        <v>13</v>
      </c>
      <c r="AY837" s="30" t="s">
        <v>6117</v>
      </c>
      <c r="BC837" s="3" t="s">
        <v>7010</v>
      </c>
      <c r="BD837" s="3" t="s">
        <v>7010</v>
      </c>
      <c r="BE837" s="3" t="s">
        <v>7010</v>
      </c>
      <c r="BF837" s="3" t="s">
        <v>7010</v>
      </c>
      <c r="BG837" s="3" t="s">
        <v>7010</v>
      </c>
      <c r="BH837" s="3" t="s">
        <v>7010</v>
      </c>
      <c r="BI837" s="3" t="s">
        <v>7010</v>
      </c>
      <c r="BJ837" s="3" t="s">
        <v>7010</v>
      </c>
      <c r="BK837" s="74" t="str">
        <f t="shared" si="55"/>
        <v>No</v>
      </c>
    </row>
    <row r="838" spans="7:63">
      <c r="G838">
        <v>837</v>
      </c>
      <c r="H838" s="7" t="s">
        <v>360</v>
      </c>
      <c r="I838" t="s">
        <v>29</v>
      </c>
      <c r="J838">
        <f>LEN(H838)</f>
        <v>8</v>
      </c>
      <c r="K838" s="49" t="s">
        <v>2365</v>
      </c>
      <c r="O838" s="3" t="s">
        <v>7010</v>
      </c>
      <c r="P838" s="3" t="s">
        <v>7010</v>
      </c>
      <c r="Q838" s="3" t="s">
        <v>7010</v>
      </c>
      <c r="R838" s="3" t="s">
        <v>7010</v>
      </c>
      <c r="S838" s="3" t="s">
        <v>7010</v>
      </c>
      <c r="T838" s="3" t="s">
        <v>7010</v>
      </c>
      <c r="U838" s="3" t="s">
        <v>7010</v>
      </c>
      <c r="V838" s="3" t="s">
        <v>7010</v>
      </c>
      <c r="W838" s="74" t="str">
        <f t="shared" si="53"/>
        <v>No</v>
      </c>
      <c r="Z838">
        <v>837</v>
      </c>
      <c r="AA838" s="55" t="s">
        <v>6119</v>
      </c>
      <c r="AC838">
        <f t="shared" si="52"/>
        <v>11</v>
      </c>
      <c r="AD838" s="31" t="s">
        <v>6120</v>
      </c>
      <c r="AH838" s="3" t="s">
        <v>7015</v>
      </c>
      <c r="AI838" s="3" t="s">
        <v>7010</v>
      </c>
      <c r="AJ838" s="3" t="s">
        <v>7010</v>
      </c>
      <c r="AK838" s="3" t="s">
        <v>7015</v>
      </c>
      <c r="AL838" s="3" t="s">
        <v>7010</v>
      </c>
      <c r="AM838" s="3" t="s">
        <v>7010</v>
      </c>
      <c r="AN838" s="3" t="s">
        <v>7010</v>
      </c>
      <c r="AO838" s="3" t="s">
        <v>7010</v>
      </c>
      <c r="AP838" s="74" t="s">
        <v>7015</v>
      </c>
      <c r="AU838">
        <v>837</v>
      </c>
      <c r="AV838" t="s">
        <v>6121</v>
      </c>
      <c r="AW838" t="s">
        <v>2279</v>
      </c>
      <c r="AX838">
        <f t="shared" si="54"/>
        <v>8</v>
      </c>
      <c r="AY838" s="30" t="s">
        <v>6122</v>
      </c>
      <c r="BC838" s="3" t="s">
        <v>7010</v>
      </c>
      <c r="BD838" s="3" t="s">
        <v>7010</v>
      </c>
      <c r="BE838" s="3" t="s">
        <v>7010</v>
      </c>
      <c r="BF838" s="3" t="s">
        <v>7010</v>
      </c>
      <c r="BG838" s="3" t="s">
        <v>7010</v>
      </c>
      <c r="BH838" s="3" t="s">
        <v>7010</v>
      </c>
      <c r="BI838" s="3" t="s">
        <v>7010</v>
      </c>
      <c r="BJ838" s="3" t="s">
        <v>7010</v>
      </c>
      <c r="BK838" s="74" t="str">
        <f t="shared" si="55"/>
        <v>No</v>
      </c>
    </row>
    <row r="839" spans="7:63">
      <c r="G839">
        <v>838</v>
      </c>
      <c r="H839" s="7" t="s">
        <v>421</v>
      </c>
      <c r="I839" t="s">
        <v>29</v>
      </c>
      <c r="J839">
        <f>LEN(H839)</f>
        <v>11</v>
      </c>
      <c r="K839" s="49" t="s">
        <v>2601</v>
      </c>
      <c r="O839" s="3" t="s">
        <v>7010</v>
      </c>
      <c r="P839" s="3" t="s">
        <v>7010</v>
      </c>
      <c r="Q839" s="3" t="s">
        <v>7010</v>
      </c>
      <c r="R839" s="3" t="s">
        <v>7010</v>
      </c>
      <c r="S839" s="3" t="s">
        <v>7010</v>
      </c>
      <c r="T839" s="3" t="s">
        <v>7015</v>
      </c>
      <c r="U839" s="3" t="s">
        <v>7010</v>
      </c>
      <c r="V839" s="3" t="s">
        <v>7010</v>
      </c>
      <c r="W839" s="74" t="str">
        <f t="shared" si="53"/>
        <v>Yes</v>
      </c>
      <c r="Z839">
        <v>838</v>
      </c>
      <c r="AA839" s="55" t="s">
        <v>6124</v>
      </c>
      <c r="AC839">
        <f t="shared" si="52"/>
        <v>6</v>
      </c>
      <c r="AD839" s="30" t="s">
        <v>6125</v>
      </c>
      <c r="AH839" s="3" t="s">
        <v>7015</v>
      </c>
      <c r="AI839" s="3" t="s">
        <v>7010</v>
      </c>
      <c r="AJ839" s="3" t="s">
        <v>7010</v>
      </c>
      <c r="AK839" s="3" t="s">
        <v>7015</v>
      </c>
      <c r="AL839" s="3" t="s">
        <v>7010</v>
      </c>
      <c r="AM839" s="3" t="s">
        <v>7010</v>
      </c>
      <c r="AN839" s="3" t="s">
        <v>7010</v>
      </c>
      <c r="AO839" s="3" t="s">
        <v>7010</v>
      </c>
      <c r="AP839" s="74" t="s">
        <v>7015</v>
      </c>
      <c r="AU839">
        <v>838</v>
      </c>
      <c r="AV839" t="s">
        <v>6126</v>
      </c>
      <c r="AW839" t="s">
        <v>2279</v>
      </c>
      <c r="AX839">
        <f t="shared" si="54"/>
        <v>8</v>
      </c>
      <c r="AY839" s="30" t="s">
        <v>6127</v>
      </c>
      <c r="BC839" s="3" t="s">
        <v>7010</v>
      </c>
      <c r="BD839" s="3" t="s">
        <v>7010</v>
      </c>
      <c r="BE839" s="3" t="s">
        <v>7010</v>
      </c>
      <c r="BF839" s="3" t="s">
        <v>7010</v>
      </c>
      <c r="BG839" s="3" t="s">
        <v>7010</v>
      </c>
      <c r="BH839" s="3" t="s">
        <v>7010</v>
      </c>
      <c r="BI839" s="3" t="s">
        <v>7010</v>
      </c>
      <c r="BJ839" s="3" t="s">
        <v>7010</v>
      </c>
      <c r="BK839" s="74" t="str">
        <f t="shared" si="55"/>
        <v>No</v>
      </c>
    </row>
    <row r="840" spans="7:63">
      <c r="G840">
        <v>839</v>
      </c>
      <c r="H840" s="7" t="s">
        <v>1902</v>
      </c>
      <c r="I840" t="s">
        <v>29</v>
      </c>
      <c r="J840">
        <f>LEN(H840)</f>
        <v>10</v>
      </c>
      <c r="K840" s="49" t="s">
        <v>6063</v>
      </c>
      <c r="O840" s="3" t="s">
        <v>7010</v>
      </c>
      <c r="P840" s="3" t="s">
        <v>7010</v>
      </c>
      <c r="Q840" s="3" t="s">
        <v>7010</v>
      </c>
      <c r="R840" s="3" t="s">
        <v>7010</v>
      </c>
      <c r="S840" s="3" t="s">
        <v>7010</v>
      </c>
      <c r="T840" s="3" t="s">
        <v>7010</v>
      </c>
      <c r="U840" s="3" t="s">
        <v>7010</v>
      </c>
      <c r="V840" s="3" t="s">
        <v>7010</v>
      </c>
      <c r="W840" s="74" t="str">
        <f t="shared" si="53"/>
        <v>No</v>
      </c>
      <c r="Z840">
        <v>839</v>
      </c>
      <c r="AA840" s="55" t="s">
        <v>6129</v>
      </c>
      <c r="AC840">
        <f t="shared" si="52"/>
        <v>6</v>
      </c>
      <c r="AD840" s="30" t="s">
        <v>6130</v>
      </c>
      <c r="AH840" s="3" t="s">
        <v>7015</v>
      </c>
      <c r="AI840" s="3" t="s">
        <v>7010</v>
      </c>
      <c r="AJ840" s="3" t="s">
        <v>7010</v>
      </c>
      <c r="AK840" s="3" t="s">
        <v>7015</v>
      </c>
      <c r="AL840" s="3" t="s">
        <v>7010</v>
      </c>
      <c r="AM840" s="3" t="s">
        <v>7010</v>
      </c>
      <c r="AN840" s="3" t="s">
        <v>7010</v>
      </c>
      <c r="AO840" s="3" t="s">
        <v>7010</v>
      </c>
      <c r="AP840" s="74" t="s">
        <v>7015</v>
      </c>
      <c r="AU840">
        <v>839</v>
      </c>
      <c r="AV840" t="s">
        <v>6131</v>
      </c>
      <c r="AW840" t="s">
        <v>2279</v>
      </c>
      <c r="AX840">
        <f t="shared" si="54"/>
        <v>8</v>
      </c>
      <c r="AY840" s="30" t="s">
        <v>6132</v>
      </c>
      <c r="BC840" s="3" t="s">
        <v>7010</v>
      </c>
      <c r="BD840" s="3" t="s">
        <v>7010</v>
      </c>
      <c r="BE840" s="3" t="s">
        <v>7010</v>
      </c>
      <c r="BF840" s="3" t="s">
        <v>7010</v>
      </c>
      <c r="BG840" s="3" t="s">
        <v>7010</v>
      </c>
      <c r="BH840" s="3" t="s">
        <v>7010</v>
      </c>
      <c r="BI840" s="3" t="s">
        <v>7010</v>
      </c>
      <c r="BJ840" s="3" t="s">
        <v>7010</v>
      </c>
      <c r="BK840" s="74" t="str">
        <f t="shared" si="55"/>
        <v>No</v>
      </c>
    </row>
    <row r="841" spans="7:63">
      <c r="G841">
        <v>840</v>
      </c>
      <c r="H841" s="7" t="s">
        <v>2201</v>
      </c>
      <c r="I841" t="s">
        <v>29</v>
      </c>
      <c r="J841">
        <f>LEN(H841)</f>
        <v>10</v>
      </c>
      <c r="K841" s="49" t="s">
        <v>6826</v>
      </c>
      <c r="O841" s="3" t="s">
        <v>7010</v>
      </c>
      <c r="P841" s="3" t="s">
        <v>7010</v>
      </c>
      <c r="Q841" s="3" t="s">
        <v>7010</v>
      </c>
      <c r="R841" s="3" t="s">
        <v>7010</v>
      </c>
      <c r="S841" s="3" t="s">
        <v>7010</v>
      </c>
      <c r="T841" s="3" t="s">
        <v>7015</v>
      </c>
      <c r="U841" s="3" t="s">
        <v>7010</v>
      </c>
      <c r="V841" s="3" t="s">
        <v>7010</v>
      </c>
      <c r="W841" s="74" t="str">
        <f t="shared" si="53"/>
        <v>Yes</v>
      </c>
      <c r="Z841">
        <v>840</v>
      </c>
      <c r="AA841" s="55" t="s">
        <v>6134</v>
      </c>
      <c r="AC841">
        <f t="shared" si="52"/>
        <v>10</v>
      </c>
      <c r="AD841" s="30" t="s">
        <v>6135</v>
      </c>
      <c r="AH841" s="3" t="s">
        <v>7015</v>
      </c>
      <c r="AI841" s="3" t="s">
        <v>7010</v>
      </c>
      <c r="AJ841" s="3" t="s">
        <v>7010</v>
      </c>
      <c r="AK841" s="3" t="s">
        <v>7015</v>
      </c>
      <c r="AL841" s="3" t="s">
        <v>7010</v>
      </c>
      <c r="AM841" s="3" t="s">
        <v>7010</v>
      </c>
      <c r="AN841" s="3" t="s">
        <v>7010</v>
      </c>
      <c r="AO841" s="3" t="s">
        <v>7010</v>
      </c>
      <c r="AP841" s="74" t="s">
        <v>7015</v>
      </c>
      <c r="AU841">
        <v>840</v>
      </c>
      <c r="AV841" t="s">
        <v>6136</v>
      </c>
      <c r="AW841" t="s">
        <v>2279</v>
      </c>
      <c r="AX841">
        <f t="shared" si="54"/>
        <v>9</v>
      </c>
      <c r="AY841" s="30" t="s">
        <v>6137</v>
      </c>
      <c r="BC841" s="3" t="s">
        <v>7010</v>
      </c>
      <c r="BD841" s="3" t="s">
        <v>7010</v>
      </c>
      <c r="BE841" s="3" t="s">
        <v>7010</v>
      </c>
      <c r="BF841" s="3" t="s">
        <v>7010</v>
      </c>
      <c r="BG841" s="3" t="s">
        <v>7010</v>
      </c>
      <c r="BH841" s="3" t="s">
        <v>7010</v>
      </c>
      <c r="BI841" s="3" t="s">
        <v>7010</v>
      </c>
      <c r="BJ841" s="3" t="s">
        <v>7010</v>
      </c>
      <c r="BK841" s="74" t="str">
        <f t="shared" si="55"/>
        <v>No</v>
      </c>
    </row>
    <row r="842" spans="7:63">
      <c r="G842">
        <v>841</v>
      </c>
      <c r="H842" s="7" t="s">
        <v>1030</v>
      </c>
      <c r="I842" t="s">
        <v>29</v>
      </c>
      <c r="J842">
        <f>LEN(H842)</f>
        <v>11</v>
      </c>
      <c r="K842" s="49" t="s">
        <v>3777</v>
      </c>
      <c r="O842" s="3" t="s">
        <v>7010</v>
      </c>
      <c r="P842" s="3" t="s">
        <v>7010</v>
      </c>
      <c r="Q842" s="3" t="s">
        <v>7010</v>
      </c>
      <c r="R842" s="3" t="s">
        <v>7010</v>
      </c>
      <c r="S842" s="3" t="s">
        <v>7010</v>
      </c>
      <c r="T842" s="3" t="s">
        <v>7015</v>
      </c>
      <c r="U842" s="3" t="s">
        <v>7010</v>
      </c>
      <c r="V842" s="3" t="s">
        <v>7010</v>
      </c>
      <c r="W842" s="74" t="str">
        <f t="shared" si="53"/>
        <v>Yes</v>
      </c>
      <c r="Z842">
        <v>841</v>
      </c>
      <c r="AA842" s="55" t="s">
        <v>6138</v>
      </c>
      <c r="AC842">
        <f t="shared" si="52"/>
        <v>8</v>
      </c>
      <c r="AD842" s="30" t="s">
        <v>6139</v>
      </c>
      <c r="AH842" s="3" t="s">
        <v>7015</v>
      </c>
      <c r="AI842" s="3" t="s">
        <v>7010</v>
      </c>
      <c r="AJ842" s="3" t="s">
        <v>7010</v>
      </c>
      <c r="AK842" s="3" t="s">
        <v>7015</v>
      </c>
      <c r="AL842" s="3" t="s">
        <v>7010</v>
      </c>
      <c r="AM842" s="3" t="s">
        <v>7010</v>
      </c>
      <c r="AN842" s="3" t="s">
        <v>7010</v>
      </c>
      <c r="AO842" s="3" t="s">
        <v>7010</v>
      </c>
      <c r="AP842" s="74" t="s">
        <v>7015</v>
      </c>
      <c r="AU842">
        <v>841</v>
      </c>
      <c r="AV842" t="s">
        <v>6140</v>
      </c>
      <c r="AW842" t="s">
        <v>2279</v>
      </c>
      <c r="AX842">
        <f t="shared" si="54"/>
        <v>9</v>
      </c>
      <c r="AY842" s="30" t="s">
        <v>6141</v>
      </c>
      <c r="BC842" s="3" t="s">
        <v>7010</v>
      </c>
      <c r="BD842" s="3" t="s">
        <v>7010</v>
      </c>
      <c r="BE842" s="3" t="s">
        <v>7010</v>
      </c>
      <c r="BF842" s="3" t="s">
        <v>7010</v>
      </c>
      <c r="BG842" s="3" t="s">
        <v>7010</v>
      </c>
      <c r="BH842" s="3" t="s">
        <v>7010</v>
      </c>
      <c r="BI842" s="3" t="s">
        <v>7010</v>
      </c>
      <c r="BJ842" s="3" t="s">
        <v>7010</v>
      </c>
      <c r="BK842" s="74" t="str">
        <f t="shared" si="55"/>
        <v>No</v>
      </c>
    </row>
    <row r="843" spans="7:63">
      <c r="G843">
        <v>842</v>
      </c>
      <c r="H843" s="7" t="s">
        <v>563</v>
      </c>
      <c r="I843" t="s">
        <v>29</v>
      </c>
      <c r="J843">
        <f>LEN(H843)</f>
        <v>14</v>
      </c>
      <c r="K843" s="49" t="s">
        <v>3169</v>
      </c>
      <c r="O843" s="3" t="s">
        <v>7010</v>
      </c>
      <c r="P843" s="3" t="s">
        <v>7010</v>
      </c>
      <c r="Q843" s="3" t="s">
        <v>7010</v>
      </c>
      <c r="R843" s="3" t="s">
        <v>7015</v>
      </c>
      <c r="S843" s="3" t="s">
        <v>7010</v>
      </c>
      <c r="T843" s="3" t="s">
        <v>7015</v>
      </c>
      <c r="U843" s="3" t="s">
        <v>7010</v>
      </c>
      <c r="V843" s="3" t="s">
        <v>7010</v>
      </c>
      <c r="W843" s="74" t="str">
        <f t="shared" si="53"/>
        <v>Yes</v>
      </c>
      <c r="Z843">
        <v>842</v>
      </c>
      <c r="AA843" s="55" t="s">
        <v>6143</v>
      </c>
      <c r="AC843">
        <f t="shared" si="52"/>
        <v>8</v>
      </c>
      <c r="AD843" s="30" t="s">
        <v>6144</v>
      </c>
      <c r="AH843" s="3" t="s">
        <v>7015</v>
      </c>
      <c r="AI843" s="3" t="s">
        <v>7010</v>
      </c>
      <c r="AJ843" s="3" t="s">
        <v>7010</v>
      </c>
      <c r="AK843" s="3" t="s">
        <v>7015</v>
      </c>
      <c r="AL843" s="3" t="s">
        <v>7010</v>
      </c>
      <c r="AM843" s="3" t="s">
        <v>7010</v>
      </c>
      <c r="AN843" s="3" t="s">
        <v>7010</v>
      </c>
      <c r="AO843" s="3" t="s">
        <v>7010</v>
      </c>
      <c r="AP843" s="74" t="s">
        <v>7015</v>
      </c>
      <c r="AU843">
        <v>842</v>
      </c>
      <c r="AV843" t="s">
        <v>6145</v>
      </c>
      <c r="AW843" t="s">
        <v>2279</v>
      </c>
      <c r="AX843">
        <f t="shared" si="54"/>
        <v>8</v>
      </c>
      <c r="AY843" s="30" t="s">
        <v>6146</v>
      </c>
      <c r="BC843" s="3" t="s">
        <v>7010</v>
      </c>
      <c r="BD843" s="3" t="s">
        <v>7010</v>
      </c>
      <c r="BE843" s="3" t="s">
        <v>7015</v>
      </c>
      <c r="BF843" s="3" t="s">
        <v>7010</v>
      </c>
      <c r="BG843" s="3" t="s">
        <v>7010</v>
      </c>
      <c r="BH843" s="3" t="s">
        <v>7010</v>
      </c>
      <c r="BI843" s="3" t="s">
        <v>7010</v>
      </c>
      <c r="BJ843" s="3" t="s">
        <v>7010</v>
      </c>
      <c r="BK843" s="74" t="str">
        <f t="shared" si="55"/>
        <v>Yes</v>
      </c>
    </row>
    <row r="844" spans="7:63">
      <c r="G844">
        <v>843</v>
      </c>
      <c r="H844" s="7" t="s">
        <v>459</v>
      </c>
      <c r="I844" t="s">
        <v>29</v>
      </c>
      <c r="J844">
        <f>LEN(H844)</f>
        <v>15</v>
      </c>
      <c r="K844" s="49" t="s">
        <v>2753</v>
      </c>
      <c r="O844" s="3" t="s">
        <v>7010</v>
      </c>
      <c r="P844" s="3" t="s">
        <v>7010</v>
      </c>
      <c r="Q844" s="3" t="s">
        <v>7010</v>
      </c>
      <c r="R844" s="3" t="s">
        <v>7010</v>
      </c>
      <c r="S844" s="3" t="s">
        <v>7010</v>
      </c>
      <c r="T844" s="3" t="s">
        <v>7010</v>
      </c>
      <c r="U844" s="3" t="s">
        <v>7010</v>
      </c>
      <c r="V844" s="3" t="s">
        <v>7010</v>
      </c>
      <c r="W844" s="74" t="str">
        <f t="shared" si="53"/>
        <v>No</v>
      </c>
      <c r="Z844">
        <v>843</v>
      </c>
      <c r="AA844" s="55" t="s">
        <v>6148</v>
      </c>
      <c r="AC844">
        <f t="shared" si="52"/>
        <v>6</v>
      </c>
      <c r="AD844" s="30" t="s">
        <v>6149</v>
      </c>
      <c r="AH844" s="3" t="s">
        <v>7015</v>
      </c>
      <c r="AI844" s="3" t="s">
        <v>7010</v>
      </c>
      <c r="AJ844" s="3" t="s">
        <v>7010</v>
      </c>
      <c r="AK844" s="3" t="s">
        <v>7015</v>
      </c>
      <c r="AL844" s="3" t="s">
        <v>7010</v>
      </c>
      <c r="AM844" s="3" t="s">
        <v>7010</v>
      </c>
      <c r="AN844" s="3" t="s">
        <v>7010</v>
      </c>
      <c r="AO844" s="3" t="s">
        <v>7010</v>
      </c>
      <c r="AP844" s="74" t="s">
        <v>7015</v>
      </c>
      <c r="AU844">
        <v>843</v>
      </c>
      <c r="AV844" t="s">
        <v>6150</v>
      </c>
      <c r="AW844" t="s">
        <v>2279</v>
      </c>
      <c r="AX844">
        <f t="shared" si="54"/>
        <v>8</v>
      </c>
      <c r="AY844" s="30" t="s">
        <v>6151</v>
      </c>
      <c r="BC844" s="3" t="s">
        <v>7010</v>
      </c>
      <c r="BD844" s="3" t="s">
        <v>7010</v>
      </c>
      <c r="BE844" s="3" t="s">
        <v>7010</v>
      </c>
      <c r="BF844" s="3" t="s">
        <v>7010</v>
      </c>
      <c r="BG844" s="3" t="s">
        <v>7010</v>
      </c>
      <c r="BH844" s="3" t="s">
        <v>7010</v>
      </c>
      <c r="BI844" s="3" t="s">
        <v>7010</v>
      </c>
      <c r="BJ844" s="3" t="s">
        <v>7010</v>
      </c>
      <c r="BK844" s="74" t="str">
        <f t="shared" si="55"/>
        <v>No</v>
      </c>
    </row>
    <row r="845" spans="7:63">
      <c r="G845">
        <v>844</v>
      </c>
      <c r="H845" s="7" t="s">
        <v>69</v>
      </c>
      <c r="I845" t="s">
        <v>29</v>
      </c>
      <c r="J845">
        <f>LEN(H845)</f>
        <v>15</v>
      </c>
      <c r="K845" s="49" t="s">
        <v>2285</v>
      </c>
      <c r="O845" s="3" t="s">
        <v>7010</v>
      </c>
      <c r="P845" s="3" t="s">
        <v>7010</v>
      </c>
      <c r="Q845" s="3" t="s">
        <v>7010</v>
      </c>
      <c r="R845" s="3" t="s">
        <v>7015</v>
      </c>
      <c r="S845" s="3" t="s">
        <v>7010</v>
      </c>
      <c r="T845" s="3" t="s">
        <v>7010</v>
      </c>
      <c r="U845" s="3" t="s">
        <v>7010</v>
      </c>
      <c r="V845" s="3" t="s">
        <v>7010</v>
      </c>
      <c r="W845" s="74" t="str">
        <f t="shared" si="53"/>
        <v>Yes</v>
      </c>
      <c r="Z845">
        <v>844</v>
      </c>
      <c r="AA845" s="55" t="s">
        <v>6152</v>
      </c>
      <c r="AC845">
        <f t="shared" si="52"/>
        <v>7</v>
      </c>
      <c r="AD845" s="30" t="s">
        <v>6153</v>
      </c>
      <c r="AH845" s="3" t="s">
        <v>7015</v>
      </c>
      <c r="AI845" s="3" t="s">
        <v>7010</v>
      </c>
      <c r="AJ845" s="3" t="s">
        <v>7010</v>
      </c>
      <c r="AK845" s="3" t="s">
        <v>7015</v>
      </c>
      <c r="AL845" s="3" t="s">
        <v>7010</v>
      </c>
      <c r="AM845" s="3" t="s">
        <v>7010</v>
      </c>
      <c r="AN845" s="3" t="s">
        <v>7010</v>
      </c>
      <c r="AO845" s="3" t="s">
        <v>7010</v>
      </c>
      <c r="AP845" s="74" t="s">
        <v>7015</v>
      </c>
      <c r="AU845">
        <v>844</v>
      </c>
      <c r="AV845" t="s">
        <v>6154</v>
      </c>
      <c r="AW845" t="s">
        <v>2279</v>
      </c>
      <c r="AX845">
        <f t="shared" si="54"/>
        <v>12</v>
      </c>
      <c r="AY845" s="30" t="s">
        <v>6155</v>
      </c>
      <c r="BC845" s="3" t="s">
        <v>7010</v>
      </c>
      <c r="BD845" s="3" t="s">
        <v>7010</v>
      </c>
      <c r="BE845" s="3" t="s">
        <v>7015</v>
      </c>
      <c r="BF845" s="3" t="s">
        <v>7010</v>
      </c>
      <c r="BG845" s="3" t="s">
        <v>7010</v>
      </c>
      <c r="BH845" s="3" t="s">
        <v>7010</v>
      </c>
      <c r="BI845" s="3" t="s">
        <v>7010</v>
      </c>
      <c r="BJ845" s="3" t="s">
        <v>7010</v>
      </c>
      <c r="BK845" s="74" t="str">
        <f t="shared" si="55"/>
        <v>Yes</v>
      </c>
    </row>
    <row r="846" spans="7:63">
      <c r="G846">
        <v>845</v>
      </c>
      <c r="H846" s="7" t="s">
        <v>2157</v>
      </c>
      <c r="I846" t="s">
        <v>29</v>
      </c>
      <c r="J846">
        <f>LEN(H846)</f>
        <v>15</v>
      </c>
      <c r="K846" s="49" t="s">
        <v>6717</v>
      </c>
      <c r="O846" s="3" t="s">
        <v>7010</v>
      </c>
      <c r="P846" s="3" t="s">
        <v>7010</v>
      </c>
      <c r="Q846" s="3" t="s">
        <v>7010</v>
      </c>
      <c r="R846" s="3" t="s">
        <v>7010</v>
      </c>
      <c r="S846" s="3" t="s">
        <v>7010</v>
      </c>
      <c r="T846" s="3" t="s">
        <v>7010</v>
      </c>
      <c r="U846" s="3" t="s">
        <v>7010</v>
      </c>
      <c r="V846" s="3" t="s">
        <v>7010</v>
      </c>
      <c r="W846" s="74" t="str">
        <f t="shared" si="53"/>
        <v>No</v>
      </c>
      <c r="Z846">
        <v>845</v>
      </c>
      <c r="AA846" s="55" t="s">
        <v>6156</v>
      </c>
      <c r="AC846">
        <f t="shared" si="52"/>
        <v>7</v>
      </c>
      <c r="AD846" s="30" t="s">
        <v>6157</v>
      </c>
      <c r="AH846" s="3" t="s">
        <v>7015</v>
      </c>
      <c r="AI846" s="3" t="s">
        <v>7010</v>
      </c>
      <c r="AJ846" s="3" t="s">
        <v>7010</v>
      </c>
      <c r="AK846" s="3" t="s">
        <v>7015</v>
      </c>
      <c r="AL846" s="3" t="s">
        <v>7010</v>
      </c>
      <c r="AM846" s="3" t="s">
        <v>7010</v>
      </c>
      <c r="AN846" s="3" t="s">
        <v>7010</v>
      </c>
      <c r="AO846" s="3" t="s">
        <v>7010</v>
      </c>
      <c r="AP846" s="74" t="s">
        <v>7015</v>
      </c>
      <c r="AU846">
        <v>845</v>
      </c>
      <c r="AV846" t="s">
        <v>6158</v>
      </c>
      <c r="AW846" t="s">
        <v>2279</v>
      </c>
      <c r="AX846">
        <f t="shared" si="54"/>
        <v>12</v>
      </c>
      <c r="AY846" s="30" t="s">
        <v>6159</v>
      </c>
      <c r="BC846" s="3" t="s">
        <v>7010</v>
      </c>
      <c r="BD846" s="3" t="s">
        <v>7010</v>
      </c>
      <c r="BE846" s="3" t="s">
        <v>7015</v>
      </c>
      <c r="BF846" s="3" t="s">
        <v>7010</v>
      </c>
      <c r="BG846" s="3" t="s">
        <v>7010</v>
      </c>
      <c r="BH846" s="3" t="s">
        <v>7010</v>
      </c>
      <c r="BI846" s="3" t="s">
        <v>7010</v>
      </c>
      <c r="BJ846" s="3" t="s">
        <v>7010</v>
      </c>
      <c r="BK846" s="74" t="str">
        <f t="shared" si="55"/>
        <v>Yes</v>
      </c>
    </row>
    <row r="847" spans="7:63">
      <c r="G847">
        <v>846</v>
      </c>
      <c r="H847" s="7" t="s">
        <v>1926</v>
      </c>
      <c r="I847" t="s">
        <v>29</v>
      </c>
      <c r="J847">
        <f>LEN(H847)</f>
        <v>12</v>
      </c>
      <c r="K847" s="49" t="s">
        <v>6123</v>
      </c>
      <c r="O847" s="3" t="s">
        <v>7010</v>
      </c>
      <c r="P847" s="3" t="s">
        <v>7010</v>
      </c>
      <c r="Q847" s="3" t="s">
        <v>7010</v>
      </c>
      <c r="R847" s="3" t="s">
        <v>7015</v>
      </c>
      <c r="S847" s="3" t="s">
        <v>7010</v>
      </c>
      <c r="T847" s="3" t="s">
        <v>7015</v>
      </c>
      <c r="U847" s="3" t="s">
        <v>7010</v>
      </c>
      <c r="V847" s="3" t="s">
        <v>7010</v>
      </c>
      <c r="W847" s="74" t="str">
        <f t="shared" si="53"/>
        <v>Yes</v>
      </c>
      <c r="Z847">
        <v>846</v>
      </c>
      <c r="AA847" s="55" t="s">
        <v>6161</v>
      </c>
      <c r="AC847">
        <f t="shared" si="52"/>
        <v>10</v>
      </c>
      <c r="AD847" s="30" t="s">
        <v>6162</v>
      </c>
      <c r="AH847" s="3" t="s">
        <v>7015</v>
      </c>
      <c r="AI847" s="3" t="s">
        <v>7010</v>
      </c>
      <c r="AJ847" s="3" t="s">
        <v>7010</v>
      </c>
      <c r="AK847" s="3" t="s">
        <v>7015</v>
      </c>
      <c r="AL847" s="3" t="s">
        <v>7010</v>
      </c>
      <c r="AM847" s="3" t="s">
        <v>7010</v>
      </c>
      <c r="AN847" s="3" t="s">
        <v>7010</v>
      </c>
      <c r="AO847" s="3" t="s">
        <v>7010</v>
      </c>
      <c r="AP847" s="74" t="s">
        <v>7015</v>
      </c>
      <c r="AU847">
        <v>846</v>
      </c>
      <c r="AV847" t="s">
        <v>6163</v>
      </c>
      <c r="AW847" t="s">
        <v>2279</v>
      </c>
      <c r="AX847">
        <f t="shared" si="54"/>
        <v>14</v>
      </c>
      <c r="AY847" s="30" t="s">
        <v>6164</v>
      </c>
      <c r="BC847" s="3" t="s">
        <v>7010</v>
      </c>
      <c r="BD847" s="3" t="s">
        <v>7015</v>
      </c>
      <c r="BE847" s="3" t="s">
        <v>7010</v>
      </c>
      <c r="BF847" s="3" t="s">
        <v>7010</v>
      </c>
      <c r="BG847" s="3" t="s">
        <v>7010</v>
      </c>
      <c r="BH847" s="3" t="s">
        <v>7010</v>
      </c>
      <c r="BI847" s="3" t="s">
        <v>7010</v>
      </c>
      <c r="BJ847" s="3" t="s">
        <v>7010</v>
      </c>
      <c r="BK847" s="74" t="str">
        <f t="shared" si="55"/>
        <v>Yes</v>
      </c>
    </row>
    <row r="848" spans="7:63">
      <c r="G848">
        <v>847</v>
      </c>
      <c r="H848" s="7" t="s">
        <v>443</v>
      </c>
      <c r="I848" t="s">
        <v>29</v>
      </c>
      <c r="J848">
        <f>LEN(H848)</f>
        <v>15</v>
      </c>
      <c r="K848" s="49" t="s">
        <v>2689</v>
      </c>
      <c r="O848" s="3" t="s">
        <v>7010</v>
      </c>
      <c r="P848" s="3" t="s">
        <v>7010</v>
      </c>
      <c r="Q848" s="3" t="s">
        <v>7010</v>
      </c>
      <c r="R848" s="3" t="s">
        <v>7010</v>
      </c>
      <c r="S848" s="3" t="s">
        <v>7010</v>
      </c>
      <c r="T848" s="3" t="s">
        <v>7010</v>
      </c>
      <c r="U848" s="3" t="s">
        <v>7010</v>
      </c>
      <c r="V848" s="3" t="s">
        <v>7010</v>
      </c>
      <c r="W848" s="74" t="str">
        <f t="shared" si="53"/>
        <v>No</v>
      </c>
      <c r="Z848">
        <v>847</v>
      </c>
      <c r="AA848" s="55" t="s">
        <v>6166</v>
      </c>
      <c r="AC848">
        <f t="shared" si="52"/>
        <v>6</v>
      </c>
      <c r="AD848" s="30" t="s">
        <v>6167</v>
      </c>
      <c r="AH848" s="3" t="s">
        <v>7015</v>
      </c>
      <c r="AI848" s="3" t="s">
        <v>7010</v>
      </c>
      <c r="AJ848" s="3" t="s">
        <v>7010</v>
      </c>
      <c r="AK848" s="3" t="s">
        <v>7015</v>
      </c>
      <c r="AL848" s="3" t="s">
        <v>7010</v>
      </c>
      <c r="AM848" s="3" t="s">
        <v>7010</v>
      </c>
      <c r="AN848" s="3" t="s">
        <v>7010</v>
      </c>
      <c r="AO848" s="3" t="s">
        <v>7010</v>
      </c>
      <c r="AP848" s="74" t="s">
        <v>7015</v>
      </c>
      <c r="AU848">
        <v>847</v>
      </c>
      <c r="AV848" t="s">
        <v>6168</v>
      </c>
      <c r="AW848" t="s">
        <v>2279</v>
      </c>
      <c r="AX848">
        <f t="shared" si="54"/>
        <v>8</v>
      </c>
      <c r="AY848" s="30" t="s">
        <v>6169</v>
      </c>
      <c r="BC848" s="3" t="s">
        <v>7010</v>
      </c>
      <c r="BD848" s="3" t="s">
        <v>7010</v>
      </c>
      <c r="BE848" s="3" t="s">
        <v>7010</v>
      </c>
      <c r="BF848" s="3" t="s">
        <v>7010</v>
      </c>
      <c r="BG848" s="3" t="s">
        <v>7010</v>
      </c>
      <c r="BH848" s="3" t="s">
        <v>7010</v>
      </c>
      <c r="BI848" s="3" t="s">
        <v>7010</v>
      </c>
      <c r="BJ848" s="3" t="s">
        <v>7010</v>
      </c>
      <c r="BK848" s="74" t="str">
        <f t="shared" si="55"/>
        <v>No</v>
      </c>
    </row>
    <row r="849" spans="7:63">
      <c r="G849">
        <v>848</v>
      </c>
      <c r="H849" s="7" t="s">
        <v>473</v>
      </c>
      <c r="I849" t="s">
        <v>29</v>
      </c>
      <c r="J849">
        <f>LEN(H849)</f>
        <v>15</v>
      </c>
      <c r="K849" s="49" t="s">
        <v>2809</v>
      </c>
      <c r="O849" s="3" t="s">
        <v>7010</v>
      </c>
      <c r="P849" s="3" t="s">
        <v>7010</v>
      </c>
      <c r="Q849" s="3" t="s">
        <v>7010</v>
      </c>
      <c r="R849" s="3" t="s">
        <v>7010</v>
      </c>
      <c r="S849" s="3" t="s">
        <v>7010</v>
      </c>
      <c r="T849" s="3" t="s">
        <v>7015</v>
      </c>
      <c r="U849" s="3" t="s">
        <v>7010</v>
      </c>
      <c r="V849" s="3" t="s">
        <v>7010</v>
      </c>
      <c r="W849" s="74" t="str">
        <f t="shared" si="53"/>
        <v>Yes</v>
      </c>
      <c r="Z849">
        <v>848</v>
      </c>
      <c r="AA849" s="55" t="s">
        <v>6171</v>
      </c>
      <c r="AC849">
        <f t="shared" si="52"/>
        <v>10</v>
      </c>
      <c r="AD849" s="30" t="s">
        <v>6172</v>
      </c>
      <c r="AH849" s="3" t="s">
        <v>7015</v>
      </c>
      <c r="AI849" s="3" t="s">
        <v>7010</v>
      </c>
      <c r="AJ849" s="3" t="s">
        <v>7010</v>
      </c>
      <c r="AK849" s="3" t="s">
        <v>7015</v>
      </c>
      <c r="AL849" s="3" t="s">
        <v>7010</v>
      </c>
      <c r="AM849" s="3" t="s">
        <v>7010</v>
      </c>
      <c r="AN849" s="3" t="s">
        <v>7010</v>
      </c>
      <c r="AO849" s="3" t="s">
        <v>7010</v>
      </c>
      <c r="AP849" s="74" t="s">
        <v>7015</v>
      </c>
      <c r="AU849">
        <v>848</v>
      </c>
      <c r="AV849" t="s">
        <v>6173</v>
      </c>
      <c r="AW849" t="s">
        <v>2279</v>
      </c>
      <c r="AX849">
        <f t="shared" si="54"/>
        <v>18</v>
      </c>
      <c r="AY849" s="30" t="s">
        <v>6174</v>
      </c>
      <c r="BC849" s="3" t="s">
        <v>7010</v>
      </c>
      <c r="BD849" s="3" t="s">
        <v>7010</v>
      </c>
      <c r="BE849" s="3" t="s">
        <v>7010</v>
      </c>
      <c r="BF849" s="3" t="s">
        <v>7010</v>
      </c>
      <c r="BG849" s="3" t="s">
        <v>7010</v>
      </c>
      <c r="BH849" s="3" t="s">
        <v>7010</v>
      </c>
      <c r="BI849" s="3" t="s">
        <v>7010</v>
      </c>
      <c r="BJ849" s="3" t="s">
        <v>7010</v>
      </c>
      <c r="BK849" s="74" t="str">
        <f t="shared" si="55"/>
        <v>No</v>
      </c>
    </row>
    <row r="850" spans="7:63">
      <c r="G850">
        <v>849</v>
      </c>
      <c r="H850" s="7" t="s">
        <v>1674</v>
      </c>
      <c r="I850" t="s">
        <v>29</v>
      </c>
      <c r="J850">
        <f>LEN(H850)</f>
        <v>15</v>
      </c>
      <c r="K850" s="49" t="s">
        <v>5415</v>
      </c>
      <c r="O850" s="3" t="s">
        <v>7010</v>
      </c>
      <c r="P850" s="3" t="s">
        <v>7010</v>
      </c>
      <c r="Q850" s="3" t="s">
        <v>7010</v>
      </c>
      <c r="R850" s="3" t="s">
        <v>7010</v>
      </c>
      <c r="S850" s="3" t="s">
        <v>7010</v>
      </c>
      <c r="T850" s="3" t="s">
        <v>7010</v>
      </c>
      <c r="U850" s="3" t="s">
        <v>7015</v>
      </c>
      <c r="V850" s="3" t="s">
        <v>7010</v>
      </c>
      <c r="W850" s="74" t="str">
        <f t="shared" si="53"/>
        <v>Yes</v>
      </c>
      <c r="Z850">
        <v>849</v>
      </c>
      <c r="AA850" s="55" t="s">
        <v>6176</v>
      </c>
      <c r="AC850">
        <f t="shared" si="52"/>
        <v>6</v>
      </c>
      <c r="AD850" s="30" t="s">
        <v>6177</v>
      </c>
      <c r="AH850" s="3" t="s">
        <v>7015</v>
      </c>
      <c r="AI850" s="3" t="s">
        <v>7010</v>
      </c>
      <c r="AJ850" s="3" t="s">
        <v>7010</v>
      </c>
      <c r="AK850" s="3" t="s">
        <v>7015</v>
      </c>
      <c r="AL850" s="3" t="s">
        <v>7010</v>
      </c>
      <c r="AM850" s="3" t="s">
        <v>7010</v>
      </c>
      <c r="AN850" s="3" t="s">
        <v>7010</v>
      </c>
      <c r="AO850" s="3" t="s">
        <v>7010</v>
      </c>
      <c r="AP850" s="74" t="s">
        <v>7015</v>
      </c>
      <c r="AU850">
        <v>849</v>
      </c>
      <c r="AV850" t="s">
        <v>6178</v>
      </c>
      <c r="AW850" t="s">
        <v>2279</v>
      </c>
      <c r="AX850">
        <f t="shared" si="54"/>
        <v>11</v>
      </c>
      <c r="AY850" s="30" t="s">
        <v>6179</v>
      </c>
      <c r="BC850" s="3" t="s">
        <v>7010</v>
      </c>
      <c r="BD850" s="3" t="s">
        <v>7010</v>
      </c>
      <c r="BE850" s="3" t="s">
        <v>7015</v>
      </c>
      <c r="BF850" s="3" t="s">
        <v>7010</v>
      </c>
      <c r="BG850" s="3" t="s">
        <v>7010</v>
      </c>
      <c r="BH850" s="3" t="s">
        <v>7010</v>
      </c>
      <c r="BI850" s="3" t="s">
        <v>7010</v>
      </c>
      <c r="BJ850" s="3" t="s">
        <v>7010</v>
      </c>
      <c r="BK850" s="74" t="str">
        <f t="shared" si="55"/>
        <v>Yes</v>
      </c>
    </row>
    <row r="851" spans="7:63">
      <c r="G851">
        <v>850</v>
      </c>
      <c r="H851" s="7" t="s">
        <v>1594</v>
      </c>
      <c r="I851" t="s">
        <v>29</v>
      </c>
      <c r="J851">
        <f>LEN(H851)</f>
        <v>15</v>
      </c>
      <c r="K851" s="49" t="s">
        <v>5213</v>
      </c>
      <c r="O851" s="3" t="s">
        <v>7010</v>
      </c>
      <c r="P851" s="3" t="s">
        <v>7010</v>
      </c>
      <c r="Q851" s="3" t="s">
        <v>7010</v>
      </c>
      <c r="R851" s="3" t="s">
        <v>7010</v>
      </c>
      <c r="S851" s="3" t="s">
        <v>7010</v>
      </c>
      <c r="T851" s="3" t="s">
        <v>7010</v>
      </c>
      <c r="U851" s="3" t="s">
        <v>7015</v>
      </c>
      <c r="V851" s="3" t="s">
        <v>7010</v>
      </c>
      <c r="W851" s="74" t="str">
        <f t="shared" si="53"/>
        <v>Yes</v>
      </c>
      <c r="Z851">
        <v>850</v>
      </c>
      <c r="AA851" s="55" t="s">
        <v>6181</v>
      </c>
      <c r="AC851">
        <f t="shared" si="52"/>
        <v>6</v>
      </c>
      <c r="AD851" s="30" t="s">
        <v>6182</v>
      </c>
      <c r="AH851" s="3" t="s">
        <v>7015</v>
      </c>
      <c r="AI851" s="3" t="s">
        <v>7010</v>
      </c>
      <c r="AJ851" s="3" t="s">
        <v>7010</v>
      </c>
      <c r="AK851" s="3" t="s">
        <v>7015</v>
      </c>
      <c r="AL851" s="3" t="s">
        <v>7010</v>
      </c>
      <c r="AM851" s="3" t="s">
        <v>7010</v>
      </c>
      <c r="AN851" s="3" t="s">
        <v>7010</v>
      </c>
      <c r="AO851" s="3" t="s">
        <v>7010</v>
      </c>
      <c r="AP851" s="74" t="s">
        <v>7015</v>
      </c>
      <c r="AU851">
        <v>850</v>
      </c>
      <c r="AV851" t="s">
        <v>6183</v>
      </c>
      <c r="AW851" t="s">
        <v>2279</v>
      </c>
      <c r="AX851">
        <f t="shared" si="54"/>
        <v>9</v>
      </c>
      <c r="AY851" s="30" t="s">
        <v>6184</v>
      </c>
      <c r="BC851" s="3" t="s">
        <v>7015</v>
      </c>
      <c r="BD851" s="3" t="s">
        <v>7010</v>
      </c>
      <c r="BE851" s="3" t="s">
        <v>7015</v>
      </c>
      <c r="BF851" s="3" t="s">
        <v>7010</v>
      </c>
      <c r="BG851" s="3" t="s">
        <v>7010</v>
      </c>
      <c r="BH851" s="3" t="s">
        <v>7010</v>
      </c>
      <c r="BI851" s="3" t="s">
        <v>7010</v>
      </c>
      <c r="BJ851" s="3" t="s">
        <v>7010</v>
      </c>
      <c r="BK851" s="74" t="str">
        <f t="shared" si="55"/>
        <v>Yes</v>
      </c>
    </row>
    <row r="852" spans="7:63">
      <c r="G852">
        <v>851</v>
      </c>
      <c r="H852" s="7" t="s">
        <v>1450</v>
      </c>
      <c r="I852" t="s">
        <v>29</v>
      </c>
      <c r="J852">
        <f>LEN(H852)</f>
        <v>12</v>
      </c>
      <c r="K852" s="49" t="s">
        <v>4850</v>
      </c>
      <c r="O852" s="3" t="s">
        <v>7010</v>
      </c>
      <c r="P852" s="3" t="s">
        <v>7010</v>
      </c>
      <c r="Q852" s="3" t="s">
        <v>7010</v>
      </c>
      <c r="R852" s="3" t="s">
        <v>7010</v>
      </c>
      <c r="S852" s="3" t="s">
        <v>7010</v>
      </c>
      <c r="T852" s="3" t="s">
        <v>7010</v>
      </c>
      <c r="U852" s="3" t="s">
        <v>7010</v>
      </c>
      <c r="V852" s="3" t="s">
        <v>7010</v>
      </c>
      <c r="W852" s="74" t="str">
        <f t="shared" si="53"/>
        <v>No</v>
      </c>
      <c r="Z852">
        <v>851</v>
      </c>
      <c r="AA852" s="55" t="s">
        <v>6186</v>
      </c>
      <c r="AC852">
        <f t="shared" si="52"/>
        <v>6</v>
      </c>
      <c r="AD852" s="30" t="s">
        <v>6187</v>
      </c>
      <c r="AH852" s="3" t="s">
        <v>7015</v>
      </c>
      <c r="AI852" s="3" t="s">
        <v>7010</v>
      </c>
      <c r="AJ852" s="3" t="s">
        <v>7010</v>
      </c>
      <c r="AK852" s="3" t="s">
        <v>7015</v>
      </c>
      <c r="AL852" s="3" t="s">
        <v>7010</v>
      </c>
      <c r="AM852" s="3" t="s">
        <v>7010</v>
      </c>
      <c r="AN852" s="3" t="s">
        <v>7010</v>
      </c>
      <c r="AO852" s="3" t="s">
        <v>7010</v>
      </c>
      <c r="AP852" s="74" t="s">
        <v>7015</v>
      </c>
      <c r="AU852">
        <v>851</v>
      </c>
      <c r="AV852" t="s">
        <v>6188</v>
      </c>
      <c r="AW852" t="s">
        <v>2279</v>
      </c>
      <c r="AX852">
        <f t="shared" si="54"/>
        <v>11</v>
      </c>
      <c r="AY852" s="30" t="s">
        <v>6189</v>
      </c>
      <c r="BC852" s="3" t="s">
        <v>7010</v>
      </c>
      <c r="BD852" s="3" t="s">
        <v>7010</v>
      </c>
      <c r="BE852" s="3" t="s">
        <v>7010</v>
      </c>
      <c r="BF852" s="3" t="s">
        <v>7010</v>
      </c>
      <c r="BG852" s="3" t="s">
        <v>7010</v>
      </c>
      <c r="BH852" s="3" t="s">
        <v>7010</v>
      </c>
      <c r="BI852" s="3" t="s">
        <v>7010</v>
      </c>
      <c r="BJ852" s="3" t="s">
        <v>7010</v>
      </c>
      <c r="BK852" s="74" t="str">
        <f t="shared" si="55"/>
        <v>No</v>
      </c>
    </row>
    <row r="853" spans="7:63">
      <c r="G853">
        <v>852</v>
      </c>
      <c r="H853" s="7" t="s">
        <v>1384</v>
      </c>
      <c r="I853" t="s">
        <v>29</v>
      </c>
      <c r="J853">
        <f>LEN(H853)</f>
        <v>12</v>
      </c>
      <c r="K853" s="49" t="s">
        <v>4681</v>
      </c>
      <c r="O853" s="3" t="s">
        <v>7010</v>
      </c>
      <c r="P853" s="3" t="s">
        <v>7010</v>
      </c>
      <c r="Q853" s="3" t="s">
        <v>7010</v>
      </c>
      <c r="R853" s="3" t="s">
        <v>7010</v>
      </c>
      <c r="S853" s="3" t="s">
        <v>7010</v>
      </c>
      <c r="T853" s="3" t="s">
        <v>7010</v>
      </c>
      <c r="U853" s="3" t="s">
        <v>7010</v>
      </c>
      <c r="V853" s="3" t="s">
        <v>7010</v>
      </c>
      <c r="W853" s="74" t="str">
        <f t="shared" si="53"/>
        <v>No</v>
      </c>
      <c r="Z853">
        <v>852</v>
      </c>
      <c r="AA853" s="55" t="s">
        <v>6191</v>
      </c>
      <c r="AC853">
        <f t="shared" si="52"/>
        <v>6</v>
      </c>
      <c r="AD853" s="30" t="s">
        <v>6192</v>
      </c>
      <c r="AH853" s="3" t="s">
        <v>7015</v>
      </c>
      <c r="AI853" s="3" t="s">
        <v>7010</v>
      </c>
      <c r="AJ853" s="3" t="s">
        <v>7010</v>
      </c>
      <c r="AK853" s="3" t="s">
        <v>7015</v>
      </c>
      <c r="AL853" s="3" t="s">
        <v>7010</v>
      </c>
      <c r="AM853" s="3" t="s">
        <v>7010</v>
      </c>
      <c r="AN853" s="3" t="s">
        <v>7010</v>
      </c>
      <c r="AO853" s="3" t="s">
        <v>7010</v>
      </c>
      <c r="AP853" s="74" t="s">
        <v>7015</v>
      </c>
      <c r="AU853">
        <v>852</v>
      </c>
      <c r="AV853" t="s">
        <v>6193</v>
      </c>
      <c r="AW853" t="s">
        <v>2279</v>
      </c>
      <c r="AX853">
        <f t="shared" si="54"/>
        <v>8</v>
      </c>
      <c r="AY853" s="30" t="s">
        <v>6194</v>
      </c>
      <c r="BC853" s="3" t="s">
        <v>7010</v>
      </c>
      <c r="BD853" s="3" t="s">
        <v>7010</v>
      </c>
      <c r="BE853" s="3" t="s">
        <v>7010</v>
      </c>
      <c r="BF853" s="3" t="s">
        <v>7010</v>
      </c>
      <c r="BG853" s="3" t="s">
        <v>7010</v>
      </c>
      <c r="BH853" s="3" t="s">
        <v>7010</v>
      </c>
      <c r="BI853" s="3" t="s">
        <v>7010</v>
      </c>
      <c r="BJ853" s="3" t="s">
        <v>7010</v>
      </c>
      <c r="BK853" s="74" t="str">
        <f t="shared" si="55"/>
        <v>No</v>
      </c>
    </row>
    <row r="854" spans="7:63">
      <c r="G854">
        <v>853</v>
      </c>
      <c r="H854" t="s">
        <v>6938</v>
      </c>
      <c r="I854" t="s">
        <v>29</v>
      </c>
      <c r="J854">
        <f>LEN(H854)</f>
        <v>8</v>
      </c>
      <c r="K854" s="49" t="s">
        <v>6939</v>
      </c>
      <c r="O854" s="3" t="s">
        <v>7010</v>
      </c>
      <c r="P854" s="3" t="s">
        <v>7010</v>
      </c>
      <c r="Q854" s="3" t="s">
        <v>7010</v>
      </c>
      <c r="R854" s="3" t="s">
        <v>7015</v>
      </c>
      <c r="S854" s="3" t="s">
        <v>7015</v>
      </c>
      <c r="T854" s="3" t="s">
        <v>7015</v>
      </c>
      <c r="U854" s="3" t="s">
        <v>7010</v>
      </c>
      <c r="V854" s="3" t="s">
        <v>7010</v>
      </c>
      <c r="W854" s="74" t="str">
        <f t="shared" si="53"/>
        <v>Yes</v>
      </c>
      <c r="Z854">
        <v>853</v>
      </c>
      <c r="AA854" s="55" t="s">
        <v>6196</v>
      </c>
      <c r="AC854">
        <f t="shared" si="52"/>
        <v>6</v>
      </c>
      <c r="AD854" s="30" t="s">
        <v>6197</v>
      </c>
      <c r="AH854" s="3" t="s">
        <v>7015</v>
      </c>
      <c r="AI854" s="3" t="s">
        <v>7010</v>
      </c>
      <c r="AJ854" s="3" t="s">
        <v>7010</v>
      </c>
      <c r="AK854" s="3" t="s">
        <v>7015</v>
      </c>
      <c r="AL854" s="3" t="s">
        <v>7010</v>
      </c>
      <c r="AM854" s="3" t="s">
        <v>7010</v>
      </c>
      <c r="AN854" s="3" t="s">
        <v>7010</v>
      </c>
      <c r="AO854" s="3" t="s">
        <v>7010</v>
      </c>
      <c r="AP854" s="74" t="s">
        <v>7015</v>
      </c>
      <c r="AU854">
        <v>853</v>
      </c>
      <c r="AV854" t="s">
        <v>6198</v>
      </c>
      <c r="AW854" t="s">
        <v>2279</v>
      </c>
      <c r="AX854">
        <f t="shared" si="54"/>
        <v>10</v>
      </c>
      <c r="AY854" s="31" t="s">
        <v>6199</v>
      </c>
      <c r="BC854" s="3" t="s">
        <v>7010</v>
      </c>
      <c r="BD854" s="3" t="s">
        <v>7010</v>
      </c>
      <c r="BE854" s="3" t="s">
        <v>7010</v>
      </c>
      <c r="BF854" s="3" t="s">
        <v>7010</v>
      </c>
      <c r="BG854" s="3" t="s">
        <v>7010</v>
      </c>
      <c r="BH854" s="3" t="s">
        <v>7010</v>
      </c>
      <c r="BI854" s="3" t="s">
        <v>7010</v>
      </c>
      <c r="BJ854" s="3" t="s">
        <v>7010</v>
      </c>
      <c r="BK854" s="74" t="str">
        <f t="shared" si="55"/>
        <v>No</v>
      </c>
    </row>
    <row r="855" spans="7:63">
      <c r="G855">
        <v>854</v>
      </c>
      <c r="H855" s="7" t="s">
        <v>5082</v>
      </c>
      <c r="I855" t="s">
        <v>29</v>
      </c>
      <c r="J855">
        <f>LEN(H855)</f>
        <v>13</v>
      </c>
      <c r="K855" s="49" t="s">
        <v>5083</v>
      </c>
      <c r="O855" s="3" t="s">
        <v>7010</v>
      </c>
      <c r="P855" s="3" t="s">
        <v>7010</v>
      </c>
      <c r="Q855" s="3" t="s">
        <v>7010</v>
      </c>
      <c r="R855" s="3" t="s">
        <v>7010</v>
      </c>
      <c r="S855" s="3" t="s">
        <v>7010</v>
      </c>
      <c r="T855" s="3" t="s">
        <v>7010</v>
      </c>
      <c r="U855" s="3" t="s">
        <v>7010</v>
      </c>
      <c r="V855" s="3" t="s">
        <v>7010</v>
      </c>
      <c r="W855" s="74" t="str">
        <f t="shared" si="53"/>
        <v>No</v>
      </c>
      <c r="Z855">
        <v>854</v>
      </c>
      <c r="AA855" s="55" t="s">
        <v>6201</v>
      </c>
      <c r="AC855">
        <f t="shared" si="52"/>
        <v>5</v>
      </c>
      <c r="AD855" s="30" t="s">
        <v>6202</v>
      </c>
      <c r="AH855" s="3" t="s">
        <v>7015</v>
      </c>
      <c r="AI855" s="3" t="s">
        <v>7010</v>
      </c>
      <c r="AJ855" s="3" t="s">
        <v>7010</v>
      </c>
      <c r="AK855" s="3" t="s">
        <v>7015</v>
      </c>
      <c r="AL855" s="3" t="s">
        <v>7010</v>
      </c>
      <c r="AM855" s="3" t="s">
        <v>7010</v>
      </c>
      <c r="AN855" s="3" t="s">
        <v>7010</v>
      </c>
      <c r="AO855" s="3" t="s">
        <v>7010</v>
      </c>
      <c r="AP855" s="74" t="s">
        <v>7015</v>
      </c>
      <c r="AU855">
        <v>854</v>
      </c>
      <c r="AV855" t="s">
        <v>6203</v>
      </c>
      <c r="AW855" t="s">
        <v>2279</v>
      </c>
      <c r="AX855">
        <f t="shared" si="54"/>
        <v>12</v>
      </c>
      <c r="AY855" s="30" t="s">
        <v>6204</v>
      </c>
      <c r="BC855" s="3" t="s">
        <v>7010</v>
      </c>
      <c r="BD855" s="3" t="s">
        <v>7010</v>
      </c>
      <c r="BE855" s="3" t="s">
        <v>7010</v>
      </c>
      <c r="BF855" s="3" t="s">
        <v>7010</v>
      </c>
      <c r="BG855" s="3" t="s">
        <v>7010</v>
      </c>
      <c r="BH855" s="3" t="s">
        <v>7010</v>
      </c>
      <c r="BI855" s="3" t="s">
        <v>7010</v>
      </c>
      <c r="BJ855" s="3" t="s">
        <v>7010</v>
      </c>
      <c r="BK855" s="74" t="str">
        <f t="shared" si="55"/>
        <v>No</v>
      </c>
    </row>
    <row r="856" spans="7:63">
      <c r="G856">
        <v>855</v>
      </c>
      <c r="H856" s="7" t="s">
        <v>4461</v>
      </c>
      <c r="I856" t="s">
        <v>29</v>
      </c>
      <c r="J856">
        <f>LEN(H856)</f>
        <v>10</v>
      </c>
      <c r="K856" s="49" t="s">
        <v>4462</v>
      </c>
      <c r="O856" s="3" t="s">
        <v>7010</v>
      </c>
      <c r="P856" s="3" t="s">
        <v>7010</v>
      </c>
      <c r="Q856" s="3" t="s">
        <v>7010</v>
      </c>
      <c r="R856" s="3" t="s">
        <v>7010</v>
      </c>
      <c r="S856" s="3" t="s">
        <v>7010</v>
      </c>
      <c r="T856" s="3" t="s">
        <v>7010</v>
      </c>
      <c r="U856" s="3" t="s">
        <v>7010</v>
      </c>
      <c r="V856" s="3" t="s">
        <v>7010</v>
      </c>
      <c r="W856" s="74" t="str">
        <f t="shared" si="53"/>
        <v>No</v>
      </c>
      <c r="Z856">
        <v>855</v>
      </c>
      <c r="AA856" s="55" t="s">
        <v>6206</v>
      </c>
      <c r="AC856">
        <f t="shared" si="52"/>
        <v>7</v>
      </c>
      <c r="AD856" s="30" t="s">
        <v>6207</v>
      </c>
      <c r="AH856" s="3" t="s">
        <v>7015</v>
      </c>
      <c r="AI856" s="3" t="s">
        <v>7010</v>
      </c>
      <c r="AJ856" s="3" t="s">
        <v>7010</v>
      </c>
      <c r="AK856" s="3" t="s">
        <v>7015</v>
      </c>
      <c r="AL856" s="3" t="s">
        <v>7010</v>
      </c>
      <c r="AM856" s="3" t="s">
        <v>7010</v>
      </c>
      <c r="AN856" s="3" t="s">
        <v>7010</v>
      </c>
      <c r="AO856" s="3" t="s">
        <v>7010</v>
      </c>
      <c r="AP856" s="74" t="s">
        <v>7015</v>
      </c>
      <c r="AU856">
        <v>855</v>
      </c>
      <c r="AV856" t="s">
        <v>6208</v>
      </c>
      <c r="AW856" t="s">
        <v>2279</v>
      </c>
      <c r="AX856">
        <f t="shared" si="54"/>
        <v>9</v>
      </c>
      <c r="AY856" s="30" t="s">
        <v>6209</v>
      </c>
      <c r="BC856" s="3" t="s">
        <v>7010</v>
      </c>
      <c r="BD856" s="3" t="s">
        <v>7010</v>
      </c>
      <c r="BE856" s="3" t="s">
        <v>7010</v>
      </c>
      <c r="BF856" s="3" t="s">
        <v>7010</v>
      </c>
      <c r="BG856" s="3" t="s">
        <v>7010</v>
      </c>
      <c r="BH856" s="3" t="s">
        <v>7010</v>
      </c>
      <c r="BI856" s="3" t="s">
        <v>7010</v>
      </c>
      <c r="BJ856" s="3" t="s">
        <v>7010</v>
      </c>
      <c r="BK856" s="74" t="str">
        <f t="shared" si="55"/>
        <v>No</v>
      </c>
    </row>
    <row r="857" spans="7:63">
      <c r="G857">
        <v>856</v>
      </c>
      <c r="H857" s="7" t="s">
        <v>556</v>
      </c>
      <c r="I857" t="s">
        <v>29</v>
      </c>
      <c r="J857">
        <f>LEN(H857)</f>
        <v>10</v>
      </c>
      <c r="K857" s="49" t="s">
        <v>3141</v>
      </c>
      <c r="O857" s="3" t="s">
        <v>7010</v>
      </c>
      <c r="P857" s="3" t="s">
        <v>7010</v>
      </c>
      <c r="Q857" s="3" t="s">
        <v>7010</v>
      </c>
      <c r="R857" s="3" t="s">
        <v>7010</v>
      </c>
      <c r="S857" s="3" t="s">
        <v>7010</v>
      </c>
      <c r="T857" s="3" t="s">
        <v>7010</v>
      </c>
      <c r="U857" s="3" t="s">
        <v>7010</v>
      </c>
      <c r="V857" s="3" t="s">
        <v>7010</v>
      </c>
      <c r="W857" s="74" t="str">
        <f t="shared" si="53"/>
        <v>No</v>
      </c>
      <c r="Z857">
        <v>856</v>
      </c>
      <c r="AA857" s="55" t="s">
        <v>6211</v>
      </c>
      <c r="AC857">
        <f t="shared" si="52"/>
        <v>6</v>
      </c>
      <c r="AD857" s="30" t="s">
        <v>6212</v>
      </c>
      <c r="AH857" s="3" t="s">
        <v>7015</v>
      </c>
      <c r="AI857" s="3" t="s">
        <v>7010</v>
      </c>
      <c r="AJ857" s="3" t="s">
        <v>7010</v>
      </c>
      <c r="AK857" s="3" t="s">
        <v>7015</v>
      </c>
      <c r="AL857" s="3" t="s">
        <v>7010</v>
      </c>
      <c r="AM857" s="3" t="s">
        <v>7010</v>
      </c>
      <c r="AN857" s="3" t="s">
        <v>7010</v>
      </c>
      <c r="AO857" s="3" t="s">
        <v>7010</v>
      </c>
      <c r="AP857" s="74" t="s">
        <v>7015</v>
      </c>
      <c r="AU857">
        <v>856</v>
      </c>
      <c r="AV857" t="s">
        <v>6213</v>
      </c>
      <c r="AW857" t="s">
        <v>2279</v>
      </c>
      <c r="AX857">
        <f t="shared" si="54"/>
        <v>12</v>
      </c>
      <c r="AY857" s="30" t="s">
        <v>6214</v>
      </c>
      <c r="BC857" s="3" t="s">
        <v>7010</v>
      </c>
      <c r="BD857" s="3" t="s">
        <v>7010</v>
      </c>
      <c r="BE857" s="3" t="s">
        <v>7010</v>
      </c>
      <c r="BF857" s="3" t="s">
        <v>7010</v>
      </c>
      <c r="BG857" s="3" t="s">
        <v>7010</v>
      </c>
      <c r="BH857" s="3" t="s">
        <v>7010</v>
      </c>
      <c r="BI857" s="3" t="s">
        <v>7010</v>
      </c>
      <c r="BJ857" s="3" t="s">
        <v>7010</v>
      </c>
      <c r="BK857" s="74" t="str">
        <f t="shared" si="55"/>
        <v>No</v>
      </c>
    </row>
    <row r="858" spans="7:63">
      <c r="G858">
        <v>857</v>
      </c>
      <c r="H858" s="7" t="s">
        <v>4804</v>
      </c>
      <c r="I858" t="s">
        <v>29</v>
      </c>
      <c r="J858">
        <f>LEN(H858)</f>
        <v>10</v>
      </c>
      <c r="K858" s="49" t="s">
        <v>4805</v>
      </c>
      <c r="O858" s="3" t="s">
        <v>7010</v>
      </c>
      <c r="P858" s="3" t="s">
        <v>7010</v>
      </c>
      <c r="Q858" s="3" t="s">
        <v>7010</v>
      </c>
      <c r="R858" s="3" t="s">
        <v>7010</v>
      </c>
      <c r="S858" s="3" t="s">
        <v>7010</v>
      </c>
      <c r="T858" s="3" t="s">
        <v>7010</v>
      </c>
      <c r="U858" s="3" t="s">
        <v>7010</v>
      </c>
      <c r="V858" s="3" t="s">
        <v>7010</v>
      </c>
      <c r="W858" s="74" t="str">
        <f t="shared" si="53"/>
        <v>No</v>
      </c>
      <c r="Z858">
        <v>857</v>
      </c>
      <c r="AA858" s="55" t="s">
        <v>6216</v>
      </c>
      <c r="AC858">
        <f t="shared" si="52"/>
        <v>6</v>
      </c>
      <c r="AD858" s="30" t="s">
        <v>6217</v>
      </c>
      <c r="AH858" s="3" t="s">
        <v>7015</v>
      </c>
      <c r="AI858" s="3" t="s">
        <v>7010</v>
      </c>
      <c r="AJ858" s="3" t="s">
        <v>7010</v>
      </c>
      <c r="AK858" s="3" t="s">
        <v>7015</v>
      </c>
      <c r="AL858" s="3" t="s">
        <v>7010</v>
      </c>
      <c r="AM858" s="3" t="s">
        <v>7010</v>
      </c>
      <c r="AN858" s="3" t="s">
        <v>7010</v>
      </c>
      <c r="AO858" s="3" t="s">
        <v>7010</v>
      </c>
      <c r="AP858" s="74" t="s">
        <v>7015</v>
      </c>
      <c r="AU858">
        <v>857</v>
      </c>
      <c r="AV858" t="s">
        <v>6218</v>
      </c>
      <c r="AW858" t="s">
        <v>2279</v>
      </c>
      <c r="AX858">
        <f t="shared" si="54"/>
        <v>10</v>
      </c>
      <c r="AY858" s="30" t="s">
        <v>6219</v>
      </c>
      <c r="BC858" s="3" t="s">
        <v>7010</v>
      </c>
      <c r="BD858" s="3" t="s">
        <v>7010</v>
      </c>
      <c r="BE858" s="3" t="s">
        <v>7010</v>
      </c>
      <c r="BF858" s="3" t="s">
        <v>7010</v>
      </c>
      <c r="BG858" s="3" t="s">
        <v>7010</v>
      </c>
      <c r="BH858" s="3" t="s">
        <v>7010</v>
      </c>
      <c r="BI858" s="3" t="s">
        <v>7010</v>
      </c>
      <c r="BJ858" s="3" t="s">
        <v>7010</v>
      </c>
      <c r="BK858" s="74" t="str">
        <f t="shared" si="55"/>
        <v>No</v>
      </c>
    </row>
    <row r="859" spans="7:63">
      <c r="G859">
        <v>858</v>
      </c>
      <c r="H859" s="7" t="s">
        <v>1614</v>
      </c>
      <c r="I859" t="s">
        <v>29</v>
      </c>
      <c r="J859">
        <f>LEN(H859)</f>
        <v>12</v>
      </c>
      <c r="K859" s="49" t="s">
        <v>5263</v>
      </c>
      <c r="O859" s="3" t="s">
        <v>7010</v>
      </c>
      <c r="P859" s="3" t="s">
        <v>7010</v>
      </c>
      <c r="Q859" s="3" t="s">
        <v>7010</v>
      </c>
      <c r="R859" s="3" t="s">
        <v>7010</v>
      </c>
      <c r="S859" s="3" t="s">
        <v>7010</v>
      </c>
      <c r="T859" s="3" t="s">
        <v>7010</v>
      </c>
      <c r="U859" s="3" t="s">
        <v>7015</v>
      </c>
      <c r="V859" s="3" t="s">
        <v>7010</v>
      </c>
      <c r="W859" s="74" t="str">
        <f t="shared" si="53"/>
        <v>Yes</v>
      </c>
      <c r="Z859">
        <v>858</v>
      </c>
      <c r="AA859" s="55" t="s">
        <v>6221</v>
      </c>
      <c r="AC859">
        <f t="shared" si="52"/>
        <v>7</v>
      </c>
      <c r="AD859" s="30" t="s">
        <v>6222</v>
      </c>
      <c r="AH859" s="3" t="s">
        <v>7015</v>
      </c>
      <c r="AI859" s="3" t="s">
        <v>7010</v>
      </c>
      <c r="AJ859" s="3" t="s">
        <v>7010</v>
      </c>
      <c r="AK859" s="3" t="s">
        <v>7015</v>
      </c>
      <c r="AL859" s="3" t="s">
        <v>7010</v>
      </c>
      <c r="AM859" s="3" t="s">
        <v>7010</v>
      </c>
      <c r="AN859" s="3" t="s">
        <v>7010</v>
      </c>
      <c r="AO859" s="3" t="s">
        <v>7010</v>
      </c>
      <c r="AP859" s="74" t="s">
        <v>7015</v>
      </c>
      <c r="AU859">
        <v>858</v>
      </c>
      <c r="AV859" t="s">
        <v>6223</v>
      </c>
      <c r="AW859" t="s">
        <v>2279</v>
      </c>
      <c r="AX859">
        <f t="shared" si="54"/>
        <v>10</v>
      </c>
      <c r="AY859" s="30" t="s">
        <v>6224</v>
      </c>
      <c r="BC859" s="3" t="s">
        <v>7010</v>
      </c>
      <c r="BD859" s="3" t="s">
        <v>7010</v>
      </c>
      <c r="BE859" s="3" t="s">
        <v>7010</v>
      </c>
      <c r="BF859" s="3" t="s">
        <v>7010</v>
      </c>
      <c r="BG859" s="3" t="s">
        <v>7010</v>
      </c>
      <c r="BH859" s="3" t="s">
        <v>7010</v>
      </c>
      <c r="BI859" s="3" t="s">
        <v>7010</v>
      </c>
      <c r="BJ859" s="3" t="s">
        <v>7010</v>
      </c>
      <c r="BK859" s="74" t="str">
        <f t="shared" si="55"/>
        <v>No</v>
      </c>
    </row>
    <row r="860" spans="7:63">
      <c r="G860">
        <v>859</v>
      </c>
      <c r="H860" s="7" t="s">
        <v>1330</v>
      </c>
      <c r="I860" t="s">
        <v>29</v>
      </c>
      <c r="J860">
        <f>LEN(H860)</f>
        <v>9</v>
      </c>
      <c r="K860" s="49" t="s">
        <v>4540</v>
      </c>
      <c r="O860" s="3" t="s">
        <v>7010</v>
      </c>
      <c r="P860" s="3" t="s">
        <v>7010</v>
      </c>
      <c r="Q860" s="3" t="s">
        <v>7010</v>
      </c>
      <c r="R860" s="3" t="s">
        <v>7010</v>
      </c>
      <c r="S860" s="3" t="s">
        <v>7010</v>
      </c>
      <c r="T860" s="3" t="s">
        <v>7010</v>
      </c>
      <c r="U860" s="3" t="s">
        <v>7010</v>
      </c>
      <c r="V860" s="3" t="s">
        <v>7010</v>
      </c>
      <c r="W860" s="74" t="str">
        <f t="shared" si="53"/>
        <v>No</v>
      </c>
      <c r="Z860">
        <v>859</v>
      </c>
      <c r="AA860" s="55" t="s">
        <v>6226</v>
      </c>
      <c r="AC860">
        <f t="shared" si="52"/>
        <v>6</v>
      </c>
      <c r="AD860" s="30" t="s">
        <v>6227</v>
      </c>
      <c r="AH860" s="3" t="s">
        <v>7015</v>
      </c>
      <c r="AI860" s="3" t="s">
        <v>7010</v>
      </c>
      <c r="AJ860" s="3" t="s">
        <v>7010</v>
      </c>
      <c r="AK860" s="3" t="s">
        <v>7015</v>
      </c>
      <c r="AL860" s="3" t="s">
        <v>7010</v>
      </c>
      <c r="AM860" s="3" t="s">
        <v>7010</v>
      </c>
      <c r="AN860" s="3" t="s">
        <v>7010</v>
      </c>
      <c r="AO860" s="3" t="s">
        <v>7010</v>
      </c>
      <c r="AP860" s="74" t="s">
        <v>7015</v>
      </c>
      <c r="AU860">
        <v>859</v>
      </c>
      <c r="AV860" t="s">
        <v>6228</v>
      </c>
      <c r="AW860" t="s">
        <v>2279</v>
      </c>
      <c r="AX860">
        <f t="shared" si="54"/>
        <v>9</v>
      </c>
      <c r="AY860" s="30" t="s">
        <v>6229</v>
      </c>
      <c r="BC860" s="3" t="s">
        <v>7010</v>
      </c>
      <c r="BD860" s="3" t="s">
        <v>7010</v>
      </c>
      <c r="BE860" s="3" t="s">
        <v>7010</v>
      </c>
      <c r="BF860" s="3" t="s">
        <v>7010</v>
      </c>
      <c r="BG860" s="3" t="s">
        <v>7010</v>
      </c>
      <c r="BH860" s="3" t="s">
        <v>7010</v>
      </c>
      <c r="BI860" s="3" t="s">
        <v>7010</v>
      </c>
      <c r="BJ860" s="3" t="s">
        <v>7010</v>
      </c>
      <c r="BK860" s="74" t="str">
        <f t="shared" si="55"/>
        <v>No</v>
      </c>
    </row>
    <row r="861" spans="7:63">
      <c r="G861">
        <v>860</v>
      </c>
      <c r="H861" s="7" t="s">
        <v>1496</v>
      </c>
      <c r="I861" t="s">
        <v>29</v>
      </c>
      <c r="J861">
        <f>LEN(H861)</f>
        <v>11</v>
      </c>
      <c r="K861" s="49" t="s">
        <v>4964</v>
      </c>
      <c r="O861" s="3" t="s">
        <v>7010</v>
      </c>
      <c r="P861" s="3" t="s">
        <v>7010</v>
      </c>
      <c r="Q861" s="3" t="s">
        <v>7010</v>
      </c>
      <c r="R861" s="3" t="s">
        <v>7010</v>
      </c>
      <c r="S861" s="3" t="s">
        <v>7010</v>
      </c>
      <c r="T861" s="3" t="s">
        <v>7010</v>
      </c>
      <c r="U861" s="3" t="s">
        <v>7015</v>
      </c>
      <c r="V861" s="3" t="s">
        <v>7010</v>
      </c>
      <c r="W861" s="74" t="str">
        <f t="shared" si="53"/>
        <v>Yes</v>
      </c>
      <c r="Z861">
        <v>860</v>
      </c>
      <c r="AA861" s="55" t="s">
        <v>6231</v>
      </c>
      <c r="AC861">
        <f t="shared" si="52"/>
        <v>8</v>
      </c>
      <c r="AD861" s="30" t="s">
        <v>6232</v>
      </c>
      <c r="AH861" s="3" t="s">
        <v>7015</v>
      </c>
      <c r="AI861" s="3" t="s">
        <v>7010</v>
      </c>
      <c r="AJ861" s="3" t="s">
        <v>7010</v>
      </c>
      <c r="AK861" s="3" t="s">
        <v>7015</v>
      </c>
      <c r="AL861" s="3" t="s">
        <v>7010</v>
      </c>
      <c r="AM861" s="3" t="s">
        <v>7010</v>
      </c>
      <c r="AN861" s="3" t="s">
        <v>7010</v>
      </c>
      <c r="AO861" s="3" t="s">
        <v>7010</v>
      </c>
      <c r="AP861" s="74" t="s">
        <v>7015</v>
      </c>
      <c r="AU861">
        <v>860</v>
      </c>
      <c r="AV861" t="s">
        <v>6233</v>
      </c>
      <c r="AW861" t="s">
        <v>2279</v>
      </c>
      <c r="AX861">
        <f t="shared" si="54"/>
        <v>10</v>
      </c>
      <c r="AY861" s="30" t="s">
        <v>6234</v>
      </c>
      <c r="BC861" s="3" t="s">
        <v>7010</v>
      </c>
      <c r="BD861" s="3" t="s">
        <v>7010</v>
      </c>
      <c r="BE861" s="3" t="s">
        <v>7010</v>
      </c>
      <c r="BF861" s="3" t="s">
        <v>7010</v>
      </c>
      <c r="BG861" s="3" t="s">
        <v>7010</v>
      </c>
      <c r="BH861" s="3" t="s">
        <v>7010</v>
      </c>
      <c r="BI861" s="3" t="s">
        <v>7010</v>
      </c>
      <c r="BJ861" s="3" t="s">
        <v>7010</v>
      </c>
      <c r="BK861" s="74" t="str">
        <f t="shared" si="55"/>
        <v>No</v>
      </c>
    </row>
    <row r="862" spans="7:63">
      <c r="G862">
        <v>861</v>
      </c>
      <c r="H862" s="7" t="s">
        <v>1200</v>
      </c>
      <c r="I862" t="s">
        <v>29</v>
      </c>
      <c r="J862">
        <f>LEN(H862)</f>
        <v>8</v>
      </c>
      <c r="K862" s="49" t="s">
        <v>4215</v>
      </c>
      <c r="O862" s="3" t="s">
        <v>7010</v>
      </c>
      <c r="P862" s="3" t="s">
        <v>7010</v>
      </c>
      <c r="Q862" s="3" t="s">
        <v>7010</v>
      </c>
      <c r="R862" s="3" t="s">
        <v>7010</v>
      </c>
      <c r="S862" s="3" t="s">
        <v>7010</v>
      </c>
      <c r="T862" s="3" t="s">
        <v>7010</v>
      </c>
      <c r="U862" s="3" t="s">
        <v>7010</v>
      </c>
      <c r="V862" s="3" t="s">
        <v>7010</v>
      </c>
      <c r="W862" s="74" t="str">
        <f t="shared" si="53"/>
        <v>No</v>
      </c>
      <c r="Z862">
        <v>861</v>
      </c>
      <c r="AA862" s="55" t="s">
        <v>6235</v>
      </c>
      <c r="AC862">
        <f t="shared" si="52"/>
        <v>6</v>
      </c>
      <c r="AD862" s="30" t="s">
        <v>6236</v>
      </c>
      <c r="AH862" s="3" t="s">
        <v>7015</v>
      </c>
      <c r="AI862" s="3" t="s">
        <v>7010</v>
      </c>
      <c r="AJ862" s="3" t="s">
        <v>7010</v>
      </c>
      <c r="AK862" s="3" t="s">
        <v>7015</v>
      </c>
      <c r="AL862" s="3" t="s">
        <v>7010</v>
      </c>
      <c r="AM862" s="3" t="s">
        <v>7010</v>
      </c>
      <c r="AN862" s="3" t="s">
        <v>7010</v>
      </c>
      <c r="AO862" s="3" t="s">
        <v>7010</v>
      </c>
      <c r="AP862" s="74" t="s">
        <v>7015</v>
      </c>
      <c r="AU862">
        <v>861</v>
      </c>
      <c r="AV862" t="s">
        <v>6237</v>
      </c>
      <c r="AW862" t="s">
        <v>2279</v>
      </c>
      <c r="AX862">
        <f t="shared" si="54"/>
        <v>8</v>
      </c>
      <c r="AY862" s="30" t="s">
        <v>6238</v>
      </c>
      <c r="BC862" s="3" t="s">
        <v>7010</v>
      </c>
      <c r="BD862" s="3" t="s">
        <v>7010</v>
      </c>
      <c r="BE862" s="3" t="s">
        <v>7010</v>
      </c>
      <c r="BF862" s="3" t="s">
        <v>7010</v>
      </c>
      <c r="BG862" s="3" t="s">
        <v>7010</v>
      </c>
      <c r="BH862" s="3" t="s">
        <v>7010</v>
      </c>
      <c r="BI862" s="3" t="s">
        <v>7010</v>
      </c>
      <c r="BJ862" s="3" t="s">
        <v>7010</v>
      </c>
      <c r="BK862" s="74" t="str">
        <f t="shared" si="55"/>
        <v>No</v>
      </c>
    </row>
    <row r="863" spans="7:63">
      <c r="G863">
        <v>862</v>
      </c>
      <c r="H863" s="7" t="s">
        <v>1290</v>
      </c>
      <c r="I863" t="s">
        <v>29</v>
      </c>
      <c r="J863">
        <f>LEN(H863)</f>
        <v>8</v>
      </c>
      <c r="K863" s="49" t="s">
        <v>4441</v>
      </c>
      <c r="O863" s="3" t="s">
        <v>7010</v>
      </c>
      <c r="P863" s="3" t="s">
        <v>7010</v>
      </c>
      <c r="Q863" s="3" t="s">
        <v>7010</v>
      </c>
      <c r="R863" s="3" t="s">
        <v>7010</v>
      </c>
      <c r="S863" s="3" t="s">
        <v>7010</v>
      </c>
      <c r="T863" s="3" t="s">
        <v>7010</v>
      </c>
      <c r="U863" s="3" t="s">
        <v>7010</v>
      </c>
      <c r="V863" s="3" t="s">
        <v>7010</v>
      </c>
      <c r="W863" s="74" t="str">
        <f t="shared" si="53"/>
        <v>No</v>
      </c>
      <c r="Z863">
        <v>862</v>
      </c>
      <c r="AA863" s="55" t="s">
        <v>6240</v>
      </c>
      <c r="AC863">
        <f t="shared" si="52"/>
        <v>6</v>
      </c>
      <c r="AD863" s="30" t="s">
        <v>6241</v>
      </c>
      <c r="AH863" s="3" t="s">
        <v>7015</v>
      </c>
      <c r="AI863" s="3" t="s">
        <v>7010</v>
      </c>
      <c r="AJ863" s="3" t="s">
        <v>7010</v>
      </c>
      <c r="AK863" s="3" t="s">
        <v>7015</v>
      </c>
      <c r="AL863" s="3" t="s">
        <v>7010</v>
      </c>
      <c r="AM863" s="3" t="s">
        <v>7010</v>
      </c>
      <c r="AN863" s="3" t="s">
        <v>7010</v>
      </c>
      <c r="AO863" s="3" t="s">
        <v>7010</v>
      </c>
      <c r="AP863" s="74" t="s">
        <v>7015</v>
      </c>
      <c r="AU863">
        <v>862</v>
      </c>
      <c r="AV863" t="s">
        <v>6242</v>
      </c>
      <c r="AW863" t="s">
        <v>2279</v>
      </c>
      <c r="AX863">
        <f t="shared" si="54"/>
        <v>8</v>
      </c>
      <c r="AY863" s="30" t="s">
        <v>6243</v>
      </c>
      <c r="BC863" s="3" t="s">
        <v>7010</v>
      </c>
      <c r="BD863" s="3" t="s">
        <v>7010</v>
      </c>
      <c r="BE863" s="3" t="s">
        <v>7010</v>
      </c>
      <c r="BF863" s="3" t="s">
        <v>7010</v>
      </c>
      <c r="BG863" s="3" t="s">
        <v>7010</v>
      </c>
      <c r="BH863" s="3" t="s">
        <v>7010</v>
      </c>
      <c r="BI863" s="3" t="s">
        <v>7010</v>
      </c>
      <c r="BJ863" s="3" t="s">
        <v>7010</v>
      </c>
      <c r="BK863" s="74" t="str">
        <f t="shared" si="55"/>
        <v>No</v>
      </c>
    </row>
    <row r="864" spans="7:63">
      <c r="G864">
        <v>863</v>
      </c>
      <c r="H864" s="7" t="s">
        <v>544</v>
      </c>
      <c r="I864" t="s">
        <v>29</v>
      </c>
      <c r="J864">
        <f>LEN(H864)</f>
        <v>9</v>
      </c>
      <c r="K864" s="49" t="s">
        <v>3093</v>
      </c>
      <c r="O864" s="3" t="s">
        <v>7010</v>
      </c>
      <c r="P864" s="3" t="s">
        <v>7010</v>
      </c>
      <c r="Q864" s="3" t="s">
        <v>7010</v>
      </c>
      <c r="R864" s="3" t="s">
        <v>7010</v>
      </c>
      <c r="S864" s="3" t="s">
        <v>7010</v>
      </c>
      <c r="T864" s="3" t="s">
        <v>7010</v>
      </c>
      <c r="U864" s="3" t="s">
        <v>7010</v>
      </c>
      <c r="V864" s="3" t="s">
        <v>7010</v>
      </c>
      <c r="W864" s="74" t="str">
        <f t="shared" si="53"/>
        <v>No</v>
      </c>
      <c r="Z864">
        <v>863</v>
      </c>
      <c r="AA864" s="55" t="s">
        <v>6245</v>
      </c>
      <c r="AC864">
        <f t="shared" si="52"/>
        <v>6</v>
      </c>
      <c r="AD864" s="30" t="s">
        <v>6246</v>
      </c>
      <c r="AH864" s="3" t="s">
        <v>7015</v>
      </c>
      <c r="AI864" s="3" t="s">
        <v>7010</v>
      </c>
      <c r="AJ864" s="3" t="s">
        <v>7010</v>
      </c>
      <c r="AK864" s="3" t="s">
        <v>7015</v>
      </c>
      <c r="AL864" s="3" t="s">
        <v>7010</v>
      </c>
      <c r="AM864" s="3" t="s">
        <v>7010</v>
      </c>
      <c r="AN864" s="3" t="s">
        <v>7010</v>
      </c>
      <c r="AO864" s="3" t="s">
        <v>7010</v>
      </c>
      <c r="AP864" s="74" t="s">
        <v>7015</v>
      </c>
      <c r="AU864">
        <v>863</v>
      </c>
      <c r="AV864" t="s">
        <v>6247</v>
      </c>
      <c r="AW864" t="s">
        <v>2279</v>
      </c>
      <c r="AX864">
        <f t="shared" si="54"/>
        <v>8</v>
      </c>
      <c r="AY864" s="30" t="s">
        <v>6248</v>
      </c>
      <c r="BC864" s="3" t="s">
        <v>7010</v>
      </c>
      <c r="BD864" s="3" t="s">
        <v>7010</v>
      </c>
      <c r="BE864" s="3" t="s">
        <v>7010</v>
      </c>
      <c r="BF864" s="3" t="s">
        <v>7010</v>
      </c>
      <c r="BG864" s="3" t="s">
        <v>7010</v>
      </c>
      <c r="BH864" s="3" t="s">
        <v>7010</v>
      </c>
      <c r="BI864" s="3" t="s">
        <v>7010</v>
      </c>
      <c r="BJ864" s="3" t="s">
        <v>7010</v>
      </c>
      <c r="BK864" s="74" t="str">
        <f t="shared" si="55"/>
        <v>No</v>
      </c>
    </row>
    <row r="865" spans="7:63">
      <c r="G865">
        <v>864</v>
      </c>
      <c r="H865" s="7" t="s">
        <v>1244</v>
      </c>
      <c r="I865" t="s">
        <v>29</v>
      </c>
      <c r="J865">
        <f>LEN(H865)</f>
        <v>7</v>
      </c>
      <c r="K865" s="49" t="s">
        <v>4325</v>
      </c>
      <c r="O865" s="3" t="s">
        <v>7010</v>
      </c>
      <c r="P865" s="3" t="s">
        <v>7010</v>
      </c>
      <c r="Q865" s="3" t="s">
        <v>7010</v>
      </c>
      <c r="R865" s="3" t="s">
        <v>7010</v>
      </c>
      <c r="S865" s="3" t="s">
        <v>7010</v>
      </c>
      <c r="T865" s="3" t="s">
        <v>7010</v>
      </c>
      <c r="U865" s="3" t="s">
        <v>7010</v>
      </c>
      <c r="V865" s="3" t="s">
        <v>7010</v>
      </c>
      <c r="W865" s="74" t="str">
        <f t="shared" si="53"/>
        <v>No</v>
      </c>
      <c r="Z865">
        <v>864</v>
      </c>
      <c r="AA865" s="55" t="s">
        <v>6250</v>
      </c>
      <c r="AC865">
        <f t="shared" si="52"/>
        <v>6</v>
      </c>
      <c r="AD865" s="30" t="s">
        <v>6251</v>
      </c>
      <c r="AH865" s="3" t="s">
        <v>7015</v>
      </c>
      <c r="AI865" s="3" t="s">
        <v>7010</v>
      </c>
      <c r="AJ865" s="3" t="s">
        <v>7010</v>
      </c>
      <c r="AK865" s="3" t="s">
        <v>7015</v>
      </c>
      <c r="AL865" s="3" t="s">
        <v>7010</v>
      </c>
      <c r="AM865" s="3" t="s">
        <v>7010</v>
      </c>
      <c r="AN865" s="3" t="s">
        <v>7010</v>
      </c>
      <c r="AO865" s="3" t="s">
        <v>7010</v>
      </c>
      <c r="AP865" s="74" t="s">
        <v>7015</v>
      </c>
      <c r="AU865">
        <v>864</v>
      </c>
      <c r="AV865" t="s">
        <v>6252</v>
      </c>
      <c r="AW865" t="s">
        <v>2279</v>
      </c>
      <c r="AX865">
        <f t="shared" si="54"/>
        <v>16</v>
      </c>
      <c r="AY865" s="30" t="s">
        <v>6253</v>
      </c>
      <c r="BC865" s="3" t="s">
        <v>7010</v>
      </c>
      <c r="BD865" s="3" t="s">
        <v>7010</v>
      </c>
      <c r="BE865" s="3" t="s">
        <v>7010</v>
      </c>
      <c r="BF865" s="3" t="s">
        <v>7010</v>
      </c>
      <c r="BG865" s="3" t="s">
        <v>7010</v>
      </c>
      <c r="BH865" s="3" t="s">
        <v>7010</v>
      </c>
      <c r="BI865" s="3" t="s">
        <v>7010</v>
      </c>
      <c r="BJ865" s="3" t="s">
        <v>7010</v>
      </c>
      <c r="BK865" s="74" t="str">
        <f t="shared" si="55"/>
        <v>No</v>
      </c>
    </row>
    <row r="866" spans="7:63">
      <c r="G866">
        <v>865</v>
      </c>
      <c r="H866" s="7" t="s">
        <v>1346</v>
      </c>
      <c r="I866" t="s">
        <v>29</v>
      </c>
      <c r="J866">
        <f>LEN(H866)</f>
        <v>8</v>
      </c>
      <c r="K866" s="49" t="s">
        <v>4580</v>
      </c>
      <c r="O866" s="3" t="s">
        <v>7010</v>
      </c>
      <c r="P866" s="3" t="s">
        <v>7010</v>
      </c>
      <c r="Q866" s="3" t="s">
        <v>7010</v>
      </c>
      <c r="R866" s="3" t="s">
        <v>7010</v>
      </c>
      <c r="S866" s="3" t="s">
        <v>7010</v>
      </c>
      <c r="T866" s="3" t="s">
        <v>7010</v>
      </c>
      <c r="U866" s="3" t="s">
        <v>7010</v>
      </c>
      <c r="V866" s="3" t="s">
        <v>7010</v>
      </c>
      <c r="W866" s="74" t="str">
        <f t="shared" si="53"/>
        <v>No</v>
      </c>
      <c r="Z866">
        <v>865</v>
      </c>
      <c r="AA866" s="55" t="s">
        <v>6254</v>
      </c>
      <c r="AC866">
        <f t="shared" si="52"/>
        <v>6</v>
      </c>
      <c r="AD866" s="30" t="s">
        <v>6255</v>
      </c>
      <c r="AH866" s="3" t="s">
        <v>7015</v>
      </c>
      <c r="AI866" s="3" t="s">
        <v>7010</v>
      </c>
      <c r="AJ866" s="3" t="s">
        <v>7010</v>
      </c>
      <c r="AK866" s="3" t="s">
        <v>7015</v>
      </c>
      <c r="AL866" s="3" t="s">
        <v>7010</v>
      </c>
      <c r="AM866" s="3" t="s">
        <v>7010</v>
      </c>
      <c r="AN866" s="3" t="s">
        <v>7010</v>
      </c>
      <c r="AO866" s="3" t="s">
        <v>7010</v>
      </c>
      <c r="AP866" s="74" t="s">
        <v>7015</v>
      </c>
      <c r="AU866">
        <v>865</v>
      </c>
      <c r="AV866" t="s">
        <v>6256</v>
      </c>
      <c r="AW866" t="s">
        <v>2279</v>
      </c>
      <c r="AX866">
        <f t="shared" si="54"/>
        <v>16</v>
      </c>
      <c r="AY866" s="30" t="s">
        <v>6257</v>
      </c>
      <c r="BC866" s="3" t="s">
        <v>7010</v>
      </c>
      <c r="BD866" s="3" t="s">
        <v>7010</v>
      </c>
      <c r="BE866" s="3" t="s">
        <v>7010</v>
      </c>
      <c r="BF866" s="3" t="s">
        <v>7010</v>
      </c>
      <c r="BG866" s="3" t="s">
        <v>7010</v>
      </c>
      <c r="BH866" s="3" t="s">
        <v>7010</v>
      </c>
      <c r="BI866" s="3" t="s">
        <v>7010</v>
      </c>
      <c r="BJ866" s="3" t="s">
        <v>7010</v>
      </c>
      <c r="BK866" s="74" t="str">
        <f t="shared" si="55"/>
        <v>No</v>
      </c>
    </row>
    <row r="867" spans="7:63">
      <c r="G867">
        <v>866</v>
      </c>
      <c r="H867" s="7" t="s">
        <v>551</v>
      </c>
      <c r="I867" t="s">
        <v>29</v>
      </c>
      <c r="J867">
        <f>LEN(H867)</f>
        <v>11</v>
      </c>
      <c r="K867" s="49" t="s">
        <v>3121</v>
      </c>
      <c r="O867" s="3" t="s">
        <v>7010</v>
      </c>
      <c r="P867" s="3" t="s">
        <v>7010</v>
      </c>
      <c r="Q867" s="3" t="s">
        <v>7010</v>
      </c>
      <c r="R867" s="3" t="s">
        <v>7010</v>
      </c>
      <c r="S867" s="3" t="s">
        <v>7010</v>
      </c>
      <c r="T867" s="3" t="s">
        <v>7010</v>
      </c>
      <c r="U867" s="3" t="s">
        <v>7015</v>
      </c>
      <c r="V867" s="3" t="s">
        <v>7010</v>
      </c>
      <c r="W867" s="74" t="str">
        <f t="shared" si="53"/>
        <v>Yes</v>
      </c>
      <c r="Z867">
        <v>866</v>
      </c>
      <c r="AA867" s="55" t="s">
        <v>6259</v>
      </c>
      <c r="AC867">
        <f t="shared" si="52"/>
        <v>6</v>
      </c>
      <c r="AD867" s="30" t="s">
        <v>6260</v>
      </c>
      <c r="AH867" s="3" t="s">
        <v>7015</v>
      </c>
      <c r="AI867" s="3" t="s">
        <v>7010</v>
      </c>
      <c r="AJ867" s="3" t="s">
        <v>7010</v>
      </c>
      <c r="AK867" s="3" t="s">
        <v>7015</v>
      </c>
      <c r="AL867" s="3" t="s">
        <v>7010</v>
      </c>
      <c r="AM867" s="3" t="s">
        <v>7010</v>
      </c>
      <c r="AN867" s="3" t="s">
        <v>7010</v>
      </c>
      <c r="AO867" s="3" t="s">
        <v>7010</v>
      </c>
      <c r="AP867" s="74" t="s">
        <v>7015</v>
      </c>
      <c r="AU867">
        <v>866</v>
      </c>
      <c r="AV867" t="s">
        <v>6261</v>
      </c>
      <c r="AW867" t="s">
        <v>2279</v>
      </c>
      <c r="AX867">
        <f t="shared" si="54"/>
        <v>8</v>
      </c>
      <c r="AY867" s="30" t="s">
        <v>6262</v>
      </c>
      <c r="BC867" s="3" t="s">
        <v>7010</v>
      </c>
      <c r="BD867" s="3" t="s">
        <v>7010</v>
      </c>
      <c r="BE867" s="3" t="s">
        <v>7010</v>
      </c>
      <c r="BF867" s="3" t="s">
        <v>7010</v>
      </c>
      <c r="BG867" s="3" t="s">
        <v>7010</v>
      </c>
      <c r="BH867" s="3" t="s">
        <v>7010</v>
      </c>
      <c r="BI867" s="3" t="s">
        <v>7010</v>
      </c>
      <c r="BJ867" s="3" t="s">
        <v>7010</v>
      </c>
      <c r="BK867" s="74" t="str">
        <f t="shared" si="55"/>
        <v>No</v>
      </c>
    </row>
    <row r="868" spans="7:63">
      <c r="G868">
        <v>867</v>
      </c>
      <c r="H868" s="7" t="s">
        <v>1634</v>
      </c>
      <c r="I868" t="s">
        <v>29</v>
      </c>
      <c r="J868">
        <f>LEN(H868)</f>
        <v>10</v>
      </c>
      <c r="K868" s="49" t="s">
        <v>5315</v>
      </c>
      <c r="O868" s="3" t="s">
        <v>7010</v>
      </c>
      <c r="P868" s="3" t="s">
        <v>7010</v>
      </c>
      <c r="Q868" s="3" t="s">
        <v>7010</v>
      </c>
      <c r="R868" s="3" t="s">
        <v>7010</v>
      </c>
      <c r="S868" s="3" t="s">
        <v>7010</v>
      </c>
      <c r="T868" s="3" t="s">
        <v>7010</v>
      </c>
      <c r="U868" s="3" t="s">
        <v>7015</v>
      </c>
      <c r="V868" s="3" t="s">
        <v>7010</v>
      </c>
      <c r="W868" s="74" t="str">
        <f t="shared" si="53"/>
        <v>Yes</v>
      </c>
      <c r="Z868">
        <v>867</v>
      </c>
      <c r="AA868" s="55" t="s">
        <v>6264</v>
      </c>
      <c r="AC868">
        <f t="shared" si="52"/>
        <v>6</v>
      </c>
      <c r="AD868" s="30" t="s">
        <v>6265</v>
      </c>
      <c r="AH868" s="3" t="s">
        <v>7015</v>
      </c>
      <c r="AI868" s="3" t="s">
        <v>7010</v>
      </c>
      <c r="AJ868" s="3" t="s">
        <v>7010</v>
      </c>
      <c r="AK868" s="3" t="s">
        <v>7015</v>
      </c>
      <c r="AL868" s="3" t="s">
        <v>7010</v>
      </c>
      <c r="AM868" s="3" t="s">
        <v>7010</v>
      </c>
      <c r="AN868" s="3" t="s">
        <v>7010</v>
      </c>
      <c r="AO868" s="3" t="s">
        <v>7010</v>
      </c>
      <c r="AP868" s="74" t="s">
        <v>7015</v>
      </c>
      <c r="AU868">
        <v>867</v>
      </c>
      <c r="AV868" t="s">
        <v>6266</v>
      </c>
      <c r="AW868" t="s">
        <v>2279</v>
      </c>
      <c r="AX868">
        <f t="shared" si="54"/>
        <v>8</v>
      </c>
      <c r="AY868" s="31" t="s">
        <v>6267</v>
      </c>
      <c r="BC868" s="3" t="s">
        <v>7010</v>
      </c>
      <c r="BD868" s="3" t="s">
        <v>7010</v>
      </c>
      <c r="BE868" s="3" t="s">
        <v>7015</v>
      </c>
      <c r="BF868" s="3" t="s">
        <v>7010</v>
      </c>
      <c r="BG868" s="3" t="s">
        <v>7010</v>
      </c>
      <c r="BH868" s="3" t="s">
        <v>7010</v>
      </c>
      <c r="BI868" s="3" t="s">
        <v>7010</v>
      </c>
      <c r="BJ868" s="3" t="s">
        <v>7010</v>
      </c>
      <c r="BK868" s="74" t="str">
        <f t="shared" si="55"/>
        <v>Yes</v>
      </c>
    </row>
    <row r="869" spans="7:63">
      <c r="G869">
        <v>868</v>
      </c>
      <c r="H869" s="7" t="s">
        <v>1422</v>
      </c>
      <c r="I869" t="s">
        <v>29</v>
      </c>
      <c r="J869">
        <f>LEN(H869)</f>
        <v>9</v>
      </c>
      <c r="K869" s="49" t="s">
        <v>4778</v>
      </c>
      <c r="O869" s="3" t="s">
        <v>7010</v>
      </c>
      <c r="P869" s="3" t="s">
        <v>7010</v>
      </c>
      <c r="Q869" s="3" t="s">
        <v>7010</v>
      </c>
      <c r="R869" s="3" t="s">
        <v>7010</v>
      </c>
      <c r="S869" s="3" t="s">
        <v>7010</v>
      </c>
      <c r="T869" s="3" t="s">
        <v>7010</v>
      </c>
      <c r="U869" s="3" t="s">
        <v>7010</v>
      </c>
      <c r="V869" s="3" t="s">
        <v>7010</v>
      </c>
      <c r="W869" s="74" t="str">
        <f t="shared" si="53"/>
        <v>No</v>
      </c>
      <c r="Z869">
        <v>868</v>
      </c>
      <c r="AA869" s="55" t="s">
        <v>6269</v>
      </c>
      <c r="AC869">
        <f t="shared" si="52"/>
        <v>6</v>
      </c>
      <c r="AD869" s="30" t="s">
        <v>6270</v>
      </c>
      <c r="AH869" s="3" t="s">
        <v>7015</v>
      </c>
      <c r="AI869" s="3" t="s">
        <v>7010</v>
      </c>
      <c r="AJ869" s="3" t="s">
        <v>7010</v>
      </c>
      <c r="AK869" s="3" t="s">
        <v>7015</v>
      </c>
      <c r="AL869" s="3" t="s">
        <v>7010</v>
      </c>
      <c r="AM869" s="3" t="s">
        <v>7010</v>
      </c>
      <c r="AN869" s="3" t="s">
        <v>7010</v>
      </c>
      <c r="AO869" s="3" t="s">
        <v>7010</v>
      </c>
      <c r="AP869" s="74" t="s">
        <v>7015</v>
      </c>
      <c r="AU869">
        <v>868</v>
      </c>
      <c r="AV869" t="s">
        <v>6271</v>
      </c>
      <c r="AW869" t="s">
        <v>2279</v>
      </c>
      <c r="AX869">
        <f t="shared" si="54"/>
        <v>8</v>
      </c>
      <c r="AY869" s="30" t="s">
        <v>6272</v>
      </c>
      <c r="BC869" s="3" t="s">
        <v>7010</v>
      </c>
      <c r="BD869" s="3" t="s">
        <v>7010</v>
      </c>
      <c r="BE869" s="3" t="s">
        <v>7010</v>
      </c>
      <c r="BF869" s="3" t="s">
        <v>7010</v>
      </c>
      <c r="BG869" s="3" t="s">
        <v>7010</v>
      </c>
      <c r="BH869" s="3" t="s">
        <v>7010</v>
      </c>
      <c r="BI869" s="3" t="s">
        <v>7010</v>
      </c>
      <c r="BJ869" s="3" t="s">
        <v>7010</v>
      </c>
      <c r="BK869" s="74" t="str">
        <f t="shared" si="55"/>
        <v>No</v>
      </c>
    </row>
    <row r="870" spans="7:63">
      <c r="G870">
        <v>869</v>
      </c>
      <c r="H870" s="7" t="s">
        <v>1318</v>
      </c>
      <c r="I870" t="s">
        <v>29</v>
      </c>
      <c r="J870">
        <f>LEN(H870)</f>
        <v>8</v>
      </c>
      <c r="K870" s="49" t="s">
        <v>4511</v>
      </c>
      <c r="O870" s="3" t="s">
        <v>7010</v>
      </c>
      <c r="P870" s="3" t="s">
        <v>7010</v>
      </c>
      <c r="Q870" s="3" t="s">
        <v>7010</v>
      </c>
      <c r="R870" s="3" t="s">
        <v>7010</v>
      </c>
      <c r="S870" s="3" t="s">
        <v>7010</v>
      </c>
      <c r="T870" s="3" t="s">
        <v>7010</v>
      </c>
      <c r="U870" s="3" t="s">
        <v>7010</v>
      </c>
      <c r="V870" s="3" t="s">
        <v>7010</v>
      </c>
      <c r="W870" s="74" t="str">
        <f t="shared" si="53"/>
        <v>No</v>
      </c>
      <c r="Z870">
        <v>869</v>
      </c>
      <c r="AA870" s="55">
        <v>741852963</v>
      </c>
      <c r="AC870">
        <f t="shared" si="52"/>
        <v>9</v>
      </c>
      <c r="AD870" s="30" t="s">
        <v>6274</v>
      </c>
      <c r="AH870" s="3" t="s">
        <v>7015</v>
      </c>
      <c r="AI870" s="3" t="s">
        <v>7010</v>
      </c>
      <c r="AJ870" s="3" t="s">
        <v>7010</v>
      </c>
      <c r="AK870" s="3" t="s">
        <v>7015</v>
      </c>
      <c r="AL870" s="3" t="s">
        <v>7010</v>
      </c>
      <c r="AM870" s="3" t="s">
        <v>7010</v>
      </c>
      <c r="AN870" s="3" t="s">
        <v>7010</v>
      </c>
      <c r="AO870" s="3" t="s">
        <v>7010</v>
      </c>
      <c r="AP870" s="74" t="s">
        <v>7015</v>
      </c>
      <c r="AU870">
        <v>869</v>
      </c>
      <c r="AV870" t="s">
        <v>6275</v>
      </c>
      <c r="AW870" t="s">
        <v>2279</v>
      </c>
      <c r="AX870">
        <f t="shared" si="54"/>
        <v>8</v>
      </c>
      <c r="AY870" s="30" t="s">
        <v>6276</v>
      </c>
      <c r="BC870" s="3" t="s">
        <v>7010</v>
      </c>
      <c r="BD870" s="3" t="s">
        <v>7010</v>
      </c>
      <c r="BE870" s="3" t="s">
        <v>7010</v>
      </c>
      <c r="BF870" s="3" t="s">
        <v>7010</v>
      </c>
      <c r="BG870" s="3" t="s">
        <v>7010</v>
      </c>
      <c r="BH870" s="3" t="s">
        <v>7010</v>
      </c>
      <c r="BI870" s="3" t="s">
        <v>7010</v>
      </c>
      <c r="BJ870" s="3" t="s">
        <v>7010</v>
      </c>
      <c r="BK870" s="74" t="str">
        <f t="shared" si="55"/>
        <v>No</v>
      </c>
    </row>
    <row r="871" spans="7:63">
      <c r="G871">
        <v>870</v>
      </c>
      <c r="H871" s="7" t="s">
        <v>1320</v>
      </c>
      <c r="I871" t="s">
        <v>29</v>
      </c>
      <c r="J871">
        <f>LEN(H871)</f>
        <v>9</v>
      </c>
      <c r="K871" s="49" t="s">
        <v>4516</v>
      </c>
      <c r="O871" s="3" t="s">
        <v>7010</v>
      </c>
      <c r="P871" s="3" t="s">
        <v>7010</v>
      </c>
      <c r="Q871" s="3" t="s">
        <v>7010</v>
      </c>
      <c r="R871" s="3" t="s">
        <v>7010</v>
      </c>
      <c r="S871" s="3" t="s">
        <v>7010</v>
      </c>
      <c r="T871" s="3" t="s">
        <v>7010</v>
      </c>
      <c r="U871" s="3" t="s">
        <v>7010</v>
      </c>
      <c r="V871" s="3" t="s">
        <v>7010</v>
      </c>
      <c r="W871" s="74" t="str">
        <f t="shared" si="53"/>
        <v>No</v>
      </c>
      <c r="Z871">
        <v>870</v>
      </c>
      <c r="AA871" s="55" t="s">
        <v>6278</v>
      </c>
      <c r="AC871">
        <f t="shared" si="52"/>
        <v>9</v>
      </c>
      <c r="AD871" s="30" t="s">
        <v>6279</v>
      </c>
      <c r="AH871" s="3" t="s">
        <v>7015</v>
      </c>
      <c r="AI871" s="3" t="s">
        <v>7010</v>
      </c>
      <c r="AJ871" s="3" t="s">
        <v>7010</v>
      </c>
      <c r="AK871" s="3" t="s">
        <v>7015</v>
      </c>
      <c r="AL871" s="3" t="s">
        <v>7010</v>
      </c>
      <c r="AM871" s="3" t="s">
        <v>7010</v>
      </c>
      <c r="AN871" s="3" t="s">
        <v>7010</v>
      </c>
      <c r="AO871" s="3" t="s">
        <v>7010</v>
      </c>
      <c r="AP871" s="74" t="s">
        <v>7015</v>
      </c>
      <c r="AU871">
        <v>870</v>
      </c>
      <c r="AV871" t="s">
        <v>6280</v>
      </c>
      <c r="AW871" t="s">
        <v>2279</v>
      </c>
      <c r="AX871">
        <f t="shared" si="54"/>
        <v>8</v>
      </c>
      <c r="AY871" s="30" t="s">
        <v>6281</v>
      </c>
      <c r="BC871" s="3" t="s">
        <v>7010</v>
      </c>
      <c r="BD871" s="3" t="s">
        <v>7010</v>
      </c>
      <c r="BE871" s="3" t="s">
        <v>7010</v>
      </c>
      <c r="BF871" s="3" t="s">
        <v>7010</v>
      </c>
      <c r="BG871" s="3" t="s">
        <v>7010</v>
      </c>
      <c r="BH871" s="3" t="s">
        <v>7010</v>
      </c>
      <c r="BI871" s="3" t="s">
        <v>7010</v>
      </c>
      <c r="BJ871" s="3" t="s">
        <v>7010</v>
      </c>
      <c r="BK871" s="74" t="str">
        <f t="shared" si="55"/>
        <v>No</v>
      </c>
    </row>
    <row r="872" spans="7:63">
      <c r="G872">
        <v>871</v>
      </c>
      <c r="H872" s="7" t="s">
        <v>1454</v>
      </c>
      <c r="I872" t="s">
        <v>29</v>
      </c>
      <c r="J872">
        <f>LEN(H872)</f>
        <v>9</v>
      </c>
      <c r="K872" s="49" t="s">
        <v>4860</v>
      </c>
      <c r="O872" s="3" t="s">
        <v>7010</v>
      </c>
      <c r="P872" s="3" t="s">
        <v>7010</v>
      </c>
      <c r="Q872" s="3" t="s">
        <v>7010</v>
      </c>
      <c r="R872" s="3" t="s">
        <v>7010</v>
      </c>
      <c r="S872" s="3" t="s">
        <v>7010</v>
      </c>
      <c r="T872" s="3" t="s">
        <v>7010</v>
      </c>
      <c r="U872" s="3" t="s">
        <v>7010</v>
      </c>
      <c r="V872" s="3" t="s">
        <v>7010</v>
      </c>
      <c r="W872" s="74" t="str">
        <f t="shared" si="53"/>
        <v>No</v>
      </c>
      <c r="Z872">
        <v>871</v>
      </c>
      <c r="AA872" s="55" t="s">
        <v>6283</v>
      </c>
      <c r="AC872">
        <f t="shared" si="52"/>
        <v>7</v>
      </c>
      <c r="AD872" s="30" t="s">
        <v>6284</v>
      </c>
      <c r="AH872" s="3" t="s">
        <v>7015</v>
      </c>
      <c r="AI872" s="3" t="s">
        <v>7010</v>
      </c>
      <c r="AJ872" s="3" t="s">
        <v>7010</v>
      </c>
      <c r="AK872" s="3" t="s">
        <v>7015</v>
      </c>
      <c r="AL872" s="3" t="s">
        <v>7010</v>
      </c>
      <c r="AM872" s="3" t="s">
        <v>7010</v>
      </c>
      <c r="AN872" s="3" t="s">
        <v>7010</v>
      </c>
      <c r="AO872" s="3" t="s">
        <v>7010</v>
      </c>
      <c r="AP872" s="74" t="s">
        <v>7015</v>
      </c>
      <c r="AU872">
        <v>871</v>
      </c>
      <c r="AV872" t="s">
        <v>6285</v>
      </c>
      <c r="AW872" t="s">
        <v>2279</v>
      </c>
      <c r="AX872">
        <f t="shared" si="54"/>
        <v>8</v>
      </c>
      <c r="AY872" s="30" t="s">
        <v>6286</v>
      </c>
      <c r="BC872" s="3" t="s">
        <v>7010</v>
      </c>
      <c r="BD872" s="3" t="s">
        <v>7010</v>
      </c>
      <c r="BE872" s="3" t="s">
        <v>7010</v>
      </c>
      <c r="BF872" s="3" t="s">
        <v>7010</v>
      </c>
      <c r="BG872" s="3" t="s">
        <v>7010</v>
      </c>
      <c r="BH872" s="3" t="s">
        <v>7010</v>
      </c>
      <c r="BI872" s="3" t="s">
        <v>7010</v>
      </c>
      <c r="BJ872" s="3" t="s">
        <v>7010</v>
      </c>
      <c r="BK872" s="74" t="str">
        <f t="shared" si="55"/>
        <v>No</v>
      </c>
    </row>
    <row r="873" spans="7:63">
      <c r="G873">
        <v>872</v>
      </c>
      <c r="H873" s="7" t="s">
        <v>1514</v>
      </c>
      <c r="I873" t="s">
        <v>29</v>
      </c>
      <c r="J873">
        <f>LEN(H873)</f>
        <v>13</v>
      </c>
      <c r="K873" s="49" t="s">
        <v>5011</v>
      </c>
      <c r="O873" s="3" t="s">
        <v>7010</v>
      </c>
      <c r="P873" s="3" t="s">
        <v>7010</v>
      </c>
      <c r="Q873" s="3" t="s">
        <v>7010</v>
      </c>
      <c r="R873" s="3" t="s">
        <v>7010</v>
      </c>
      <c r="S873" s="3" t="s">
        <v>7010</v>
      </c>
      <c r="T873" s="3" t="s">
        <v>7010</v>
      </c>
      <c r="U873" s="3" t="s">
        <v>7015</v>
      </c>
      <c r="V873" s="3" t="s">
        <v>7010</v>
      </c>
      <c r="W873" s="74" t="str">
        <f t="shared" si="53"/>
        <v>Yes</v>
      </c>
      <c r="Z873">
        <v>872</v>
      </c>
      <c r="AA873" s="55" t="s">
        <v>6288</v>
      </c>
      <c r="AC873">
        <f t="shared" si="52"/>
        <v>6</v>
      </c>
      <c r="AD873" s="30" t="s">
        <v>6289</v>
      </c>
      <c r="AH873" s="3" t="s">
        <v>7015</v>
      </c>
      <c r="AI873" s="3" t="s">
        <v>7010</v>
      </c>
      <c r="AJ873" s="3" t="s">
        <v>7010</v>
      </c>
      <c r="AK873" s="3" t="s">
        <v>7015</v>
      </c>
      <c r="AL873" s="3" t="s">
        <v>7010</v>
      </c>
      <c r="AM873" s="3" t="s">
        <v>7010</v>
      </c>
      <c r="AN873" s="3" t="s">
        <v>7010</v>
      </c>
      <c r="AO873" s="3" t="s">
        <v>7010</v>
      </c>
      <c r="AP873" s="74" t="s">
        <v>7015</v>
      </c>
      <c r="AU873">
        <v>872</v>
      </c>
      <c r="AV873" t="s">
        <v>6290</v>
      </c>
      <c r="AW873" t="s">
        <v>2279</v>
      </c>
      <c r="AX873">
        <f t="shared" si="54"/>
        <v>9</v>
      </c>
      <c r="AY873" s="30" t="s">
        <v>6291</v>
      </c>
      <c r="BC873" s="3" t="s">
        <v>7010</v>
      </c>
      <c r="BD873" s="3" t="s">
        <v>7010</v>
      </c>
      <c r="BE873" s="3" t="s">
        <v>7010</v>
      </c>
      <c r="BF873" s="3" t="s">
        <v>7010</v>
      </c>
      <c r="BG873" s="3" t="s">
        <v>7010</v>
      </c>
      <c r="BH873" s="3" t="s">
        <v>7010</v>
      </c>
      <c r="BI873" s="3" t="s">
        <v>7010</v>
      </c>
      <c r="BJ873" s="3" t="s">
        <v>7010</v>
      </c>
      <c r="BK873" s="74" t="str">
        <f t="shared" si="55"/>
        <v>No</v>
      </c>
    </row>
    <row r="874" spans="7:63">
      <c r="G874">
        <v>873</v>
      </c>
      <c r="H874" s="7" t="s">
        <v>1238</v>
      </c>
      <c r="I874" t="s">
        <v>29</v>
      </c>
      <c r="J874">
        <f>LEN(H874)</f>
        <v>9</v>
      </c>
      <c r="K874" s="49" t="s">
        <v>4310</v>
      </c>
      <c r="O874" s="3" t="s">
        <v>7010</v>
      </c>
      <c r="P874" s="3" t="s">
        <v>7010</v>
      </c>
      <c r="Q874" s="3" t="s">
        <v>7010</v>
      </c>
      <c r="R874" s="3" t="s">
        <v>7010</v>
      </c>
      <c r="S874" s="3" t="s">
        <v>7010</v>
      </c>
      <c r="T874" s="3" t="s">
        <v>7010</v>
      </c>
      <c r="U874" s="3" t="s">
        <v>7010</v>
      </c>
      <c r="V874" s="3" t="s">
        <v>7010</v>
      </c>
      <c r="W874" s="74" t="str">
        <f t="shared" si="53"/>
        <v>No</v>
      </c>
      <c r="Z874">
        <v>873</v>
      </c>
      <c r="AA874" s="55" t="s">
        <v>6293</v>
      </c>
      <c r="AC874">
        <f t="shared" si="52"/>
        <v>6</v>
      </c>
      <c r="AD874" s="30" t="s">
        <v>6294</v>
      </c>
      <c r="AH874" s="3" t="s">
        <v>7015</v>
      </c>
      <c r="AI874" s="3" t="s">
        <v>7010</v>
      </c>
      <c r="AJ874" s="3" t="s">
        <v>7010</v>
      </c>
      <c r="AK874" s="3" t="s">
        <v>7015</v>
      </c>
      <c r="AL874" s="3" t="s">
        <v>7010</v>
      </c>
      <c r="AM874" s="3" t="s">
        <v>7010</v>
      </c>
      <c r="AN874" s="3" t="s">
        <v>7010</v>
      </c>
      <c r="AO874" s="3" t="s">
        <v>7010</v>
      </c>
      <c r="AP874" s="74" t="s">
        <v>7015</v>
      </c>
      <c r="AU874">
        <v>873</v>
      </c>
      <c r="AV874" t="s">
        <v>6295</v>
      </c>
      <c r="AW874" t="s">
        <v>2279</v>
      </c>
      <c r="AX874">
        <f t="shared" si="54"/>
        <v>8</v>
      </c>
      <c r="AY874" s="30" t="s">
        <v>6296</v>
      </c>
      <c r="BC874" s="3" t="s">
        <v>7010</v>
      </c>
      <c r="BD874" s="3" t="s">
        <v>7010</v>
      </c>
      <c r="BE874" s="3" t="s">
        <v>7010</v>
      </c>
      <c r="BF874" s="3" t="s">
        <v>7010</v>
      </c>
      <c r="BG874" s="3" t="s">
        <v>7010</v>
      </c>
      <c r="BH874" s="3" t="s">
        <v>7010</v>
      </c>
      <c r="BI874" s="3" t="s">
        <v>7010</v>
      </c>
      <c r="BJ874" s="3" t="s">
        <v>7010</v>
      </c>
      <c r="BK874" s="74" t="str">
        <f t="shared" si="55"/>
        <v>No</v>
      </c>
    </row>
    <row r="875" spans="7:63">
      <c r="G875">
        <v>874</v>
      </c>
      <c r="H875" s="7" t="s">
        <v>1406</v>
      </c>
      <c r="I875" t="s">
        <v>29</v>
      </c>
      <c r="J875">
        <f>LEN(H875)</f>
        <v>12</v>
      </c>
      <c r="K875" s="49" t="s">
        <v>4735</v>
      </c>
      <c r="O875" s="3" t="s">
        <v>7010</v>
      </c>
      <c r="P875" s="3" t="s">
        <v>7010</v>
      </c>
      <c r="Q875" s="3" t="s">
        <v>7010</v>
      </c>
      <c r="R875" s="3" t="s">
        <v>7010</v>
      </c>
      <c r="S875" s="3" t="s">
        <v>7010</v>
      </c>
      <c r="T875" s="3" t="s">
        <v>7010</v>
      </c>
      <c r="U875" s="3" t="s">
        <v>7010</v>
      </c>
      <c r="V875" s="3" t="s">
        <v>7010</v>
      </c>
      <c r="W875" s="74" t="str">
        <f t="shared" si="53"/>
        <v>No</v>
      </c>
      <c r="Z875">
        <v>874</v>
      </c>
      <c r="AA875" s="55" t="s">
        <v>6298</v>
      </c>
      <c r="AC875">
        <f t="shared" si="52"/>
        <v>6</v>
      </c>
      <c r="AD875" s="30" t="s">
        <v>6299</v>
      </c>
      <c r="AH875" s="3" t="s">
        <v>7015</v>
      </c>
      <c r="AI875" s="3" t="s">
        <v>7010</v>
      </c>
      <c r="AJ875" s="3" t="s">
        <v>7010</v>
      </c>
      <c r="AK875" s="3" t="s">
        <v>7015</v>
      </c>
      <c r="AL875" s="3" t="s">
        <v>7010</v>
      </c>
      <c r="AM875" s="3" t="s">
        <v>7010</v>
      </c>
      <c r="AN875" s="3" t="s">
        <v>7010</v>
      </c>
      <c r="AO875" s="3" t="s">
        <v>7010</v>
      </c>
      <c r="AP875" s="74" t="s">
        <v>7015</v>
      </c>
      <c r="AU875">
        <v>874</v>
      </c>
      <c r="AV875" t="s">
        <v>6300</v>
      </c>
      <c r="AW875" t="s">
        <v>2279</v>
      </c>
      <c r="AX875">
        <f t="shared" si="54"/>
        <v>12</v>
      </c>
      <c r="AY875" s="30" t="s">
        <v>6301</v>
      </c>
      <c r="BC875" s="3" t="s">
        <v>7010</v>
      </c>
      <c r="BD875" s="3" t="s">
        <v>7010</v>
      </c>
      <c r="BE875" s="3" t="s">
        <v>7010</v>
      </c>
      <c r="BF875" s="3" t="s">
        <v>7010</v>
      </c>
      <c r="BG875" s="3" t="s">
        <v>7010</v>
      </c>
      <c r="BH875" s="3" t="s">
        <v>7010</v>
      </c>
      <c r="BI875" s="3" t="s">
        <v>7010</v>
      </c>
      <c r="BJ875" s="3" t="s">
        <v>7010</v>
      </c>
      <c r="BK875" s="74" t="str">
        <f t="shared" si="55"/>
        <v>No</v>
      </c>
    </row>
    <row r="876" spans="7:63">
      <c r="G876">
        <v>875</v>
      </c>
      <c r="H876" s="7" t="s">
        <v>1250</v>
      </c>
      <c r="I876" t="s">
        <v>29</v>
      </c>
      <c r="J876">
        <f>LEN(H876)</f>
        <v>8</v>
      </c>
      <c r="K876" s="49" t="s">
        <v>4341</v>
      </c>
      <c r="O876" s="3" t="s">
        <v>7010</v>
      </c>
      <c r="P876" s="3" t="s">
        <v>7010</v>
      </c>
      <c r="Q876" s="3" t="s">
        <v>7010</v>
      </c>
      <c r="R876" s="3" t="s">
        <v>7010</v>
      </c>
      <c r="S876" s="3" t="s">
        <v>7010</v>
      </c>
      <c r="T876" s="3" t="s">
        <v>7010</v>
      </c>
      <c r="U876" s="3" t="s">
        <v>7010</v>
      </c>
      <c r="V876" s="3" t="s">
        <v>7010</v>
      </c>
      <c r="W876" s="74" t="str">
        <f t="shared" si="53"/>
        <v>No</v>
      </c>
      <c r="Z876">
        <v>875</v>
      </c>
      <c r="AA876" s="55" t="s">
        <v>6303</v>
      </c>
      <c r="AC876">
        <f t="shared" si="52"/>
        <v>6</v>
      </c>
      <c r="AD876" s="30" t="s">
        <v>6304</v>
      </c>
      <c r="AH876" s="3" t="s">
        <v>7015</v>
      </c>
      <c r="AI876" s="3" t="s">
        <v>7010</v>
      </c>
      <c r="AJ876" s="3" t="s">
        <v>7010</v>
      </c>
      <c r="AK876" s="3" t="s">
        <v>7015</v>
      </c>
      <c r="AL876" s="3" t="s">
        <v>7010</v>
      </c>
      <c r="AM876" s="3" t="s">
        <v>7010</v>
      </c>
      <c r="AN876" s="3" t="s">
        <v>7010</v>
      </c>
      <c r="AO876" s="3" t="s">
        <v>7010</v>
      </c>
      <c r="AP876" s="74" t="s">
        <v>7015</v>
      </c>
      <c r="AU876">
        <v>875</v>
      </c>
      <c r="AV876" t="s">
        <v>6305</v>
      </c>
      <c r="AW876" t="s">
        <v>2279</v>
      </c>
      <c r="AX876">
        <f t="shared" si="54"/>
        <v>13</v>
      </c>
      <c r="AY876" s="30" t="s">
        <v>6306</v>
      </c>
      <c r="BC876" s="3" t="s">
        <v>7010</v>
      </c>
      <c r="BD876" s="3" t="s">
        <v>7010</v>
      </c>
      <c r="BE876" s="3" t="s">
        <v>7010</v>
      </c>
      <c r="BF876" s="3" t="s">
        <v>7010</v>
      </c>
      <c r="BG876" s="3" t="s">
        <v>7010</v>
      </c>
      <c r="BH876" s="3" t="s">
        <v>7010</v>
      </c>
      <c r="BI876" s="3" t="s">
        <v>7010</v>
      </c>
      <c r="BJ876" s="3" t="s">
        <v>7010</v>
      </c>
      <c r="BK876" s="74" t="str">
        <f t="shared" si="55"/>
        <v>No</v>
      </c>
    </row>
    <row r="877" spans="7:63">
      <c r="G877">
        <v>876</v>
      </c>
      <c r="H877" s="7" t="s">
        <v>1412</v>
      </c>
      <c r="I877" t="s">
        <v>29</v>
      </c>
      <c r="J877">
        <f>LEN(H877)</f>
        <v>9</v>
      </c>
      <c r="K877" s="49" t="s">
        <v>4751</v>
      </c>
      <c r="O877" s="3" t="s">
        <v>7010</v>
      </c>
      <c r="P877" s="3" t="s">
        <v>7010</v>
      </c>
      <c r="Q877" s="3" t="s">
        <v>7010</v>
      </c>
      <c r="R877" s="3" t="s">
        <v>7010</v>
      </c>
      <c r="S877" s="3" t="s">
        <v>7010</v>
      </c>
      <c r="T877" s="3" t="s">
        <v>7010</v>
      </c>
      <c r="U877" s="3" t="s">
        <v>7010</v>
      </c>
      <c r="V877" s="3" t="s">
        <v>7010</v>
      </c>
      <c r="W877" s="74" t="str">
        <f t="shared" si="53"/>
        <v>No</v>
      </c>
      <c r="Z877">
        <v>876</v>
      </c>
      <c r="AA877" s="55" t="s">
        <v>6308</v>
      </c>
      <c r="AC877">
        <f t="shared" si="52"/>
        <v>6</v>
      </c>
      <c r="AD877" s="30" t="s">
        <v>6309</v>
      </c>
      <c r="AH877" s="3" t="s">
        <v>7015</v>
      </c>
      <c r="AI877" s="3" t="s">
        <v>7010</v>
      </c>
      <c r="AJ877" s="3" t="s">
        <v>7010</v>
      </c>
      <c r="AK877" s="3" t="s">
        <v>7015</v>
      </c>
      <c r="AL877" s="3" t="s">
        <v>7010</v>
      </c>
      <c r="AM877" s="3" t="s">
        <v>7010</v>
      </c>
      <c r="AN877" s="3" t="s">
        <v>7010</v>
      </c>
      <c r="AO877" s="3" t="s">
        <v>7010</v>
      </c>
      <c r="AP877" s="74" t="s">
        <v>7015</v>
      </c>
      <c r="AU877">
        <v>876</v>
      </c>
      <c r="AV877" t="s">
        <v>6310</v>
      </c>
      <c r="AW877" t="s">
        <v>2279</v>
      </c>
      <c r="AX877">
        <f t="shared" si="54"/>
        <v>8</v>
      </c>
      <c r="AY877" s="30" t="s">
        <v>6311</v>
      </c>
      <c r="BC877" s="3" t="s">
        <v>7010</v>
      </c>
      <c r="BD877" s="3" t="s">
        <v>7010</v>
      </c>
      <c r="BE877" s="3" t="s">
        <v>7015</v>
      </c>
      <c r="BF877" s="3" t="s">
        <v>7010</v>
      </c>
      <c r="BG877" s="3" t="s">
        <v>7010</v>
      </c>
      <c r="BH877" s="3" t="s">
        <v>7010</v>
      </c>
      <c r="BI877" s="3" t="s">
        <v>7010</v>
      </c>
      <c r="BJ877" s="3" t="s">
        <v>7010</v>
      </c>
      <c r="BK877" s="74" t="str">
        <f t="shared" si="55"/>
        <v>Yes</v>
      </c>
    </row>
    <row r="878" spans="7:63">
      <c r="G878">
        <v>877</v>
      </c>
      <c r="H878" s="7" t="s">
        <v>1534</v>
      </c>
      <c r="I878" t="s">
        <v>29</v>
      </c>
      <c r="J878">
        <f>LEN(H878)</f>
        <v>13</v>
      </c>
      <c r="K878" s="49" t="s">
        <v>5062</v>
      </c>
      <c r="O878" s="3" t="s">
        <v>7010</v>
      </c>
      <c r="P878" s="3" t="s">
        <v>7010</v>
      </c>
      <c r="Q878" s="3" t="s">
        <v>7010</v>
      </c>
      <c r="R878" s="3" t="s">
        <v>7010</v>
      </c>
      <c r="S878" s="3" t="s">
        <v>7010</v>
      </c>
      <c r="T878" s="3" t="s">
        <v>7010</v>
      </c>
      <c r="U878" s="3" t="s">
        <v>7015</v>
      </c>
      <c r="V878" s="3" t="s">
        <v>7010</v>
      </c>
      <c r="W878" s="74" t="str">
        <f t="shared" si="53"/>
        <v>Yes</v>
      </c>
      <c r="Z878">
        <v>877</v>
      </c>
      <c r="AA878" s="55" t="s">
        <v>6313</v>
      </c>
      <c r="AC878">
        <f t="shared" si="52"/>
        <v>7</v>
      </c>
      <c r="AD878" s="30" t="s">
        <v>6314</v>
      </c>
      <c r="AH878" s="3" t="s">
        <v>7015</v>
      </c>
      <c r="AI878" s="3" t="s">
        <v>7010</v>
      </c>
      <c r="AJ878" s="3" t="s">
        <v>7010</v>
      </c>
      <c r="AK878" s="3" t="s">
        <v>7015</v>
      </c>
      <c r="AL878" s="3" t="s">
        <v>7010</v>
      </c>
      <c r="AM878" s="3" t="s">
        <v>7010</v>
      </c>
      <c r="AN878" s="3" t="s">
        <v>7010</v>
      </c>
      <c r="AO878" s="3" t="s">
        <v>7010</v>
      </c>
      <c r="AP878" s="74" t="s">
        <v>7015</v>
      </c>
      <c r="AU878">
        <v>877</v>
      </c>
      <c r="AV878" t="s">
        <v>6315</v>
      </c>
      <c r="AW878" t="s">
        <v>2279</v>
      </c>
      <c r="AX878">
        <f t="shared" si="54"/>
        <v>8</v>
      </c>
      <c r="AY878" s="30" t="s">
        <v>6316</v>
      </c>
      <c r="BC878" s="3" t="s">
        <v>7010</v>
      </c>
      <c r="BD878" s="3" t="s">
        <v>7010</v>
      </c>
      <c r="BE878" s="3" t="s">
        <v>7015</v>
      </c>
      <c r="BF878" s="3" t="s">
        <v>7010</v>
      </c>
      <c r="BG878" s="3" t="s">
        <v>7010</v>
      </c>
      <c r="BH878" s="3" t="s">
        <v>7010</v>
      </c>
      <c r="BI878" s="3" t="s">
        <v>7010</v>
      </c>
      <c r="BJ878" s="3" t="s">
        <v>7010</v>
      </c>
      <c r="BK878" s="74" t="str">
        <f t="shared" si="55"/>
        <v>Yes</v>
      </c>
    </row>
    <row r="879" spans="7:63">
      <c r="G879">
        <v>878</v>
      </c>
      <c r="H879" s="7" t="s">
        <v>5041</v>
      </c>
      <c r="I879" t="s">
        <v>29</v>
      </c>
      <c r="J879">
        <f>LEN(H879)</f>
        <v>15</v>
      </c>
      <c r="K879" s="49" t="s">
        <v>5042</v>
      </c>
      <c r="O879" s="3" t="s">
        <v>7010</v>
      </c>
      <c r="P879" s="3" t="s">
        <v>7010</v>
      </c>
      <c r="Q879" s="3" t="s">
        <v>7010</v>
      </c>
      <c r="R879" s="3" t="s">
        <v>7010</v>
      </c>
      <c r="S879" s="3" t="s">
        <v>7010</v>
      </c>
      <c r="T879" s="3" t="s">
        <v>7010</v>
      </c>
      <c r="U879" s="3" t="s">
        <v>7010</v>
      </c>
      <c r="V879" s="3" t="s">
        <v>7010</v>
      </c>
      <c r="W879" s="74" t="str">
        <f t="shared" si="53"/>
        <v>No</v>
      </c>
      <c r="Z879">
        <v>878</v>
      </c>
      <c r="AA879" s="55" t="s">
        <v>6318</v>
      </c>
      <c r="AC879">
        <f t="shared" si="52"/>
        <v>8</v>
      </c>
      <c r="AD879" s="30" t="s">
        <v>6319</v>
      </c>
      <c r="AH879" s="3" t="s">
        <v>7015</v>
      </c>
      <c r="AI879" s="3" t="s">
        <v>7010</v>
      </c>
      <c r="AJ879" s="3" t="s">
        <v>7010</v>
      </c>
      <c r="AK879" s="3" t="s">
        <v>7015</v>
      </c>
      <c r="AL879" s="3" t="s">
        <v>7010</v>
      </c>
      <c r="AM879" s="3" t="s">
        <v>7010</v>
      </c>
      <c r="AN879" s="3" t="s">
        <v>7010</v>
      </c>
      <c r="AO879" s="3" t="s">
        <v>7010</v>
      </c>
      <c r="AP879" s="74" t="s">
        <v>7015</v>
      </c>
      <c r="AU879">
        <v>878</v>
      </c>
      <c r="AV879" t="s">
        <v>6320</v>
      </c>
      <c r="AW879" t="s">
        <v>2279</v>
      </c>
      <c r="AX879">
        <f t="shared" si="54"/>
        <v>11</v>
      </c>
      <c r="AY879" s="30" t="s">
        <v>6321</v>
      </c>
      <c r="BC879" s="3" t="s">
        <v>7010</v>
      </c>
      <c r="BD879" s="3" t="s">
        <v>7010</v>
      </c>
      <c r="BE879" s="3" t="s">
        <v>7010</v>
      </c>
      <c r="BF879" s="3" t="s">
        <v>7010</v>
      </c>
      <c r="BG879" s="3" t="s">
        <v>7010</v>
      </c>
      <c r="BH879" s="3" t="s">
        <v>7010</v>
      </c>
      <c r="BI879" s="3" t="s">
        <v>7010</v>
      </c>
      <c r="BJ879" s="3" t="s">
        <v>7010</v>
      </c>
      <c r="BK879" s="74" t="str">
        <f t="shared" si="55"/>
        <v>No</v>
      </c>
    </row>
    <row r="880" spans="7:63">
      <c r="G880">
        <v>879</v>
      </c>
      <c r="H880" s="7" t="s">
        <v>4355</v>
      </c>
      <c r="I880" t="s">
        <v>29</v>
      </c>
      <c r="J880">
        <f>LEN(H880)</f>
        <v>12</v>
      </c>
      <c r="K880" s="49" t="s">
        <v>4356</v>
      </c>
      <c r="O880" s="3" t="s">
        <v>7010</v>
      </c>
      <c r="P880" s="3" t="s">
        <v>7010</v>
      </c>
      <c r="Q880" s="3" t="s">
        <v>7010</v>
      </c>
      <c r="R880" s="3" t="s">
        <v>7010</v>
      </c>
      <c r="S880" s="3" t="s">
        <v>7010</v>
      </c>
      <c r="T880" s="3" t="s">
        <v>7010</v>
      </c>
      <c r="U880" s="3" t="s">
        <v>7010</v>
      </c>
      <c r="V880" s="3" t="s">
        <v>7010</v>
      </c>
      <c r="W880" s="74" t="str">
        <f t="shared" si="53"/>
        <v>No</v>
      </c>
      <c r="Z880">
        <v>879</v>
      </c>
      <c r="AA880" s="55" t="s">
        <v>6323</v>
      </c>
      <c r="AC880">
        <f t="shared" si="52"/>
        <v>8</v>
      </c>
      <c r="AD880" s="30" t="s">
        <v>6324</v>
      </c>
      <c r="AH880" s="3" t="s">
        <v>7015</v>
      </c>
      <c r="AI880" s="3" t="s">
        <v>7010</v>
      </c>
      <c r="AJ880" s="3" t="s">
        <v>7010</v>
      </c>
      <c r="AK880" s="3" t="s">
        <v>7015</v>
      </c>
      <c r="AL880" s="3" t="s">
        <v>7010</v>
      </c>
      <c r="AM880" s="3" t="s">
        <v>7010</v>
      </c>
      <c r="AN880" s="3" t="s">
        <v>7010</v>
      </c>
      <c r="AO880" s="3" t="s">
        <v>7010</v>
      </c>
      <c r="AP880" s="74" t="s">
        <v>7015</v>
      </c>
      <c r="AU880">
        <v>879</v>
      </c>
      <c r="AV880" t="s">
        <v>6325</v>
      </c>
      <c r="AW880" t="s">
        <v>2279</v>
      </c>
      <c r="AX880">
        <f t="shared" si="54"/>
        <v>10</v>
      </c>
      <c r="AY880" s="30" t="s">
        <v>6326</v>
      </c>
      <c r="BC880" s="3" t="s">
        <v>7010</v>
      </c>
      <c r="BD880" s="3" t="s">
        <v>7010</v>
      </c>
      <c r="BE880" s="3" t="s">
        <v>7010</v>
      </c>
      <c r="BF880" s="3" t="s">
        <v>7010</v>
      </c>
      <c r="BG880" s="3" t="s">
        <v>7010</v>
      </c>
      <c r="BH880" s="3" t="s">
        <v>7010</v>
      </c>
      <c r="BI880" s="3" t="s">
        <v>7010</v>
      </c>
      <c r="BJ880" s="3" t="s">
        <v>7010</v>
      </c>
      <c r="BK880" s="74" t="str">
        <f t="shared" si="55"/>
        <v>No</v>
      </c>
    </row>
    <row r="881" spans="7:63">
      <c r="G881">
        <v>880</v>
      </c>
      <c r="H881" s="7" t="s">
        <v>4762</v>
      </c>
      <c r="I881" t="s">
        <v>29</v>
      </c>
      <c r="J881">
        <f>LEN(H881)</f>
        <v>10</v>
      </c>
      <c r="K881" s="49" t="s">
        <v>4763</v>
      </c>
      <c r="O881" s="3" t="s">
        <v>7010</v>
      </c>
      <c r="P881" s="3" t="s">
        <v>7010</v>
      </c>
      <c r="Q881" s="3" t="s">
        <v>7010</v>
      </c>
      <c r="R881" s="3" t="s">
        <v>7010</v>
      </c>
      <c r="S881" s="3" t="s">
        <v>7010</v>
      </c>
      <c r="T881" s="3" t="s">
        <v>7010</v>
      </c>
      <c r="U881" s="3" t="s">
        <v>7010</v>
      </c>
      <c r="V881" s="3" t="s">
        <v>7010</v>
      </c>
      <c r="W881" s="74" t="str">
        <f t="shared" si="53"/>
        <v>No</v>
      </c>
      <c r="Z881">
        <v>880</v>
      </c>
      <c r="AA881" s="55" t="s">
        <v>6328</v>
      </c>
      <c r="AC881">
        <f t="shared" si="52"/>
        <v>6</v>
      </c>
      <c r="AD881" s="30" t="s">
        <v>6329</v>
      </c>
      <c r="AH881" s="3" t="s">
        <v>7015</v>
      </c>
      <c r="AI881" s="3" t="s">
        <v>7010</v>
      </c>
      <c r="AJ881" s="3" t="s">
        <v>7010</v>
      </c>
      <c r="AK881" s="3" t="s">
        <v>7015</v>
      </c>
      <c r="AL881" s="3" t="s">
        <v>7010</v>
      </c>
      <c r="AM881" s="3" t="s">
        <v>7010</v>
      </c>
      <c r="AN881" s="3" t="s">
        <v>7010</v>
      </c>
      <c r="AO881" s="3" t="s">
        <v>7010</v>
      </c>
      <c r="AP881" s="74" t="s">
        <v>7015</v>
      </c>
      <c r="AU881">
        <v>880</v>
      </c>
      <c r="AV881" t="s">
        <v>6330</v>
      </c>
      <c r="AW881" t="s">
        <v>2279</v>
      </c>
      <c r="AX881">
        <f t="shared" si="54"/>
        <v>12</v>
      </c>
      <c r="AY881" s="30" t="s">
        <v>6331</v>
      </c>
      <c r="BC881" s="3" t="s">
        <v>7010</v>
      </c>
      <c r="BD881" s="3" t="s">
        <v>7010</v>
      </c>
      <c r="BE881" s="3" t="s">
        <v>7010</v>
      </c>
      <c r="BF881" s="3" t="s">
        <v>7010</v>
      </c>
      <c r="BG881" s="3" t="s">
        <v>7010</v>
      </c>
      <c r="BH881" s="3" t="s">
        <v>7010</v>
      </c>
      <c r="BI881" s="3" t="s">
        <v>7010</v>
      </c>
      <c r="BJ881" s="3" t="s">
        <v>7010</v>
      </c>
      <c r="BK881" s="74" t="str">
        <f t="shared" si="55"/>
        <v>No</v>
      </c>
    </row>
    <row r="882" spans="7:63">
      <c r="G882">
        <v>881</v>
      </c>
      <c r="H882" s="7" t="s">
        <v>1504</v>
      </c>
      <c r="I882" t="s">
        <v>29</v>
      </c>
      <c r="J882">
        <f>LEN(H882)</f>
        <v>12</v>
      </c>
      <c r="K882" s="49" t="s">
        <v>4986</v>
      </c>
      <c r="O882" s="3" t="s">
        <v>7010</v>
      </c>
      <c r="P882" s="3" t="s">
        <v>7010</v>
      </c>
      <c r="Q882" s="3" t="s">
        <v>7010</v>
      </c>
      <c r="R882" s="3" t="s">
        <v>7010</v>
      </c>
      <c r="S882" s="3" t="s">
        <v>7010</v>
      </c>
      <c r="T882" s="3" t="s">
        <v>7010</v>
      </c>
      <c r="U882" s="3" t="s">
        <v>7010</v>
      </c>
      <c r="V882" s="3" t="s">
        <v>7010</v>
      </c>
      <c r="W882" s="74" t="str">
        <f t="shared" si="53"/>
        <v>No</v>
      </c>
      <c r="Z882">
        <v>881</v>
      </c>
      <c r="AA882" s="55" t="s">
        <v>6333</v>
      </c>
      <c r="AC882">
        <f t="shared" si="52"/>
        <v>5</v>
      </c>
      <c r="AD882" s="30" t="s">
        <v>6334</v>
      </c>
      <c r="AH882" s="3" t="s">
        <v>7015</v>
      </c>
      <c r="AI882" s="3" t="s">
        <v>7010</v>
      </c>
      <c r="AJ882" s="3" t="s">
        <v>7010</v>
      </c>
      <c r="AK882" s="3" t="s">
        <v>7015</v>
      </c>
      <c r="AL882" s="3" t="s">
        <v>7010</v>
      </c>
      <c r="AM882" s="3" t="s">
        <v>7010</v>
      </c>
      <c r="AN882" s="3" t="s">
        <v>7010</v>
      </c>
      <c r="AO882" s="3" t="s">
        <v>7010</v>
      </c>
      <c r="AP882" s="74" t="s">
        <v>7015</v>
      </c>
      <c r="AU882">
        <v>881</v>
      </c>
      <c r="AV882" t="s">
        <v>6335</v>
      </c>
      <c r="AW882" t="s">
        <v>2279</v>
      </c>
      <c r="AX882">
        <f t="shared" si="54"/>
        <v>8</v>
      </c>
      <c r="AY882" s="30" t="s">
        <v>6336</v>
      </c>
      <c r="BC882" s="3" t="s">
        <v>7010</v>
      </c>
      <c r="BD882" s="3" t="s">
        <v>7010</v>
      </c>
      <c r="BE882" s="3" t="s">
        <v>7010</v>
      </c>
      <c r="BF882" s="3" t="s">
        <v>7010</v>
      </c>
      <c r="BG882" s="3" t="s">
        <v>7010</v>
      </c>
      <c r="BH882" s="3" t="s">
        <v>7010</v>
      </c>
      <c r="BI882" s="3" t="s">
        <v>7010</v>
      </c>
      <c r="BJ882" s="3" t="s">
        <v>7010</v>
      </c>
      <c r="BK882" s="74" t="str">
        <f t="shared" si="55"/>
        <v>No</v>
      </c>
    </row>
    <row r="883" spans="7:63">
      <c r="G883">
        <v>882</v>
      </c>
      <c r="H883" s="7" t="s">
        <v>1208</v>
      </c>
      <c r="I883" t="s">
        <v>29</v>
      </c>
      <c r="J883">
        <f>LEN(H883)</f>
        <v>10</v>
      </c>
      <c r="K883" s="49" t="s">
        <v>4236</v>
      </c>
      <c r="O883" s="3" t="s">
        <v>7010</v>
      </c>
      <c r="P883" s="3" t="s">
        <v>7010</v>
      </c>
      <c r="Q883" s="3" t="s">
        <v>7010</v>
      </c>
      <c r="R883" s="3" t="s">
        <v>7010</v>
      </c>
      <c r="S883" s="3" t="s">
        <v>7010</v>
      </c>
      <c r="T883" s="3" t="s">
        <v>7010</v>
      </c>
      <c r="U883" s="3" t="s">
        <v>7010</v>
      </c>
      <c r="V883" s="3" t="s">
        <v>7010</v>
      </c>
      <c r="W883" s="74" t="str">
        <f t="shared" si="53"/>
        <v>No</v>
      </c>
      <c r="Z883">
        <v>882</v>
      </c>
      <c r="AA883" s="55" t="s">
        <v>6338</v>
      </c>
      <c r="AC883">
        <f t="shared" si="52"/>
        <v>7</v>
      </c>
      <c r="AD883" s="30" t="s">
        <v>6339</v>
      </c>
      <c r="AH883" s="3" t="s">
        <v>7015</v>
      </c>
      <c r="AI883" s="3" t="s">
        <v>7010</v>
      </c>
      <c r="AJ883" s="3" t="s">
        <v>7010</v>
      </c>
      <c r="AK883" s="3" t="s">
        <v>7015</v>
      </c>
      <c r="AL883" s="3" t="s">
        <v>7010</v>
      </c>
      <c r="AM883" s="3" t="s">
        <v>7010</v>
      </c>
      <c r="AN883" s="3" t="s">
        <v>7010</v>
      </c>
      <c r="AO883" s="3" t="s">
        <v>7010</v>
      </c>
      <c r="AP883" s="74" t="s">
        <v>7015</v>
      </c>
      <c r="AU883">
        <v>882</v>
      </c>
      <c r="AV883" t="s">
        <v>6340</v>
      </c>
      <c r="AW883" t="s">
        <v>2279</v>
      </c>
      <c r="AX883">
        <f t="shared" si="54"/>
        <v>8</v>
      </c>
      <c r="AY883" s="30" t="s">
        <v>6341</v>
      </c>
      <c r="BC883" s="3" t="s">
        <v>7010</v>
      </c>
      <c r="BD883" s="3" t="s">
        <v>7010</v>
      </c>
      <c r="BE883" s="3" t="s">
        <v>7010</v>
      </c>
      <c r="BF883" s="3" t="s">
        <v>7010</v>
      </c>
      <c r="BG883" s="3" t="s">
        <v>7010</v>
      </c>
      <c r="BH883" s="3" t="s">
        <v>7010</v>
      </c>
      <c r="BI883" s="3" t="s">
        <v>7010</v>
      </c>
      <c r="BJ883" s="3" t="s">
        <v>7010</v>
      </c>
      <c r="BK883" s="74" t="str">
        <f t="shared" si="55"/>
        <v>No</v>
      </c>
    </row>
    <row r="884" spans="7:63">
      <c r="G884">
        <v>883</v>
      </c>
      <c r="H884" s="7" t="s">
        <v>1394</v>
      </c>
      <c r="I884" t="s">
        <v>29</v>
      </c>
      <c r="J884">
        <f>LEN(H884)</f>
        <v>12</v>
      </c>
      <c r="K884" s="49" t="s">
        <v>4706</v>
      </c>
      <c r="O884" s="3" t="s">
        <v>7010</v>
      </c>
      <c r="P884" s="3" t="s">
        <v>7010</v>
      </c>
      <c r="Q884" s="3" t="s">
        <v>7010</v>
      </c>
      <c r="R884" s="3" t="s">
        <v>7010</v>
      </c>
      <c r="S884" s="3" t="s">
        <v>7010</v>
      </c>
      <c r="T884" s="3" t="s">
        <v>7010</v>
      </c>
      <c r="U884" s="3" t="s">
        <v>7010</v>
      </c>
      <c r="V884" s="3" t="s">
        <v>7010</v>
      </c>
      <c r="W884" s="74" t="str">
        <f t="shared" si="53"/>
        <v>No</v>
      </c>
      <c r="Z884">
        <v>883</v>
      </c>
      <c r="AA884" s="55" t="s">
        <v>6343</v>
      </c>
      <c r="AC884">
        <f t="shared" si="52"/>
        <v>6</v>
      </c>
      <c r="AD884" s="30" t="s">
        <v>6344</v>
      </c>
      <c r="AH884" s="3" t="s">
        <v>7015</v>
      </c>
      <c r="AI884" s="3" t="s">
        <v>7010</v>
      </c>
      <c r="AJ884" s="3" t="s">
        <v>7010</v>
      </c>
      <c r="AK884" s="3" t="s">
        <v>7015</v>
      </c>
      <c r="AL884" s="3" t="s">
        <v>7010</v>
      </c>
      <c r="AM884" s="3" t="s">
        <v>7010</v>
      </c>
      <c r="AN884" s="3" t="s">
        <v>7010</v>
      </c>
      <c r="AO884" s="3" t="s">
        <v>7010</v>
      </c>
      <c r="AP884" s="74" t="s">
        <v>7015</v>
      </c>
      <c r="AU884">
        <v>883</v>
      </c>
      <c r="AV884" t="s">
        <v>6345</v>
      </c>
      <c r="AW884" t="s">
        <v>2279</v>
      </c>
      <c r="AX884">
        <f t="shared" si="54"/>
        <v>11</v>
      </c>
      <c r="AY884" s="30" t="s">
        <v>6346</v>
      </c>
      <c r="BC884" s="3" t="s">
        <v>7010</v>
      </c>
      <c r="BD884" s="3" t="s">
        <v>7010</v>
      </c>
      <c r="BE884" s="3" t="s">
        <v>7010</v>
      </c>
      <c r="BF884" s="3" t="s">
        <v>7010</v>
      </c>
      <c r="BG884" s="3" t="s">
        <v>7010</v>
      </c>
      <c r="BH884" s="3" t="s">
        <v>7010</v>
      </c>
      <c r="BI884" s="3" t="s">
        <v>7010</v>
      </c>
      <c r="BJ884" s="3" t="s">
        <v>7010</v>
      </c>
      <c r="BK884" s="74" t="str">
        <f t="shared" si="55"/>
        <v>No</v>
      </c>
    </row>
    <row r="885" spans="7:63">
      <c r="G885">
        <v>884</v>
      </c>
      <c r="H885" s="7" t="s">
        <v>1282</v>
      </c>
      <c r="I885" t="s">
        <v>29</v>
      </c>
      <c r="J885">
        <f>LEN(H885)</f>
        <v>10</v>
      </c>
      <c r="K885" s="49" t="s">
        <v>4421</v>
      </c>
      <c r="O885" s="3" t="s">
        <v>7010</v>
      </c>
      <c r="P885" s="3" t="s">
        <v>7010</v>
      </c>
      <c r="Q885" s="3" t="s">
        <v>7010</v>
      </c>
      <c r="R885" s="3" t="s">
        <v>7010</v>
      </c>
      <c r="S885" s="3" t="s">
        <v>7010</v>
      </c>
      <c r="T885" s="3" t="s">
        <v>7010</v>
      </c>
      <c r="U885" s="3" t="s">
        <v>7010</v>
      </c>
      <c r="V885" s="3" t="s">
        <v>7010</v>
      </c>
      <c r="W885" s="74" t="str">
        <f t="shared" si="53"/>
        <v>No</v>
      </c>
      <c r="Z885">
        <v>884</v>
      </c>
      <c r="AA885" s="55" t="s">
        <v>6347</v>
      </c>
      <c r="AC885">
        <f t="shared" si="52"/>
        <v>6</v>
      </c>
      <c r="AD885" s="31" t="s">
        <v>6348</v>
      </c>
      <c r="AH885" s="3" t="s">
        <v>7015</v>
      </c>
      <c r="AI885" s="3" t="s">
        <v>7010</v>
      </c>
      <c r="AJ885" s="3" t="s">
        <v>7010</v>
      </c>
      <c r="AK885" s="3" t="s">
        <v>7015</v>
      </c>
      <c r="AL885" s="3" t="s">
        <v>7010</v>
      </c>
      <c r="AM885" s="3" t="s">
        <v>7010</v>
      </c>
      <c r="AN885" s="3" t="s">
        <v>7010</v>
      </c>
      <c r="AO885" s="3" t="s">
        <v>7010</v>
      </c>
      <c r="AP885" s="74" t="s">
        <v>7015</v>
      </c>
      <c r="AU885">
        <v>884</v>
      </c>
      <c r="AV885" t="s">
        <v>6349</v>
      </c>
      <c r="AW885" t="s">
        <v>2279</v>
      </c>
      <c r="AX885">
        <f t="shared" si="54"/>
        <v>8</v>
      </c>
      <c r="AY885" s="30" t="s">
        <v>6350</v>
      </c>
      <c r="BC885" s="3" t="s">
        <v>7010</v>
      </c>
      <c r="BD885" s="3" t="s">
        <v>7010</v>
      </c>
      <c r="BE885" s="3" t="s">
        <v>7010</v>
      </c>
      <c r="BF885" s="3" t="s">
        <v>7010</v>
      </c>
      <c r="BG885" s="3" t="s">
        <v>7010</v>
      </c>
      <c r="BH885" s="3" t="s">
        <v>7010</v>
      </c>
      <c r="BI885" s="3" t="s">
        <v>7010</v>
      </c>
      <c r="BJ885" s="3" t="s">
        <v>7010</v>
      </c>
      <c r="BK885" s="74" t="str">
        <f t="shared" si="55"/>
        <v>No</v>
      </c>
    </row>
    <row r="886" spans="7:63">
      <c r="G886">
        <v>885</v>
      </c>
      <c r="H886" s="7" t="s">
        <v>1628</v>
      </c>
      <c r="I886" t="s">
        <v>29</v>
      </c>
      <c r="J886">
        <f>LEN(H886)</f>
        <v>12</v>
      </c>
      <c r="K886" s="49" t="s">
        <v>5300</v>
      </c>
      <c r="O886" s="3" t="s">
        <v>7010</v>
      </c>
      <c r="P886" s="3" t="s">
        <v>7010</v>
      </c>
      <c r="Q886" s="3" t="s">
        <v>7010</v>
      </c>
      <c r="R886" s="3" t="s">
        <v>7010</v>
      </c>
      <c r="S886" s="3" t="s">
        <v>7010</v>
      </c>
      <c r="T886" s="3" t="s">
        <v>7010</v>
      </c>
      <c r="U886" s="3" t="s">
        <v>7010</v>
      </c>
      <c r="V886" s="3" t="s">
        <v>7010</v>
      </c>
      <c r="W886" s="74" t="str">
        <f t="shared" si="53"/>
        <v>No</v>
      </c>
      <c r="Z886">
        <v>885</v>
      </c>
      <c r="AA886" s="55" t="s">
        <v>6352</v>
      </c>
      <c r="AC886">
        <f t="shared" si="52"/>
        <v>7</v>
      </c>
      <c r="AD886" s="30" t="s">
        <v>6353</v>
      </c>
      <c r="AH886" s="3" t="s">
        <v>7015</v>
      </c>
      <c r="AI886" s="3" t="s">
        <v>7010</v>
      </c>
      <c r="AJ886" s="3" t="s">
        <v>7010</v>
      </c>
      <c r="AK886" s="3" t="s">
        <v>7015</v>
      </c>
      <c r="AL886" s="3" t="s">
        <v>7010</v>
      </c>
      <c r="AM886" s="3" t="s">
        <v>7010</v>
      </c>
      <c r="AN886" s="3" t="s">
        <v>7010</v>
      </c>
      <c r="AO886" s="3" t="s">
        <v>7010</v>
      </c>
      <c r="AP886" s="74" t="s">
        <v>7015</v>
      </c>
      <c r="AU886">
        <v>885</v>
      </c>
      <c r="AV886" t="s">
        <v>6354</v>
      </c>
      <c r="AW886" t="s">
        <v>2279</v>
      </c>
      <c r="AX886">
        <f t="shared" si="54"/>
        <v>9</v>
      </c>
      <c r="AY886" s="30" t="s">
        <v>6355</v>
      </c>
      <c r="BC886" s="3" t="s">
        <v>7010</v>
      </c>
      <c r="BD886" s="3" t="s">
        <v>7010</v>
      </c>
      <c r="BE886" s="3" t="s">
        <v>7010</v>
      </c>
      <c r="BF886" s="3" t="s">
        <v>7010</v>
      </c>
      <c r="BG886" s="3" t="s">
        <v>7010</v>
      </c>
      <c r="BH886" s="3" t="s">
        <v>7010</v>
      </c>
      <c r="BI886" s="3" t="s">
        <v>7010</v>
      </c>
      <c r="BJ886" s="3" t="s">
        <v>7010</v>
      </c>
      <c r="BK886" s="74" t="str">
        <f t="shared" si="55"/>
        <v>No</v>
      </c>
    </row>
    <row r="887" spans="7:63">
      <c r="G887">
        <v>886</v>
      </c>
      <c r="H887" s="7" t="s">
        <v>1460</v>
      </c>
      <c r="I887" t="s">
        <v>29</v>
      </c>
      <c r="J887">
        <f>LEN(H887)</f>
        <v>11</v>
      </c>
      <c r="K887" s="49" t="s">
        <v>4875</v>
      </c>
      <c r="O887" s="3" t="s">
        <v>7010</v>
      </c>
      <c r="P887" s="3" t="s">
        <v>7010</v>
      </c>
      <c r="Q887" s="3" t="s">
        <v>7010</v>
      </c>
      <c r="R887" s="3" t="s">
        <v>7010</v>
      </c>
      <c r="S887" s="3" t="s">
        <v>7010</v>
      </c>
      <c r="T887" s="3" t="s">
        <v>7010</v>
      </c>
      <c r="U887" s="3" t="s">
        <v>7010</v>
      </c>
      <c r="V887" s="3" t="s">
        <v>7010</v>
      </c>
      <c r="W887" s="74" t="str">
        <f t="shared" si="53"/>
        <v>No</v>
      </c>
      <c r="Z887">
        <v>886</v>
      </c>
      <c r="AA887" s="55" t="s">
        <v>6357</v>
      </c>
      <c r="AC887">
        <f t="shared" si="52"/>
        <v>7</v>
      </c>
      <c r="AD887" s="30" t="s">
        <v>6358</v>
      </c>
      <c r="AH887" s="3" t="s">
        <v>7015</v>
      </c>
      <c r="AI887" s="3" t="s">
        <v>7010</v>
      </c>
      <c r="AJ887" s="3" t="s">
        <v>7010</v>
      </c>
      <c r="AK887" s="3" t="s">
        <v>7015</v>
      </c>
      <c r="AL887" s="3" t="s">
        <v>7010</v>
      </c>
      <c r="AM887" s="3" t="s">
        <v>7010</v>
      </c>
      <c r="AN887" s="3" t="s">
        <v>7010</v>
      </c>
      <c r="AO887" s="3" t="s">
        <v>7010</v>
      </c>
      <c r="AP887" s="74" t="s">
        <v>7015</v>
      </c>
      <c r="AU887">
        <v>886</v>
      </c>
      <c r="AV887" t="s">
        <v>6359</v>
      </c>
      <c r="AW887" t="s">
        <v>2279</v>
      </c>
      <c r="AX887">
        <f t="shared" si="54"/>
        <v>8</v>
      </c>
      <c r="AY887" s="30" t="s">
        <v>6360</v>
      </c>
      <c r="BC887" s="3" t="s">
        <v>7010</v>
      </c>
      <c r="BD887" s="3" t="s">
        <v>7010</v>
      </c>
      <c r="BE887" s="3" t="s">
        <v>7010</v>
      </c>
      <c r="BF887" s="3" t="s">
        <v>7010</v>
      </c>
      <c r="BG887" s="3" t="s">
        <v>7010</v>
      </c>
      <c r="BH887" s="3" t="s">
        <v>7010</v>
      </c>
      <c r="BI887" s="3" t="s">
        <v>7010</v>
      </c>
      <c r="BJ887" s="3" t="s">
        <v>7010</v>
      </c>
      <c r="BK887" s="74" t="str">
        <f t="shared" si="55"/>
        <v>No</v>
      </c>
    </row>
    <row r="888" spans="7:63">
      <c r="G888">
        <v>887</v>
      </c>
      <c r="H888" s="7" t="s">
        <v>1310</v>
      </c>
      <c r="I888" t="s">
        <v>29</v>
      </c>
      <c r="J888">
        <f>LEN(H888)</f>
        <v>11</v>
      </c>
      <c r="K888" s="49" t="s">
        <v>4491</v>
      </c>
      <c r="O888" s="3" t="s">
        <v>7010</v>
      </c>
      <c r="P888" s="3" t="s">
        <v>7010</v>
      </c>
      <c r="Q888" s="3" t="s">
        <v>7010</v>
      </c>
      <c r="R888" s="3" t="s">
        <v>7010</v>
      </c>
      <c r="S888" s="3" t="s">
        <v>7010</v>
      </c>
      <c r="T888" s="3" t="s">
        <v>7010</v>
      </c>
      <c r="U888" s="3" t="s">
        <v>7010</v>
      </c>
      <c r="V888" s="3" t="s">
        <v>7010</v>
      </c>
      <c r="W888" s="74" t="str">
        <f t="shared" si="53"/>
        <v>No</v>
      </c>
      <c r="Z888">
        <v>887</v>
      </c>
      <c r="AA888" s="55" t="s">
        <v>6362</v>
      </c>
      <c r="AC888">
        <f t="shared" si="52"/>
        <v>5</v>
      </c>
      <c r="AD888" s="30" t="s">
        <v>6363</v>
      </c>
      <c r="AH888" s="3" t="s">
        <v>7015</v>
      </c>
      <c r="AI888" s="3" t="s">
        <v>7010</v>
      </c>
      <c r="AJ888" s="3" t="s">
        <v>7010</v>
      </c>
      <c r="AK888" s="3" t="s">
        <v>7015</v>
      </c>
      <c r="AL888" s="3" t="s">
        <v>7010</v>
      </c>
      <c r="AM888" s="3" t="s">
        <v>7010</v>
      </c>
      <c r="AN888" s="3" t="s">
        <v>7010</v>
      </c>
      <c r="AO888" s="3" t="s">
        <v>7010</v>
      </c>
      <c r="AP888" s="74" t="s">
        <v>7015</v>
      </c>
      <c r="AU888">
        <v>887</v>
      </c>
      <c r="AV888" t="s">
        <v>6364</v>
      </c>
      <c r="AW888" t="s">
        <v>2279</v>
      </c>
      <c r="AX888">
        <f t="shared" si="54"/>
        <v>12</v>
      </c>
      <c r="AY888" s="30" t="s">
        <v>6365</v>
      </c>
      <c r="BC888" s="3" t="s">
        <v>7010</v>
      </c>
      <c r="BD888" s="3" t="s">
        <v>7010</v>
      </c>
      <c r="BE888" s="3" t="s">
        <v>7010</v>
      </c>
      <c r="BF888" s="3" t="s">
        <v>7010</v>
      </c>
      <c r="BG888" s="3" t="s">
        <v>7010</v>
      </c>
      <c r="BH888" s="3" t="s">
        <v>7010</v>
      </c>
      <c r="BI888" s="3" t="s">
        <v>7010</v>
      </c>
      <c r="BJ888" s="3" t="s">
        <v>7010</v>
      </c>
      <c r="BK888" s="74" t="str">
        <f t="shared" si="55"/>
        <v>No</v>
      </c>
    </row>
    <row r="889" spans="7:63">
      <c r="G889">
        <v>888</v>
      </c>
      <c r="H889" s="7" t="s">
        <v>1642</v>
      </c>
      <c r="I889" t="s">
        <v>29</v>
      </c>
      <c r="J889">
        <f>LEN(H889)</f>
        <v>15</v>
      </c>
      <c r="K889" s="49" t="s">
        <v>5336</v>
      </c>
      <c r="O889" s="3" t="s">
        <v>7010</v>
      </c>
      <c r="P889" s="3" t="s">
        <v>7010</v>
      </c>
      <c r="Q889" s="3" t="s">
        <v>7010</v>
      </c>
      <c r="R889" s="3" t="s">
        <v>7010</v>
      </c>
      <c r="S889" s="3" t="s">
        <v>7010</v>
      </c>
      <c r="T889" s="3" t="s">
        <v>7010</v>
      </c>
      <c r="U889" s="3" t="s">
        <v>7015</v>
      </c>
      <c r="V889" s="3" t="s">
        <v>7010</v>
      </c>
      <c r="W889" s="74" t="str">
        <f t="shared" si="53"/>
        <v>Yes</v>
      </c>
      <c r="Z889">
        <v>888</v>
      </c>
      <c r="AA889" s="55" t="s">
        <v>6367</v>
      </c>
      <c r="AC889">
        <f t="shared" si="52"/>
        <v>8</v>
      </c>
      <c r="AD889" s="30" t="s">
        <v>6368</v>
      </c>
      <c r="AH889" s="3" t="s">
        <v>7015</v>
      </c>
      <c r="AI889" s="3" t="s">
        <v>7010</v>
      </c>
      <c r="AJ889" s="3" t="s">
        <v>7010</v>
      </c>
      <c r="AK889" s="3" t="s">
        <v>7015</v>
      </c>
      <c r="AL889" s="3" t="s">
        <v>7010</v>
      </c>
      <c r="AM889" s="3" t="s">
        <v>7010</v>
      </c>
      <c r="AN889" s="3" t="s">
        <v>7010</v>
      </c>
      <c r="AO889" s="3" t="s">
        <v>7010</v>
      </c>
      <c r="AP889" s="74" t="s">
        <v>7015</v>
      </c>
      <c r="AU889">
        <v>888</v>
      </c>
      <c r="AV889" t="s">
        <v>6369</v>
      </c>
      <c r="AW889" t="s">
        <v>2279</v>
      </c>
      <c r="AX889">
        <f t="shared" si="54"/>
        <v>8</v>
      </c>
      <c r="AY889" s="30" t="s">
        <v>6370</v>
      </c>
      <c r="BC889" s="3" t="s">
        <v>7010</v>
      </c>
      <c r="BD889" s="3" t="s">
        <v>7010</v>
      </c>
      <c r="BE889" s="3" t="s">
        <v>7010</v>
      </c>
      <c r="BF889" s="3" t="s">
        <v>7010</v>
      </c>
      <c r="BG889" s="3" t="s">
        <v>7010</v>
      </c>
      <c r="BH889" s="3" t="s">
        <v>7010</v>
      </c>
      <c r="BI889" s="3" t="s">
        <v>7010</v>
      </c>
      <c r="BJ889" s="3" t="s">
        <v>7010</v>
      </c>
      <c r="BK889" s="74" t="str">
        <f t="shared" si="55"/>
        <v>No</v>
      </c>
    </row>
    <row r="890" spans="7:63">
      <c r="G890">
        <v>889</v>
      </c>
      <c r="H890" s="7" t="s">
        <v>312</v>
      </c>
      <c r="I890" t="s">
        <v>29</v>
      </c>
      <c r="J890">
        <f>LEN(H890)</f>
        <v>15</v>
      </c>
      <c r="K890" s="49" t="s">
        <v>2345</v>
      </c>
      <c r="O890" s="3" t="s">
        <v>7010</v>
      </c>
      <c r="P890" s="3" t="s">
        <v>7010</v>
      </c>
      <c r="Q890" s="3" t="s">
        <v>7010</v>
      </c>
      <c r="R890" s="3" t="s">
        <v>7010</v>
      </c>
      <c r="S890" s="3" t="s">
        <v>7010</v>
      </c>
      <c r="T890" s="3" t="s">
        <v>7010</v>
      </c>
      <c r="U890" s="3" t="s">
        <v>7010</v>
      </c>
      <c r="V890" s="3" t="s">
        <v>7010</v>
      </c>
      <c r="W890" s="74" t="str">
        <f t="shared" si="53"/>
        <v>No</v>
      </c>
      <c r="Z890">
        <v>889</v>
      </c>
      <c r="AA890" s="55" t="s">
        <v>6372</v>
      </c>
      <c r="AC890">
        <f t="shared" si="52"/>
        <v>6</v>
      </c>
      <c r="AD890" s="30" t="s">
        <v>6373</v>
      </c>
      <c r="AH890" s="3" t="s">
        <v>7015</v>
      </c>
      <c r="AI890" s="3" t="s">
        <v>7010</v>
      </c>
      <c r="AJ890" s="3" t="s">
        <v>7010</v>
      </c>
      <c r="AK890" s="3" t="s">
        <v>7015</v>
      </c>
      <c r="AL890" s="3" t="s">
        <v>7010</v>
      </c>
      <c r="AM890" s="3" t="s">
        <v>7010</v>
      </c>
      <c r="AN890" s="3" t="s">
        <v>7010</v>
      </c>
      <c r="AO890" s="3" t="s">
        <v>7010</v>
      </c>
      <c r="AP890" s="74" t="s">
        <v>7015</v>
      </c>
      <c r="AU890">
        <v>889</v>
      </c>
      <c r="AV890" t="s">
        <v>6374</v>
      </c>
      <c r="AW890" t="s">
        <v>2279</v>
      </c>
      <c r="AX890">
        <f t="shared" si="54"/>
        <v>9</v>
      </c>
      <c r="AY890" s="30" t="s">
        <v>6375</v>
      </c>
      <c r="BC890" s="3" t="s">
        <v>7010</v>
      </c>
      <c r="BD890" s="3" t="s">
        <v>7010</v>
      </c>
      <c r="BE890" s="3" t="s">
        <v>7010</v>
      </c>
      <c r="BF890" s="3" t="s">
        <v>7010</v>
      </c>
      <c r="BG890" s="3" t="s">
        <v>7010</v>
      </c>
      <c r="BH890" s="3" t="s">
        <v>7010</v>
      </c>
      <c r="BI890" s="3" t="s">
        <v>7010</v>
      </c>
      <c r="BJ890" s="3" t="s">
        <v>7010</v>
      </c>
      <c r="BK890" s="74" t="str">
        <f t="shared" si="55"/>
        <v>No</v>
      </c>
    </row>
    <row r="891" spans="7:63">
      <c r="G891">
        <v>890</v>
      </c>
      <c r="H891" s="7" t="s">
        <v>1574</v>
      </c>
      <c r="I891" t="s">
        <v>29</v>
      </c>
      <c r="J891">
        <f>LEN(H891)</f>
        <v>14</v>
      </c>
      <c r="K891" s="49" t="s">
        <v>5163</v>
      </c>
      <c r="O891" s="3" t="s">
        <v>7010</v>
      </c>
      <c r="P891" s="3" t="s">
        <v>7010</v>
      </c>
      <c r="Q891" s="3" t="s">
        <v>7010</v>
      </c>
      <c r="R891" s="3" t="s">
        <v>7010</v>
      </c>
      <c r="S891" s="3" t="s">
        <v>7010</v>
      </c>
      <c r="T891" s="3" t="s">
        <v>7015</v>
      </c>
      <c r="U891" s="3" t="s">
        <v>7010</v>
      </c>
      <c r="V891" s="3" t="s">
        <v>7010</v>
      </c>
      <c r="W891" s="74" t="str">
        <f t="shared" si="53"/>
        <v>Yes</v>
      </c>
      <c r="Z891">
        <v>890</v>
      </c>
      <c r="AA891" s="55" t="s">
        <v>6378</v>
      </c>
      <c r="AC891">
        <f t="shared" si="52"/>
        <v>6</v>
      </c>
      <c r="AD891" s="30" t="s">
        <v>6379</v>
      </c>
      <c r="AH891" s="3" t="s">
        <v>7015</v>
      </c>
      <c r="AI891" s="3" t="s">
        <v>7010</v>
      </c>
      <c r="AJ891" s="3" t="s">
        <v>7010</v>
      </c>
      <c r="AK891" s="3" t="s">
        <v>7015</v>
      </c>
      <c r="AL891" s="3" t="s">
        <v>7010</v>
      </c>
      <c r="AM891" s="3" t="s">
        <v>7010</v>
      </c>
      <c r="AN891" s="3" t="s">
        <v>7010</v>
      </c>
      <c r="AO891" s="3" t="s">
        <v>7010</v>
      </c>
      <c r="AP891" s="74" t="s">
        <v>7015</v>
      </c>
      <c r="AU891">
        <v>890</v>
      </c>
      <c r="AV891" t="s">
        <v>6380</v>
      </c>
      <c r="AW891" t="s">
        <v>2279</v>
      </c>
      <c r="AX891">
        <f t="shared" si="54"/>
        <v>8</v>
      </c>
      <c r="AY891" s="30" t="s">
        <v>6381</v>
      </c>
      <c r="BC891" s="3" t="s">
        <v>7010</v>
      </c>
      <c r="BD891" s="3" t="s">
        <v>7010</v>
      </c>
      <c r="BE891" s="3" t="s">
        <v>7015</v>
      </c>
      <c r="BF891" s="3" t="s">
        <v>7010</v>
      </c>
      <c r="BG891" s="3" t="s">
        <v>7010</v>
      </c>
      <c r="BH891" s="3" t="s">
        <v>7010</v>
      </c>
      <c r="BI891" s="3" t="s">
        <v>7010</v>
      </c>
      <c r="BJ891" s="3" t="s">
        <v>7010</v>
      </c>
      <c r="BK891" s="74" t="str">
        <f t="shared" si="55"/>
        <v>Yes</v>
      </c>
    </row>
    <row r="892" spans="7:63">
      <c r="G892">
        <v>891</v>
      </c>
      <c r="H892" s="7" t="s">
        <v>1258</v>
      </c>
      <c r="I892" t="s">
        <v>29</v>
      </c>
      <c r="J892">
        <f>LEN(H892)</f>
        <v>11</v>
      </c>
      <c r="K892" s="49" t="s">
        <v>4361</v>
      </c>
      <c r="O892" s="3" t="s">
        <v>7010</v>
      </c>
      <c r="P892" s="3" t="s">
        <v>7010</v>
      </c>
      <c r="Q892" s="3" t="s">
        <v>7010</v>
      </c>
      <c r="R892" s="3" t="s">
        <v>7010</v>
      </c>
      <c r="S892" s="3" t="s">
        <v>7010</v>
      </c>
      <c r="T892" s="3" t="s">
        <v>7015</v>
      </c>
      <c r="U892" s="3" t="s">
        <v>7010</v>
      </c>
      <c r="V892" s="3" t="s">
        <v>7010</v>
      </c>
      <c r="W892" s="74" t="str">
        <f t="shared" si="53"/>
        <v>Yes</v>
      </c>
      <c r="Z892">
        <v>891</v>
      </c>
      <c r="AA892" s="55" t="s">
        <v>6383</v>
      </c>
      <c r="AC892">
        <f t="shared" si="52"/>
        <v>8</v>
      </c>
      <c r="AD892" s="30" t="s">
        <v>6384</v>
      </c>
      <c r="AH892" s="3" t="s">
        <v>7015</v>
      </c>
      <c r="AI892" s="3" t="s">
        <v>7010</v>
      </c>
      <c r="AJ892" s="3" t="s">
        <v>7010</v>
      </c>
      <c r="AK892" s="3" t="s">
        <v>7015</v>
      </c>
      <c r="AL892" s="3" t="s">
        <v>7010</v>
      </c>
      <c r="AM892" s="3" t="s">
        <v>7010</v>
      </c>
      <c r="AN892" s="3" t="s">
        <v>7010</v>
      </c>
      <c r="AO892" s="3" t="s">
        <v>7010</v>
      </c>
      <c r="AP892" s="74" t="s">
        <v>7015</v>
      </c>
      <c r="AU892">
        <v>891</v>
      </c>
      <c r="AV892" t="s">
        <v>6385</v>
      </c>
      <c r="AW892" t="s">
        <v>2279</v>
      </c>
      <c r="AX892">
        <f t="shared" si="54"/>
        <v>8</v>
      </c>
      <c r="AY892" s="30" t="s">
        <v>6386</v>
      </c>
      <c r="BC892" s="3" t="s">
        <v>7015</v>
      </c>
      <c r="BD892" s="3" t="s">
        <v>7010</v>
      </c>
      <c r="BE892" s="3" t="s">
        <v>7015</v>
      </c>
      <c r="BF892" s="3" t="s">
        <v>7010</v>
      </c>
      <c r="BG892" s="3" t="s">
        <v>7010</v>
      </c>
      <c r="BH892" s="3" t="s">
        <v>7010</v>
      </c>
      <c r="BI892" s="3" t="s">
        <v>7010</v>
      </c>
      <c r="BJ892" s="3" t="s">
        <v>7010</v>
      </c>
      <c r="BK892" s="74" t="str">
        <f t="shared" si="55"/>
        <v>Yes</v>
      </c>
    </row>
    <row r="893" spans="7:63">
      <c r="G893">
        <v>892</v>
      </c>
      <c r="H893" s="7" t="s">
        <v>2235</v>
      </c>
      <c r="I893" t="s">
        <v>29</v>
      </c>
      <c r="J893">
        <f>LEN(H893)</f>
        <v>14</v>
      </c>
      <c r="K893" s="49" t="s">
        <v>6913</v>
      </c>
      <c r="O893" s="3" t="s">
        <v>7010</v>
      </c>
      <c r="P893" s="3" t="s">
        <v>7010</v>
      </c>
      <c r="Q893" s="3" t="s">
        <v>7010</v>
      </c>
      <c r="R893" s="3" t="s">
        <v>7010</v>
      </c>
      <c r="S893" s="3" t="s">
        <v>7010</v>
      </c>
      <c r="T893" s="3" t="s">
        <v>7015</v>
      </c>
      <c r="U893" s="3" t="s">
        <v>7010</v>
      </c>
      <c r="V893" s="3" t="s">
        <v>7010</v>
      </c>
      <c r="W893" s="74" t="str">
        <f t="shared" si="53"/>
        <v>Yes</v>
      </c>
      <c r="Z893">
        <v>892</v>
      </c>
      <c r="AA893" s="55" t="s">
        <v>6388</v>
      </c>
      <c r="AC893">
        <f t="shared" si="52"/>
        <v>9</v>
      </c>
      <c r="AD893" s="30" t="s">
        <v>6389</v>
      </c>
      <c r="AH893" s="3" t="s">
        <v>7015</v>
      </c>
      <c r="AI893" s="3" t="s">
        <v>7010</v>
      </c>
      <c r="AJ893" s="3" t="s">
        <v>7010</v>
      </c>
      <c r="AK893" s="3" t="s">
        <v>7015</v>
      </c>
      <c r="AL893" s="3" t="s">
        <v>7010</v>
      </c>
      <c r="AM893" s="3" t="s">
        <v>7010</v>
      </c>
      <c r="AN893" s="3" t="s">
        <v>7010</v>
      </c>
      <c r="AO893" s="3" t="s">
        <v>7010</v>
      </c>
      <c r="AP893" s="74" t="s">
        <v>7015</v>
      </c>
      <c r="AU893">
        <v>892</v>
      </c>
      <c r="AV893" t="s">
        <v>6390</v>
      </c>
      <c r="AW893" t="s">
        <v>2279</v>
      </c>
      <c r="AX893">
        <f t="shared" si="54"/>
        <v>8</v>
      </c>
      <c r="AY893" s="30" t="s">
        <v>6391</v>
      </c>
      <c r="BC893" s="3" t="s">
        <v>7010</v>
      </c>
      <c r="BD893" s="3" t="s">
        <v>7010</v>
      </c>
      <c r="BE893" s="3" t="s">
        <v>7010</v>
      </c>
      <c r="BF893" s="3" t="s">
        <v>7010</v>
      </c>
      <c r="BG893" s="3" t="s">
        <v>7010</v>
      </c>
      <c r="BH893" s="3" t="s">
        <v>7010</v>
      </c>
      <c r="BI893" s="3" t="s">
        <v>7010</v>
      </c>
      <c r="BJ893" s="3" t="s">
        <v>7010</v>
      </c>
      <c r="BK893" s="74" t="str">
        <f t="shared" si="55"/>
        <v>No</v>
      </c>
    </row>
    <row r="894" spans="7:63">
      <c r="G894">
        <v>893</v>
      </c>
      <c r="H894" s="7" t="s">
        <v>1020</v>
      </c>
      <c r="I894" t="s">
        <v>29</v>
      </c>
      <c r="J894">
        <f>LEN(H894)</f>
        <v>13</v>
      </c>
      <c r="K894" s="49" t="s">
        <v>3752</v>
      </c>
      <c r="O894" s="3" t="s">
        <v>7010</v>
      </c>
      <c r="P894" s="3" t="s">
        <v>7010</v>
      </c>
      <c r="Q894" s="3" t="s">
        <v>7010</v>
      </c>
      <c r="R894" s="3" t="s">
        <v>7010</v>
      </c>
      <c r="S894" s="3" t="s">
        <v>7010</v>
      </c>
      <c r="T894" s="3" t="s">
        <v>7010</v>
      </c>
      <c r="U894" s="3" t="s">
        <v>7010</v>
      </c>
      <c r="V894" s="3" t="s">
        <v>7010</v>
      </c>
      <c r="W894" s="74" t="str">
        <f t="shared" si="53"/>
        <v>No</v>
      </c>
      <c r="Z894">
        <v>893</v>
      </c>
      <c r="AA894" s="55" t="s">
        <v>6393</v>
      </c>
      <c r="AC894">
        <f t="shared" si="52"/>
        <v>7</v>
      </c>
      <c r="AD894" s="30" t="s">
        <v>6394</v>
      </c>
      <c r="AH894" s="3" t="s">
        <v>7015</v>
      </c>
      <c r="AI894" s="3" t="s">
        <v>7010</v>
      </c>
      <c r="AJ894" s="3" t="s">
        <v>7010</v>
      </c>
      <c r="AK894" s="3" t="s">
        <v>7015</v>
      </c>
      <c r="AL894" s="3" t="s">
        <v>7010</v>
      </c>
      <c r="AM894" s="3" t="s">
        <v>7010</v>
      </c>
      <c r="AN894" s="3" t="s">
        <v>7010</v>
      </c>
      <c r="AO894" s="3" t="s">
        <v>7010</v>
      </c>
      <c r="AP894" s="74" t="s">
        <v>7015</v>
      </c>
      <c r="AU894">
        <v>893</v>
      </c>
      <c r="AV894" t="s">
        <v>6395</v>
      </c>
      <c r="AW894" t="s">
        <v>2279</v>
      </c>
      <c r="AX894">
        <f t="shared" si="54"/>
        <v>14</v>
      </c>
      <c r="AY894" s="30" t="s">
        <v>6396</v>
      </c>
      <c r="BC894" s="3" t="s">
        <v>7010</v>
      </c>
      <c r="BD894" s="3" t="s">
        <v>7015</v>
      </c>
      <c r="BE894" s="3" t="s">
        <v>7010</v>
      </c>
      <c r="BF894" s="3" t="s">
        <v>7010</v>
      </c>
      <c r="BG894" s="3" t="s">
        <v>7010</v>
      </c>
      <c r="BH894" s="3" t="s">
        <v>7010</v>
      </c>
      <c r="BI894" s="3" t="s">
        <v>7010</v>
      </c>
      <c r="BJ894" s="3" t="s">
        <v>7010</v>
      </c>
      <c r="BK894" s="74" t="str">
        <f t="shared" si="55"/>
        <v>Yes</v>
      </c>
    </row>
    <row r="895" spans="7:63">
      <c r="G895">
        <v>894</v>
      </c>
      <c r="H895" s="7" t="s">
        <v>633</v>
      </c>
      <c r="I895" t="s">
        <v>29</v>
      </c>
      <c r="J895">
        <f>LEN(H895)</f>
        <v>14</v>
      </c>
      <c r="K895" s="49" t="s">
        <v>3449</v>
      </c>
      <c r="O895" s="3" t="s">
        <v>7010</v>
      </c>
      <c r="P895" s="3" t="s">
        <v>7010</v>
      </c>
      <c r="Q895" s="3" t="s">
        <v>7010</v>
      </c>
      <c r="R895" s="3" t="s">
        <v>7010</v>
      </c>
      <c r="S895" s="3" t="s">
        <v>7010</v>
      </c>
      <c r="T895" s="3" t="s">
        <v>7015</v>
      </c>
      <c r="U895" s="3" t="s">
        <v>7010</v>
      </c>
      <c r="V895" s="3" t="s">
        <v>7010</v>
      </c>
      <c r="W895" s="74" t="str">
        <f t="shared" si="53"/>
        <v>Yes</v>
      </c>
      <c r="Z895">
        <v>894</v>
      </c>
      <c r="AA895" s="55" t="s">
        <v>6398</v>
      </c>
      <c r="AC895">
        <f t="shared" si="52"/>
        <v>6</v>
      </c>
      <c r="AD895" s="30" t="s">
        <v>6399</v>
      </c>
      <c r="AH895" s="3" t="s">
        <v>7015</v>
      </c>
      <c r="AI895" s="3" t="s">
        <v>7010</v>
      </c>
      <c r="AJ895" s="3" t="s">
        <v>7010</v>
      </c>
      <c r="AK895" s="3" t="s">
        <v>7015</v>
      </c>
      <c r="AL895" s="3" t="s">
        <v>7010</v>
      </c>
      <c r="AM895" s="3" t="s">
        <v>7010</v>
      </c>
      <c r="AN895" s="3" t="s">
        <v>7010</v>
      </c>
      <c r="AO895" s="3" t="s">
        <v>7010</v>
      </c>
      <c r="AP895" s="74" t="s">
        <v>7015</v>
      </c>
      <c r="AU895">
        <v>894</v>
      </c>
      <c r="AV895" t="s">
        <v>6400</v>
      </c>
      <c r="AW895" t="s">
        <v>2279</v>
      </c>
      <c r="AX895">
        <f t="shared" si="54"/>
        <v>8</v>
      </c>
      <c r="AY895" s="30" t="s">
        <v>6401</v>
      </c>
      <c r="BC895" s="3" t="s">
        <v>7010</v>
      </c>
      <c r="BD895" s="3" t="s">
        <v>7010</v>
      </c>
      <c r="BE895" s="3" t="s">
        <v>7010</v>
      </c>
      <c r="BF895" s="3" t="s">
        <v>7010</v>
      </c>
      <c r="BG895" s="3" t="s">
        <v>7010</v>
      </c>
      <c r="BH895" s="3" t="s">
        <v>7010</v>
      </c>
      <c r="BI895" s="3" t="s">
        <v>7010</v>
      </c>
      <c r="BJ895" s="3" t="s">
        <v>7010</v>
      </c>
      <c r="BK895" s="74" t="str">
        <f t="shared" si="55"/>
        <v>No</v>
      </c>
    </row>
    <row r="896" spans="7:63">
      <c r="G896">
        <v>895</v>
      </c>
      <c r="H896" s="9" t="s">
        <v>530</v>
      </c>
      <c r="I896" t="s">
        <v>29</v>
      </c>
      <c r="J896">
        <f>LEN(H896)</f>
        <v>10</v>
      </c>
      <c r="K896" s="49" t="s">
        <v>3037</v>
      </c>
      <c r="O896" s="3" t="s">
        <v>7015</v>
      </c>
      <c r="P896" s="3" t="s">
        <v>7010</v>
      </c>
      <c r="Q896" s="3" t="s">
        <v>7010</v>
      </c>
      <c r="R896" s="3" t="s">
        <v>7015</v>
      </c>
      <c r="S896" s="3" t="s">
        <v>7010</v>
      </c>
      <c r="T896" s="3" t="s">
        <v>7015</v>
      </c>
      <c r="U896" s="3" t="s">
        <v>7010</v>
      </c>
      <c r="V896" s="3" t="s">
        <v>7010</v>
      </c>
      <c r="W896" s="74" t="str">
        <f t="shared" si="53"/>
        <v>Yes</v>
      </c>
      <c r="Z896">
        <v>895</v>
      </c>
      <c r="AA896" s="55" t="s">
        <v>6403</v>
      </c>
      <c r="AC896">
        <f t="shared" si="52"/>
        <v>7</v>
      </c>
      <c r="AD896" s="30" t="s">
        <v>6404</v>
      </c>
      <c r="AH896" s="3" t="s">
        <v>7015</v>
      </c>
      <c r="AI896" s="3" t="s">
        <v>7010</v>
      </c>
      <c r="AJ896" s="3" t="s">
        <v>7010</v>
      </c>
      <c r="AK896" s="3" t="s">
        <v>7015</v>
      </c>
      <c r="AL896" s="3" t="s">
        <v>7010</v>
      </c>
      <c r="AM896" s="3" t="s">
        <v>7010</v>
      </c>
      <c r="AN896" s="3" t="s">
        <v>7010</v>
      </c>
      <c r="AO896" s="3" t="s">
        <v>7010</v>
      </c>
      <c r="AP896" s="74" t="s">
        <v>7015</v>
      </c>
      <c r="AU896">
        <v>895</v>
      </c>
      <c r="AV896" t="s">
        <v>6405</v>
      </c>
      <c r="AW896" t="s">
        <v>2279</v>
      </c>
      <c r="AX896">
        <f t="shared" si="54"/>
        <v>13</v>
      </c>
      <c r="AY896" s="30" t="s">
        <v>6406</v>
      </c>
      <c r="BC896" s="3" t="s">
        <v>7010</v>
      </c>
      <c r="BD896" s="3" t="s">
        <v>7010</v>
      </c>
      <c r="BE896" s="3" t="s">
        <v>7010</v>
      </c>
      <c r="BF896" s="3" t="s">
        <v>7010</v>
      </c>
      <c r="BG896" s="3" t="s">
        <v>7010</v>
      </c>
      <c r="BH896" s="3" t="s">
        <v>7010</v>
      </c>
      <c r="BI896" s="3" t="s">
        <v>7010</v>
      </c>
      <c r="BJ896" s="3" t="s">
        <v>7010</v>
      </c>
      <c r="BK896" s="74" t="str">
        <f t="shared" si="55"/>
        <v>No</v>
      </c>
    </row>
    <row r="897" spans="7:63">
      <c r="G897">
        <v>896</v>
      </c>
      <c r="H897" t="s">
        <v>6932</v>
      </c>
      <c r="I897" t="s">
        <v>29</v>
      </c>
      <c r="J897">
        <f>LEN(H897)</f>
        <v>9</v>
      </c>
      <c r="K897" s="49" t="s">
        <v>6933</v>
      </c>
      <c r="O897" s="3" t="s">
        <v>7010</v>
      </c>
      <c r="P897" s="3" t="s">
        <v>7010</v>
      </c>
      <c r="Q897" s="3" t="s">
        <v>7010</v>
      </c>
      <c r="R897" s="3" t="s">
        <v>7015</v>
      </c>
      <c r="S897" s="3" t="s">
        <v>7015</v>
      </c>
      <c r="T897" s="3" t="s">
        <v>7015</v>
      </c>
      <c r="U897" s="3" t="s">
        <v>7010</v>
      </c>
      <c r="V897" s="3" t="s">
        <v>7010</v>
      </c>
      <c r="W897" s="74" t="str">
        <f t="shared" si="53"/>
        <v>Yes</v>
      </c>
      <c r="Z897">
        <v>896</v>
      </c>
      <c r="AA897" s="55" t="s">
        <v>6408</v>
      </c>
      <c r="AC897">
        <f t="shared" si="52"/>
        <v>8</v>
      </c>
      <c r="AD897" s="30" t="s">
        <v>6409</v>
      </c>
      <c r="AH897" s="3" t="s">
        <v>7015</v>
      </c>
      <c r="AI897" s="3" t="s">
        <v>7010</v>
      </c>
      <c r="AJ897" s="3" t="s">
        <v>7010</v>
      </c>
      <c r="AK897" s="3" t="s">
        <v>7015</v>
      </c>
      <c r="AL897" s="3" t="s">
        <v>7010</v>
      </c>
      <c r="AM897" s="3" t="s">
        <v>7010</v>
      </c>
      <c r="AN897" s="3" t="s">
        <v>7010</v>
      </c>
      <c r="AO897" s="3" t="s">
        <v>7010</v>
      </c>
      <c r="AP897" s="74" t="s">
        <v>7015</v>
      </c>
      <c r="AU897">
        <v>896</v>
      </c>
      <c r="AV897" t="s">
        <v>6410</v>
      </c>
      <c r="AW897" t="s">
        <v>2279</v>
      </c>
      <c r="AX897">
        <f t="shared" si="54"/>
        <v>11</v>
      </c>
      <c r="AY897" s="30" t="s">
        <v>6411</v>
      </c>
      <c r="BC897" s="3" t="s">
        <v>7010</v>
      </c>
      <c r="BD897" s="3" t="s">
        <v>7010</v>
      </c>
      <c r="BE897" s="3" t="s">
        <v>7010</v>
      </c>
      <c r="BF897" s="3" t="s">
        <v>7010</v>
      </c>
      <c r="BG897" s="3" t="s">
        <v>7010</v>
      </c>
      <c r="BH897" s="3" t="s">
        <v>7010</v>
      </c>
      <c r="BI897" s="3" t="s">
        <v>7010</v>
      </c>
      <c r="BJ897" s="3" t="s">
        <v>7010</v>
      </c>
      <c r="BK897" s="74" t="str">
        <f t="shared" si="55"/>
        <v>No</v>
      </c>
    </row>
    <row r="898" spans="7:63">
      <c r="G898">
        <v>897</v>
      </c>
      <c r="H898" s="7" t="s">
        <v>562</v>
      </c>
      <c r="I898" t="s">
        <v>29</v>
      </c>
      <c r="J898">
        <f>LEN(H898)</f>
        <v>14</v>
      </c>
      <c r="K898" s="49" t="s">
        <v>3165</v>
      </c>
      <c r="O898" s="3" t="s">
        <v>7010</v>
      </c>
      <c r="P898" s="3" t="s">
        <v>7010</v>
      </c>
      <c r="Q898" s="3" t="s">
        <v>7010</v>
      </c>
      <c r="R898" s="3" t="s">
        <v>7015</v>
      </c>
      <c r="S898" s="3" t="s">
        <v>7010</v>
      </c>
      <c r="T898" s="3" t="s">
        <v>7015</v>
      </c>
      <c r="U898" s="3" t="s">
        <v>7010</v>
      </c>
      <c r="V898" s="3" t="s">
        <v>7010</v>
      </c>
      <c r="W898" s="74" t="str">
        <f t="shared" si="53"/>
        <v>Yes</v>
      </c>
      <c r="Z898">
        <v>897</v>
      </c>
      <c r="AA898" s="55" t="s">
        <v>6413</v>
      </c>
      <c r="AC898">
        <f t="shared" ref="AC898:AC961" si="56">LEN(AA898)</f>
        <v>6</v>
      </c>
      <c r="AD898" s="30" t="s">
        <v>6414</v>
      </c>
      <c r="AH898" s="3" t="s">
        <v>7015</v>
      </c>
      <c r="AI898" s="3" t="s">
        <v>7010</v>
      </c>
      <c r="AJ898" s="3" t="s">
        <v>7010</v>
      </c>
      <c r="AK898" s="3" t="s">
        <v>7015</v>
      </c>
      <c r="AL898" s="3" t="s">
        <v>7010</v>
      </c>
      <c r="AM898" s="3" t="s">
        <v>7010</v>
      </c>
      <c r="AN898" s="3" t="s">
        <v>7010</v>
      </c>
      <c r="AO898" s="3" t="s">
        <v>7010</v>
      </c>
      <c r="AP898" s="74" t="s">
        <v>7015</v>
      </c>
      <c r="AU898">
        <v>897</v>
      </c>
      <c r="AV898" t="s">
        <v>6415</v>
      </c>
      <c r="AW898" t="s">
        <v>2279</v>
      </c>
      <c r="AX898">
        <f t="shared" si="54"/>
        <v>8</v>
      </c>
      <c r="AY898" s="30" t="s">
        <v>6416</v>
      </c>
      <c r="BC898" s="3" t="s">
        <v>7015</v>
      </c>
      <c r="BD898" s="3" t="s">
        <v>7010</v>
      </c>
      <c r="BE898" s="3" t="s">
        <v>7015</v>
      </c>
      <c r="BF898" s="3" t="s">
        <v>7010</v>
      </c>
      <c r="BG898" s="3" t="s">
        <v>7010</v>
      </c>
      <c r="BH898" s="3" t="s">
        <v>7010</v>
      </c>
      <c r="BI898" s="3" t="s">
        <v>7010</v>
      </c>
      <c r="BJ898" s="3" t="s">
        <v>7010</v>
      </c>
      <c r="BK898" s="74" t="str">
        <f t="shared" si="55"/>
        <v>Yes</v>
      </c>
    </row>
    <row r="899" spans="7:63">
      <c r="G899">
        <v>898</v>
      </c>
      <c r="H899" s="7" t="s">
        <v>2119</v>
      </c>
      <c r="I899" t="s">
        <v>29</v>
      </c>
      <c r="J899">
        <f>LEN(H899)</f>
        <v>9</v>
      </c>
      <c r="K899" s="49" t="s">
        <v>6623</v>
      </c>
      <c r="O899" s="3" t="s">
        <v>7010</v>
      </c>
      <c r="P899" s="3" t="s">
        <v>7010</v>
      </c>
      <c r="Q899" s="3" t="s">
        <v>7010</v>
      </c>
      <c r="R899" s="3" t="s">
        <v>7010</v>
      </c>
      <c r="S899" s="3" t="s">
        <v>7010</v>
      </c>
      <c r="T899" s="3" t="s">
        <v>7015</v>
      </c>
      <c r="U899" s="3" t="s">
        <v>7010</v>
      </c>
      <c r="V899" s="3" t="s">
        <v>7010</v>
      </c>
      <c r="W899" s="74" t="str">
        <f t="shared" ref="W899:W962" si="57">IF(COUNTIF(O899:V899, "Yes") &gt; 0, "Yes", "No")</f>
        <v>Yes</v>
      </c>
      <c r="Z899">
        <v>898</v>
      </c>
      <c r="AA899" s="55" t="s">
        <v>6418</v>
      </c>
      <c r="AC899">
        <f t="shared" si="56"/>
        <v>7</v>
      </c>
      <c r="AD899" s="30" t="s">
        <v>6419</v>
      </c>
      <c r="AH899" s="3" t="s">
        <v>7015</v>
      </c>
      <c r="AI899" s="3" t="s">
        <v>7010</v>
      </c>
      <c r="AJ899" s="3" t="s">
        <v>7010</v>
      </c>
      <c r="AK899" s="3" t="s">
        <v>7015</v>
      </c>
      <c r="AL899" s="3" t="s">
        <v>7010</v>
      </c>
      <c r="AM899" s="3" t="s">
        <v>7010</v>
      </c>
      <c r="AN899" s="3" t="s">
        <v>7010</v>
      </c>
      <c r="AO899" s="3" t="s">
        <v>7010</v>
      </c>
      <c r="AP899" s="74" t="s">
        <v>7015</v>
      </c>
      <c r="AU899">
        <v>898</v>
      </c>
      <c r="AV899" t="s">
        <v>6420</v>
      </c>
      <c r="AW899" t="s">
        <v>2279</v>
      </c>
      <c r="AX899">
        <f t="shared" ref="AX899:AX962" si="58">LEN(AV899)</f>
        <v>8</v>
      </c>
      <c r="AY899" s="30" t="s">
        <v>6421</v>
      </c>
      <c r="BC899" s="3" t="s">
        <v>7010</v>
      </c>
      <c r="BD899" s="3" t="s">
        <v>7010</v>
      </c>
      <c r="BE899" s="3" t="s">
        <v>7010</v>
      </c>
      <c r="BF899" s="3" t="s">
        <v>7010</v>
      </c>
      <c r="BG899" s="3" t="s">
        <v>7010</v>
      </c>
      <c r="BH899" s="3" t="s">
        <v>7010</v>
      </c>
      <c r="BI899" s="3" t="s">
        <v>7010</v>
      </c>
      <c r="BJ899" s="3" t="s">
        <v>7010</v>
      </c>
      <c r="BK899" s="74" t="str">
        <f t="shared" ref="BK899:BK962" si="59">IF(COUNTIF(BC899:BJ899, "Yes") &gt; 0, "Yes", "No")</f>
        <v>No</v>
      </c>
    </row>
    <row r="900" spans="7:63">
      <c r="G900">
        <v>899</v>
      </c>
      <c r="H900" s="7" t="s">
        <v>2095</v>
      </c>
      <c r="I900" t="s">
        <v>29</v>
      </c>
      <c r="J900">
        <f>LEN(H900)</f>
        <v>11</v>
      </c>
      <c r="K900" s="49" t="s">
        <v>6563</v>
      </c>
      <c r="O900" s="3" t="s">
        <v>7010</v>
      </c>
      <c r="P900" s="3" t="s">
        <v>7010</v>
      </c>
      <c r="Q900" s="3" t="s">
        <v>7010</v>
      </c>
      <c r="R900" s="3" t="s">
        <v>7010</v>
      </c>
      <c r="S900" s="3" t="s">
        <v>7010</v>
      </c>
      <c r="T900" s="3" t="s">
        <v>7015</v>
      </c>
      <c r="U900" s="3" t="s">
        <v>7010</v>
      </c>
      <c r="V900" s="3" t="s">
        <v>7010</v>
      </c>
      <c r="W900" s="74" t="str">
        <f t="shared" si="57"/>
        <v>Yes</v>
      </c>
      <c r="Z900">
        <v>899</v>
      </c>
      <c r="AA900" s="55" t="s">
        <v>6423</v>
      </c>
      <c r="AC900">
        <f t="shared" si="56"/>
        <v>8</v>
      </c>
      <c r="AD900" s="30" t="s">
        <v>6424</v>
      </c>
      <c r="AH900" s="3" t="s">
        <v>7015</v>
      </c>
      <c r="AI900" s="3" t="s">
        <v>7010</v>
      </c>
      <c r="AJ900" s="3" t="s">
        <v>7010</v>
      </c>
      <c r="AK900" s="3" t="s">
        <v>7015</v>
      </c>
      <c r="AL900" s="3" t="s">
        <v>7010</v>
      </c>
      <c r="AM900" s="3" t="s">
        <v>7010</v>
      </c>
      <c r="AN900" s="3" t="s">
        <v>7010</v>
      </c>
      <c r="AO900" s="3" t="s">
        <v>7010</v>
      </c>
      <c r="AP900" s="74" t="s">
        <v>7015</v>
      </c>
      <c r="AU900">
        <v>899</v>
      </c>
      <c r="AV900" t="s">
        <v>6425</v>
      </c>
      <c r="AW900" t="s">
        <v>2279</v>
      </c>
      <c r="AX900">
        <f t="shared" si="58"/>
        <v>8</v>
      </c>
      <c r="AY900" s="30" t="s">
        <v>6426</v>
      </c>
      <c r="BC900" s="3" t="s">
        <v>7010</v>
      </c>
      <c r="BD900" s="3" t="s">
        <v>7010</v>
      </c>
      <c r="BE900" s="3" t="s">
        <v>7015</v>
      </c>
      <c r="BF900" s="3" t="s">
        <v>7010</v>
      </c>
      <c r="BG900" s="3" t="s">
        <v>7010</v>
      </c>
      <c r="BH900" s="3" t="s">
        <v>7010</v>
      </c>
      <c r="BI900" s="3" t="s">
        <v>7010</v>
      </c>
      <c r="BJ900" s="3" t="s">
        <v>7010</v>
      </c>
      <c r="BK900" s="74" t="str">
        <f t="shared" si="59"/>
        <v>Yes</v>
      </c>
    </row>
    <row r="901" spans="7:63">
      <c r="G901">
        <v>900</v>
      </c>
      <c r="H901" s="7" t="s">
        <v>448</v>
      </c>
      <c r="I901" t="s">
        <v>29</v>
      </c>
      <c r="J901">
        <f>LEN(H901)</f>
        <v>15</v>
      </c>
      <c r="K901" s="49" t="s">
        <v>2709</v>
      </c>
      <c r="O901" s="3" t="s">
        <v>7010</v>
      </c>
      <c r="P901" s="3" t="s">
        <v>7010</v>
      </c>
      <c r="Q901" s="3" t="s">
        <v>7010</v>
      </c>
      <c r="R901" s="3" t="s">
        <v>7010</v>
      </c>
      <c r="S901" s="3" t="s">
        <v>7010</v>
      </c>
      <c r="T901" s="3" t="s">
        <v>7010</v>
      </c>
      <c r="U901" s="3" t="s">
        <v>7010</v>
      </c>
      <c r="V901" s="3" t="s">
        <v>7010</v>
      </c>
      <c r="W901" s="74" t="str">
        <f t="shared" si="57"/>
        <v>No</v>
      </c>
      <c r="Z901">
        <v>900</v>
      </c>
      <c r="AA901" s="55" t="s">
        <v>6428</v>
      </c>
      <c r="AC901">
        <f t="shared" si="56"/>
        <v>8</v>
      </c>
      <c r="AD901" s="30" t="s">
        <v>6429</v>
      </c>
      <c r="AH901" s="3" t="s">
        <v>7015</v>
      </c>
      <c r="AI901" s="3" t="s">
        <v>7010</v>
      </c>
      <c r="AJ901" s="3" t="s">
        <v>7010</v>
      </c>
      <c r="AK901" s="3" t="s">
        <v>7015</v>
      </c>
      <c r="AL901" s="3" t="s">
        <v>7010</v>
      </c>
      <c r="AM901" s="3" t="s">
        <v>7010</v>
      </c>
      <c r="AN901" s="3" t="s">
        <v>7010</v>
      </c>
      <c r="AO901" s="3" t="s">
        <v>7010</v>
      </c>
      <c r="AP901" s="74" t="s">
        <v>7015</v>
      </c>
      <c r="AU901">
        <v>900</v>
      </c>
      <c r="AV901" t="s">
        <v>6430</v>
      </c>
      <c r="AW901" t="s">
        <v>2279</v>
      </c>
      <c r="AX901">
        <f t="shared" si="58"/>
        <v>8</v>
      </c>
      <c r="AY901" s="30" t="s">
        <v>6431</v>
      </c>
      <c r="BC901" s="3" t="s">
        <v>7010</v>
      </c>
      <c r="BD901" s="3" t="s">
        <v>7010</v>
      </c>
      <c r="BE901" s="3" t="s">
        <v>7010</v>
      </c>
      <c r="BF901" s="3" t="s">
        <v>7010</v>
      </c>
      <c r="BG901" s="3" t="s">
        <v>7010</v>
      </c>
      <c r="BH901" s="3" t="s">
        <v>7010</v>
      </c>
      <c r="BI901" s="3" t="s">
        <v>7010</v>
      </c>
      <c r="BJ901" s="3" t="s">
        <v>7010</v>
      </c>
      <c r="BK901" s="74" t="str">
        <f t="shared" si="59"/>
        <v>No</v>
      </c>
    </row>
    <row r="902" spans="7:63">
      <c r="G902">
        <v>901</v>
      </c>
      <c r="H902" s="7" t="s">
        <v>2101</v>
      </c>
      <c r="I902" t="s">
        <v>29</v>
      </c>
      <c r="J902">
        <f>LEN(H902)</f>
        <v>18</v>
      </c>
      <c r="K902" s="49" t="s">
        <v>6578</v>
      </c>
      <c r="O902" s="3" t="s">
        <v>7010</v>
      </c>
      <c r="P902" s="3" t="s">
        <v>7010</v>
      </c>
      <c r="Q902" s="3" t="s">
        <v>7010</v>
      </c>
      <c r="R902" s="3" t="s">
        <v>7010</v>
      </c>
      <c r="S902" s="3" t="s">
        <v>7010</v>
      </c>
      <c r="T902" s="3" t="s">
        <v>7015</v>
      </c>
      <c r="U902" s="3" t="s">
        <v>7010</v>
      </c>
      <c r="V902" s="3" t="s">
        <v>7010</v>
      </c>
      <c r="W902" s="74" t="str">
        <f t="shared" si="57"/>
        <v>Yes</v>
      </c>
      <c r="Z902">
        <v>901</v>
      </c>
      <c r="AA902" s="55" t="s">
        <v>6433</v>
      </c>
      <c r="AC902">
        <f t="shared" si="56"/>
        <v>5</v>
      </c>
      <c r="AD902" s="30" t="s">
        <v>6434</v>
      </c>
      <c r="AH902" s="3" t="s">
        <v>7015</v>
      </c>
      <c r="AI902" s="3" t="s">
        <v>7010</v>
      </c>
      <c r="AJ902" s="3" t="s">
        <v>7010</v>
      </c>
      <c r="AK902" s="3" t="s">
        <v>7015</v>
      </c>
      <c r="AL902" s="3" t="s">
        <v>7010</v>
      </c>
      <c r="AM902" s="3" t="s">
        <v>7010</v>
      </c>
      <c r="AN902" s="3" t="s">
        <v>7010</v>
      </c>
      <c r="AO902" s="3" t="s">
        <v>7010</v>
      </c>
      <c r="AP902" s="74" t="s">
        <v>7015</v>
      </c>
      <c r="AU902">
        <v>901</v>
      </c>
      <c r="AV902" t="s">
        <v>6435</v>
      </c>
      <c r="AW902" t="s">
        <v>2279</v>
      </c>
      <c r="AX902">
        <f t="shared" si="58"/>
        <v>8</v>
      </c>
      <c r="AY902" s="30" t="s">
        <v>6436</v>
      </c>
      <c r="BC902" s="3" t="s">
        <v>7010</v>
      </c>
      <c r="BD902" s="3" t="s">
        <v>7010</v>
      </c>
      <c r="BE902" s="3" t="s">
        <v>7010</v>
      </c>
      <c r="BF902" s="3" t="s">
        <v>7010</v>
      </c>
      <c r="BG902" s="3" t="s">
        <v>7010</v>
      </c>
      <c r="BH902" s="3" t="s">
        <v>7010</v>
      </c>
      <c r="BI902" s="3" t="s">
        <v>7010</v>
      </c>
      <c r="BJ902" s="3" t="s">
        <v>7010</v>
      </c>
      <c r="BK902" s="74" t="str">
        <f t="shared" si="59"/>
        <v>No</v>
      </c>
    </row>
    <row r="903" spans="7:63">
      <c r="G903">
        <v>902</v>
      </c>
      <c r="H903" s="7" t="s">
        <v>2071</v>
      </c>
      <c r="I903" t="s">
        <v>29</v>
      </c>
      <c r="J903">
        <f>LEN(H903)</f>
        <v>19</v>
      </c>
      <c r="K903" s="49" t="s">
        <v>6503</v>
      </c>
      <c r="O903" s="3" t="s">
        <v>7010</v>
      </c>
      <c r="P903" s="3" t="s">
        <v>7010</v>
      </c>
      <c r="Q903" s="3" t="s">
        <v>7010</v>
      </c>
      <c r="R903" s="3" t="s">
        <v>7010</v>
      </c>
      <c r="S903" s="3" t="s">
        <v>7010</v>
      </c>
      <c r="T903" s="3" t="s">
        <v>7015</v>
      </c>
      <c r="U903" s="3" t="s">
        <v>7010</v>
      </c>
      <c r="V903" s="3" t="s">
        <v>7010</v>
      </c>
      <c r="W903" s="74" t="str">
        <f t="shared" si="57"/>
        <v>Yes</v>
      </c>
      <c r="Z903">
        <v>902</v>
      </c>
      <c r="AA903" s="55" t="s">
        <v>6438</v>
      </c>
      <c r="AC903">
        <f t="shared" si="56"/>
        <v>7</v>
      </c>
      <c r="AD903" s="30" t="s">
        <v>6439</v>
      </c>
      <c r="AH903" s="3" t="s">
        <v>7015</v>
      </c>
      <c r="AI903" s="3" t="s">
        <v>7010</v>
      </c>
      <c r="AJ903" s="3" t="s">
        <v>7010</v>
      </c>
      <c r="AK903" s="3" t="s">
        <v>7015</v>
      </c>
      <c r="AL903" s="3" t="s">
        <v>7010</v>
      </c>
      <c r="AM903" s="3" t="s">
        <v>7010</v>
      </c>
      <c r="AN903" s="3" t="s">
        <v>7010</v>
      </c>
      <c r="AO903" s="3" t="s">
        <v>7010</v>
      </c>
      <c r="AP903" s="74" t="s">
        <v>7015</v>
      </c>
      <c r="AU903">
        <v>902</v>
      </c>
      <c r="AV903" t="s">
        <v>6440</v>
      </c>
      <c r="AW903" t="s">
        <v>2279</v>
      </c>
      <c r="AX903">
        <f t="shared" si="58"/>
        <v>9</v>
      </c>
      <c r="AY903" s="30" t="s">
        <v>6441</v>
      </c>
      <c r="BC903" s="3" t="s">
        <v>7010</v>
      </c>
      <c r="BD903" s="3" t="s">
        <v>7010</v>
      </c>
      <c r="BE903" s="3" t="s">
        <v>7010</v>
      </c>
      <c r="BF903" s="3" t="s">
        <v>7010</v>
      </c>
      <c r="BG903" s="3" t="s">
        <v>7010</v>
      </c>
      <c r="BH903" s="3" t="s">
        <v>7010</v>
      </c>
      <c r="BI903" s="3" t="s">
        <v>7010</v>
      </c>
      <c r="BJ903" s="3" t="s">
        <v>7010</v>
      </c>
      <c r="BK903" s="74" t="str">
        <f t="shared" si="59"/>
        <v>No</v>
      </c>
    </row>
    <row r="904" spans="7:63">
      <c r="G904">
        <v>903</v>
      </c>
      <c r="H904" s="7" t="s">
        <v>2053</v>
      </c>
      <c r="I904" t="s">
        <v>29</v>
      </c>
      <c r="J904">
        <f>LEN(H904)</f>
        <v>14</v>
      </c>
      <c r="K904" s="49" t="s">
        <v>6461</v>
      </c>
      <c r="O904" s="3" t="s">
        <v>7010</v>
      </c>
      <c r="P904" s="3" t="s">
        <v>7010</v>
      </c>
      <c r="Q904" s="3" t="s">
        <v>7010</v>
      </c>
      <c r="R904" s="3" t="s">
        <v>7010</v>
      </c>
      <c r="S904" s="3" t="s">
        <v>7010</v>
      </c>
      <c r="T904" s="3" t="s">
        <v>7015</v>
      </c>
      <c r="U904" s="3" t="s">
        <v>7010</v>
      </c>
      <c r="V904" s="3" t="s">
        <v>7010</v>
      </c>
      <c r="W904" s="74" t="str">
        <f t="shared" si="57"/>
        <v>Yes</v>
      </c>
      <c r="Z904">
        <v>903</v>
      </c>
      <c r="AA904" s="55" t="s">
        <v>6443</v>
      </c>
      <c r="AC904">
        <f t="shared" si="56"/>
        <v>7</v>
      </c>
      <c r="AD904" s="30" t="s">
        <v>6444</v>
      </c>
      <c r="AH904" s="3" t="s">
        <v>7015</v>
      </c>
      <c r="AI904" s="3" t="s">
        <v>7010</v>
      </c>
      <c r="AJ904" s="3" t="s">
        <v>7010</v>
      </c>
      <c r="AK904" s="3" t="s">
        <v>7015</v>
      </c>
      <c r="AL904" s="3" t="s">
        <v>7010</v>
      </c>
      <c r="AM904" s="3" t="s">
        <v>7010</v>
      </c>
      <c r="AN904" s="3" t="s">
        <v>7010</v>
      </c>
      <c r="AO904" s="3" t="s">
        <v>7010</v>
      </c>
      <c r="AP904" s="74" t="s">
        <v>7015</v>
      </c>
      <c r="AU904">
        <v>903</v>
      </c>
      <c r="AV904" t="s">
        <v>6445</v>
      </c>
      <c r="AW904" t="s">
        <v>2279</v>
      </c>
      <c r="AX904">
        <f t="shared" si="58"/>
        <v>9</v>
      </c>
      <c r="AY904" s="30" t="s">
        <v>6446</v>
      </c>
      <c r="BC904" s="3" t="s">
        <v>7010</v>
      </c>
      <c r="BD904" s="3" t="s">
        <v>7010</v>
      </c>
      <c r="BE904" s="3" t="s">
        <v>7010</v>
      </c>
      <c r="BF904" s="3" t="s">
        <v>7010</v>
      </c>
      <c r="BG904" s="3" t="s">
        <v>7010</v>
      </c>
      <c r="BH904" s="3" t="s">
        <v>7010</v>
      </c>
      <c r="BI904" s="3" t="s">
        <v>7010</v>
      </c>
      <c r="BJ904" s="3" t="s">
        <v>7010</v>
      </c>
      <c r="BK904" s="74" t="str">
        <f t="shared" si="59"/>
        <v>No</v>
      </c>
    </row>
    <row r="905" spans="7:63">
      <c r="G905">
        <v>904</v>
      </c>
      <c r="H905" s="7" t="s">
        <v>481</v>
      </c>
      <c r="I905" t="s">
        <v>29</v>
      </c>
      <c r="J905">
        <f>LEN(H905)</f>
        <v>10</v>
      </c>
      <c r="K905" s="49" t="s">
        <v>2841</v>
      </c>
      <c r="O905" s="3" t="s">
        <v>7010</v>
      </c>
      <c r="P905" s="3" t="s">
        <v>7010</v>
      </c>
      <c r="Q905" s="3" t="s">
        <v>7010</v>
      </c>
      <c r="R905" s="3" t="s">
        <v>7015</v>
      </c>
      <c r="S905" s="3" t="s">
        <v>7010</v>
      </c>
      <c r="T905" s="3" t="s">
        <v>7010</v>
      </c>
      <c r="U905" s="3" t="s">
        <v>7010</v>
      </c>
      <c r="V905" s="3" t="s">
        <v>7010</v>
      </c>
      <c r="W905" s="74" t="str">
        <f t="shared" si="57"/>
        <v>Yes</v>
      </c>
      <c r="Z905">
        <v>904</v>
      </c>
      <c r="AA905" s="55" t="s">
        <v>6448</v>
      </c>
      <c r="AC905">
        <f t="shared" si="56"/>
        <v>8</v>
      </c>
      <c r="AD905" s="30" t="s">
        <v>6449</v>
      </c>
      <c r="AH905" s="3" t="s">
        <v>7015</v>
      </c>
      <c r="AI905" s="3" t="s">
        <v>7010</v>
      </c>
      <c r="AJ905" s="3" t="s">
        <v>7010</v>
      </c>
      <c r="AK905" s="3" t="s">
        <v>7015</v>
      </c>
      <c r="AL905" s="3" t="s">
        <v>7010</v>
      </c>
      <c r="AM905" s="3" t="s">
        <v>7010</v>
      </c>
      <c r="AN905" s="3" t="s">
        <v>7010</v>
      </c>
      <c r="AO905" s="3" t="s">
        <v>7010</v>
      </c>
      <c r="AP905" s="74" t="s">
        <v>7015</v>
      </c>
      <c r="AU905">
        <v>904</v>
      </c>
      <c r="AV905" t="s">
        <v>6450</v>
      </c>
      <c r="AW905" t="s">
        <v>2279</v>
      </c>
      <c r="AX905">
        <f t="shared" si="58"/>
        <v>8</v>
      </c>
      <c r="AY905" s="30" t="s">
        <v>6451</v>
      </c>
      <c r="BC905" s="3" t="s">
        <v>7010</v>
      </c>
      <c r="BD905" s="3" t="s">
        <v>7010</v>
      </c>
      <c r="BE905" s="3" t="s">
        <v>7015</v>
      </c>
      <c r="BF905" s="3" t="s">
        <v>7010</v>
      </c>
      <c r="BG905" s="3" t="s">
        <v>7010</v>
      </c>
      <c r="BH905" s="3" t="s">
        <v>7010</v>
      </c>
      <c r="BI905" s="3" t="s">
        <v>7010</v>
      </c>
      <c r="BJ905" s="3" t="s">
        <v>7010</v>
      </c>
      <c r="BK905" s="74" t="str">
        <f t="shared" si="59"/>
        <v>Yes</v>
      </c>
    </row>
    <row r="906" spans="7:63">
      <c r="G906">
        <v>905</v>
      </c>
      <c r="H906" s="7" t="s">
        <v>2097</v>
      </c>
      <c r="I906" t="s">
        <v>29</v>
      </c>
      <c r="J906">
        <f>LEN(H906)</f>
        <v>14</v>
      </c>
      <c r="K906" s="49" t="s">
        <v>6568</v>
      </c>
      <c r="O906" s="3" t="s">
        <v>7010</v>
      </c>
      <c r="P906" s="3" t="s">
        <v>7010</v>
      </c>
      <c r="Q906" s="3" t="s">
        <v>7010</v>
      </c>
      <c r="R906" s="3" t="s">
        <v>7010</v>
      </c>
      <c r="S906" s="3" t="s">
        <v>7010</v>
      </c>
      <c r="T906" s="3" t="s">
        <v>7015</v>
      </c>
      <c r="U906" s="3" t="s">
        <v>7010</v>
      </c>
      <c r="V906" s="3" t="s">
        <v>7010</v>
      </c>
      <c r="W906" s="74" t="str">
        <f t="shared" si="57"/>
        <v>Yes</v>
      </c>
      <c r="Z906">
        <v>905</v>
      </c>
      <c r="AA906" s="55" t="s">
        <v>6453</v>
      </c>
      <c r="AC906">
        <f t="shared" si="56"/>
        <v>8</v>
      </c>
      <c r="AD906" s="30" t="s">
        <v>6454</v>
      </c>
      <c r="AH906" s="3" t="s">
        <v>7015</v>
      </c>
      <c r="AI906" s="3" t="s">
        <v>7010</v>
      </c>
      <c r="AJ906" s="3" t="s">
        <v>7010</v>
      </c>
      <c r="AK906" s="3" t="s">
        <v>7015</v>
      </c>
      <c r="AL906" s="3" t="s">
        <v>7010</v>
      </c>
      <c r="AM906" s="3" t="s">
        <v>7010</v>
      </c>
      <c r="AN906" s="3" t="s">
        <v>7010</v>
      </c>
      <c r="AO906" s="3" t="s">
        <v>7010</v>
      </c>
      <c r="AP906" s="74" t="s">
        <v>7015</v>
      </c>
      <c r="AU906">
        <v>905</v>
      </c>
      <c r="AV906" t="s">
        <v>6455</v>
      </c>
      <c r="AW906" t="s">
        <v>2279</v>
      </c>
      <c r="AX906">
        <f t="shared" si="58"/>
        <v>13</v>
      </c>
      <c r="AY906" s="30" t="s">
        <v>6456</v>
      </c>
      <c r="BC906" s="3" t="s">
        <v>7010</v>
      </c>
      <c r="BD906" s="3" t="s">
        <v>7010</v>
      </c>
      <c r="BE906" s="3" t="s">
        <v>7010</v>
      </c>
      <c r="BF906" s="3" t="s">
        <v>7010</v>
      </c>
      <c r="BG906" s="3" t="s">
        <v>7010</v>
      </c>
      <c r="BH906" s="3" t="s">
        <v>7010</v>
      </c>
      <c r="BI906" s="3" t="s">
        <v>7010</v>
      </c>
      <c r="BJ906" s="3" t="s">
        <v>7010</v>
      </c>
      <c r="BK906" s="74" t="str">
        <f t="shared" si="59"/>
        <v>No</v>
      </c>
    </row>
    <row r="907" spans="7:63">
      <c r="G907">
        <v>906</v>
      </c>
      <c r="H907" s="7" t="s">
        <v>372</v>
      </c>
      <c r="I907" t="s">
        <v>29</v>
      </c>
      <c r="J907">
        <f>LEN(H907)</f>
        <v>16</v>
      </c>
      <c r="K907" s="49" t="s">
        <v>2405</v>
      </c>
      <c r="O907" s="3" t="s">
        <v>7010</v>
      </c>
      <c r="P907" s="3" t="s">
        <v>7010</v>
      </c>
      <c r="Q907" s="3" t="s">
        <v>7010</v>
      </c>
      <c r="R907" s="3" t="s">
        <v>7015</v>
      </c>
      <c r="S907" s="3" t="s">
        <v>7010</v>
      </c>
      <c r="T907" s="3" t="s">
        <v>7010</v>
      </c>
      <c r="U907" s="3" t="s">
        <v>7010</v>
      </c>
      <c r="V907" s="3" t="s">
        <v>7010</v>
      </c>
      <c r="W907" s="74" t="str">
        <f t="shared" si="57"/>
        <v>Yes</v>
      </c>
      <c r="Z907">
        <v>906</v>
      </c>
      <c r="AA907" s="55">
        <v>98765</v>
      </c>
      <c r="AC907">
        <f t="shared" si="56"/>
        <v>5</v>
      </c>
      <c r="AD907" s="30" t="s">
        <v>6458</v>
      </c>
      <c r="AH907" s="3" t="s">
        <v>7015</v>
      </c>
      <c r="AI907" s="3" t="s">
        <v>7010</v>
      </c>
      <c r="AJ907" s="3" t="s">
        <v>7010</v>
      </c>
      <c r="AK907" s="3" t="s">
        <v>7015</v>
      </c>
      <c r="AL907" s="3" t="s">
        <v>7010</v>
      </c>
      <c r="AM907" s="3" t="s">
        <v>7010</v>
      </c>
      <c r="AN907" s="3" t="s">
        <v>7010</v>
      </c>
      <c r="AO907" s="3" t="s">
        <v>7010</v>
      </c>
      <c r="AP907" s="74" t="s">
        <v>7015</v>
      </c>
      <c r="AU907">
        <v>906</v>
      </c>
      <c r="AV907" t="s">
        <v>6459</v>
      </c>
      <c r="AW907" t="s">
        <v>2279</v>
      </c>
      <c r="AX907">
        <f t="shared" si="58"/>
        <v>14</v>
      </c>
      <c r="AY907" s="30" t="s">
        <v>6460</v>
      </c>
      <c r="BC907" s="3" t="s">
        <v>7010</v>
      </c>
      <c r="BD907" s="3" t="s">
        <v>7010</v>
      </c>
      <c r="BE907" s="3" t="s">
        <v>7010</v>
      </c>
      <c r="BF907" s="3" t="s">
        <v>7010</v>
      </c>
      <c r="BG907" s="3" t="s">
        <v>7010</v>
      </c>
      <c r="BH907" s="3" t="s">
        <v>7010</v>
      </c>
      <c r="BI907" s="3" t="s">
        <v>7010</v>
      </c>
      <c r="BJ907" s="3" t="s">
        <v>7010</v>
      </c>
      <c r="BK907" s="74" t="str">
        <f t="shared" si="59"/>
        <v>No</v>
      </c>
    </row>
    <row r="908" spans="7:63">
      <c r="G908">
        <v>907</v>
      </c>
      <c r="H908" s="7" t="s">
        <v>390</v>
      </c>
      <c r="I908" t="s">
        <v>29</v>
      </c>
      <c r="J908">
        <f>LEN(H908)</f>
        <v>13</v>
      </c>
      <c r="K908" s="49" t="s">
        <v>2477</v>
      </c>
      <c r="O908" s="3" t="s">
        <v>7010</v>
      </c>
      <c r="P908" s="3" t="s">
        <v>7010</v>
      </c>
      <c r="Q908" s="3" t="s">
        <v>7010</v>
      </c>
      <c r="R908" s="3" t="s">
        <v>7010</v>
      </c>
      <c r="S908" s="3" t="s">
        <v>7010</v>
      </c>
      <c r="T908" s="3" t="s">
        <v>7010</v>
      </c>
      <c r="U908" s="3" t="s">
        <v>7010</v>
      </c>
      <c r="V908" s="3" t="s">
        <v>7010</v>
      </c>
      <c r="W908" s="74" t="str">
        <f t="shared" si="57"/>
        <v>No</v>
      </c>
      <c r="Z908">
        <v>907</v>
      </c>
      <c r="AA908" s="55">
        <v>0</v>
      </c>
      <c r="AC908">
        <f t="shared" si="56"/>
        <v>1</v>
      </c>
      <c r="AD908" s="30" t="s">
        <v>6462</v>
      </c>
      <c r="AH908" s="3" t="s">
        <v>7015</v>
      </c>
      <c r="AI908" s="3" t="s">
        <v>7010</v>
      </c>
      <c r="AJ908" s="3" t="s">
        <v>7010</v>
      </c>
      <c r="AK908" s="3" t="s">
        <v>7015</v>
      </c>
      <c r="AL908" s="3" t="s">
        <v>7010</v>
      </c>
      <c r="AM908" s="3" t="s">
        <v>7010</v>
      </c>
      <c r="AN908" s="3" t="s">
        <v>7010</v>
      </c>
      <c r="AO908" s="3" t="s">
        <v>7010</v>
      </c>
      <c r="AP908" s="74" t="s">
        <v>7015</v>
      </c>
      <c r="AU908">
        <v>907</v>
      </c>
      <c r="AV908" t="s">
        <v>6463</v>
      </c>
      <c r="AW908" t="s">
        <v>2279</v>
      </c>
      <c r="AX908">
        <f t="shared" si="58"/>
        <v>14</v>
      </c>
      <c r="AY908" s="30" t="s">
        <v>6464</v>
      </c>
      <c r="BC908" s="3" t="s">
        <v>7010</v>
      </c>
      <c r="BD908" s="3" t="s">
        <v>7010</v>
      </c>
      <c r="BE908" s="3" t="s">
        <v>7010</v>
      </c>
      <c r="BF908" s="3" t="s">
        <v>7010</v>
      </c>
      <c r="BG908" s="3" t="s">
        <v>7010</v>
      </c>
      <c r="BH908" s="3" t="s">
        <v>7010</v>
      </c>
      <c r="BI908" s="3" t="s">
        <v>7010</v>
      </c>
      <c r="BJ908" s="3" t="s">
        <v>7010</v>
      </c>
      <c r="BK908" s="74" t="str">
        <f t="shared" si="59"/>
        <v>No</v>
      </c>
    </row>
    <row r="909" spans="7:63">
      <c r="G909">
        <v>908</v>
      </c>
      <c r="H909" s="7" t="s">
        <v>545</v>
      </c>
      <c r="I909" t="s">
        <v>29</v>
      </c>
      <c r="J909">
        <f>LEN(H909)</f>
        <v>10</v>
      </c>
      <c r="K909" s="49" t="s">
        <v>3097</v>
      </c>
      <c r="O909" s="3" t="s">
        <v>7015</v>
      </c>
      <c r="P909" s="3" t="s">
        <v>7010</v>
      </c>
      <c r="Q909" s="3" t="s">
        <v>7010</v>
      </c>
      <c r="R909" s="3" t="s">
        <v>7010</v>
      </c>
      <c r="S909" s="3" t="s">
        <v>7010</v>
      </c>
      <c r="T909" s="3" t="s">
        <v>7010</v>
      </c>
      <c r="U909" s="3" t="s">
        <v>7010</v>
      </c>
      <c r="V909" s="3" t="s">
        <v>7010</v>
      </c>
      <c r="W909" s="74" t="str">
        <f t="shared" si="57"/>
        <v>Yes</v>
      </c>
      <c r="Z909">
        <v>908</v>
      </c>
      <c r="AA909" s="55" t="s">
        <v>6466</v>
      </c>
      <c r="AC909">
        <f t="shared" si="56"/>
        <v>6</v>
      </c>
      <c r="AD909" s="30" t="s">
        <v>6467</v>
      </c>
      <c r="AH909" s="3" t="s">
        <v>7015</v>
      </c>
      <c r="AI909" s="3" t="s">
        <v>7010</v>
      </c>
      <c r="AJ909" s="3" t="s">
        <v>7010</v>
      </c>
      <c r="AK909" s="3" t="s">
        <v>7015</v>
      </c>
      <c r="AL909" s="3" t="s">
        <v>7010</v>
      </c>
      <c r="AM909" s="3" t="s">
        <v>7010</v>
      </c>
      <c r="AN909" s="3" t="s">
        <v>7010</v>
      </c>
      <c r="AO909" s="3" t="s">
        <v>7010</v>
      </c>
      <c r="AP909" s="74" t="s">
        <v>7015</v>
      </c>
      <c r="AU909">
        <v>908</v>
      </c>
      <c r="AV909" t="s">
        <v>6468</v>
      </c>
      <c r="AW909" t="s">
        <v>2279</v>
      </c>
      <c r="AX909">
        <f t="shared" si="58"/>
        <v>12</v>
      </c>
      <c r="AY909" s="30" t="s">
        <v>6469</v>
      </c>
      <c r="BC909" s="3" t="s">
        <v>7010</v>
      </c>
      <c r="BD909" s="3" t="s">
        <v>7010</v>
      </c>
      <c r="BE909" s="3" t="s">
        <v>7010</v>
      </c>
      <c r="BF909" s="3" t="s">
        <v>7010</v>
      </c>
      <c r="BG909" s="3" t="s">
        <v>7010</v>
      </c>
      <c r="BH909" s="3" t="s">
        <v>7010</v>
      </c>
      <c r="BI909" s="3" t="s">
        <v>7010</v>
      </c>
      <c r="BJ909" s="3" t="s">
        <v>7010</v>
      </c>
      <c r="BK909" s="74" t="str">
        <f t="shared" si="59"/>
        <v>No</v>
      </c>
    </row>
    <row r="910" spans="7:63">
      <c r="G910">
        <v>909</v>
      </c>
      <c r="H910" s="7" t="s">
        <v>1274</v>
      </c>
      <c r="I910" t="s">
        <v>29</v>
      </c>
      <c r="J910">
        <f>LEN(H910)</f>
        <v>11</v>
      </c>
      <c r="K910" s="49" t="s">
        <v>4400</v>
      </c>
      <c r="O910" s="3" t="s">
        <v>7010</v>
      </c>
      <c r="P910" s="3" t="s">
        <v>7010</v>
      </c>
      <c r="Q910" s="3" t="s">
        <v>7010</v>
      </c>
      <c r="R910" s="3" t="s">
        <v>7010</v>
      </c>
      <c r="S910" s="3" t="s">
        <v>7010</v>
      </c>
      <c r="T910" s="3" t="s">
        <v>7010</v>
      </c>
      <c r="U910" s="3" t="s">
        <v>7010</v>
      </c>
      <c r="V910" s="3" t="s">
        <v>7010</v>
      </c>
      <c r="W910" s="74" t="str">
        <f t="shared" si="57"/>
        <v>No</v>
      </c>
      <c r="Z910">
        <v>909</v>
      </c>
      <c r="AA910" s="55" t="s">
        <v>6471</v>
      </c>
      <c r="AC910">
        <f t="shared" si="56"/>
        <v>6</v>
      </c>
      <c r="AD910" s="30" t="s">
        <v>6472</v>
      </c>
      <c r="AH910" s="3" t="s">
        <v>7015</v>
      </c>
      <c r="AI910" s="3" t="s">
        <v>7010</v>
      </c>
      <c r="AJ910" s="3" t="s">
        <v>7010</v>
      </c>
      <c r="AK910" s="3" t="s">
        <v>7015</v>
      </c>
      <c r="AL910" s="3" t="s">
        <v>7010</v>
      </c>
      <c r="AM910" s="3" t="s">
        <v>7010</v>
      </c>
      <c r="AN910" s="3" t="s">
        <v>7010</v>
      </c>
      <c r="AO910" s="3" t="s">
        <v>7010</v>
      </c>
      <c r="AP910" s="74" t="s">
        <v>7015</v>
      </c>
      <c r="AU910">
        <v>909</v>
      </c>
      <c r="AV910" t="s">
        <v>6473</v>
      </c>
      <c r="AW910" t="s">
        <v>2279</v>
      </c>
      <c r="AX910">
        <f t="shared" si="58"/>
        <v>12</v>
      </c>
      <c r="AY910" s="30" t="s">
        <v>6474</v>
      </c>
      <c r="BC910" s="3" t="s">
        <v>7010</v>
      </c>
      <c r="BD910" s="3" t="s">
        <v>7010</v>
      </c>
      <c r="BE910" s="3" t="s">
        <v>7010</v>
      </c>
      <c r="BF910" s="3" t="s">
        <v>7010</v>
      </c>
      <c r="BG910" s="3" t="s">
        <v>7010</v>
      </c>
      <c r="BH910" s="3" t="s">
        <v>7010</v>
      </c>
      <c r="BI910" s="3" t="s">
        <v>7010</v>
      </c>
      <c r="BJ910" s="3" t="s">
        <v>7010</v>
      </c>
      <c r="BK910" s="74" t="str">
        <f t="shared" si="59"/>
        <v>No</v>
      </c>
    </row>
    <row r="911" spans="7:63">
      <c r="G911">
        <v>910</v>
      </c>
      <c r="H911" s="7" t="s">
        <v>1590</v>
      </c>
      <c r="I911" t="s">
        <v>29</v>
      </c>
      <c r="J911">
        <f>LEN(H911)</f>
        <v>14</v>
      </c>
      <c r="K911" s="49" t="s">
        <v>5203</v>
      </c>
      <c r="O911" s="3" t="s">
        <v>7010</v>
      </c>
      <c r="P911" s="3" t="s">
        <v>7010</v>
      </c>
      <c r="Q911" s="3" t="s">
        <v>7010</v>
      </c>
      <c r="R911" s="3" t="s">
        <v>7010</v>
      </c>
      <c r="S911" s="3" t="s">
        <v>7010</v>
      </c>
      <c r="T911" s="3" t="s">
        <v>7010</v>
      </c>
      <c r="U911" s="3" t="s">
        <v>7010</v>
      </c>
      <c r="V911" s="3" t="s">
        <v>7010</v>
      </c>
      <c r="W911" s="74" t="str">
        <f t="shared" si="57"/>
        <v>No</v>
      </c>
      <c r="Z911">
        <v>910</v>
      </c>
      <c r="AA911" s="55" t="s">
        <v>6476</v>
      </c>
      <c r="AC911">
        <f t="shared" si="56"/>
        <v>6</v>
      </c>
      <c r="AD911" s="30" t="s">
        <v>6477</v>
      </c>
      <c r="AH911" s="3" t="s">
        <v>7015</v>
      </c>
      <c r="AI911" s="3" t="s">
        <v>7010</v>
      </c>
      <c r="AJ911" s="3" t="s">
        <v>7010</v>
      </c>
      <c r="AK911" s="3" t="s">
        <v>7015</v>
      </c>
      <c r="AL911" s="3" t="s">
        <v>7010</v>
      </c>
      <c r="AM911" s="3" t="s">
        <v>7010</v>
      </c>
      <c r="AN911" s="3" t="s">
        <v>7010</v>
      </c>
      <c r="AO911" s="3" t="s">
        <v>7010</v>
      </c>
      <c r="AP911" s="74" t="s">
        <v>7015</v>
      </c>
      <c r="AU911">
        <v>910</v>
      </c>
      <c r="AV911" t="s">
        <v>6478</v>
      </c>
      <c r="AW911" t="s">
        <v>2279</v>
      </c>
      <c r="AX911">
        <f t="shared" si="58"/>
        <v>10</v>
      </c>
      <c r="AY911" s="30" t="s">
        <v>6479</v>
      </c>
      <c r="BC911" s="3" t="s">
        <v>7010</v>
      </c>
      <c r="BD911" s="3" t="s">
        <v>7010</v>
      </c>
      <c r="BE911" s="3" t="s">
        <v>7010</v>
      </c>
      <c r="BF911" s="3" t="s">
        <v>7010</v>
      </c>
      <c r="BG911" s="3" t="s">
        <v>7010</v>
      </c>
      <c r="BH911" s="3" t="s">
        <v>7010</v>
      </c>
      <c r="BI911" s="3" t="s">
        <v>7010</v>
      </c>
      <c r="BJ911" s="3" t="s">
        <v>7010</v>
      </c>
      <c r="BK911" s="74" t="str">
        <f t="shared" si="59"/>
        <v>No</v>
      </c>
    </row>
    <row r="912" spans="7:63">
      <c r="G912">
        <v>911</v>
      </c>
      <c r="H912" s="7" t="s">
        <v>1376</v>
      </c>
      <c r="I912" t="s">
        <v>29</v>
      </c>
      <c r="J912">
        <f>LEN(H912)</f>
        <v>9</v>
      </c>
      <c r="K912" s="49" t="s">
        <v>4657</v>
      </c>
      <c r="O912" s="3" t="s">
        <v>7010</v>
      </c>
      <c r="P912" s="3" t="s">
        <v>7010</v>
      </c>
      <c r="Q912" s="3" t="s">
        <v>7010</v>
      </c>
      <c r="R912" s="3" t="s">
        <v>7010</v>
      </c>
      <c r="S912" s="3" t="s">
        <v>7010</v>
      </c>
      <c r="T912" s="3" t="s">
        <v>7010</v>
      </c>
      <c r="U912" s="3" t="s">
        <v>7010</v>
      </c>
      <c r="V912" s="3" t="s">
        <v>7010</v>
      </c>
      <c r="W912" s="74" t="str">
        <f t="shared" si="57"/>
        <v>No</v>
      </c>
      <c r="Z912">
        <v>911</v>
      </c>
      <c r="AA912" s="55" t="s">
        <v>6481</v>
      </c>
      <c r="AC912">
        <f t="shared" si="56"/>
        <v>6</v>
      </c>
      <c r="AD912" s="30" t="s">
        <v>6482</v>
      </c>
      <c r="AH912" s="3" t="s">
        <v>7015</v>
      </c>
      <c r="AI912" s="3" t="s">
        <v>7010</v>
      </c>
      <c r="AJ912" s="3" t="s">
        <v>7010</v>
      </c>
      <c r="AK912" s="3" t="s">
        <v>7015</v>
      </c>
      <c r="AL912" s="3" t="s">
        <v>7010</v>
      </c>
      <c r="AM912" s="3" t="s">
        <v>7010</v>
      </c>
      <c r="AN912" s="3" t="s">
        <v>7010</v>
      </c>
      <c r="AO912" s="3" t="s">
        <v>7010</v>
      </c>
      <c r="AP912" s="74" t="s">
        <v>7015</v>
      </c>
      <c r="AU912">
        <v>911</v>
      </c>
      <c r="AV912" t="s">
        <v>6483</v>
      </c>
      <c r="AW912" t="s">
        <v>2279</v>
      </c>
      <c r="AX912">
        <f t="shared" si="58"/>
        <v>11</v>
      </c>
      <c r="AY912" s="30" t="s">
        <v>6484</v>
      </c>
      <c r="BC912" s="3" t="s">
        <v>7010</v>
      </c>
      <c r="BD912" s="3" t="s">
        <v>7010</v>
      </c>
      <c r="BE912" s="3" t="s">
        <v>7010</v>
      </c>
      <c r="BF912" s="3" t="s">
        <v>7010</v>
      </c>
      <c r="BG912" s="3" t="s">
        <v>7010</v>
      </c>
      <c r="BH912" s="3" t="s">
        <v>7010</v>
      </c>
      <c r="BI912" s="3" t="s">
        <v>7010</v>
      </c>
      <c r="BJ912" s="3" t="s">
        <v>7010</v>
      </c>
      <c r="BK912" s="74" t="str">
        <f t="shared" si="59"/>
        <v>No</v>
      </c>
    </row>
    <row r="913" spans="7:63">
      <c r="G913">
        <v>912</v>
      </c>
      <c r="H913" s="7" t="s">
        <v>1676</v>
      </c>
      <c r="I913" t="s">
        <v>29</v>
      </c>
      <c r="J913">
        <f>LEN(H913)</f>
        <v>15</v>
      </c>
      <c r="K913" s="49" t="s">
        <v>5420</v>
      </c>
      <c r="O913" s="3" t="s">
        <v>7010</v>
      </c>
      <c r="P913" s="3" t="s">
        <v>7010</v>
      </c>
      <c r="Q913" s="3" t="s">
        <v>7010</v>
      </c>
      <c r="R913" s="3" t="s">
        <v>7010</v>
      </c>
      <c r="S913" s="3" t="s">
        <v>7010</v>
      </c>
      <c r="T913" s="3" t="s">
        <v>7010</v>
      </c>
      <c r="U913" s="3" t="s">
        <v>7010</v>
      </c>
      <c r="V913" s="3" t="s">
        <v>7010</v>
      </c>
      <c r="W913" s="74" t="str">
        <f t="shared" si="57"/>
        <v>No</v>
      </c>
      <c r="Z913">
        <v>912</v>
      </c>
      <c r="AA913" s="55" t="s">
        <v>6486</v>
      </c>
      <c r="AC913">
        <f t="shared" si="56"/>
        <v>7</v>
      </c>
      <c r="AD913" s="30" t="s">
        <v>6487</v>
      </c>
      <c r="AH913" s="3" t="s">
        <v>7015</v>
      </c>
      <c r="AI913" s="3" t="s">
        <v>7010</v>
      </c>
      <c r="AJ913" s="3" t="s">
        <v>7010</v>
      </c>
      <c r="AK913" s="3" t="s">
        <v>7015</v>
      </c>
      <c r="AL913" s="3" t="s">
        <v>7010</v>
      </c>
      <c r="AM913" s="3" t="s">
        <v>7010</v>
      </c>
      <c r="AN913" s="3" t="s">
        <v>7010</v>
      </c>
      <c r="AO913" s="3" t="s">
        <v>7010</v>
      </c>
      <c r="AP913" s="74" t="s">
        <v>7015</v>
      </c>
      <c r="AU913">
        <v>912</v>
      </c>
      <c r="AV913" t="s">
        <v>6488</v>
      </c>
      <c r="AW913" t="s">
        <v>2279</v>
      </c>
      <c r="AX913">
        <f t="shared" si="58"/>
        <v>9</v>
      </c>
      <c r="AY913" s="30" t="s">
        <v>6489</v>
      </c>
      <c r="BC913" s="3" t="s">
        <v>7010</v>
      </c>
      <c r="BD913" s="3" t="s">
        <v>7010</v>
      </c>
      <c r="BE913" s="3" t="s">
        <v>7010</v>
      </c>
      <c r="BF913" s="3" t="s">
        <v>7010</v>
      </c>
      <c r="BG913" s="3" t="s">
        <v>7010</v>
      </c>
      <c r="BH913" s="3" t="s">
        <v>7010</v>
      </c>
      <c r="BI913" s="3" t="s">
        <v>7010</v>
      </c>
      <c r="BJ913" s="3" t="s">
        <v>7010</v>
      </c>
      <c r="BK913" s="74" t="str">
        <f t="shared" si="59"/>
        <v>No</v>
      </c>
    </row>
    <row r="914" spans="7:63">
      <c r="G914">
        <v>913</v>
      </c>
      <c r="H914" s="7" t="s">
        <v>1028</v>
      </c>
      <c r="I914" t="s">
        <v>29</v>
      </c>
      <c r="J914">
        <f>LEN(H914)</f>
        <v>11</v>
      </c>
      <c r="K914" s="49" t="s">
        <v>3772</v>
      </c>
      <c r="O914" s="3" t="s">
        <v>7010</v>
      </c>
      <c r="P914" s="3" t="s">
        <v>7010</v>
      </c>
      <c r="Q914" s="3" t="s">
        <v>7010</v>
      </c>
      <c r="R914" s="3" t="s">
        <v>7010</v>
      </c>
      <c r="S914" s="3" t="s">
        <v>7010</v>
      </c>
      <c r="T914" s="3" t="s">
        <v>7010</v>
      </c>
      <c r="U914" s="3" t="s">
        <v>7010</v>
      </c>
      <c r="V914" s="3" t="s">
        <v>7010</v>
      </c>
      <c r="W914" s="74" t="str">
        <f t="shared" si="57"/>
        <v>No</v>
      </c>
      <c r="Z914">
        <v>913</v>
      </c>
      <c r="AA914" s="55" t="s">
        <v>6491</v>
      </c>
      <c r="AC914">
        <f t="shared" si="56"/>
        <v>6</v>
      </c>
      <c r="AD914" s="30" t="s">
        <v>6492</v>
      </c>
      <c r="AH914" s="3" t="s">
        <v>7015</v>
      </c>
      <c r="AI914" s="3" t="s">
        <v>7010</v>
      </c>
      <c r="AJ914" s="3" t="s">
        <v>7010</v>
      </c>
      <c r="AK914" s="3" t="s">
        <v>7015</v>
      </c>
      <c r="AL914" s="3" t="s">
        <v>7010</v>
      </c>
      <c r="AM914" s="3" t="s">
        <v>7010</v>
      </c>
      <c r="AN914" s="3" t="s">
        <v>7010</v>
      </c>
      <c r="AO914" s="3" t="s">
        <v>7010</v>
      </c>
      <c r="AP914" s="74" t="s">
        <v>7015</v>
      </c>
      <c r="AU914">
        <v>913</v>
      </c>
      <c r="AV914" t="s">
        <v>6493</v>
      </c>
      <c r="AW914" t="s">
        <v>2279</v>
      </c>
      <c r="AX914">
        <f t="shared" si="58"/>
        <v>12</v>
      </c>
      <c r="AY914" s="30" t="s">
        <v>6494</v>
      </c>
      <c r="BC914" s="3" t="s">
        <v>7010</v>
      </c>
      <c r="BD914" s="3" t="s">
        <v>7010</v>
      </c>
      <c r="BE914" s="3" t="s">
        <v>7010</v>
      </c>
      <c r="BF914" s="3" t="s">
        <v>7010</v>
      </c>
      <c r="BG914" s="3" t="s">
        <v>7010</v>
      </c>
      <c r="BH914" s="3" t="s">
        <v>7010</v>
      </c>
      <c r="BI914" s="3" t="s">
        <v>7010</v>
      </c>
      <c r="BJ914" s="3" t="s">
        <v>7010</v>
      </c>
      <c r="BK914" s="74" t="str">
        <f t="shared" si="59"/>
        <v>No</v>
      </c>
    </row>
    <row r="915" spans="7:63">
      <c r="G915">
        <v>914</v>
      </c>
      <c r="H915" s="7" t="s">
        <v>1062</v>
      </c>
      <c r="I915" t="s">
        <v>29</v>
      </c>
      <c r="J915">
        <f>LEN(H915)</f>
        <v>11</v>
      </c>
      <c r="K915" s="49" t="s">
        <v>3863</v>
      </c>
      <c r="O915" s="3" t="s">
        <v>7010</v>
      </c>
      <c r="P915" s="3" t="s">
        <v>7010</v>
      </c>
      <c r="Q915" s="3" t="s">
        <v>7010</v>
      </c>
      <c r="R915" s="3" t="s">
        <v>7015</v>
      </c>
      <c r="S915" s="3" t="s">
        <v>7010</v>
      </c>
      <c r="T915" s="3" t="s">
        <v>7015</v>
      </c>
      <c r="U915" s="3" t="s">
        <v>7010</v>
      </c>
      <c r="V915" s="3" t="s">
        <v>7010</v>
      </c>
      <c r="W915" s="74" t="str">
        <f t="shared" si="57"/>
        <v>Yes</v>
      </c>
      <c r="Z915">
        <v>914</v>
      </c>
      <c r="AA915" s="55">
        <v>242424</v>
      </c>
      <c r="AC915">
        <f t="shared" si="56"/>
        <v>6</v>
      </c>
      <c r="AD915" s="30" t="s">
        <v>6496</v>
      </c>
      <c r="AH915" s="3" t="s">
        <v>7015</v>
      </c>
      <c r="AI915" s="3" t="s">
        <v>7010</v>
      </c>
      <c r="AJ915" s="3" t="s">
        <v>7010</v>
      </c>
      <c r="AK915" s="3" t="s">
        <v>7015</v>
      </c>
      <c r="AL915" s="3" t="s">
        <v>7010</v>
      </c>
      <c r="AM915" s="3" t="s">
        <v>7010</v>
      </c>
      <c r="AN915" s="3" t="s">
        <v>7010</v>
      </c>
      <c r="AO915" s="3" t="s">
        <v>7010</v>
      </c>
      <c r="AP915" s="74" t="s">
        <v>7015</v>
      </c>
      <c r="AU915">
        <v>914</v>
      </c>
      <c r="AV915" t="s">
        <v>6497</v>
      </c>
      <c r="AW915" t="s">
        <v>2279</v>
      </c>
      <c r="AX915">
        <f t="shared" si="58"/>
        <v>8</v>
      </c>
      <c r="AY915" s="30" t="s">
        <v>6498</v>
      </c>
      <c r="BC915" s="3" t="s">
        <v>7010</v>
      </c>
      <c r="BD915" s="3" t="s">
        <v>7010</v>
      </c>
      <c r="BE915" s="3" t="s">
        <v>7010</v>
      </c>
      <c r="BF915" s="3" t="s">
        <v>7010</v>
      </c>
      <c r="BG915" s="3" t="s">
        <v>7010</v>
      </c>
      <c r="BH915" s="3" t="s">
        <v>7010</v>
      </c>
      <c r="BI915" s="3" t="s">
        <v>7010</v>
      </c>
      <c r="BJ915" s="3" t="s">
        <v>7010</v>
      </c>
      <c r="BK915" s="74" t="str">
        <f t="shared" si="59"/>
        <v>No</v>
      </c>
    </row>
    <row r="916" spans="7:63">
      <c r="G916">
        <v>915</v>
      </c>
      <c r="H916" s="7" t="s">
        <v>2143</v>
      </c>
      <c r="I916" t="s">
        <v>29</v>
      </c>
      <c r="J916">
        <f>LEN(H916)</f>
        <v>11</v>
      </c>
      <c r="K916" s="49" t="s">
        <v>6682</v>
      </c>
      <c r="O916" s="3" t="s">
        <v>7010</v>
      </c>
      <c r="P916" s="3" t="s">
        <v>7010</v>
      </c>
      <c r="Q916" s="3" t="s">
        <v>7010</v>
      </c>
      <c r="R916" s="3" t="s">
        <v>7010</v>
      </c>
      <c r="S916" s="3" t="s">
        <v>7010</v>
      </c>
      <c r="T916" s="3" t="s">
        <v>7015</v>
      </c>
      <c r="U916" s="3" t="s">
        <v>7010</v>
      </c>
      <c r="V916" s="3" t="s">
        <v>7010</v>
      </c>
      <c r="W916" s="74" t="str">
        <f t="shared" si="57"/>
        <v>Yes</v>
      </c>
      <c r="Z916">
        <v>915</v>
      </c>
      <c r="AA916" s="55">
        <v>987654321</v>
      </c>
      <c r="AC916">
        <f t="shared" si="56"/>
        <v>9</v>
      </c>
      <c r="AD916" s="30" t="s">
        <v>6500</v>
      </c>
      <c r="AH916" s="3" t="s">
        <v>7015</v>
      </c>
      <c r="AI916" s="3" t="s">
        <v>7010</v>
      </c>
      <c r="AJ916" s="3" t="s">
        <v>7010</v>
      </c>
      <c r="AK916" s="3" t="s">
        <v>7015</v>
      </c>
      <c r="AL916" s="3" t="s">
        <v>7010</v>
      </c>
      <c r="AM916" s="3" t="s">
        <v>7010</v>
      </c>
      <c r="AN916" s="3" t="s">
        <v>7010</v>
      </c>
      <c r="AO916" s="3" t="s">
        <v>7010</v>
      </c>
      <c r="AP916" s="74" t="s">
        <v>7015</v>
      </c>
      <c r="AU916">
        <v>915</v>
      </c>
      <c r="AV916" t="s">
        <v>6501</v>
      </c>
      <c r="AW916" t="s">
        <v>2279</v>
      </c>
      <c r="AX916">
        <f t="shared" si="58"/>
        <v>15</v>
      </c>
      <c r="AY916" s="30" t="s">
        <v>6502</v>
      </c>
      <c r="BC916" s="3" t="s">
        <v>7010</v>
      </c>
      <c r="BD916" s="3" t="s">
        <v>7010</v>
      </c>
      <c r="BE916" s="3" t="s">
        <v>7010</v>
      </c>
      <c r="BF916" s="3" t="s">
        <v>7010</v>
      </c>
      <c r="BG916" s="3" t="s">
        <v>7010</v>
      </c>
      <c r="BH916" s="3" t="s">
        <v>7010</v>
      </c>
      <c r="BI916" s="3" t="s">
        <v>7010</v>
      </c>
      <c r="BJ916" s="3" t="s">
        <v>7010</v>
      </c>
      <c r="BK916" s="74" t="str">
        <f t="shared" si="59"/>
        <v>No</v>
      </c>
    </row>
    <row r="917" spans="7:63">
      <c r="G917">
        <v>916</v>
      </c>
      <c r="H917" t="s">
        <v>6942</v>
      </c>
      <c r="I917" t="s">
        <v>29</v>
      </c>
      <c r="J917">
        <f>LEN(H917)</f>
        <v>8</v>
      </c>
      <c r="K917" s="49" t="s">
        <v>6943</v>
      </c>
      <c r="O917" s="3" t="s">
        <v>7010</v>
      </c>
      <c r="P917" s="3" t="s">
        <v>7010</v>
      </c>
      <c r="Q917" s="3" t="s">
        <v>7010</v>
      </c>
      <c r="R917" s="3" t="s">
        <v>7015</v>
      </c>
      <c r="S917" s="3" t="s">
        <v>7010</v>
      </c>
      <c r="T917" s="3" t="s">
        <v>7015</v>
      </c>
      <c r="U917" s="3" t="s">
        <v>7010</v>
      </c>
      <c r="V917" s="3" t="s">
        <v>7010</v>
      </c>
      <c r="W917" s="74" t="str">
        <f t="shared" si="57"/>
        <v>Yes</v>
      </c>
      <c r="Z917">
        <v>916</v>
      </c>
      <c r="AA917" s="55" t="s">
        <v>6504</v>
      </c>
      <c r="AC917">
        <f t="shared" si="56"/>
        <v>7</v>
      </c>
      <c r="AD917" s="30" t="s">
        <v>6505</v>
      </c>
      <c r="AH917" s="3" t="s">
        <v>7015</v>
      </c>
      <c r="AI917" s="3" t="s">
        <v>7010</v>
      </c>
      <c r="AJ917" s="3" t="s">
        <v>7010</v>
      </c>
      <c r="AK917" s="3" t="s">
        <v>7015</v>
      </c>
      <c r="AL917" s="3" t="s">
        <v>7010</v>
      </c>
      <c r="AM917" s="3" t="s">
        <v>7010</v>
      </c>
      <c r="AN917" s="3" t="s">
        <v>7010</v>
      </c>
      <c r="AO917" s="3" t="s">
        <v>7010</v>
      </c>
      <c r="AP917" s="74" t="s">
        <v>7015</v>
      </c>
      <c r="AU917">
        <v>916</v>
      </c>
      <c r="AV917" t="s">
        <v>6506</v>
      </c>
      <c r="AW917" t="s">
        <v>2279</v>
      </c>
      <c r="AX917">
        <f t="shared" si="58"/>
        <v>14</v>
      </c>
      <c r="AY917" s="30" t="s">
        <v>6507</v>
      </c>
      <c r="BC917" s="3" t="s">
        <v>7010</v>
      </c>
      <c r="BD917" s="3" t="s">
        <v>7010</v>
      </c>
      <c r="BE917" s="3" t="s">
        <v>7010</v>
      </c>
      <c r="BF917" s="3" t="s">
        <v>7010</v>
      </c>
      <c r="BG917" s="3" t="s">
        <v>7010</v>
      </c>
      <c r="BH917" s="3" t="s">
        <v>7010</v>
      </c>
      <c r="BI917" s="3" t="s">
        <v>7010</v>
      </c>
      <c r="BJ917" s="3" t="s">
        <v>7010</v>
      </c>
      <c r="BK917" s="74" t="str">
        <f t="shared" si="59"/>
        <v>No</v>
      </c>
    </row>
    <row r="918" spans="7:63">
      <c r="G918">
        <v>917</v>
      </c>
      <c r="H918" s="7" t="s">
        <v>2171</v>
      </c>
      <c r="I918" t="s">
        <v>29</v>
      </c>
      <c r="J918">
        <f>LEN(H918)</f>
        <v>16</v>
      </c>
      <c r="K918" s="49" t="s">
        <v>6752</v>
      </c>
      <c r="O918" s="3" t="s">
        <v>7010</v>
      </c>
      <c r="P918" s="3" t="s">
        <v>7010</v>
      </c>
      <c r="Q918" s="3" t="s">
        <v>7010</v>
      </c>
      <c r="R918" s="3" t="s">
        <v>7010</v>
      </c>
      <c r="S918" s="3" t="s">
        <v>7010</v>
      </c>
      <c r="T918" s="3" t="s">
        <v>7010</v>
      </c>
      <c r="U918" s="3" t="s">
        <v>7010</v>
      </c>
      <c r="V918" s="3" t="s">
        <v>7010</v>
      </c>
      <c r="W918" s="74" t="str">
        <f t="shared" si="57"/>
        <v>No</v>
      </c>
      <c r="Z918">
        <v>917</v>
      </c>
      <c r="AA918" s="55" t="s">
        <v>6509</v>
      </c>
      <c r="AC918">
        <f t="shared" si="56"/>
        <v>6</v>
      </c>
      <c r="AD918" s="30" t="s">
        <v>6510</v>
      </c>
      <c r="AH918" s="3" t="s">
        <v>7015</v>
      </c>
      <c r="AI918" s="3" t="s">
        <v>7010</v>
      </c>
      <c r="AJ918" s="3" t="s">
        <v>7010</v>
      </c>
      <c r="AK918" s="3" t="s">
        <v>7015</v>
      </c>
      <c r="AL918" s="3" t="s">
        <v>7010</v>
      </c>
      <c r="AM918" s="3" t="s">
        <v>7010</v>
      </c>
      <c r="AN918" s="3" t="s">
        <v>7010</v>
      </c>
      <c r="AO918" s="3" t="s">
        <v>7010</v>
      </c>
      <c r="AP918" s="74" t="s">
        <v>7015</v>
      </c>
      <c r="AU918">
        <v>917</v>
      </c>
      <c r="AV918" t="s">
        <v>6511</v>
      </c>
      <c r="AW918" t="s">
        <v>2279</v>
      </c>
      <c r="AX918">
        <f t="shared" si="58"/>
        <v>8</v>
      </c>
      <c r="AY918" s="30" t="s">
        <v>6512</v>
      </c>
      <c r="BC918" s="3" t="s">
        <v>7010</v>
      </c>
      <c r="BD918" s="3" t="s">
        <v>7010</v>
      </c>
      <c r="BE918" s="3" t="s">
        <v>7015</v>
      </c>
      <c r="BF918" s="3" t="s">
        <v>7010</v>
      </c>
      <c r="BG918" s="3" t="s">
        <v>7010</v>
      </c>
      <c r="BH918" s="3" t="s">
        <v>7010</v>
      </c>
      <c r="BI918" s="3" t="s">
        <v>7010</v>
      </c>
      <c r="BJ918" s="3" t="s">
        <v>7010</v>
      </c>
      <c r="BK918" s="74" t="str">
        <f t="shared" si="59"/>
        <v>Yes</v>
      </c>
    </row>
    <row r="919" spans="7:63">
      <c r="G919">
        <v>918</v>
      </c>
      <c r="H919" t="s">
        <v>6980</v>
      </c>
      <c r="I919" t="s">
        <v>29</v>
      </c>
      <c r="J919">
        <f>LEN(H919)</f>
        <v>7</v>
      </c>
      <c r="K919" s="49" t="s">
        <v>6981</v>
      </c>
      <c r="O919" s="3" t="s">
        <v>7010</v>
      </c>
      <c r="P919" s="3" t="s">
        <v>7010</v>
      </c>
      <c r="Q919" s="3" t="s">
        <v>7010</v>
      </c>
      <c r="R919" s="3" t="s">
        <v>7015</v>
      </c>
      <c r="S919" s="3" t="s">
        <v>7015</v>
      </c>
      <c r="T919" s="3" t="s">
        <v>7010</v>
      </c>
      <c r="U919" s="3" t="s">
        <v>7010</v>
      </c>
      <c r="V919" s="3" t="s">
        <v>7010</v>
      </c>
      <c r="W919" s="74" t="str">
        <f t="shared" si="57"/>
        <v>Yes</v>
      </c>
      <c r="Z919">
        <v>918</v>
      </c>
      <c r="AA919" s="55" t="s">
        <v>6514</v>
      </c>
      <c r="AC919">
        <f t="shared" si="56"/>
        <v>5</v>
      </c>
      <c r="AD919" s="30" t="s">
        <v>6515</v>
      </c>
      <c r="AH919" s="3" t="s">
        <v>7015</v>
      </c>
      <c r="AI919" s="3" t="s">
        <v>7010</v>
      </c>
      <c r="AJ919" s="3" t="s">
        <v>7010</v>
      </c>
      <c r="AK919" s="3" t="s">
        <v>7015</v>
      </c>
      <c r="AL919" s="3" t="s">
        <v>7010</v>
      </c>
      <c r="AM919" s="3" t="s">
        <v>7010</v>
      </c>
      <c r="AN919" s="3" t="s">
        <v>7010</v>
      </c>
      <c r="AO919" s="3" t="s">
        <v>7010</v>
      </c>
      <c r="AP919" s="74" t="s">
        <v>7015</v>
      </c>
      <c r="AU919">
        <v>918</v>
      </c>
      <c r="AV919" t="s">
        <v>6516</v>
      </c>
      <c r="AW919" t="s">
        <v>2279</v>
      </c>
      <c r="AX919">
        <f t="shared" si="58"/>
        <v>14</v>
      </c>
      <c r="AY919" s="30" t="s">
        <v>6517</v>
      </c>
      <c r="BC919" s="3" t="s">
        <v>7010</v>
      </c>
      <c r="BD919" s="3" t="s">
        <v>7010</v>
      </c>
      <c r="BE919" s="3" t="s">
        <v>7010</v>
      </c>
      <c r="BF919" s="3" t="s">
        <v>7010</v>
      </c>
      <c r="BG919" s="3" t="s">
        <v>7010</v>
      </c>
      <c r="BH919" s="3" t="s">
        <v>7010</v>
      </c>
      <c r="BI919" s="3" t="s">
        <v>7010</v>
      </c>
      <c r="BJ919" s="3" t="s">
        <v>7010</v>
      </c>
      <c r="BK919" s="74" t="str">
        <f t="shared" si="59"/>
        <v>No</v>
      </c>
    </row>
    <row r="920" spans="7:63">
      <c r="G920">
        <v>919</v>
      </c>
      <c r="H920" s="7" t="s">
        <v>2103</v>
      </c>
      <c r="I920" t="s">
        <v>29</v>
      </c>
      <c r="J920">
        <f>LEN(H920)</f>
        <v>11</v>
      </c>
      <c r="K920" s="49" t="s">
        <v>6583</v>
      </c>
      <c r="O920" s="3" t="s">
        <v>7010</v>
      </c>
      <c r="P920" s="3" t="s">
        <v>7010</v>
      </c>
      <c r="Q920" s="3" t="s">
        <v>7010</v>
      </c>
      <c r="R920" s="3" t="s">
        <v>7010</v>
      </c>
      <c r="S920" s="3" t="s">
        <v>7010</v>
      </c>
      <c r="T920" s="3" t="s">
        <v>7015</v>
      </c>
      <c r="U920" s="3" t="s">
        <v>7010</v>
      </c>
      <c r="V920" s="3" t="s">
        <v>7010</v>
      </c>
      <c r="W920" s="74" t="str">
        <f t="shared" si="57"/>
        <v>Yes</v>
      </c>
      <c r="Z920">
        <v>919</v>
      </c>
      <c r="AA920" s="55" t="s">
        <v>6519</v>
      </c>
      <c r="AC920">
        <f t="shared" si="56"/>
        <v>8</v>
      </c>
      <c r="AD920" s="30" t="s">
        <v>6520</v>
      </c>
      <c r="AH920" s="3" t="s">
        <v>7015</v>
      </c>
      <c r="AI920" s="3" t="s">
        <v>7010</v>
      </c>
      <c r="AJ920" s="3" t="s">
        <v>7010</v>
      </c>
      <c r="AK920" s="3" t="s">
        <v>7015</v>
      </c>
      <c r="AL920" s="3" t="s">
        <v>7010</v>
      </c>
      <c r="AM920" s="3" t="s">
        <v>7010</v>
      </c>
      <c r="AN920" s="3" t="s">
        <v>7010</v>
      </c>
      <c r="AO920" s="3" t="s">
        <v>7010</v>
      </c>
      <c r="AP920" s="74" t="s">
        <v>7015</v>
      </c>
      <c r="AU920">
        <v>919</v>
      </c>
      <c r="AV920" t="s">
        <v>6521</v>
      </c>
      <c r="AW920" t="s">
        <v>2279</v>
      </c>
      <c r="AX920">
        <f t="shared" si="58"/>
        <v>8</v>
      </c>
      <c r="AY920" s="30" t="s">
        <v>6522</v>
      </c>
      <c r="BC920" s="3" t="s">
        <v>7010</v>
      </c>
      <c r="BD920" s="3" t="s">
        <v>7010</v>
      </c>
      <c r="BE920" s="3" t="s">
        <v>7010</v>
      </c>
      <c r="BF920" s="3" t="s">
        <v>7010</v>
      </c>
      <c r="BG920" s="3" t="s">
        <v>7010</v>
      </c>
      <c r="BH920" s="3" t="s">
        <v>7010</v>
      </c>
      <c r="BI920" s="3" t="s">
        <v>7010</v>
      </c>
      <c r="BJ920" s="3" t="s">
        <v>7010</v>
      </c>
      <c r="BK920" s="74" t="str">
        <f t="shared" si="59"/>
        <v>No</v>
      </c>
    </row>
    <row r="921" spans="7:63">
      <c r="G921">
        <v>920</v>
      </c>
      <c r="H921" s="7" t="s">
        <v>493</v>
      </c>
      <c r="I921" t="s">
        <v>29</v>
      </c>
      <c r="J921">
        <f>LEN(H921)</f>
        <v>10</v>
      </c>
      <c r="K921" s="49" t="s">
        <v>2889</v>
      </c>
      <c r="O921" s="3" t="s">
        <v>7010</v>
      </c>
      <c r="P921" s="3" t="s">
        <v>7010</v>
      </c>
      <c r="Q921" s="3" t="s">
        <v>7010</v>
      </c>
      <c r="R921" s="3" t="s">
        <v>7010</v>
      </c>
      <c r="S921" s="3" t="s">
        <v>7010</v>
      </c>
      <c r="T921" s="3" t="s">
        <v>7015</v>
      </c>
      <c r="U921" s="3" t="s">
        <v>7010</v>
      </c>
      <c r="V921" s="3" t="s">
        <v>7010</v>
      </c>
      <c r="W921" s="74" t="str">
        <f t="shared" si="57"/>
        <v>Yes</v>
      </c>
      <c r="Z921">
        <v>920</v>
      </c>
      <c r="AA921" s="55" t="s">
        <v>6524</v>
      </c>
      <c r="AC921">
        <f t="shared" si="56"/>
        <v>9</v>
      </c>
      <c r="AD921" s="30" t="s">
        <v>6525</v>
      </c>
      <c r="AH921" s="3" t="s">
        <v>7015</v>
      </c>
      <c r="AI921" s="3" t="s">
        <v>7010</v>
      </c>
      <c r="AJ921" s="3" t="s">
        <v>7010</v>
      </c>
      <c r="AK921" s="3" t="s">
        <v>7015</v>
      </c>
      <c r="AL921" s="3" t="s">
        <v>7010</v>
      </c>
      <c r="AM921" s="3" t="s">
        <v>7010</v>
      </c>
      <c r="AN921" s="3" t="s">
        <v>7010</v>
      </c>
      <c r="AO921" s="3" t="s">
        <v>7010</v>
      </c>
      <c r="AP921" s="74" t="s">
        <v>7015</v>
      </c>
      <c r="AU921">
        <v>920</v>
      </c>
      <c r="AV921" t="s">
        <v>6526</v>
      </c>
      <c r="AW921" t="s">
        <v>2279</v>
      </c>
      <c r="AX921">
        <f t="shared" si="58"/>
        <v>9</v>
      </c>
      <c r="AY921" s="30" t="s">
        <v>6527</v>
      </c>
      <c r="BC921" s="3" t="s">
        <v>7010</v>
      </c>
      <c r="BD921" s="3" t="s">
        <v>7010</v>
      </c>
      <c r="BE921" s="3" t="s">
        <v>7010</v>
      </c>
      <c r="BF921" s="3" t="s">
        <v>7010</v>
      </c>
      <c r="BG921" s="3" t="s">
        <v>7010</v>
      </c>
      <c r="BH921" s="3" t="s">
        <v>7010</v>
      </c>
      <c r="BI921" s="3" t="s">
        <v>7010</v>
      </c>
      <c r="BJ921" s="3" t="s">
        <v>7010</v>
      </c>
      <c r="BK921" s="74" t="str">
        <f t="shared" si="59"/>
        <v>No</v>
      </c>
    </row>
    <row r="922" spans="7:63">
      <c r="G922">
        <v>921</v>
      </c>
      <c r="H922" s="7" t="s">
        <v>479</v>
      </c>
      <c r="I922" t="s">
        <v>29</v>
      </c>
      <c r="J922">
        <f>LEN(H922)</f>
        <v>12</v>
      </c>
      <c r="K922" s="49" t="s">
        <v>2833</v>
      </c>
      <c r="O922" s="3" t="s">
        <v>7010</v>
      </c>
      <c r="P922" s="3" t="s">
        <v>7010</v>
      </c>
      <c r="Q922" s="3" t="s">
        <v>7010</v>
      </c>
      <c r="R922" s="3" t="s">
        <v>7010</v>
      </c>
      <c r="S922" s="3" t="s">
        <v>7010</v>
      </c>
      <c r="T922" s="3" t="s">
        <v>7015</v>
      </c>
      <c r="U922" s="3" t="s">
        <v>7010</v>
      </c>
      <c r="V922" s="3" t="s">
        <v>7010</v>
      </c>
      <c r="W922" s="74" t="str">
        <f t="shared" si="57"/>
        <v>Yes</v>
      </c>
      <c r="Z922">
        <v>921</v>
      </c>
      <c r="AA922" s="55" t="s">
        <v>6529</v>
      </c>
      <c r="AC922">
        <f t="shared" si="56"/>
        <v>5</v>
      </c>
      <c r="AD922" s="30" t="s">
        <v>6530</v>
      </c>
      <c r="AH922" s="3" t="s">
        <v>7015</v>
      </c>
      <c r="AI922" s="3" t="s">
        <v>7010</v>
      </c>
      <c r="AJ922" s="3" t="s">
        <v>7010</v>
      </c>
      <c r="AK922" s="3" t="s">
        <v>7015</v>
      </c>
      <c r="AL922" s="3" t="s">
        <v>7010</v>
      </c>
      <c r="AM922" s="3" t="s">
        <v>7010</v>
      </c>
      <c r="AN922" s="3" t="s">
        <v>7010</v>
      </c>
      <c r="AO922" s="3" t="s">
        <v>7010</v>
      </c>
      <c r="AP922" s="74" t="s">
        <v>7015</v>
      </c>
      <c r="AU922">
        <v>921</v>
      </c>
      <c r="AV922" t="s">
        <v>6531</v>
      </c>
      <c r="AW922" t="s">
        <v>2279</v>
      </c>
      <c r="AX922">
        <f t="shared" si="58"/>
        <v>9</v>
      </c>
      <c r="AY922" s="30" t="s">
        <v>6532</v>
      </c>
      <c r="BC922" s="3" t="s">
        <v>7010</v>
      </c>
      <c r="BD922" s="3" t="s">
        <v>7010</v>
      </c>
      <c r="BE922" s="3" t="s">
        <v>7010</v>
      </c>
      <c r="BF922" s="3" t="s">
        <v>7010</v>
      </c>
      <c r="BG922" s="3" t="s">
        <v>7010</v>
      </c>
      <c r="BH922" s="3" t="s">
        <v>7010</v>
      </c>
      <c r="BI922" s="3" t="s">
        <v>7010</v>
      </c>
      <c r="BJ922" s="3" t="s">
        <v>7010</v>
      </c>
      <c r="BK922" s="74" t="str">
        <f t="shared" si="59"/>
        <v>No</v>
      </c>
    </row>
    <row r="923" spans="7:63">
      <c r="G923">
        <v>922</v>
      </c>
      <c r="H923" s="7" t="s">
        <v>2131</v>
      </c>
      <c r="I923" t="s">
        <v>29</v>
      </c>
      <c r="J923">
        <f>LEN(H923)</f>
        <v>15</v>
      </c>
      <c r="K923" s="49" t="s">
        <v>6653</v>
      </c>
      <c r="O923" s="3" t="s">
        <v>7010</v>
      </c>
      <c r="P923" s="3" t="s">
        <v>7010</v>
      </c>
      <c r="Q923" s="3" t="s">
        <v>7010</v>
      </c>
      <c r="R923" s="3" t="s">
        <v>7010</v>
      </c>
      <c r="S923" s="3" t="s">
        <v>7010</v>
      </c>
      <c r="T923" s="3" t="s">
        <v>7015</v>
      </c>
      <c r="U923" s="3" t="s">
        <v>7010</v>
      </c>
      <c r="V923" s="3" t="s">
        <v>7010</v>
      </c>
      <c r="W923" s="74" t="str">
        <f t="shared" si="57"/>
        <v>Yes</v>
      </c>
      <c r="Z923">
        <v>922</v>
      </c>
      <c r="AA923" s="55" t="s">
        <v>6534</v>
      </c>
      <c r="AC923">
        <f t="shared" si="56"/>
        <v>6</v>
      </c>
      <c r="AD923" s="30" t="s">
        <v>6535</v>
      </c>
      <c r="AH923" s="3" t="s">
        <v>7015</v>
      </c>
      <c r="AI923" s="3" t="s">
        <v>7010</v>
      </c>
      <c r="AJ923" s="3" t="s">
        <v>7010</v>
      </c>
      <c r="AK923" s="3" t="s">
        <v>7015</v>
      </c>
      <c r="AL923" s="3" t="s">
        <v>7010</v>
      </c>
      <c r="AM923" s="3" t="s">
        <v>7010</v>
      </c>
      <c r="AN923" s="3" t="s">
        <v>7010</v>
      </c>
      <c r="AO923" s="3" t="s">
        <v>7010</v>
      </c>
      <c r="AP923" s="74" t="s">
        <v>7015</v>
      </c>
      <c r="AU923">
        <v>922</v>
      </c>
      <c r="AV923" t="s">
        <v>6536</v>
      </c>
      <c r="AW923" t="s">
        <v>2279</v>
      </c>
      <c r="AX923">
        <f t="shared" si="58"/>
        <v>11</v>
      </c>
      <c r="AY923" s="30" t="s">
        <v>6537</v>
      </c>
      <c r="BC923" s="3" t="s">
        <v>7010</v>
      </c>
      <c r="BD923" s="3" t="s">
        <v>7010</v>
      </c>
      <c r="BE923" s="3" t="s">
        <v>7010</v>
      </c>
      <c r="BF923" s="3" t="s">
        <v>7010</v>
      </c>
      <c r="BG923" s="3" t="s">
        <v>7010</v>
      </c>
      <c r="BH923" s="3" t="s">
        <v>7010</v>
      </c>
      <c r="BI923" s="3" t="s">
        <v>7010</v>
      </c>
      <c r="BJ923" s="3" t="s">
        <v>7010</v>
      </c>
      <c r="BK923" s="74" t="str">
        <f t="shared" si="59"/>
        <v>No</v>
      </c>
    </row>
    <row r="924" spans="7:63">
      <c r="G924">
        <v>923</v>
      </c>
      <c r="H924" t="s">
        <v>6970</v>
      </c>
      <c r="I924" t="s">
        <v>29</v>
      </c>
      <c r="J924">
        <f>LEN(H924)</f>
        <v>10</v>
      </c>
      <c r="K924" s="49" t="s">
        <v>6971</v>
      </c>
      <c r="O924" s="3" t="s">
        <v>7010</v>
      </c>
      <c r="P924" s="3" t="s">
        <v>7010</v>
      </c>
      <c r="Q924" s="3" t="s">
        <v>7010</v>
      </c>
      <c r="R924" s="3" t="s">
        <v>7015</v>
      </c>
      <c r="S924" s="3" t="s">
        <v>7010</v>
      </c>
      <c r="T924" s="3" t="s">
        <v>7015</v>
      </c>
      <c r="U924" s="3" t="s">
        <v>7010</v>
      </c>
      <c r="V924" s="3" t="s">
        <v>7010</v>
      </c>
      <c r="W924" s="74" t="str">
        <f t="shared" si="57"/>
        <v>Yes</v>
      </c>
      <c r="Z924">
        <v>923</v>
      </c>
      <c r="AA924" s="55" t="s">
        <v>6539</v>
      </c>
      <c r="AC924">
        <f t="shared" si="56"/>
        <v>9</v>
      </c>
      <c r="AD924" s="30" t="s">
        <v>6540</v>
      </c>
      <c r="AH924" s="3" t="s">
        <v>7015</v>
      </c>
      <c r="AI924" s="3" t="s">
        <v>7010</v>
      </c>
      <c r="AJ924" s="3" t="s">
        <v>7010</v>
      </c>
      <c r="AK924" s="3" t="s">
        <v>7015</v>
      </c>
      <c r="AL924" s="3" t="s">
        <v>7010</v>
      </c>
      <c r="AM924" s="3" t="s">
        <v>7010</v>
      </c>
      <c r="AN924" s="3" t="s">
        <v>7010</v>
      </c>
      <c r="AO924" s="3" t="s">
        <v>7010</v>
      </c>
      <c r="AP924" s="74" t="s">
        <v>7015</v>
      </c>
      <c r="AU924">
        <v>923</v>
      </c>
      <c r="AV924" t="s">
        <v>6541</v>
      </c>
      <c r="AW924" t="s">
        <v>2279</v>
      </c>
      <c r="AX924">
        <f t="shared" si="58"/>
        <v>13</v>
      </c>
      <c r="AY924" s="30" t="s">
        <v>6542</v>
      </c>
      <c r="BC924" s="3" t="s">
        <v>7010</v>
      </c>
      <c r="BD924" s="3" t="s">
        <v>7010</v>
      </c>
      <c r="BE924" s="3" t="s">
        <v>7010</v>
      </c>
      <c r="BF924" s="3" t="s">
        <v>7010</v>
      </c>
      <c r="BG924" s="3" t="s">
        <v>7010</v>
      </c>
      <c r="BH924" s="3" t="s">
        <v>7010</v>
      </c>
      <c r="BI924" s="3" t="s">
        <v>7010</v>
      </c>
      <c r="BJ924" s="3" t="s">
        <v>7010</v>
      </c>
      <c r="BK924" s="74" t="str">
        <f t="shared" si="59"/>
        <v>No</v>
      </c>
    </row>
    <row r="925" spans="7:63">
      <c r="G925">
        <v>924</v>
      </c>
      <c r="H925" s="7" t="s">
        <v>1312</v>
      </c>
      <c r="I925" t="s">
        <v>29</v>
      </c>
      <c r="J925">
        <f>LEN(H925)</f>
        <v>10</v>
      </c>
      <c r="K925" s="49" t="s">
        <v>4496</v>
      </c>
      <c r="O925" s="3" t="s">
        <v>7010</v>
      </c>
      <c r="P925" s="3" t="s">
        <v>7010</v>
      </c>
      <c r="Q925" s="3" t="s">
        <v>7010</v>
      </c>
      <c r="R925" s="3" t="s">
        <v>7010</v>
      </c>
      <c r="S925" s="3" t="s">
        <v>7010</v>
      </c>
      <c r="T925" s="3" t="s">
        <v>7010</v>
      </c>
      <c r="U925" s="3" t="s">
        <v>7010</v>
      </c>
      <c r="V925" s="3" t="s">
        <v>7010</v>
      </c>
      <c r="W925" s="74" t="str">
        <f t="shared" si="57"/>
        <v>No</v>
      </c>
      <c r="Z925">
        <v>924</v>
      </c>
      <c r="AA925" s="55" t="s">
        <v>6544</v>
      </c>
      <c r="AC925">
        <f t="shared" si="56"/>
        <v>5</v>
      </c>
      <c r="AD925" s="30" t="s">
        <v>6545</v>
      </c>
      <c r="AH925" s="3" t="s">
        <v>7015</v>
      </c>
      <c r="AI925" s="3" t="s">
        <v>7010</v>
      </c>
      <c r="AJ925" s="3" t="s">
        <v>7010</v>
      </c>
      <c r="AK925" s="3" t="s">
        <v>7015</v>
      </c>
      <c r="AL925" s="3" t="s">
        <v>7010</v>
      </c>
      <c r="AM925" s="3" t="s">
        <v>7010</v>
      </c>
      <c r="AN925" s="3" t="s">
        <v>7010</v>
      </c>
      <c r="AO925" s="3" t="s">
        <v>7010</v>
      </c>
      <c r="AP925" s="74" t="s">
        <v>7015</v>
      </c>
      <c r="AU925">
        <v>924</v>
      </c>
      <c r="AV925" t="s">
        <v>6546</v>
      </c>
      <c r="AW925" t="s">
        <v>2279</v>
      </c>
      <c r="AX925">
        <f t="shared" si="58"/>
        <v>17</v>
      </c>
      <c r="AY925" s="30" t="s">
        <v>6547</v>
      </c>
      <c r="BC925" s="3" t="s">
        <v>7010</v>
      </c>
      <c r="BD925" s="3" t="s">
        <v>7010</v>
      </c>
      <c r="BE925" s="3" t="s">
        <v>7010</v>
      </c>
      <c r="BF925" s="3" t="s">
        <v>7010</v>
      </c>
      <c r="BG925" s="3" t="s">
        <v>7010</v>
      </c>
      <c r="BH925" s="3" t="s">
        <v>7010</v>
      </c>
      <c r="BI925" s="3" t="s">
        <v>7010</v>
      </c>
      <c r="BJ925" s="3" t="s">
        <v>7010</v>
      </c>
      <c r="BK925" s="74" t="str">
        <f t="shared" si="59"/>
        <v>No</v>
      </c>
    </row>
    <row r="926" spans="7:63">
      <c r="G926">
        <v>925</v>
      </c>
      <c r="H926" s="7" t="s">
        <v>2083</v>
      </c>
      <c r="I926" t="s">
        <v>29</v>
      </c>
      <c r="J926">
        <f>LEN(H926)</f>
        <v>16</v>
      </c>
      <c r="K926" s="49" t="s">
        <v>6533</v>
      </c>
      <c r="O926" s="3" t="s">
        <v>7010</v>
      </c>
      <c r="P926" s="3" t="s">
        <v>7010</v>
      </c>
      <c r="Q926" s="3" t="s">
        <v>7010</v>
      </c>
      <c r="R926" s="3" t="s">
        <v>7010</v>
      </c>
      <c r="S926" s="3" t="s">
        <v>7010</v>
      </c>
      <c r="T926" s="3" t="s">
        <v>7015</v>
      </c>
      <c r="U926" s="3" t="s">
        <v>7010</v>
      </c>
      <c r="V926" s="3" t="s">
        <v>7010</v>
      </c>
      <c r="W926" s="74" t="str">
        <f t="shared" si="57"/>
        <v>Yes</v>
      </c>
      <c r="Z926">
        <v>925</v>
      </c>
      <c r="AA926" s="55" t="s">
        <v>6549</v>
      </c>
      <c r="AC926">
        <f t="shared" si="56"/>
        <v>7</v>
      </c>
      <c r="AD926" s="30" t="s">
        <v>6550</v>
      </c>
      <c r="AH926" s="3" t="s">
        <v>7015</v>
      </c>
      <c r="AI926" s="3" t="s">
        <v>7010</v>
      </c>
      <c r="AJ926" s="3" t="s">
        <v>7010</v>
      </c>
      <c r="AK926" s="3" t="s">
        <v>7015</v>
      </c>
      <c r="AL926" s="3" t="s">
        <v>7010</v>
      </c>
      <c r="AM926" s="3" t="s">
        <v>7010</v>
      </c>
      <c r="AN926" s="3" t="s">
        <v>7010</v>
      </c>
      <c r="AO926" s="3" t="s">
        <v>7010</v>
      </c>
      <c r="AP926" s="74" t="s">
        <v>7015</v>
      </c>
      <c r="AU926">
        <v>925</v>
      </c>
      <c r="AV926" t="s">
        <v>6551</v>
      </c>
      <c r="AW926" t="s">
        <v>2279</v>
      </c>
      <c r="AX926">
        <f t="shared" si="58"/>
        <v>8</v>
      </c>
      <c r="AY926" s="30" t="s">
        <v>6552</v>
      </c>
      <c r="BC926" s="3" t="s">
        <v>7010</v>
      </c>
      <c r="BD926" s="3" t="s">
        <v>7010</v>
      </c>
      <c r="BE926" s="3" t="s">
        <v>7010</v>
      </c>
      <c r="BF926" s="3" t="s">
        <v>7010</v>
      </c>
      <c r="BG926" s="3" t="s">
        <v>7010</v>
      </c>
      <c r="BH926" s="3" t="s">
        <v>7010</v>
      </c>
      <c r="BI926" s="3" t="s">
        <v>7010</v>
      </c>
      <c r="BJ926" s="3" t="s">
        <v>7010</v>
      </c>
      <c r="BK926" s="74" t="str">
        <f t="shared" si="59"/>
        <v>No</v>
      </c>
    </row>
    <row r="927" spans="7:63">
      <c r="G927">
        <v>926</v>
      </c>
      <c r="H927" s="7" t="s">
        <v>1920</v>
      </c>
      <c r="I927" t="s">
        <v>29</v>
      </c>
      <c r="J927">
        <f>LEN(H927)</f>
        <v>16</v>
      </c>
      <c r="K927" s="49" t="s">
        <v>6108</v>
      </c>
      <c r="O927" s="3" t="s">
        <v>7010</v>
      </c>
      <c r="P927" s="3" t="s">
        <v>7010</v>
      </c>
      <c r="Q927" s="3" t="s">
        <v>7010</v>
      </c>
      <c r="R927" s="3" t="s">
        <v>7010</v>
      </c>
      <c r="S927" s="3" t="s">
        <v>7010</v>
      </c>
      <c r="T927" s="3" t="s">
        <v>7015</v>
      </c>
      <c r="U927" s="3" t="s">
        <v>7010</v>
      </c>
      <c r="V927" s="3" t="s">
        <v>7010</v>
      </c>
      <c r="W927" s="74" t="str">
        <f t="shared" si="57"/>
        <v>Yes</v>
      </c>
      <c r="Z927">
        <v>926</v>
      </c>
      <c r="AA927" s="55" t="s">
        <v>6554</v>
      </c>
      <c r="AC927">
        <f t="shared" si="56"/>
        <v>10</v>
      </c>
      <c r="AD927" s="30" t="s">
        <v>6555</v>
      </c>
      <c r="AH927" s="3" t="s">
        <v>7015</v>
      </c>
      <c r="AI927" s="3" t="s">
        <v>7010</v>
      </c>
      <c r="AJ927" s="3" t="s">
        <v>7010</v>
      </c>
      <c r="AK927" s="3" t="s">
        <v>7015</v>
      </c>
      <c r="AL927" s="3" t="s">
        <v>7010</v>
      </c>
      <c r="AM927" s="3" t="s">
        <v>7010</v>
      </c>
      <c r="AN927" s="3" t="s">
        <v>7010</v>
      </c>
      <c r="AO927" s="3" t="s">
        <v>7010</v>
      </c>
      <c r="AP927" s="74" t="s">
        <v>7015</v>
      </c>
      <c r="AU927">
        <v>926</v>
      </c>
      <c r="AV927" t="s">
        <v>6556</v>
      </c>
      <c r="AW927" t="s">
        <v>2279</v>
      </c>
      <c r="AX927">
        <f t="shared" si="58"/>
        <v>8</v>
      </c>
      <c r="AY927" s="30" t="s">
        <v>6557</v>
      </c>
      <c r="BC927" s="3" t="s">
        <v>7010</v>
      </c>
      <c r="BD927" s="3" t="s">
        <v>7010</v>
      </c>
      <c r="BE927" s="3" t="s">
        <v>7010</v>
      </c>
      <c r="BF927" s="3" t="s">
        <v>7010</v>
      </c>
      <c r="BG927" s="3" t="s">
        <v>7010</v>
      </c>
      <c r="BH927" s="3" t="s">
        <v>7010</v>
      </c>
      <c r="BI927" s="3" t="s">
        <v>7010</v>
      </c>
      <c r="BJ927" s="3" t="s">
        <v>7010</v>
      </c>
      <c r="BK927" s="74" t="str">
        <f t="shared" si="59"/>
        <v>No</v>
      </c>
    </row>
    <row r="928" spans="7:63">
      <c r="G928">
        <v>927</v>
      </c>
      <c r="H928" s="7" t="s">
        <v>630</v>
      </c>
      <c r="I928" t="s">
        <v>29</v>
      </c>
      <c r="J928">
        <f>LEN(H928)</f>
        <v>12</v>
      </c>
      <c r="K928" s="49" t="s">
        <v>3437</v>
      </c>
      <c r="O928" s="3" t="s">
        <v>7010</v>
      </c>
      <c r="P928" s="3" t="s">
        <v>7010</v>
      </c>
      <c r="Q928" s="3" t="s">
        <v>7010</v>
      </c>
      <c r="R928" s="3" t="s">
        <v>7010</v>
      </c>
      <c r="S928" s="3" t="s">
        <v>7010</v>
      </c>
      <c r="T928" s="3" t="s">
        <v>7015</v>
      </c>
      <c r="U928" s="3" t="s">
        <v>7010</v>
      </c>
      <c r="V928" s="3" t="s">
        <v>7010</v>
      </c>
      <c r="W928" s="74" t="str">
        <f t="shared" si="57"/>
        <v>Yes</v>
      </c>
      <c r="Z928">
        <v>927</v>
      </c>
      <c r="AA928" s="55" t="s">
        <v>6559</v>
      </c>
      <c r="AC928">
        <f t="shared" si="56"/>
        <v>5</v>
      </c>
      <c r="AD928" s="30" t="s">
        <v>6560</v>
      </c>
      <c r="AH928" s="3" t="s">
        <v>7015</v>
      </c>
      <c r="AI928" s="3" t="s">
        <v>7010</v>
      </c>
      <c r="AJ928" s="3" t="s">
        <v>7010</v>
      </c>
      <c r="AK928" s="3" t="s">
        <v>7015</v>
      </c>
      <c r="AL928" s="3" t="s">
        <v>7010</v>
      </c>
      <c r="AM928" s="3" t="s">
        <v>7010</v>
      </c>
      <c r="AN928" s="3" t="s">
        <v>7010</v>
      </c>
      <c r="AO928" s="3" t="s">
        <v>7010</v>
      </c>
      <c r="AP928" s="74" t="s">
        <v>7015</v>
      </c>
      <c r="AU928">
        <v>927</v>
      </c>
      <c r="AV928" t="s">
        <v>6561</v>
      </c>
      <c r="AW928" t="s">
        <v>2279</v>
      </c>
      <c r="AX928">
        <f t="shared" si="58"/>
        <v>8</v>
      </c>
      <c r="AY928" s="30" t="s">
        <v>6562</v>
      </c>
      <c r="BC928" s="3" t="s">
        <v>7010</v>
      </c>
      <c r="BD928" s="3" t="s">
        <v>7010</v>
      </c>
      <c r="BE928" s="3" t="s">
        <v>7010</v>
      </c>
      <c r="BF928" s="3" t="s">
        <v>7010</v>
      </c>
      <c r="BG928" s="3" t="s">
        <v>7010</v>
      </c>
      <c r="BH928" s="3" t="s">
        <v>7010</v>
      </c>
      <c r="BI928" s="3" t="s">
        <v>7010</v>
      </c>
      <c r="BJ928" s="3" t="s">
        <v>7010</v>
      </c>
      <c r="BK928" s="74" t="str">
        <f t="shared" si="59"/>
        <v>No</v>
      </c>
    </row>
    <row r="929" spans="7:63">
      <c r="G929">
        <v>928</v>
      </c>
      <c r="H929" s="7" t="s">
        <v>497</v>
      </c>
      <c r="I929" t="s">
        <v>29</v>
      </c>
      <c r="J929">
        <f>LEN(H929)</f>
        <v>11</v>
      </c>
      <c r="K929" s="49" t="s">
        <v>2905</v>
      </c>
      <c r="O929" s="3" t="s">
        <v>7010</v>
      </c>
      <c r="P929" s="3" t="s">
        <v>7010</v>
      </c>
      <c r="Q929" s="3" t="s">
        <v>7010</v>
      </c>
      <c r="R929" s="3" t="s">
        <v>7010</v>
      </c>
      <c r="S929" s="3" t="s">
        <v>7010</v>
      </c>
      <c r="T929" s="3" t="s">
        <v>7010</v>
      </c>
      <c r="U929" s="3" t="s">
        <v>7010</v>
      </c>
      <c r="V929" s="3" t="s">
        <v>7010</v>
      </c>
      <c r="W929" s="74" t="str">
        <f t="shared" si="57"/>
        <v>No</v>
      </c>
      <c r="Z929">
        <v>928</v>
      </c>
      <c r="AA929" s="55" t="s">
        <v>6564</v>
      </c>
      <c r="AC929">
        <f t="shared" si="56"/>
        <v>8</v>
      </c>
      <c r="AD929" s="30" t="s">
        <v>6565</v>
      </c>
      <c r="AH929" s="3" t="s">
        <v>7015</v>
      </c>
      <c r="AI929" s="3" t="s">
        <v>7010</v>
      </c>
      <c r="AJ929" s="3" t="s">
        <v>7010</v>
      </c>
      <c r="AK929" s="3" t="s">
        <v>7015</v>
      </c>
      <c r="AL929" s="3" t="s">
        <v>7010</v>
      </c>
      <c r="AM929" s="3" t="s">
        <v>7010</v>
      </c>
      <c r="AN929" s="3" t="s">
        <v>7010</v>
      </c>
      <c r="AO929" s="3" t="s">
        <v>7010</v>
      </c>
      <c r="AP929" s="74" t="s">
        <v>7015</v>
      </c>
      <c r="AU929">
        <v>928</v>
      </c>
      <c r="AV929" t="s">
        <v>6566</v>
      </c>
      <c r="AW929" t="s">
        <v>2279</v>
      </c>
      <c r="AX929">
        <f t="shared" si="58"/>
        <v>8</v>
      </c>
      <c r="AY929" s="30" t="s">
        <v>6567</v>
      </c>
      <c r="BC929" s="3" t="s">
        <v>7010</v>
      </c>
      <c r="BD929" s="3" t="s">
        <v>7010</v>
      </c>
      <c r="BE929" s="3" t="s">
        <v>7010</v>
      </c>
      <c r="BF929" s="3" t="s">
        <v>7010</v>
      </c>
      <c r="BG929" s="3" t="s">
        <v>7010</v>
      </c>
      <c r="BH929" s="3" t="s">
        <v>7010</v>
      </c>
      <c r="BI929" s="3" t="s">
        <v>7010</v>
      </c>
      <c r="BJ929" s="3" t="s">
        <v>7010</v>
      </c>
      <c r="BK929" s="74" t="str">
        <f t="shared" si="59"/>
        <v>No</v>
      </c>
    </row>
    <row r="930" spans="7:63">
      <c r="G930">
        <v>929</v>
      </c>
      <c r="H930" s="7" t="s">
        <v>487</v>
      </c>
      <c r="I930" t="s">
        <v>29</v>
      </c>
      <c r="J930">
        <f>LEN(H930)</f>
        <v>13</v>
      </c>
      <c r="K930" s="49" t="s">
        <v>2865</v>
      </c>
      <c r="O930" s="3" t="s">
        <v>7010</v>
      </c>
      <c r="P930" s="3" t="s">
        <v>7010</v>
      </c>
      <c r="Q930" s="3" t="s">
        <v>7010</v>
      </c>
      <c r="R930" s="3" t="s">
        <v>7010</v>
      </c>
      <c r="S930" s="3" t="s">
        <v>7010</v>
      </c>
      <c r="T930" s="3" t="s">
        <v>7010</v>
      </c>
      <c r="U930" s="3" t="s">
        <v>7010</v>
      </c>
      <c r="V930" s="3" t="s">
        <v>7010</v>
      </c>
      <c r="W930" s="74" t="str">
        <f t="shared" si="57"/>
        <v>No</v>
      </c>
      <c r="Z930">
        <v>929</v>
      </c>
      <c r="AA930" s="55" t="s">
        <v>6569</v>
      </c>
      <c r="AC930">
        <f t="shared" si="56"/>
        <v>7</v>
      </c>
      <c r="AD930" s="30" t="s">
        <v>6570</v>
      </c>
      <c r="AH930" s="3" t="s">
        <v>7015</v>
      </c>
      <c r="AI930" s="3" t="s">
        <v>7010</v>
      </c>
      <c r="AJ930" s="3" t="s">
        <v>7010</v>
      </c>
      <c r="AK930" s="3" t="s">
        <v>7015</v>
      </c>
      <c r="AL930" s="3" t="s">
        <v>7010</v>
      </c>
      <c r="AM930" s="3" t="s">
        <v>7010</v>
      </c>
      <c r="AN930" s="3" t="s">
        <v>7010</v>
      </c>
      <c r="AO930" s="3" t="s">
        <v>7010</v>
      </c>
      <c r="AP930" s="74" t="s">
        <v>7015</v>
      </c>
      <c r="AU930">
        <v>929</v>
      </c>
      <c r="AV930" t="s">
        <v>6571</v>
      </c>
      <c r="AW930" t="s">
        <v>2279</v>
      </c>
      <c r="AX930">
        <f t="shared" si="58"/>
        <v>8</v>
      </c>
      <c r="AY930" s="30" t="s">
        <v>6572</v>
      </c>
      <c r="BC930" s="3" t="s">
        <v>7010</v>
      </c>
      <c r="BD930" s="3" t="s">
        <v>7010</v>
      </c>
      <c r="BE930" s="3" t="s">
        <v>7010</v>
      </c>
      <c r="BF930" s="3" t="s">
        <v>7010</v>
      </c>
      <c r="BG930" s="3" t="s">
        <v>7010</v>
      </c>
      <c r="BH930" s="3" t="s">
        <v>7010</v>
      </c>
      <c r="BI930" s="3" t="s">
        <v>7010</v>
      </c>
      <c r="BJ930" s="3" t="s">
        <v>7010</v>
      </c>
      <c r="BK930" s="74" t="str">
        <f t="shared" si="59"/>
        <v>No</v>
      </c>
    </row>
    <row r="931" spans="7:63">
      <c r="G931">
        <v>930</v>
      </c>
      <c r="H931" s="7" t="s">
        <v>485</v>
      </c>
      <c r="I931" t="s">
        <v>29</v>
      </c>
      <c r="J931">
        <f>LEN(H931)</f>
        <v>10</v>
      </c>
      <c r="K931" s="49" t="s">
        <v>2857</v>
      </c>
      <c r="O931" s="3" t="s">
        <v>7010</v>
      </c>
      <c r="P931" s="3" t="s">
        <v>7010</v>
      </c>
      <c r="Q931" s="3" t="s">
        <v>7010</v>
      </c>
      <c r="R931" s="3" t="s">
        <v>7010</v>
      </c>
      <c r="S931" s="3" t="s">
        <v>7010</v>
      </c>
      <c r="T931" s="3" t="s">
        <v>7010</v>
      </c>
      <c r="U931" s="3" t="s">
        <v>7010</v>
      </c>
      <c r="V931" s="3" t="s">
        <v>7010</v>
      </c>
      <c r="W931" s="74" t="str">
        <f t="shared" si="57"/>
        <v>No</v>
      </c>
      <c r="Z931">
        <v>930</v>
      </c>
      <c r="AA931" s="55" t="s">
        <v>6574</v>
      </c>
      <c r="AC931">
        <f t="shared" si="56"/>
        <v>6</v>
      </c>
      <c r="AD931" s="30" t="s">
        <v>6575</v>
      </c>
      <c r="AH931" s="3" t="s">
        <v>7015</v>
      </c>
      <c r="AI931" s="3" t="s">
        <v>7010</v>
      </c>
      <c r="AJ931" s="3" t="s">
        <v>7010</v>
      </c>
      <c r="AK931" s="3" t="s">
        <v>7015</v>
      </c>
      <c r="AL931" s="3" t="s">
        <v>7010</v>
      </c>
      <c r="AM931" s="3" t="s">
        <v>7010</v>
      </c>
      <c r="AN931" s="3" t="s">
        <v>7010</v>
      </c>
      <c r="AO931" s="3" t="s">
        <v>7010</v>
      </c>
      <c r="AP931" s="74" t="s">
        <v>7015</v>
      </c>
      <c r="AU931">
        <v>930</v>
      </c>
      <c r="AV931" t="s">
        <v>6576</v>
      </c>
      <c r="AW931" t="s">
        <v>2279</v>
      </c>
      <c r="AX931">
        <f t="shared" si="58"/>
        <v>9</v>
      </c>
      <c r="AY931" s="30" t="s">
        <v>6577</v>
      </c>
      <c r="BC931" s="3" t="s">
        <v>7010</v>
      </c>
      <c r="BD931" s="3" t="s">
        <v>7010</v>
      </c>
      <c r="BE931" s="3" t="s">
        <v>7015</v>
      </c>
      <c r="BF931" s="3" t="s">
        <v>7010</v>
      </c>
      <c r="BG931" s="3" t="s">
        <v>7010</v>
      </c>
      <c r="BH931" s="3" t="s">
        <v>7010</v>
      </c>
      <c r="BI931" s="3" t="s">
        <v>7010</v>
      </c>
      <c r="BJ931" s="3" t="s">
        <v>7010</v>
      </c>
      <c r="BK931" s="74" t="str">
        <f t="shared" si="59"/>
        <v>Yes</v>
      </c>
    </row>
    <row r="932" spans="7:63">
      <c r="G932">
        <v>931</v>
      </c>
      <c r="H932" s="7" t="s">
        <v>2017</v>
      </c>
      <c r="I932" t="s">
        <v>29</v>
      </c>
      <c r="J932">
        <f>LEN(H932)</f>
        <v>13</v>
      </c>
      <c r="K932" s="49" t="s">
        <v>6371</v>
      </c>
      <c r="O932" s="3" t="s">
        <v>7010</v>
      </c>
      <c r="P932" s="3" t="s">
        <v>7010</v>
      </c>
      <c r="Q932" s="3" t="s">
        <v>7010</v>
      </c>
      <c r="R932" s="3" t="s">
        <v>7010</v>
      </c>
      <c r="S932" s="3" t="s">
        <v>7010</v>
      </c>
      <c r="T932" s="3" t="s">
        <v>7015</v>
      </c>
      <c r="U932" s="3" t="s">
        <v>7010</v>
      </c>
      <c r="V932" s="3" t="s">
        <v>7010</v>
      </c>
      <c r="W932" s="74" t="str">
        <f t="shared" si="57"/>
        <v>Yes</v>
      </c>
      <c r="Z932">
        <v>931</v>
      </c>
      <c r="AA932" s="55" t="s">
        <v>6579</v>
      </c>
      <c r="AC932">
        <f t="shared" si="56"/>
        <v>6</v>
      </c>
      <c r="AD932" s="30" t="s">
        <v>6580</v>
      </c>
      <c r="AH932" s="3" t="s">
        <v>7015</v>
      </c>
      <c r="AI932" s="3" t="s">
        <v>7010</v>
      </c>
      <c r="AJ932" s="3" t="s">
        <v>7010</v>
      </c>
      <c r="AK932" s="3" t="s">
        <v>7015</v>
      </c>
      <c r="AL932" s="3" t="s">
        <v>7010</v>
      </c>
      <c r="AM932" s="3" t="s">
        <v>7010</v>
      </c>
      <c r="AN932" s="3" t="s">
        <v>7010</v>
      </c>
      <c r="AO932" s="3" t="s">
        <v>7010</v>
      </c>
      <c r="AP932" s="74" t="s">
        <v>7015</v>
      </c>
      <c r="AU932">
        <v>931</v>
      </c>
      <c r="AV932" t="s">
        <v>6581</v>
      </c>
      <c r="AW932" t="s">
        <v>2279</v>
      </c>
      <c r="AX932">
        <f t="shared" si="58"/>
        <v>9</v>
      </c>
      <c r="AY932" s="30" t="s">
        <v>6582</v>
      </c>
      <c r="BC932" s="3" t="s">
        <v>7010</v>
      </c>
      <c r="BD932" s="3" t="s">
        <v>7010</v>
      </c>
      <c r="BE932" s="3" t="s">
        <v>7010</v>
      </c>
      <c r="BF932" s="3" t="s">
        <v>7010</v>
      </c>
      <c r="BG932" s="3" t="s">
        <v>7010</v>
      </c>
      <c r="BH932" s="3" t="s">
        <v>7010</v>
      </c>
      <c r="BI932" s="3" t="s">
        <v>7010</v>
      </c>
      <c r="BJ932" s="3" t="s">
        <v>7010</v>
      </c>
      <c r="BK932" s="74" t="str">
        <f t="shared" si="59"/>
        <v>No</v>
      </c>
    </row>
    <row r="933" spans="7:63">
      <c r="G933">
        <v>932</v>
      </c>
      <c r="H933" s="7" t="s">
        <v>436</v>
      </c>
      <c r="I933" t="s">
        <v>29</v>
      </c>
      <c r="J933">
        <f>LEN(H933)</f>
        <v>9</v>
      </c>
      <c r="K933" s="49" t="s">
        <v>2661</v>
      </c>
      <c r="O933" s="3" t="s">
        <v>7010</v>
      </c>
      <c r="P933" s="3" t="s">
        <v>7010</v>
      </c>
      <c r="Q933" s="3" t="s">
        <v>7010</v>
      </c>
      <c r="R933" s="3" t="s">
        <v>7010</v>
      </c>
      <c r="S933" s="3" t="s">
        <v>7010</v>
      </c>
      <c r="T933" s="3" t="s">
        <v>7015</v>
      </c>
      <c r="U933" s="3" t="s">
        <v>7010</v>
      </c>
      <c r="V933" s="3" t="s">
        <v>7010</v>
      </c>
      <c r="W933" s="74" t="str">
        <f t="shared" si="57"/>
        <v>Yes</v>
      </c>
      <c r="Z933">
        <v>932</v>
      </c>
      <c r="AA933" s="55" t="s">
        <v>6584</v>
      </c>
      <c r="AC933">
        <f t="shared" si="56"/>
        <v>8</v>
      </c>
      <c r="AD933" s="30" t="s">
        <v>6585</v>
      </c>
      <c r="AH933" s="3" t="s">
        <v>7015</v>
      </c>
      <c r="AI933" s="3" t="s">
        <v>7010</v>
      </c>
      <c r="AJ933" s="3" t="s">
        <v>7010</v>
      </c>
      <c r="AK933" s="3" t="s">
        <v>7015</v>
      </c>
      <c r="AL933" s="3" t="s">
        <v>7010</v>
      </c>
      <c r="AM933" s="3" t="s">
        <v>7010</v>
      </c>
      <c r="AN933" s="3" t="s">
        <v>7010</v>
      </c>
      <c r="AO933" s="3" t="s">
        <v>7010</v>
      </c>
      <c r="AP933" s="74" t="s">
        <v>7015</v>
      </c>
      <c r="AU933">
        <v>932</v>
      </c>
      <c r="AV933" t="s">
        <v>6586</v>
      </c>
      <c r="AW933" t="s">
        <v>2279</v>
      </c>
      <c r="AX933">
        <f t="shared" si="58"/>
        <v>8</v>
      </c>
      <c r="AY933" s="30" t="s">
        <v>6587</v>
      </c>
      <c r="BC933" s="3" t="s">
        <v>7010</v>
      </c>
      <c r="BD933" s="3" t="s">
        <v>7010</v>
      </c>
      <c r="BE933" s="3" t="s">
        <v>7010</v>
      </c>
      <c r="BF933" s="3" t="s">
        <v>7010</v>
      </c>
      <c r="BG933" s="3" t="s">
        <v>7010</v>
      </c>
      <c r="BH933" s="3" t="s">
        <v>7010</v>
      </c>
      <c r="BI933" s="3" t="s">
        <v>7010</v>
      </c>
      <c r="BJ933" s="3" t="s">
        <v>7010</v>
      </c>
      <c r="BK933" s="74" t="str">
        <f t="shared" si="59"/>
        <v>No</v>
      </c>
    </row>
    <row r="934" spans="7:63">
      <c r="G934">
        <v>933</v>
      </c>
      <c r="H934" s="7" t="s">
        <v>405</v>
      </c>
      <c r="I934" t="s">
        <v>29</v>
      </c>
      <c r="J934">
        <f>LEN(H934)</f>
        <v>10</v>
      </c>
      <c r="K934" s="49" t="s">
        <v>2537</v>
      </c>
      <c r="O934" s="3" t="s">
        <v>7010</v>
      </c>
      <c r="P934" s="3" t="s">
        <v>7010</v>
      </c>
      <c r="Q934" s="3" t="s">
        <v>7010</v>
      </c>
      <c r="R934" s="3" t="s">
        <v>7010</v>
      </c>
      <c r="S934" s="3" t="s">
        <v>7010</v>
      </c>
      <c r="T934" s="3" t="s">
        <v>7015</v>
      </c>
      <c r="U934" s="3" t="s">
        <v>7010</v>
      </c>
      <c r="V934" s="3" t="s">
        <v>7010</v>
      </c>
      <c r="W934" s="74" t="str">
        <f t="shared" si="57"/>
        <v>Yes</v>
      </c>
      <c r="Z934">
        <v>933</v>
      </c>
      <c r="AA934" s="55" t="s">
        <v>6589</v>
      </c>
      <c r="AC934">
        <f t="shared" si="56"/>
        <v>8</v>
      </c>
      <c r="AD934" s="30" t="s">
        <v>6590</v>
      </c>
      <c r="AH934" s="3" t="s">
        <v>7015</v>
      </c>
      <c r="AI934" s="3" t="s">
        <v>7010</v>
      </c>
      <c r="AJ934" s="3" t="s">
        <v>7010</v>
      </c>
      <c r="AK934" s="3" t="s">
        <v>7015</v>
      </c>
      <c r="AL934" s="3" t="s">
        <v>7010</v>
      </c>
      <c r="AM934" s="3" t="s">
        <v>7010</v>
      </c>
      <c r="AN934" s="3" t="s">
        <v>7010</v>
      </c>
      <c r="AO934" s="3" t="s">
        <v>7010</v>
      </c>
      <c r="AP934" s="74" t="s">
        <v>7015</v>
      </c>
      <c r="AU934">
        <v>933</v>
      </c>
      <c r="AV934" t="s">
        <v>6591</v>
      </c>
      <c r="AW934" t="s">
        <v>2279</v>
      </c>
      <c r="AX934">
        <f t="shared" si="58"/>
        <v>8</v>
      </c>
      <c r="AY934" s="30" t="s">
        <v>6592</v>
      </c>
      <c r="BC934" s="3" t="s">
        <v>7010</v>
      </c>
      <c r="BD934" s="3" t="s">
        <v>7010</v>
      </c>
      <c r="BE934" s="3" t="s">
        <v>7010</v>
      </c>
      <c r="BF934" s="3" t="s">
        <v>7010</v>
      </c>
      <c r="BG934" s="3" t="s">
        <v>7010</v>
      </c>
      <c r="BH934" s="3" t="s">
        <v>7010</v>
      </c>
      <c r="BI934" s="3" t="s">
        <v>7010</v>
      </c>
      <c r="BJ934" s="3" t="s">
        <v>7010</v>
      </c>
      <c r="BK934" s="74" t="str">
        <f t="shared" si="59"/>
        <v>No</v>
      </c>
    </row>
    <row r="935" spans="7:63">
      <c r="G935">
        <v>934</v>
      </c>
      <c r="H935" s="7" t="s">
        <v>295</v>
      </c>
      <c r="I935" t="s">
        <v>29</v>
      </c>
      <c r="J935">
        <f>LEN(H935)</f>
        <v>10</v>
      </c>
      <c r="K935" s="49" t="s">
        <v>2341</v>
      </c>
      <c r="O935" s="3" t="s">
        <v>7010</v>
      </c>
      <c r="P935" s="3" t="s">
        <v>7010</v>
      </c>
      <c r="Q935" s="3" t="s">
        <v>7010</v>
      </c>
      <c r="R935" s="3" t="s">
        <v>7010</v>
      </c>
      <c r="S935" s="3" t="s">
        <v>7010</v>
      </c>
      <c r="T935" s="3" t="s">
        <v>7010</v>
      </c>
      <c r="U935" s="3" t="s">
        <v>7010</v>
      </c>
      <c r="V935" s="3" t="s">
        <v>7010</v>
      </c>
      <c r="W935" s="74" t="str">
        <f t="shared" si="57"/>
        <v>No</v>
      </c>
      <c r="Z935">
        <v>934</v>
      </c>
      <c r="AA935" s="55" t="s">
        <v>6594</v>
      </c>
      <c r="AC935">
        <f t="shared" si="56"/>
        <v>7</v>
      </c>
      <c r="AD935" s="30" t="s">
        <v>6595</v>
      </c>
      <c r="AH935" s="3" t="s">
        <v>7015</v>
      </c>
      <c r="AI935" s="3" t="s">
        <v>7010</v>
      </c>
      <c r="AJ935" s="3" t="s">
        <v>7010</v>
      </c>
      <c r="AK935" s="3" t="s">
        <v>7015</v>
      </c>
      <c r="AL935" s="3" t="s">
        <v>7010</v>
      </c>
      <c r="AM935" s="3" t="s">
        <v>7010</v>
      </c>
      <c r="AN935" s="3" t="s">
        <v>7010</v>
      </c>
      <c r="AO935" s="3" t="s">
        <v>7010</v>
      </c>
      <c r="AP935" s="74" t="s">
        <v>7015</v>
      </c>
      <c r="AU935">
        <v>934</v>
      </c>
      <c r="AV935" t="s">
        <v>6596</v>
      </c>
      <c r="AW935" t="s">
        <v>2279</v>
      </c>
      <c r="AX935">
        <f t="shared" si="58"/>
        <v>9</v>
      </c>
      <c r="AY935" s="30" t="s">
        <v>6597</v>
      </c>
      <c r="BC935" s="3" t="s">
        <v>7010</v>
      </c>
      <c r="BD935" s="3" t="s">
        <v>7010</v>
      </c>
      <c r="BE935" s="3" t="s">
        <v>7010</v>
      </c>
      <c r="BF935" s="3" t="s">
        <v>7010</v>
      </c>
      <c r="BG935" s="3" t="s">
        <v>7010</v>
      </c>
      <c r="BH935" s="3" t="s">
        <v>7010</v>
      </c>
      <c r="BI935" s="3" t="s">
        <v>7010</v>
      </c>
      <c r="BJ935" s="3" t="s">
        <v>7010</v>
      </c>
      <c r="BK935" s="74" t="str">
        <f t="shared" si="59"/>
        <v>No</v>
      </c>
    </row>
    <row r="936" spans="7:63">
      <c r="G936">
        <v>935</v>
      </c>
      <c r="H936" s="7" t="s">
        <v>343</v>
      </c>
      <c r="I936" t="s">
        <v>29</v>
      </c>
      <c r="J936">
        <f>LEN(H936)</f>
        <v>14</v>
      </c>
      <c r="K936" s="49" t="s">
        <v>2353</v>
      </c>
      <c r="O936" s="3" t="s">
        <v>7010</v>
      </c>
      <c r="P936" s="3" t="s">
        <v>7010</v>
      </c>
      <c r="Q936" s="3" t="s">
        <v>7010</v>
      </c>
      <c r="R936" s="3" t="s">
        <v>7015</v>
      </c>
      <c r="S936" s="3" t="s">
        <v>7010</v>
      </c>
      <c r="T936" s="3" t="s">
        <v>7010</v>
      </c>
      <c r="U936" s="3" t="s">
        <v>7010</v>
      </c>
      <c r="V936" s="3" t="s">
        <v>7010</v>
      </c>
      <c r="W936" s="74" t="str">
        <f t="shared" si="57"/>
        <v>Yes</v>
      </c>
      <c r="Z936">
        <v>935</v>
      </c>
      <c r="AA936" s="55" t="s">
        <v>6599</v>
      </c>
      <c r="AC936">
        <f t="shared" si="56"/>
        <v>6</v>
      </c>
      <c r="AD936" s="30" t="s">
        <v>6600</v>
      </c>
      <c r="AH936" s="3" t="s">
        <v>7015</v>
      </c>
      <c r="AI936" s="3" t="s">
        <v>7010</v>
      </c>
      <c r="AJ936" s="3" t="s">
        <v>7010</v>
      </c>
      <c r="AK936" s="3" t="s">
        <v>7015</v>
      </c>
      <c r="AL936" s="3" t="s">
        <v>7010</v>
      </c>
      <c r="AM936" s="3" t="s">
        <v>7010</v>
      </c>
      <c r="AN936" s="3" t="s">
        <v>7010</v>
      </c>
      <c r="AO936" s="3" t="s">
        <v>7010</v>
      </c>
      <c r="AP936" s="74" t="s">
        <v>7015</v>
      </c>
      <c r="AU936">
        <v>935</v>
      </c>
      <c r="AV936" t="s">
        <v>6601</v>
      </c>
      <c r="AW936" t="s">
        <v>2279</v>
      </c>
      <c r="AX936">
        <f t="shared" si="58"/>
        <v>8</v>
      </c>
      <c r="AY936" s="30" t="s">
        <v>6602</v>
      </c>
      <c r="BC936" s="3" t="s">
        <v>7010</v>
      </c>
      <c r="BD936" s="3" t="s">
        <v>7010</v>
      </c>
      <c r="BE936" s="3" t="s">
        <v>7010</v>
      </c>
      <c r="BF936" s="3" t="s">
        <v>7010</v>
      </c>
      <c r="BG936" s="3" t="s">
        <v>7010</v>
      </c>
      <c r="BH936" s="3" t="s">
        <v>7010</v>
      </c>
      <c r="BI936" s="3" t="s">
        <v>7010</v>
      </c>
      <c r="BJ936" s="3" t="s">
        <v>7010</v>
      </c>
      <c r="BK936" s="74" t="str">
        <f t="shared" si="59"/>
        <v>No</v>
      </c>
    </row>
    <row r="937" spans="7:63">
      <c r="G937">
        <v>936</v>
      </c>
      <c r="H937" t="s">
        <v>6992</v>
      </c>
      <c r="I937" t="s">
        <v>29</v>
      </c>
      <c r="J937">
        <f>LEN(H937)</f>
        <v>14</v>
      </c>
      <c r="K937" s="49" t="s">
        <v>6994</v>
      </c>
      <c r="O937" s="3" t="s">
        <v>7010</v>
      </c>
      <c r="P937" s="3" t="s">
        <v>7010</v>
      </c>
      <c r="Q937" s="3" t="s">
        <v>7010</v>
      </c>
      <c r="R937" s="3" t="s">
        <v>7010</v>
      </c>
      <c r="S937" s="3" t="s">
        <v>7010</v>
      </c>
      <c r="T937" s="3" t="s">
        <v>7010</v>
      </c>
      <c r="U937" s="3" t="s">
        <v>7010</v>
      </c>
      <c r="V937" s="3" t="s">
        <v>7010</v>
      </c>
      <c r="W937" s="74" t="str">
        <f t="shared" si="57"/>
        <v>No</v>
      </c>
      <c r="Z937">
        <v>936</v>
      </c>
      <c r="AA937" s="55" t="s">
        <v>6604</v>
      </c>
      <c r="AC937">
        <f t="shared" si="56"/>
        <v>7</v>
      </c>
      <c r="AD937" s="30" t="s">
        <v>6605</v>
      </c>
      <c r="AH937" s="3" t="s">
        <v>7015</v>
      </c>
      <c r="AI937" s="3" t="s">
        <v>7010</v>
      </c>
      <c r="AJ937" s="3" t="s">
        <v>7010</v>
      </c>
      <c r="AK937" s="3" t="s">
        <v>7015</v>
      </c>
      <c r="AL937" s="3" t="s">
        <v>7010</v>
      </c>
      <c r="AM937" s="3" t="s">
        <v>7010</v>
      </c>
      <c r="AN937" s="3" t="s">
        <v>7010</v>
      </c>
      <c r="AO937" s="3" t="s">
        <v>7010</v>
      </c>
      <c r="AP937" s="74" t="s">
        <v>7015</v>
      </c>
      <c r="AU937">
        <v>936</v>
      </c>
      <c r="AV937" t="s">
        <v>6606</v>
      </c>
      <c r="AW937" t="s">
        <v>2279</v>
      </c>
      <c r="AX937">
        <f t="shared" si="58"/>
        <v>9</v>
      </c>
      <c r="AY937" s="30" t="s">
        <v>6607</v>
      </c>
      <c r="BC937" s="3" t="s">
        <v>7010</v>
      </c>
      <c r="BD937" s="3" t="s">
        <v>7010</v>
      </c>
      <c r="BE937" s="3" t="s">
        <v>7010</v>
      </c>
      <c r="BF937" s="3" t="s">
        <v>7010</v>
      </c>
      <c r="BG937" s="3" t="s">
        <v>7010</v>
      </c>
      <c r="BH937" s="3" t="s">
        <v>7010</v>
      </c>
      <c r="BI937" s="3" t="s">
        <v>7010</v>
      </c>
      <c r="BJ937" s="3" t="s">
        <v>7010</v>
      </c>
      <c r="BK937" s="74" t="str">
        <f t="shared" si="59"/>
        <v>No</v>
      </c>
    </row>
    <row r="938" spans="7:63">
      <c r="G938">
        <v>937</v>
      </c>
      <c r="H938" s="7" t="s">
        <v>199</v>
      </c>
      <c r="I938" t="s">
        <v>29</v>
      </c>
      <c r="J938">
        <f>LEN(H938)</f>
        <v>15</v>
      </c>
      <c r="K938" s="49" t="s">
        <v>2317</v>
      </c>
      <c r="O938" s="3" t="s">
        <v>7010</v>
      </c>
      <c r="P938" s="3" t="s">
        <v>7010</v>
      </c>
      <c r="Q938" s="3" t="s">
        <v>7010</v>
      </c>
      <c r="R938" s="3" t="s">
        <v>7010</v>
      </c>
      <c r="S938" s="3" t="s">
        <v>7010</v>
      </c>
      <c r="T938" s="3" t="s">
        <v>7010</v>
      </c>
      <c r="U938" s="3" t="s">
        <v>7010</v>
      </c>
      <c r="V938" s="3" t="s">
        <v>7010</v>
      </c>
      <c r="W938" s="74" t="str">
        <f t="shared" si="57"/>
        <v>No</v>
      </c>
      <c r="Z938">
        <v>937</v>
      </c>
      <c r="AA938" s="55" t="s">
        <v>6609</v>
      </c>
      <c r="AC938">
        <f t="shared" si="56"/>
        <v>6</v>
      </c>
      <c r="AD938" s="30" t="s">
        <v>6610</v>
      </c>
      <c r="AH938" s="3" t="s">
        <v>7015</v>
      </c>
      <c r="AI938" s="3" t="s">
        <v>7010</v>
      </c>
      <c r="AJ938" s="3" t="s">
        <v>7010</v>
      </c>
      <c r="AK938" s="3" t="s">
        <v>7015</v>
      </c>
      <c r="AL938" s="3" t="s">
        <v>7010</v>
      </c>
      <c r="AM938" s="3" t="s">
        <v>7010</v>
      </c>
      <c r="AN938" s="3" t="s">
        <v>7010</v>
      </c>
      <c r="AO938" s="3" t="s">
        <v>7010</v>
      </c>
      <c r="AP938" s="74" t="s">
        <v>7015</v>
      </c>
      <c r="AU938">
        <v>937</v>
      </c>
      <c r="AV938" t="s">
        <v>6611</v>
      </c>
      <c r="AW938" t="s">
        <v>2279</v>
      </c>
      <c r="AX938">
        <f t="shared" si="58"/>
        <v>9</v>
      </c>
      <c r="AY938" s="30" t="s">
        <v>6612</v>
      </c>
      <c r="BC938" s="3" t="s">
        <v>7010</v>
      </c>
      <c r="BD938" s="3" t="s">
        <v>7010</v>
      </c>
      <c r="BE938" s="3" t="s">
        <v>7015</v>
      </c>
      <c r="BF938" s="3" t="s">
        <v>7010</v>
      </c>
      <c r="BG938" s="3" t="s">
        <v>7010</v>
      </c>
      <c r="BH938" s="3" t="s">
        <v>7010</v>
      </c>
      <c r="BI938" s="3" t="s">
        <v>7010</v>
      </c>
      <c r="BJ938" s="3" t="s">
        <v>7010</v>
      </c>
      <c r="BK938" s="74" t="str">
        <f t="shared" si="59"/>
        <v>Yes</v>
      </c>
    </row>
    <row r="939" spans="7:63">
      <c r="G939">
        <v>938</v>
      </c>
      <c r="H939" s="7" t="s">
        <v>413</v>
      </c>
      <c r="I939" t="s">
        <v>29</v>
      </c>
      <c r="J939">
        <f>LEN(H939)</f>
        <v>10</v>
      </c>
      <c r="K939" s="49" t="s">
        <v>2569</v>
      </c>
      <c r="O939" s="3" t="s">
        <v>7010</v>
      </c>
      <c r="P939" s="3" t="s">
        <v>7010</v>
      </c>
      <c r="Q939" s="3" t="s">
        <v>7010</v>
      </c>
      <c r="R939" s="3" t="s">
        <v>7010</v>
      </c>
      <c r="S939" s="3" t="s">
        <v>7010</v>
      </c>
      <c r="T939" s="3" t="s">
        <v>7015</v>
      </c>
      <c r="U939" s="3" t="s">
        <v>7010</v>
      </c>
      <c r="V939" s="3" t="s">
        <v>7010</v>
      </c>
      <c r="W939" s="74" t="str">
        <f t="shared" si="57"/>
        <v>Yes</v>
      </c>
      <c r="Z939">
        <v>938</v>
      </c>
      <c r="AA939" s="55" t="s">
        <v>6614</v>
      </c>
      <c r="AC939">
        <f t="shared" si="56"/>
        <v>8</v>
      </c>
      <c r="AD939" s="30" t="s">
        <v>6615</v>
      </c>
      <c r="AH939" s="3" t="s">
        <v>7015</v>
      </c>
      <c r="AI939" s="3" t="s">
        <v>7010</v>
      </c>
      <c r="AJ939" s="3" t="s">
        <v>7010</v>
      </c>
      <c r="AK939" s="3" t="s">
        <v>7015</v>
      </c>
      <c r="AL939" s="3" t="s">
        <v>7010</v>
      </c>
      <c r="AM939" s="3" t="s">
        <v>7010</v>
      </c>
      <c r="AN939" s="3" t="s">
        <v>7010</v>
      </c>
      <c r="AO939" s="3" t="s">
        <v>7010</v>
      </c>
      <c r="AP939" s="74" t="s">
        <v>7015</v>
      </c>
      <c r="AU939">
        <v>938</v>
      </c>
      <c r="AV939" t="s">
        <v>6616</v>
      </c>
      <c r="AW939" t="s">
        <v>2279</v>
      </c>
      <c r="AX939">
        <f t="shared" si="58"/>
        <v>9</v>
      </c>
      <c r="AY939" s="30" t="s">
        <v>6617</v>
      </c>
      <c r="BC939" s="3" t="s">
        <v>7015</v>
      </c>
      <c r="BD939" s="3" t="s">
        <v>7010</v>
      </c>
      <c r="BE939" s="3" t="s">
        <v>7015</v>
      </c>
      <c r="BF939" s="3" t="s">
        <v>7010</v>
      </c>
      <c r="BG939" s="3" t="s">
        <v>7010</v>
      </c>
      <c r="BH939" s="3" t="s">
        <v>7010</v>
      </c>
      <c r="BI939" s="3" t="s">
        <v>7010</v>
      </c>
      <c r="BJ939" s="3" t="s">
        <v>7010</v>
      </c>
      <c r="BK939" s="74" t="str">
        <f t="shared" si="59"/>
        <v>Yes</v>
      </c>
    </row>
    <row r="940" spans="7:63">
      <c r="G940">
        <v>939</v>
      </c>
      <c r="H940" s="7" t="s">
        <v>2043</v>
      </c>
      <c r="I940" t="s">
        <v>29</v>
      </c>
      <c r="J940">
        <f>LEN(H940)</f>
        <v>10</v>
      </c>
      <c r="K940" s="49" t="s">
        <v>6437</v>
      </c>
      <c r="O940" s="3" t="s">
        <v>7010</v>
      </c>
      <c r="P940" s="3" t="s">
        <v>7010</v>
      </c>
      <c r="Q940" s="3" t="s">
        <v>7010</v>
      </c>
      <c r="R940" s="3" t="s">
        <v>7010</v>
      </c>
      <c r="S940" s="3" t="s">
        <v>7010</v>
      </c>
      <c r="T940" s="3" t="s">
        <v>7015</v>
      </c>
      <c r="U940" s="3" t="s">
        <v>7010</v>
      </c>
      <c r="V940" s="3" t="s">
        <v>7010</v>
      </c>
      <c r="W940" s="74" t="str">
        <f t="shared" si="57"/>
        <v>Yes</v>
      </c>
      <c r="Z940">
        <v>939</v>
      </c>
      <c r="AA940" s="55" t="s">
        <v>6619</v>
      </c>
      <c r="AC940">
        <f t="shared" si="56"/>
        <v>6</v>
      </c>
      <c r="AD940" s="30" t="s">
        <v>6620</v>
      </c>
      <c r="AH940" s="3" t="s">
        <v>7015</v>
      </c>
      <c r="AI940" s="3" t="s">
        <v>7010</v>
      </c>
      <c r="AJ940" s="3" t="s">
        <v>7010</v>
      </c>
      <c r="AK940" s="3" t="s">
        <v>7015</v>
      </c>
      <c r="AL940" s="3" t="s">
        <v>7010</v>
      </c>
      <c r="AM940" s="3" t="s">
        <v>7010</v>
      </c>
      <c r="AN940" s="3" t="s">
        <v>7010</v>
      </c>
      <c r="AO940" s="3" t="s">
        <v>7010</v>
      </c>
      <c r="AP940" s="74" t="s">
        <v>7015</v>
      </c>
      <c r="AU940">
        <v>939</v>
      </c>
      <c r="AV940" t="s">
        <v>6621</v>
      </c>
      <c r="AW940" t="s">
        <v>2279</v>
      </c>
      <c r="AX940">
        <f t="shared" si="58"/>
        <v>8</v>
      </c>
      <c r="AY940" s="30" t="s">
        <v>6622</v>
      </c>
      <c r="BC940" s="3" t="s">
        <v>7010</v>
      </c>
      <c r="BD940" s="3" t="s">
        <v>7010</v>
      </c>
      <c r="BE940" s="3" t="s">
        <v>7010</v>
      </c>
      <c r="BF940" s="3" t="s">
        <v>7010</v>
      </c>
      <c r="BG940" s="3" t="s">
        <v>7010</v>
      </c>
      <c r="BH940" s="3" t="s">
        <v>7010</v>
      </c>
      <c r="BI940" s="3" t="s">
        <v>7010</v>
      </c>
      <c r="BJ940" s="3" t="s">
        <v>7010</v>
      </c>
      <c r="BK940" s="74" t="str">
        <f t="shared" si="59"/>
        <v>No</v>
      </c>
    </row>
    <row r="941" spans="7:63">
      <c r="G941">
        <v>940</v>
      </c>
      <c r="H941" s="7" t="s">
        <v>2111</v>
      </c>
      <c r="I941" t="s">
        <v>29</v>
      </c>
      <c r="J941">
        <f>LEN(H941)</f>
        <v>14</v>
      </c>
      <c r="K941" s="49" t="s">
        <v>6603</v>
      </c>
      <c r="O941" s="3" t="s">
        <v>7010</v>
      </c>
      <c r="P941" s="3" t="s">
        <v>7010</v>
      </c>
      <c r="Q941" s="3" t="s">
        <v>7010</v>
      </c>
      <c r="R941" s="3" t="s">
        <v>7010</v>
      </c>
      <c r="S941" s="3" t="s">
        <v>7010</v>
      </c>
      <c r="T941" s="3" t="s">
        <v>7010</v>
      </c>
      <c r="U941" s="3" t="s">
        <v>7010</v>
      </c>
      <c r="V941" s="3" t="s">
        <v>7010</v>
      </c>
      <c r="W941" s="74" t="str">
        <f t="shared" si="57"/>
        <v>No</v>
      </c>
      <c r="Z941">
        <v>940</v>
      </c>
      <c r="AA941" s="55" t="s">
        <v>6624</v>
      </c>
      <c r="AC941">
        <f t="shared" si="56"/>
        <v>8</v>
      </c>
      <c r="AD941" s="30" t="s">
        <v>6625</v>
      </c>
      <c r="AH941" s="3" t="s">
        <v>7015</v>
      </c>
      <c r="AI941" s="3" t="s">
        <v>7010</v>
      </c>
      <c r="AJ941" s="3" t="s">
        <v>7010</v>
      </c>
      <c r="AK941" s="3" t="s">
        <v>7015</v>
      </c>
      <c r="AL941" s="3" t="s">
        <v>7010</v>
      </c>
      <c r="AM941" s="3" t="s">
        <v>7010</v>
      </c>
      <c r="AN941" s="3" t="s">
        <v>7010</v>
      </c>
      <c r="AO941" s="3" t="s">
        <v>7010</v>
      </c>
      <c r="AP941" s="74" t="s">
        <v>7015</v>
      </c>
      <c r="AU941">
        <v>940</v>
      </c>
      <c r="AV941" t="s">
        <v>6626</v>
      </c>
      <c r="AW941" t="s">
        <v>2279</v>
      </c>
      <c r="AX941">
        <f t="shared" si="58"/>
        <v>10</v>
      </c>
      <c r="AY941" s="30" t="s">
        <v>6627</v>
      </c>
      <c r="BC941" s="3" t="s">
        <v>7010</v>
      </c>
      <c r="BD941" s="3" t="s">
        <v>7010</v>
      </c>
      <c r="BE941" s="3" t="s">
        <v>7015</v>
      </c>
      <c r="BF941" s="3" t="s">
        <v>7010</v>
      </c>
      <c r="BG941" s="3" t="s">
        <v>7010</v>
      </c>
      <c r="BH941" s="3" t="s">
        <v>7010</v>
      </c>
      <c r="BI941" s="3" t="s">
        <v>7010</v>
      </c>
      <c r="BJ941" s="3" t="s">
        <v>7010</v>
      </c>
      <c r="BK941" s="74" t="str">
        <f t="shared" si="59"/>
        <v>Yes</v>
      </c>
    </row>
    <row r="942" spans="7:63">
      <c r="G942">
        <v>941</v>
      </c>
      <c r="H942" s="7" t="s">
        <v>2237</v>
      </c>
      <c r="I942" t="s">
        <v>29</v>
      </c>
      <c r="J942">
        <f>LEN(H942)</f>
        <v>14</v>
      </c>
      <c r="K942" s="49" t="s">
        <v>6918</v>
      </c>
      <c r="O942" s="3" t="s">
        <v>7010</v>
      </c>
      <c r="P942" s="3" t="s">
        <v>7010</v>
      </c>
      <c r="Q942" s="3" t="s">
        <v>7010</v>
      </c>
      <c r="R942" s="3" t="s">
        <v>7010</v>
      </c>
      <c r="S942" s="3" t="s">
        <v>7010</v>
      </c>
      <c r="T942" s="3" t="s">
        <v>7010</v>
      </c>
      <c r="U942" s="3" t="s">
        <v>7010</v>
      </c>
      <c r="V942" s="3" t="s">
        <v>7010</v>
      </c>
      <c r="W942" s="74" t="str">
        <f t="shared" si="57"/>
        <v>No</v>
      </c>
      <c r="Z942">
        <v>941</v>
      </c>
      <c r="AA942" s="55" t="s">
        <v>6629</v>
      </c>
      <c r="AC942">
        <f t="shared" si="56"/>
        <v>5</v>
      </c>
      <c r="AD942" s="30" t="s">
        <v>6630</v>
      </c>
      <c r="AH942" s="3" t="s">
        <v>7015</v>
      </c>
      <c r="AI942" s="3" t="s">
        <v>7010</v>
      </c>
      <c r="AJ942" s="3" t="s">
        <v>7010</v>
      </c>
      <c r="AK942" s="3" t="s">
        <v>7015</v>
      </c>
      <c r="AL942" s="3" t="s">
        <v>7010</v>
      </c>
      <c r="AM942" s="3" t="s">
        <v>7010</v>
      </c>
      <c r="AN942" s="3" t="s">
        <v>7010</v>
      </c>
      <c r="AO942" s="3" t="s">
        <v>7010</v>
      </c>
      <c r="AP942" s="74" t="s">
        <v>7015</v>
      </c>
      <c r="AU942">
        <v>941</v>
      </c>
      <c r="AV942" t="s">
        <v>6631</v>
      </c>
      <c r="AW942" t="s">
        <v>2279</v>
      </c>
      <c r="AX942">
        <f t="shared" si="58"/>
        <v>8</v>
      </c>
      <c r="AY942" s="30" t="s">
        <v>6632</v>
      </c>
      <c r="BC942" s="3" t="s">
        <v>7010</v>
      </c>
      <c r="BD942" s="3" t="s">
        <v>7010</v>
      </c>
      <c r="BE942" s="3" t="s">
        <v>7010</v>
      </c>
      <c r="BF942" s="3" t="s">
        <v>7010</v>
      </c>
      <c r="BG942" s="3" t="s">
        <v>7010</v>
      </c>
      <c r="BH942" s="3" t="s">
        <v>7010</v>
      </c>
      <c r="BI942" s="3" t="s">
        <v>7010</v>
      </c>
      <c r="BJ942" s="3" t="s">
        <v>7010</v>
      </c>
      <c r="BK942" s="74" t="str">
        <f t="shared" si="59"/>
        <v>No</v>
      </c>
    </row>
    <row r="943" spans="7:63">
      <c r="G943">
        <v>942</v>
      </c>
      <c r="H943" s="7" t="s">
        <v>524</v>
      </c>
      <c r="I943" t="s">
        <v>29</v>
      </c>
      <c r="J943">
        <f>LEN(H943)</f>
        <v>8</v>
      </c>
      <c r="K943" s="49" t="s">
        <v>3013</v>
      </c>
      <c r="O943" s="3" t="s">
        <v>7010</v>
      </c>
      <c r="P943" s="3" t="s">
        <v>7010</v>
      </c>
      <c r="Q943" s="3" t="s">
        <v>7010</v>
      </c>
      <c r="R943" s="3" t="s">
        <v>7010</v>
      </c>
      <c r="S943" s="3" t="s">
        <v>7010</v>
      </c>
      <c r="T943" s="3" t="s">
        <v>7015</v>
      </c>
      <c r="U943" s="3" t="s">
        <v>7010</v>
      </c>
      <c r="V943" s="3" t="s">
        <v>7010</v>
      </c>
      <c r="W943" s="74" t="str">
        <f t="shared" si="57"/>
        <v>Yes</v>
      </c>
      <c r="Z943">
        <v>942</v>
      </c>
      <c r="AA943" s="55" t="s">
        <v>6634</v>
      </c>
      <c r="AC943">
        <f t="shared" si="56"/>
        <v>7</v>
      </c>
      <c r="AD943" s="30" t="s">
        <v>6635</v>
      </c>
      <c r="AH943" s="3" t="s">
        <v>7015</v>
      </c>
      <c r="AI943" s="3" t="s">
        <v>7010</v>
      </c>
      <c r="AJ943" s="3" t="s">
        <v>7010</v>
      </c>
      <c r="AK943" s="3" t="s">
        <v>7015</v>
      </c>
      <c r="AL943" s="3" t="s">
        <v>7010</v>
      </c>
      <c r="AM943" s="3" t="s">
        <v>7010</v>
      </c>
      <c r="AN943" s="3" t="s">
        <v>7010</v>
      </c>
      <c r="AO943" s="3" t="s">
        <v>7010</v>
      </c>
      <c r="AP943" s="74" t="s">
        <v>7015</v>
      </c>
      <c r="AU943">
        <v>942</v>
      </c>
      <c r="AV943" t="s">
        <v>6636</v>
      </c>
      <c r="AW943" t="s">
        <v>2279</v>
      </c>
      <c r="AX943">
        <f t="shared" si="58"/>
        <v>8</v>
      </c>
      <c r="AY943" s="30" t="s">
        <v>6637</v>
      </c>
      <c r="BC943" s="3" t="s">
        <v>7010</v>
      </c>
      <c r="BD943" s="3" t="s">
        <v>7010</v>
      </c>
      <c r="BE943" s="3" t="s">
        <v>7015</v>
      </c>
      <c r="BF943" s="3" t="s">
        <v>7010</v>
      </c>
      <c r="BG943" s="3" t="s">
        <v>7010</v>
      </c>
      <c r="BH943" s="3" t="s">
        <v>7010</v>
      </c>
      <c r="BI943" s="3" t="s">
        <v>7010</v>
      </c>
      <c r="BJ943" s="3" t="s">
        <v>7010</v>
      </c>
      <c r="BK943" s="74" t="str">
        <f t="shared" si="59"/>
        <v>Yes</v>
      </c>
    </row>
    <row r="944" spans="7:63">
      <c r="G944">
        <v>943</v>
      </c>
      <c r="H944" s="7" t="s">
        <v>2141</v>
      </c>
      <c r="I944" t="s">
        <v>29</v>
      </c>
      <c r="J944">
        <f>LEN(H944)</f>
        <v>17</v>
      </c>
      <c r="K944" s="49" t="s">
        <v>6678</v>
      </c>
      <c r="O944" s="3" t="s">
        <v>7010</v>
      </c>
      <c r="P944" s="3" t="s">
        <v>7010</v>
      </c>
      <c r="Q944" s="3" t="s">
        <v>7010</v>
      </c>
      <c r="R944" s="3" t="s">
        <v>7010</v>
      </c>
      <c r="S944" s="3" t="s">
        <v>7010</v>
      </c>
      <c r="T944" s="3" t="s">
        <v>7010</v>
      </c>
      <c r="U944" s="3" t="s">
        <v>7010</v>
      </c>
      <c r="V944" s="3" t="s">
        <v>7010</v>
      </c>
      <c r="W944" s="74" t="str">
        <f t="shared" si="57"/>
        <v>No</v>
      </c>
      <c r="Z944">
        <v>943</v>
      </c>
      <c r="AA944" s="55" t="s">
        <v>6639</v>
      </c>
      <c r="AC944">
        <f t="shared" si="56"/>
        <v>6</v>
      </c>
      <c r="AD944" s="30" t="s">
        <v>6640</v>
      </c>
      <c r="AH944" s="3" t="s">
        <v>7015</v>
      </c>
      <c r="AI944" s="3" t="s">
        <v>7010</v>
      </c>
      <c r="AJ944" s="3" t="s">
        <v>7010</v>
      </c>
      <c r="AK944" s="3" t="s">
        <v>7015</v>
      </c>
      <c r="AL944" s="3" t="s">
        <v>7010</v>
      </c>
      <c r="AM944" s="3" t="s">
        <v>7010</v>
      </c>
      <c r="AN944" s="3" t="s">
        <v>7010</v>
      </c>
      <c r="AO944" s="3" t="s">
        <v>7010</v>
      </c>
      <c r="AP944" s="74" t="s">
        <v>7015</v>
      </c>
      <c r="AU944">
        <v>943</v>
      </c>
      <c r="AV944" t="s">
        <v>6641</v>
      </c>
      <c r="AW944" t="s">
        <v>2279</v>
      </c>
      <c r="AX944">
        <f t="shared" si="58"/>
        <v>8</v>
      </c>
      <c r="AY944" s="30" t="s">
        <v>6642</v>
      </c>
      <c r="BC944" s="3" t="s">
        <v>7015</v>
      </c>
      <c r="BD944" s="3" t="s">
        <v>7010</v>
      </c>
      <c r="BE944" s="3" t="s">
        <v>7010</v>
      </c>
      <c r="BF944" s="3" t="s">
        <v>7010</v>
      </c>
      <c r="BG944" s="3" t="s">
        <v>7010</v>
      </c>
      <c r="BH944" s="3" t="s">
        <v>7010</v>
      </c>
      <c r="BI944" s="3" t="s">
        <v>7010</v>
      </c>
      <c r="BJ944" s="3" t="s">
        <v>7010</v>
      </c>
      <c r="BK944" s="74" t="str">
        <f t="shared" si="59"/>
        <v>Yes</v>
      </c>
    </row>
    <row r="945" spans="7:63">
      <c r="G945">
        <v>944</v>
      </c>
      <c r="H945" s="7" t="s">
        <v>387</v>
      </c>
      <c r="I945" t="s">
        <v>29</v>
      </c>
      <c r="J945">
        <f>LEN(H945)</f>
        <v>10</v>
      </c>
      <c r="K945" s="49" t="s">
        <v>2465</v>
      </c>
      <c r="O945" s="3" t="s">
        <v>7010</v>
      </c>
      <c r="P945" s="3" t="s">
        <v>7010</v>
      </c>
      <c r="Q945" s="3" t="s">
        <v>7010</v>
      </c>
      <c r="R945" s="3" t="s">
        <v>7010</v>
      </c>
      <c r="S945" s="3" t="s">
        <v>7010</v>
      </c>
      <c r="T945" s="3" t="s">
        <v>7010</v>
      </c>
      <c r="U945" s="3" t="s">
        <v>7010</v>
      </c>
      <c r="V945" s="3" t="s">
        <v>7010</v>
      </c>
      <c r="W945" s="74" t="str">
        <f t="shared" si="57"/>
        <v>No</v>
      </c>
      <c r="Z945">
        <v>944</v>
      </c>
      <c r="AA945" s="55" t="s">
        <v>6644</v>
      </c>
      <c r="AC945">
        <f t="shared" si="56"/>
        <v>8</v>
      </c>
      <c r="AD945" s="30" t="s">
        <v>6645</v>
      </c>
      <c r="AH945" s="3" t="s">
        <v>7015</v>
      </c>
      <c r="AI945" s="3" t="s">
        <v>7010</v>
      </c>
      <c r="AJ945" s="3" t="s">
        <v>7010</v>
      </c>
      <c r="AK945" s="3" t="s">
        <v>7015</v>
      </c>
      <c r="AL945" s="3" t="s">
        <v>7010</v>
      </c>
      <c r="AM945" s="3" t="s">
        <v>7010</v>
      </c>
      <c r="AN945" s="3" t="s">
        <v>7010</v>
      </c>
      <c r="AO945" s="3" t="s">
        <v>7010</v>
      </c>
      <c r="AP945" s="74" t="s">
        <v>7015</v>
      </c>
      <c r="AU945">
        <v>944</v>
      </c>
      <c r="AV945" t="s">
        <v>6646</v>
      </c>
      <c r="AW945" t="s">
        <v>2279</v>
      </c>
      <c r="AX945">
        <f t="shared" si="58"/>
        <v>8</v>
      </c>
      <c r="AY945" s="30" t="s">
        <v>6647</v>
      </c>
      <c r="BC945" s="3" t="s">
        <v>7010</v>
      </c>
      <c r="BD945" s="3" t="s">
        <v>7010</v>
      </c>
      <c r="BE945" s="3" t="s">
        <v>7010</v>
      </c>
      <c r="BF945" s="3" t="s">
        <v>7010</v>
      </c>
      <c r="BG945" s="3" t="s">
        <v>7010</v>
      </c>
      <c r="BH945" s="3" t="s">
        <v>7010</v>
      </c>
      <c r="BI945" s="3" t="s">
        <v>7010</v>
      </c>
      <c r="BJ945" s="3" t="s">
        <v>7010</v>
      </c>
      <c r="BK945" s="74" t="str">
        <f t="shared" si="59"/>
        <v>No</v>
      </c>
    </row>
    <row r="946" spans="7:63">
      <c r="G946">
        <v>945</v>
      </c>
      <c r="H946" s="7" t="s">
        <v>1014</v>
      </c>
      <c r="I946" t="s">
        <v>29</v>
      </c>
      <c r="J946">
        <f>LEN(H946)</f>
        <v>14</v>
      </c>
      <c r="K946" s="49" t="s">
        <v>3737</v>
      </c>
      <c r="O946" s="3" t="s">
        <v>7010</v>
      </c>
      <c r="P946" s="3" t="s">
        <v>7010</v>
      </c>
      <c r="Q946" s="3" t="s">
        <v>7010</v>
      </c>
      <c r="R946" s="3" t="s">
        <v>7010</v>
      </c>
      <c r="S946" s="3" t="s">
        <v>7010</v>
      </c>
      <c r="T946" s="3" t="s">
        <v>7010</v>
      </c>
      <c r="U946" s="3" t="s">
        <v>7010</v>
      </c>
      <c r="V946" s="3" t="s">
        <v>7010</v>
      </c>
      <c r="W946" s="74" t="str">
        <f t="shared" si="57"/>
        <v>No</v>
      </c>
      <c r="Z946">
        <v>945</v>
      </c>
      <c r="AA946" s="55" t="s">
        <v>6649</v>
      </c>
      <c r="AC946">
        <f t="shared" si="56"/>
        <v>7</v>
      </c>
      <c r="AD946" s="30" t="s">
        <v>6650</v>
      </c>
      <c r="AH946" s="3" t="s">
        <v>7015</v>
      </c>
      <c r="AI946" s="3" t="s">
        <v>7010</v>
      </c>
      <c r="AJ946" s="3" t="s">
        <v>7010</v>
      </c>
      <c r="AK946" s="3" t="s">
        <v>7015</v>
      </c>
      <c r="AL946" s="3" t="s">
        <v>7010</v>
      </c>
      <c r="AM946" s="3" t="s">
        <v>7010</v>
      </c>
      <c r="AN946" s="3" t="s">
        <v>7010</v>
      </c>
      <c r="AO946" s="3" t="s">
        <v>7010</v>
      </c>
      <c r="AP946" s="74" t="s">
        <v>7015</v>
      </c>
      <c r="AU946">
        <v>945</v>
      </c>
      <c r="AV946" t="s">
        <v>6651</v>
      </c>
      <c r="AW946" t="s">
        <v>2279</v>
      </c>
      <c r="AX946">
        <f t="shared" si="58"/>
        <v>10</v>
      </c>
      <c r="AY946" s="30" t="s">
        <v>6652</v>
      </c>
      <c r="BC946" s="3" t="s">
        <v>7015</v>
      </c>
      <c r="BD946" s="3" t="s">
        <v>7010</v>
      </c>
      <c r="BE946" s="3" t="s">
        <v>7015</v>
      </c>
      <c r="BF946" s="3" t="s">
        <v>7010</v>
      </c>
      <c r="BG946" s="3" t="s">
        <v>7010</v>
      </c>
      <c r="BH946" s="3" t="s">
        <v>7010</v>
      </c>
      <c r="BI946" s="3" t="s">
        <v>7010</v>
      </c>
      <c r="BJ946" s="3" t="s">
        <v>7010</v>
      </c>
      <c r="BK946" s="74" t="str">
        <f t="shared" si="59"/>
        <v>Yes</v>
      </c>
    </row>
    <row r="947" spans="7:63">
      <c r="G947">
        <v>946</v>
      </c>
      <c r="H947" s="7" t="s">
        <v>1484</v>
      </c>
      <c r="I947" t="s">
        <v>29</v>
      </c>
      <c r="J947">
        <f>LEN(H947)</f>
        <v>11</v>
      </c>
      <c r="K947" s="49" t="s">
        <v>4934</v>
      </c>
      <c r="O947" s="3" t="s">
        <v>7010</v>
      </c>
      <c r="P947" s="3" t="s">
        <v>7010</v>
      </c>
      <c r="Q947" s="3" t="s">
        <v>7010</v>
      </c>
      <c r="R947" s="3" t="s">
        <v>7010</v>
      </c>
      <c r="S947" s="3" t="s">
        <v>7010</v>
      </c>
      <c r="T947" s="3" t="s">
        <v>7010</v>
      </c>
      <c r="U947" s="3" t="s">
        <v>7010</v>
      </c>
      <c r="V947" s="3" t="s">
        <v>7010</v>
      </c>
      <c r="W947" s="74" t="str">
        <f t="shared" si="57"/>
        <v>No</v>
      </c>
      <c r="Z947">
        <v>946</v>
      </c>
      <c r="AA947" s="55" t="s">
        <v>6654</v>
      </c>
      <c r="AC947">
        <f t="shared" si="56"/>
        <v>10</v>
      </c>
      <c r="AD947" s="30" t="s">
        <v>6655</v>
      </c>
      <c r="AH947" s="3" t="s">
        <v>7015</v>
      </c>
      <c r="AI947" s="3" t="s">
        <v>7010</v>
      </c>
      <c r="AJ947" s="3" t="s">
        <v>7010</v>
      </c>
      <c r="AK947" s="3" t="s">
        <v>7015</v>
      </c>
      <c r="AL947" s="3" t="s">
        <v>7010</v>
      </c>
      <c r="AM947" s="3" t="s">
        <v>7010</v>
      </c>
      <c r="AN947" s="3" t="s">
        <v>7010</v>
      </c>
      <c r="AO947" s="3" t="s">
        <v>7010</v>
      </c>
      <c r="AP947" s="74" t="s">
        <v>7015</v>
      </c>
      <c r="AU947">
        <v>946</v>
      </c>
      <c r="AV947" t="s">
        <v>6656</v>
      </c>
      <c r="AW947" t="s">
        <v>2279</v>
      </c>
      <c r="AX947">
        <f t="shared" si="58"/>
        <v>8</v>
      </c>
      <c r="AY947" s="30" t="s">
        <v>6657</v>
      </c>
      <c r="BC947" s="3" t="s">
        <v>7010</v>
      </c>
      <c r="BD947" s="3" t="s">
        <v>7010</v>
      </c>
      <c r="BE947" s="3" t="s">
        <v>7010</v>
      </c>
      <c r="BF947" s="3" t="s">
        <v>7010</v>
      </c>
      <c r="BG947" s="3" t="s">
        <v>7010</v>
      </c>
      <c r="BH947" s="3" t="s">
        <v>7010</v>
      </c>
      <c r="BI947" s="3" t="s">
        <v>7010</v>
      </c>
      <c r="BJ947" s="3" t="s">
        <v>7010</v>
      </c>
      <c r="BK947" s="74" t="str">
        <f t="shared" si="59"/>
        <v>No</v>
      </c>
    </row>
    <row r="948" spans="7:63">
      <c r="G948">
        <v>947</v>
      </c>
      <c r="H948" s="7" t="s">
        <v>1442</v>
      </c>
      <c r="I948" t="s">
        <v>29</v>
      </c>
      <c r="J948">
        <f>LEN(H948)</f>
        <v>8</v>
      </c>
      <c r="K948" s="49" t="s">
        <v>4830</v>
      </c>
      <c r="O948" s="3" t="s">
        <v>7010</v>
      </c>
      <c r="P948" s="3" t="s">
        <v>7010</v>
      </c>
      <c r="Q948" s="3" t="s">
        <v>7010</v>
      </c>
      <c r="R948" s="3" t="s">
        <v>7010</v>
      </c>
      <c r="S948" s="3" t="s">
        <v>7010</v>
      </c>
      <c r="T948" s="3" t="s">
        <v>7010</v>
      </c>
      <c r="U948" s="3" t="s">
        <v>7010</v>
      </c>
      <c r="V948" s="3" t="s">
        <v>7010</v>
      </c>
      <c r="W948" s="74" t="str">
        <f t="shared" si="57"/>
        <v>No</v>
      </c>
      <c r="Z948">
        <v>947</v>
      </c>
      <c r="AA948" s="55" t="s">
        <v>6659</v>
      </c>
      <c r="AC948">
        <f t="shared" si="56"/>
        <v>9</v>
      </c>
      <c r="AD948" s="30" t="s">
        <v>6660</v>
      </c>
      <c r="AH948" s="3" t="s">
        <v>7015</v>
      </c>
      <c r="AI948" s="3" t="s">
        <v>7010</v>
      </c>
      <c r="AJ948" s="3" t="s">
        <v>7010</v>
      </c>
      <c r="AK948" s="3" t="s">
        <v>7015</v>
      </c>
      <c r="AL948" s="3" t="s">
        <v>7010</v>
      </c>
      <c r="AM948" s="3" t="s">
        <v>7010</v>
      </c>
      <c r="AN948" s="3" t="s">
        <v>7010</v>
      </c>
      <c r="AO948" s="3" t="s">
        <v>7010</v>
      </c>
      <c r="AP948" s="74" t="s">
        <v>7015</v>
      </c>
      <c r="AU948">
        <v>947</v>
      </c>
      <c r="AV948" t="s">
        <v>6661</v>
      </c>
      <c r="AW948" t="s">
        <v>2279</v>
      </c>
      <c r="AX948">
        <f t="shared" si="58"/>
        <v>8</v>
      </c>
      <c r="AY948" s="30" t="s">
        <v>6662</v>
      </c>
      <c r="BC948" s="3" t="s">
        <v>7010</v>
      </c>
      <c r="BD948" s="3" t="s">
        <v>7010</v>
      </c>
      <c r="BE948" s="3" t="s">
        <v>7010</v>
      </c>
      <c r="BF948" s="3" t="s">
        <v>7010</v>
      </c>
      <c r="BG948" s="3" t="s">
        <v>7010</v>
      </c>
      <c r="BH948" s="3" t="s">
        <v>7010</v>
      </c>
      <c r="BI948" s="3" t="s">
        <v>7010</v>
      </c>
      <c r="BJ948" s="3" t="s">
        <v>7010</v>
      </c>
      <c r="BK948" s="74" t="str">
        <f t="shared" si="59"/>
        <v>No</v>
      </c>
    </row>
    <row r="949" spans="7:63">
      <c r="G949">
        <v>948</v>
      </c>
      <c r="H949" s="7" t="s">
        <v>1568</v>
      </c>
      <c r="I949" t="s">
        <v>29</v>
      </c>
      <c r="J949">
        <f>LEN(H949)</f>
        <v>11</v>
      </c>
      <c r="K949" s="49" t="s">
        <v>5148</v>
      </c>
      <c r="O949" s="3" t="s">
        <v>7010</v>
      </c>
      <c r="P949" s="3" t="s">
        <v>7010</v>
      </c>
      <c r="Q949" s="3" t="s">
        <v>7010</v>
      </c>
      <c r="R949" s="3" t="s">
        <v>7010</v>
      </c>
      <c r="S949" s="3" t="s">
        <v>7010</v>
      </c>
      <c r="T949" s="3" t="s">
        <v>7010</v>
      </c>
      <c r="U949" s="3" t="s">
        <v>7015</v>
      </c>
      <c r="V949" s="3" t="s">
        <v>7015</v>
      </c>
      <c r="W949" s="74" t="str">
        <f t="shared" si="57"/>
        <v>Yes</v>
      </c>
      <c r="Z949">
        <v>948</v>
      </c>
      <c r="AA949" s="55" t="s">
        <v>6664</v>
      </c>
      <c r="AC949">
        <f t="shared" si="56"/>
        <v>7</v>
      </c>
      <c r="AD949" s="30" t="s">
        <v>6665</v>
      </c>
      <c r="AH949" s="3" t="s">
        <v>7015</v>
      </c>
      <c r="AI949" s="3" t="s">
        <v>7010</v>
      </c>
      <c r="AJ949" s="3" t="s">
        <v>7010</v>
      </c>
      <c r="AK949" s="3" t="s">
        <v>7015</v>
      </c>
      <c r="AL949" s="3" t="s">
        <v>7010</v>
      </c>
      <c r="AM949" s="3" t="s">
        <v>7010</v>
      </c>
      <c r="AN949" s="3" t="s">
        <v>7010</v>
      </c>
      <c r="AO949" s="3" t="s">
        <v>7010</v>
      </c>
      <c r="AP949" s="74" t="s">
        <v>7015</v>
      </c>
      <c r="AU949">
        <v>948</v>
      </c>
      <c r="AV949" t="s">
        <v>6666</v>
      </c>
      <c r="AW949" t="s">
        <v>2279</v>
      </c>
      <c r="AX949">
        <f t="shared" si="58"/>
        <v>8</v>
      </c>
      <c r="AY949" s="30" t="s">
        <v>6667</v>
      </c>
      <c r="BC949" s="3" t="s">
        <v>7010</v>
      </c>
      <c r="BD949" s="3" t="s">
        <v>7010</v>
      </c>
      <c r="BE949" s="3" t="s">
        <v>7010</v>
      </c>
      <c r="BF949" s="3" t="s">
        <v>7010</v>
      </c>
      <c r="BG949" s="3" t="s">
        <v>7010</v>
      </c>
      <c r="BH949" s="3" t="s">
        <v>7010</v>
      </c>
      <c r="BI949" s="3" t="s">
        <v>7010</v>
      </c>
      <c r="BJ949" s="3" t="s">
        <v>7010</v>
      </c>
      <c r="BK949" s="74" t="str">
        <f t="shared" si="59"/>
        <v>No</v>
      </c>
    </row>
    <row r="950" spans="7:63">
      <c r="G950">
        <v>949</v>
      </c>
      <c r="H950" s="7" t="s">
        <v>1604</v>
      </c>
      <c r="I950" t="s">
        <v>29</v>
      </c>
      <c r="J950">
        <f>LEN(H950)</f>
        <v>14</v>
      </c>
      <c r="K950" s="49" t="s">
        <v>5238</v>
      </c>
      <c r="O950" s="3" t="s">
        <v>7010</v>
      </c>
      <c r="P950" s="3" t="s">
        <v>7010</v>
      </c>
      <c r="Q950" s="3" t="s">
        <v>7010</v>
      </c>
      <c r="R950" s="3" t="s">
        <v>7010</v>
      </c>
      <c r="S950" s="3" t="s">
        <v>7010</v>
      </c>
      <c r="T950" s="3" t="s">
        <v>7010</v>
      </c>
      <c r="U950" s="3" t="s">
        <v>7015</v>
      </c>
      <c r="V950" s="3" t="s">
        <v>7015</v>
      </c>
      <c r="W950" s="74" t="str">
        <f t="shared" si="57"/>
        <v>Yes</v>
      </c>
      <c r="Z950">
        <v>949</v>
      </c>
      <c r="AA950" s="55" t="s">
        <v>6669</v>
      </c>
      <c r="AC950">
        <f t="shared" si="56"/>
        <v>7</v>
      </c>
      <c r="AD950" s="30" t="s">
        <v>6670</v>
      </c>
      <c r="AH950" s="3" t="s">
        <v>7015</v>
      </c>
      <c r="AI950" s="3" t="s">
        <v>7010</v>
      </c>
      <c r="AJ950" s="3" t="s">
        <v>7010</v>
      </c>
      <c r="AK950" s="3" t="s">
        <v>7015</v>
      </c>
      <c r="AL950" s="3" t="s">
        <v>7010</v>
      </c>
      <c r="AM950" s="3" t="s">
        <v>7010</v>
      </c>
      <c r="AN950" s="3" t="s">
        <v>7010</v>
      </c>
      <c r="AO950" s="3" t="s">
        <v>7010</v>
      </c>
      <c r="AP950" s="74" t="s">
        <v>7015</v>
      </c>
      <c r="AU950">
        <v>949</v>
      </c>
      <c r="AV950" t="s">
        <v>6671</v>
      </c>
      <c r="AW950" t="s">
        <v>2279</v>
      </c>
      <c r="AX950">
        <f t="shared" si="58"/>
        <v>9</v>
      </c>
      <c r="AY950" s="30" t="s">
        <v>6672</v>
      </c>
      <c r="BC950" s="3" t="s">
        <v>7010</v>
      </c>
      <c r="BD950" s="3" t="s">
        <v>7010</v>
      </c>
      <c r="BE950" s="3" t="s">
        <v>7015</v>
      </c>
      <c r="BF950" s="3" t="s">
        <v>7010</v>
      </c>
      <c r="BG950" s="3" t="s">
        <v>7010</v>
      </c>
      <c r="BH950" s="3" t="s">
        <v>7010</v>
      </c>
      <c r="BI950" s="3" t="s">
        <v>7010</v>
      </c>
      <c r="BJ950" s="3" t="s">
        <v>7010</v>
      </c>
      <c r="BK950" s="74" t="str">
        <f t="shared" si="59"/>
        <v>Yes</v>
      </c>
    </row>
    <row r="951" spans="7:63">
      <c r="G951">
        <v>950</v>
      </c>
      <c r="H951" s="7" t="s">
        <v>1664</v>
      </c>
      <c r="I951" t="s">
        <v>29</v>
      </c>
      <c r="J951">
        <f>LEN(H951)</f>
        <v>11</v>
      </c>
      <c r="K951" s="49" t="s">
        <v>5390</v>
      </c>
      <c r="O951" s="3" t="s">
        <v>7010</v>
      </c>
      <c r="P951" s="3" t="s">
        <v>7010</v>
      </c>
      <c r="Q951" s="3" t="s">
        <v>7010</v>
      </c>
      <c r="R951" s="3" t="s">
        <v>7010</v>
      </c>
      <c r="S951" s="3" t="s">
        <v>7010</v>
      </c>
      <c r="T951" s="3" t="s">
        <v>7010</v>
      </c>
      <c r="U951" s="3" t="s">
        <v>7010</v>
      </c>
      <c r="V951" s="3" t="s">
        <v>7010</v>
      </c>
      <c r="W951" s="74" t="str">
        <f t="shared" si="57"/>
        <v>No</v>
      </c>
      <c r="Z951">
        <v>950</v>
      </c>
      <c r="AA951" s="55" t="s">
        <v>6674</v>
      </c>
      <c r="AC951">
        <f t="shared" si="56"/>
        <v>7</v>
      </c>
      <c r="AD951" s="30" t="s">
        <v>6675</v>
      </c>
      <c r="AH951" s="3" t="s">
        <v>7015</v>
      </c>
      <c r="AI951" s="3" t="s">
        <v>7010</v>
      </c>
      <c r="AJ951" s="3" t="s">
        <v>7010</v>
      </c>
      <c r="AK951" s="3" t="s">
        <v>7015</v>
      </c>
      <c r="AL951" s="3" t="s">
        <v>7010</v>
      </c>
      <c r="AM951" s="3" t="s">
        <v>7010</v>
      </c>
      <c r="AN951" s="3" t="s">
        <v>7010</v>
      </c>
      <c r="AO951" s="3" t="s">
        <v>7010</v>
      </c>
      <c r="AP951" s="74" t="s">
        <v>7015</v>
      </c>
      <c r="AU951">
        <v>950</v>
      </c>
      <c r="AV951" t="s">
        <v>6676</v>
      </c>
      <c r="AW951" t="s">
        <v>2279</v>
      </c>
      <c r="AX951">
        <f t="shared" si="58"/>
        <v>8</v>
      </c>
      <c r="AY951" s="30" t="s">
        <v>6677</v>
      </c>
      <c r="BC951" s="3" t="s">
        <v>7015</v>
      </c>
      <c r="BD951" s="3" t="s">
        <v>7010</v>
      </c>
      <c r="BE951" s="3" t="s">
        <v>7010</v>
      </c>
      <c r="BF951" s="3" t="s">
        <v>7010</v>
      </c>
      <c r="BG951" s="3" t="s">
        <v>7010</v>
      </c>
      <c r="BH951" s="3" t="s">
        <v>7010</v>
      </c>
      <c r="BI951" s="3" t="s">
        <v>7010</v>
      </c>
      <c r="BJ951" s="3" t="s">
        <v>7010</v>
      </c>
      <c r="BK951" s="74" t="str">
        <f t="shared" si="59"/>
        <v>Yes</v>
      </c>
    </row>
    <row r="952" spans="7:63">
      <c r="G952">
        <v>951</v>
      </c>
      <c r="H952" s="7" t="s">
        <v>1232</v>
      </c>
      <c r="I952" t="s">
        <v>29</v>
      </c>
      <c r="J952">
        <f>LEN(H952)</f>
        <v>9</v>
      </c>
      <c r="K952" s="49" t="s">
        <v>4295</v>
      </c>
      <c r="O952" s="3" t="s">
        <v>7010</v>
      </c>
      <c r="P952" s="3" t="s">
        <v>7010</v>
      </c>
      <c r="Q952" s="3" t="s">
        <v>7010</v>
      </c>
      <c r="R952" s="3" t="s">
        <v>7010</v>
      </c>
      <c r="S952" s="3" t="s">
        <v>7010</v>
      </c>
      <c r="T952" s="3" t="s">
        <v>7015</v>
      </c>
      <c r="U952" s="3" t="s">
        <v>7010</v>
      </c>
      <c r="V952" s="3" t="s">
        <v>7010</v>
      </c>
      <c r="W952" s="74" t="str">
        <f t="shared" si="57"/>
        <v>Yes</v>
      </c>
      <c r="Z952">
        <v>951</v>
      </c>
      <c r="AA952" s="55">
        <v>741852</v>
      </c>
      <c r="AC952">
        <f t="shared" si="56"/>
        <v>6</v>
      </c>
      <c r="AD952" s="30" t="s">
        <v>6679</v>
      </c>
      <c r="AH952" s="3" t="s">
        <v>7015</v>
      </c>
      <c r="AI952" s="3" t="s">
        <v>7010</v>
      </c>
      <c r="AJ952" s="3" t="s">
        <v>7010</v>
      </c>
      <c r="AK952" s="3" t="s">
        <v>7015</v>
      </c>
      <c r="AL952" s="3" t="s">
        <v>7010</v>
      </c>
      <c r="AM952" s="3" t="s">
        <v>7010</v>
      </c>
      <c r="AN952" s="3" t="s">
        <v>7010</v>
      </c>
      <c r="AO952" s="3" t="s">
        <v>7010</v>
      </c>
      <c r="AP952" s="74" t="s">
        <v>7015</v>
      </c>
      <c r="AU952">
        <v>951</v>
      </c>
      <c r="AV952" t="s">
        <v>6680</v>
      </c>
      <c r="AW952" t="s">
        <v>2279</v>
      </c>
      <c r="AX952">
        <f t="shared" si="58"/>
        <v>8</v>
      </c>
      <c r="AY952" s="30" t="s">
        <v>6681</v>
      </c>
      <c r="BC952" s="3" t="s">
        <v>7015</v>
      </c>
      <c r="BD952" s="3" t="s">
        <v>7010</v>
      </c>
      <c r="BE952" s="3" t="s">
        <v>7015</v>
      </c>
      <c r="BF952" s="3" t="s">
        <v>7010</v>
      </c>
      <c r="BG952" s="3" t="s">
        <v>7010</v>
      </c>
      <c r="BH952" s="3" t="s">
        <v>7010</v>
      </c>
      <c r="BI952" s="3" t="s">
        <v>7010</v>
      </c>
      <c r="BJ952" s="3" t="s">
        <v>7010</v>
      </c>
      <c r="BK952" s="74" t="str">
        <f t="shared" si="59"/>
        <v>Yes</v>
      </c>
    </row>
    <row r="953" spans="7:63">
      <c r="G953">
        <v>952</v>
      </c>
      <c r="H953" s="7" t="s">
        <v>1364</v>
      </c>
      <c r="I953" t="s">
        <v>29</v>
      </c>
      <c r="J953">
        <f>LEN(H953)</f>
        <v>10</v>
      </c>
      <c r="K953" s="49" t="s">
        <v>4624</v>
      </c>
      <c r="O953" s="3" t="s">
        <v>7010</v>
      </c>
      <c r="P953" s="3" t="s">
        <v>7010</v>
      </c>
      <c r="Q953" s="3" t="s">
        <v>7010</v>
      </c>
      <c r="R953" s="3" t="s">
        <v>7010</v>
      </c>
      <c r="S953" s="3" t="s">
        <v>7010</v>
      </c>
      <c r="T953" s="3" t="s">
        <v>7015</v>
      </c>
      <c r="U953" s="3" t="s">
        <v>7010</v>
      </c>
      <c r="V953" s="3" t="s">
        <v>7010</v>
      </c>
      <c r="W953" s="74" t="str">
        <f t="shared" si="57"/>
        <v>Yes</v>
      </c>
      <c r="Z953">
        <v>952</v>
      </c>
      <c r="AA953" s="55" t="s">
        <v>6683</v>
      </c>
      <c r="AC953">
        <f t="shared" si="56"/>
        <v>6</v>
      </c>
      <c r="AD953" s="30" t="s">
        <v>6684</v>
      </c>
      <c r="AH953" s="3" t="s">
        <v>7015</v>
      </c>
      <c r="AI953" s="3" t="s">
        <v>7010</v>
      </c>
      <c r="AJ953" s="3" t="s">
        <v>7010</v>
      </c>
      <c r="AK953" s="3" t="s">
        <v>7015</v>
      </c>
      <c r="AL953" s="3" t="s">
        <v>7010</v>
      </c>
      <c r="AM953" s="3" t="s">
        <v>7010</v>
      </c>
      <c r="AN953" s="3" t="s">
        <v>7010</v>
      </c>
      <c r="AO953" s="3" t="s">
        <v>7010</v>
      </c>
      <c r="AP953" s="74" t="s">
        <v>7015</v>
      </c>
      <c r="AU953">
        <v>952</v>
      </c>
      <c r="AV953" t="s">
        <v>6685</v>
      </c>
      <c r="AW953" t="s">
        <v>2279</v>
      </c>
      <c r="AX953">
        <f t="shared" si="58"/>
        <v>8</v>
      </c>
      <c r="AY953" s="30" t="s">
        <v>6686</v>
      </c>
      <c r="BC953" s="3" t="s">
        <v>7010</v>
      </c>
      <c r="BD953" s="3" t="s">
        <v>7010</v>
      </c>
      <c r="BE953" s="3" t="s">
        <v>7010</v>
      </c>
      <c r="BF953" s="3" t="s">
        <v>7010</v>
      </c>
      <c r="BG953" s="3" t="s">
        <v>7010</v>
      </c>
      <c r="BH953" s="3" t="s">
        <v>7010</v>
      </c>
      <c r="BI953" s="3" t="s">
        <v>7010</v>
      </c>
      <c r="BJ953" s="3" t="s">
        <v>7010</v>
      </c>
      <c r="BK953" s="74" t="str">
        <f t="shared" si="59"/>
        <v>No</v>
      </c>
    </row>
    <row r="954" spans="7:63">
      <c r="G954">
        <v>953</v>
      </c>
      <c r="H954" s="7" t="s">
        <v>924</v>
      </c>
      <c r="I954" t="s">
        <v>29</v>
      </c>
      <c r="J954">
        <f>LEN(H954)</f>
        <v>13</v>
      </c>
      <c r="K954" s="49" t="s">
        <v>3506</v>
      </c>
      <c r="O954" s="3" t="s">
        <v>7010</v>
      </c>
      <c r="P954" s="3" t="s">
        <v>7010</v>
      </c>
      <c r="Q954" s="3" t="s">
        <v>7010</v>
      </c>
      <c r="R954" s="3" t="s">
        <v>7010</v>
      </c>
      <c r="S954" s="3" t="s">
        <v>7010</v>
      </c>
      <c r="T954" s="3" t="s">
        <v>7010</v>
      </c>
      <c r="U954" s="3" t="s">
        <v>7010</v>
      </c>
      <c r="V954" s="3" t="s">
        <v>7010</v>
      </c>
      <c r="W954" s="74" t="str">
        <f t="shared" si="57"/>
        <v>No</v>
      </c>
      <c r="Z954">
        <v>953</v>
      </c>
      <c r="AA954" s="55" t="s">
        <v>6688</v>
      </c>
      <c r="AC954">
        <f t="shared" si="56"/>
        <v>6</v>
      </c>
      <c r="AD954" s="30" t="s">
        <v>6689</v>
      </c>
      <c r="AH954" s="3" t="s">
        <v>7015</v>
      </c>
      <c r="AI954" s="3" t="s">
        <v>7010</v>
      </c>
      <c r="AJ954" s="3" t="s">
        <v>7010</v>
      </c>
      <c r="AK954" s="3" t="s">
        <v>7015</v>
      </c>
      <c r="AL954" s="3" t="s">
        <v>7010</v>
      </c>
      <c r="AM954" s="3" t="s">
        <v>7010</v>
      </c>
      <c r="AN954" s="3" t="s">
        <v>7010</v>
      </c>
      <c r="AO954" s="3" t="s">
        <v>7010</v>
      </c>
      <c r="AP954" s="74" t="s">
        <v>7015</v>
      </c>
      <c r="AU954">
        <v>953</v>
      </c>
      <c r="AV954" t="s">
        <v>6690</v>
      </c>
      <c r="AW954" t="s">
        <v>2279</v>
      </c>
      <c r="AX954">
        <f t="shared" si="58"/>
        <v>8</v>
      </c>
      <c r="AY954" s="30" t="s">
        <v>6691</v>
      </c>
      <c r="BC954" s="3" t="s">
        <v>7010</v>
      </c>
      <c r="BD954" s="3" t="s">
        <v>7010</v>
      </c>
      <c r="BE954" s="3" t="s">
        <v>7010</v>
      </c>
      <c r="BF954" s="3" t="s">
        <v>7010</v>
      </c>
      <c r="BG954" s="3" t="s">
        <v>7010</v>
      </c>
      <c r="BH954" s="3" t="s">
        <v>7010</v>
      </c>
      <c r="BI954" s="3" t="s">
        <v>7010</v>
      </c>
      <c r="BJ954" s="3" t="s">
        <v>7010</v>
      </c>
      <c r="BK954" s="74" t="str">
        <f t="shared" si="59"/>
        <v>No</v>
      </c>
    </row>
    <row r="955" spans="7:63">
      <c r="G955">
        <v>954</v>
      </c>
      <c r="H955" s="7" t="s">
        <v>948</v>
      </c>
      <c r="I955" t="s">
        <v>29</v>
      </c>
      <c r="J955">
        <f>LEN(H955)</f>
        <v>14</v>
      </c>
      <c r="K955" s="49" t="s">
        <v>3566</v>
      </c>
      <c r="O955" s="3" t="s">
        <v>7010</v>
      </c>
      <c r="P955" s="3" t="s">
        <v>7010</v>
      </c>
      <c r="Q955" s="3" t="s">
        <v>7010</v>
      </c>
      <c r="R955" s="3" t="s">
        <v>7010</v>
      </c>
      <c r="S955" s="3" t="s">
        <v>7010</v>
      </c>
      <c r="T955" s="3" t="s">
        <v>7010</v>
      </c>
      <c r="U955" s="3" t="s">
        <v>7010</v>
      </c>
      <c r="V955" s="3" t="s">
        <v>7010</v>
      </c>
      <c r="W955" s="74" t="str">
        <f t="shared" si="57"/>
        <v>No</v>
      </c>
      <c r="Z955">
        <v>954</v>
      </c>
      <c r="AA955" s="55" t="s">
        <v>6693</v>
      </c>
      <c r="AC955">
        <f t="shared" si="56"/>
        <v>5</v>
      </c>
      <c r="AD955" s="30" t="s">
        <v>6694</v>
      </c>
      <c r="AH955" s="3" t="s">
        <v>7015</v>
      </c>
      <c r="AI955" s="3" t="s">
        <v>7010</v>
      </c>
      <c r="AJ955" s="3" t="s">
        <v>7010</v>
      </c>
      <c r="AK955" s="3" t="s">
        <v>7015</v>
      </c>
      <c r="AL955" s="3" t="s">
        <v>7010</v>
      </c>
      <c r="AM955" s="3" t="s">
        <v>7010</v>
      </c>
      <c r="AN955" s="3" t="s">
        <v>7010</v>
      </c>
      <c r="AO955" s="3" t="s">
        <v>7010</v>
      </c>
      <c r="AP955" s="74" t="s">
        <v>7015</v>
      </c>
      <c r="AU955">
        <v>954</v>
      </c>
      <c r="AV955" t="s">
        <v>6695</v>
      </c>
      <c r="AW955" t="s">
        <v>2279</v>
      </c>
      <c r="AX955">
        <f t="shared" si="58"/>
        <v>10</v>
      </c>
      <c r="AY955" s="30" t="s">
        <v>6696</v>
      </c>
      <c r="BC955" s="3" t="s">
        <v>7010</v>
      </c>
      <c r="BD955" s="3" t="s">
        <v>7010</v>
      </c>
      <c r="BE955" s="3" t="s">
        <v>7010</v>
      </c>
      <c r="BF955" s="3" t="s">
        <v>7010</v>
      </c>
      <c r="BG955" s="3" t="s">
        <v>7010</v>
      </c>
      <c r="BH955" s="3" t="s">
        <v>7010</v>
      </c>
      <c r="BI955" s="3" t="s">
        <v>7010</v>
      </c>
      <c r="BJ955" s="3" t="s">
        <v>7010</v>
      </c>
      <c r="BK955" s="74" t="str">
        <f t="shared" si="59"/>
        <v>No</v>
      </c>
    </row>
    <row r="956" spans="7:63">
      <c r="G956">
        <v>955</v>
      </c>
      <c r="H956" s="7" t="s">
        <v>618</v>
      </c>
      <c r="I956" t="s">
        <v>29</v>
      </c>
      <c r="J956">
        <f>LEN(H956)</f>
        <v>16</v>
      </c>
      <c r="K956" s="49" t="s">
        <v>3389</v>
      </c>
      <c r="O956" s="3" t="s">
        <v>7010</v>
      </c>
      <c r="P956" s="3" t="s">
        <v>7010</v>
      </c>
      <c r="Q956" s="3" t="s">
        <v>7010</v>
      </c>
      <c r="R956" s="3" t="s">
        <v>7010</v>
      </c>
      <c r="S956" s="3" t="s">
        <v>7010</v>
      </c>
      <c r="T956" s="3" t="s">
        <v>7015</v>
      </c>
      <c r="U956" s="3" t="s">
        <v>7010</v>
      </c>
      <c r="V956" s="3" t="s">
        <v>7010</v>
      </c>
      <c r="W956" s="74" t="str">
        <f t="shared" si="57"/>
        <v>Yes</v>
      </c>
      <c r="Z956">
        <v>955</v>
      </c>
      <c r="AA956" s="55" t="s">
        <v>6698</v>
      </c>
      <c r="AC956">
        <f t="shared" si="56"/>
        <v>7</v>
      </c>
      <c r="AD956" s="30" t="s">
        <v>6699</v>
      </c>
      <c r="AH956" s="3" t="s">
        <v>7015</v>
      </c>
      <c r="AI956" s="3" t="s">
        <v>7010</v>
      </c>
      <c r="AJ956" s="3" t="s">
        <v>7010</v>
      </c>
      <c r="AK956" s="3" t="s">
        <v>7015</v>
      </c>
      <c r="AL956" s="3" t="s">
        <v>7010</v>
      </c>
      <c r="AM956" s="3" t="s">
        <v>7010</v>
      </c>
      <c r="AN956" s="3" t="s">
        <v>7010</v>
      </c>
      <c r="AO956" s="3" t="s">
        <v>7010</v>
      </c>
      <c r="AP956" s="74" t="s">
        <v>7015</v>
      </c>
      <c r="AU956">
        <v>955</v>
      </c>
      <c r="AV956" t="s">
        <v>6700</v>
      </c>
      <c r="AW956" t="s">
        <v>2279</v>
      </c>
      <c r="AX956">
        <f t="shared" si="58"/>
        <v>9</v>
      </c>
      <c r="AY956" s="30" t="s">
        <v>6701</v>
      </c>
      <c r="BC956" s="3" t="s">
        <v>7010</v>
      </c>
      <c r="BD956" s="3" t="s">
        <v>7010</v>
      </c>
      <c r="BE956" s="3" t="s">
        <v>7010</v>
      </c>
      <c r="BF956" s="3" t="s">
        <v>7010</v>
      </c>
      <c r="BG956" s="3" t="s">
        <v>7010</v>
      </c>
      <c r="BH956" s="3" t="s">
        <v>7010</v>
      </c>
      <c r="BI956" s="3" t="s">
        <v>7010</v>
      </c>
      <c r="BJ956" s="3" t="s">
        <v>7010</v>
      </c>
      <c r="BK956" s="74" t="str">
        <f t="shared" si="59"/>
        <v>No</v>
      </c>
    </row>
    <row r="957" spans="7:63">
      <c r="G957">
        <v>956</v>
      </c>
      <c r="H957" s="7" t="s">
        <v>415</v>
      </c>
      <c r="I957" t="s">
        <v>29</v>
      </c>
      <c r="J957">
        <f>LEN(H957)</f>
        <v>12</v>
      </c>
      <c r="K957" s="49" t="s">
        <v>2577</v>
      </c>
      <c r="O957" s="3" t="s">
        <v>7010</v>
      </c>
      <c r="P957" s="3" t="s">
        <v>7010</v>
      </c>
      <c r="Q957" s="3" t="s">
        <v>7010</v>
      </c>
      <c r="R957" s="3" t="s">
        <v>7010</v>
      </c>
      <c r="S957" s="3" t="s">
        <v>7010</v>
      </c>
      <c r="T957" s="3" t="s">
        <v>7010</v>
      </c>
      <c r="U957" s="3" t="s">
        <v>7010</v>
      </c>
      <c r="V957" s="3" t="s">
        <v>7010</v>
      </c>
      <c r="W957" s="74" t="str">
        <f t="shared" si="57"/>
        <v>No</v>
      </c>
      <c r="Z957">
        <v>956</v>
      </c>
      <c r="AA957" s="55" t="s">
        <v>6703</v>
      </c>
      <c r="AC957">
        <f t="shared" si="56"/>
        <v>7</v>
      </c>
      <c r="AD957" s="30" t="s">
        <v>6704</v>
      </c>
      <c r="AH957" s="3" t="s">
        <v>7015</v>
      </c>
      <c r="AI957" s="3" t="s">
        <v>7010</v>
      </c>
      <c r="AJ957" s="3" t="s">
        <v>7010</v>
      </c>
      <c r="AK957" s="3" t="s">
        <v>7015</v>
      </c>
      <c r="AL957" s="3" t="s">
        <v>7010</v>
      </c>
      <c r="AM957" s="3" t="s">
        <v>7010</v>
      </c>
      <c r="AN957" s="3" t="s">
        <v>7010</v>
      </c>
      <c r="AO957" s="3" t="s">
        <v>7010</v>
      </c>
      <c r="AP957" s="74" t="s">
        <v>7015</v>
      </c>
      <c r="AU957">
        <v>956</v>
      </c>
      <c r="AV957" t="s">
        <v>6705</v>
      </c>
      <c r="AW957" t="s">
        <v>2279</v>
      </c>
      <c r="AX957">
        <f t="shared" si="58"/>
        <v>8</v>
      </c>
      <c r="AY957" s="30" t="s">
        <v>6706</v>
      </c>
      <c r="BC957" s="3" t="s">
        <v>7010</v>
      </c>
      <c r="BD957" s="3" t="s">
        <v>7010</v>
      </c>
      <c r="BE957" s="3" t="s">
        <v>7015</v>
      </c>
      <c r="BF957" s="3" t="s">
        <v>7010</v>
      </c>
      <c r="BG957" s="3" t="s">
        <v>7010</v>
      </c>
      <c r="BH957" s="3" t="s">
        <v>7010</v>
      </c>
      <c r="BI957" s="3" t="s">
        <v>7010</v>
      </c>
      <c r="BJ957" s="3" t="s">
        <v>7010</v>
      </c>
      <c r="BK957" s="74" t="str">
        <f t="shared" si="59"/>
        <v>Yes</v>
      </c>
    </row>
    <row r="958" spans="7:63">
      <c r="G958">
        <v>957</v>
      </c>
      <c r="H958" s="7" t="s">
        <v>85</v>
      </c>
      <c r="I958" t="s">
        <v>29</v>
      </c>
      <c r="J958">
        <f>LEN(H958)</f>
        <v>17</v>
      </c>
      <c r="K958" s="49" t="s">
        <v>2289</v>
      </c>
      <c r="O958" s="3" t="s">
        <v>7010</v>
      </c>
      <c r="P958" s="3" t="s">
        <v>7010</v>
      </c>
      <c r="Q958" s="3" t="s">
        <v>7010</v>
      </c>
      <c r="R958" s="3" t="s">
        <v>7015</v>
      </c>
      <c r="S958" s="3" t="s">
        <v>7010</v>
      </c>
      <c r="T958" s="3" t="s">
        <v>7010</v>
      </c>
      <c r="U958" s="3" t="s">
        <v>7010</v>
      </c>
      <c r="V958" s="3" t="s">
        <v>7010</v>
      </c>
      <c r="W958" s="74" t="str">
        <f t="shared" si="57"/>
        <v>Yes</v>
      </c>
      <c r="Z958">
        <v>957</v>
      </c>
      <c r="AA958" s="55" t="s">
        <v>6708</v>
      </c>
      <c r="AC958">
        <f t="shared" si="56"/>
        <v>7</v>
      </c>
      <c r="AD958" s="30" t="s">
        <v>6709</v>
      </c>
      <c r="AH958" s="3" t="s">
        <v>7015</v>
      </c>
      <c r="AI958" s="3" t="s">
        <v>7010</v>
      </c>
      <c r="AJ958" s="3" t="s">
        <v>7010</v>
      </c>
      <c r="AK958" s="3" t="s">
        <v>7015</v>
      </c>
      <c r="AL958" s="3" t="s">
        <v>7010</v>
      </c>
      <c r="AM958" s="3" t="s">
        <v>7010</v>
      </c>
      <c r="AN958" s="3" t="s">
        <v>7010</v>
      </c>
      <c r="AO958" s="3" t="s">
        <v>7010</v>
      </c>
      <c r="AP958" s="74" t="s">
        <v>7015</v>
      </c>
      <c r="AU958">
        <v>957</v>
      </c>
      <c r="AV958" t="s">
        <v>6710</v>
      </c>
      <c r="AW958" t="s">
        <v>2279</v>
      </c>
      <c r="AX958">
        <f t="shared" si="58"/>
        <v>8</v>
      </c>
      <c r="AY958" s="30" t="s">
        <v>6711</v>
      </c>
      <c r="BC958" s="3" t="s">
        <v>7010</v>
      </c>
      <c r="BD958" s="3" t="s">
        <v>7010</v>
      </c>
      <c r="BE958" s="3" t="s">
        <v>7010</v>
      </c>
      <c r="BF958" s="3" t="s">
        <v>7010</v>
      </c>
      <c r="BG958" s="3" t="s">
        <v>7010</v>
      </c>
      <c r="BH958" s="3" t="s">
        <v>7010</v>
      </c>
      <c r="BI958" s="3" t="s">
        <v>7010</v>
      </c>
      <c r="BJ958" s="3" t="s">
        <v>7010</v>
      </c>
      <c r="BK958" s="74" t="str">
        <f t="shared" si="59"/>
        <v>No</v>
      </c>
    </row>
    <row r="959" spans="7:63">
      <c r="G959">
        <v>958</v>
      </c>
      <c r="H959" s="7" t="s">
        <v>2027</v>
      </c>
      <c r="I959" t="s">
        <v>29</v>
      </c>
      <c r="J959">
        <f>LEN(H959)</f>
        <v>8</v>
      </c>
      <c r="K959" s="49" t="s">
        <v>6397</v>
      </c>
      <c r="O959" s="3" t="s">
        <v>7010</v>
      </c>
      <c r="P959" s="3" t="s">
        <v>7010</v>
      </c>
      <c r="Q959" s="3" t="s">
        <v>7010</v>
      </c>
      <c r="R959" s="3" t="s">
        <v>7015</v>
      </c>
      <c r="S959" s="3" t="s">
        <v>7010</v>
      </c>
      <c r="T959" s="3" t="s">
        <v>7015</v>
      </c>
      <c r="U959" s="3" t="s">
        <v>7010</v>
      </c>
      <c r="V959" s="3" t="s">
        <v>7010</v>
      </c>
      <c r="W959" s="74" t="str">
        <f t="shared" si="57"/>
        <v>Yes</v>
      </c>
      <c r="Z959">
        <v>958</v>
      </c>
      <c r="AA959" s="55" t="s">
        <v>6713</v>
      </c>
      <c r="AC959">
        <f t="shared" si="56"/>
        <v>6</v>
      </c>
      <c r="AD959" s="30" t="s">
        <v>6714</v>
      </c>
      <c r="AH959" s="3" t="s">
        <v>7015</v>
      </c>
      <c r="AI959" s="3" t="s">
        <v>7010</v>
      </c>
      <c r="AJ959" s="3" t="s">
        <v>7010</v>
      </c>
      <c r="AK959" s="3" t="s">
        <v>7015</v>
      </c>
      <c r="AL959" s="3" t="s">
        <v>7010</v>
      </c>
      <c r="AM959" s="3" t="s">
        <v>7010</v>
      </c>
      <c r="AN959" s="3" t="s">
        <v>7010</v>
      </c>
      <c r="AO959" s="3" t="s">
        <v>7010</v>
      </c>
      <c r="AP959" s="74" t="s">
        <v>7015</v>
      </c>
      <c r="AU959">
        <v>958</v>
      </c>
      <c r="AV959" t="s">
        <v>6715</v>
      </c>
      <c r="AW959" t="s">
        <v>2279</v>
      </c>
      <c r="AX959">
        <f t="shared" si="58"/>
        <v>8</v>
      </c>
      <c r="AY959" s="30" t="s">
        <v>6716</v>
      </c>
      <c r="BC959" s="3" t="s">
        <v>7010</v>
      </c>
      <c r="BD959" s="3" t="s">
        <v>7010</v>
      </c>
      <c r="BE959" s="3" t="s">
        <v>7015</v>
      </c>
      <c r="BF959" s="3" t="s">
        <v>7010</v>
      </c>
      <c r="BG959" s="3" t="s">
        <v>7010</v>
      </c>
      <c r="BH959" s="3" t="s">
        <v>7010</v>
      </c>
      <c r="BI959" s="3" t="s">
        <v>7010</v>
      </c>
      <c r="BJ959" s="3" t="s">
        <v>7010</v>
      </c>
      <c r="BK959" s="74" t="str">
        <f t="shared" si="59"/>
        <v>Yes</v>
      </c>
    </row>
    <row r="960" spans="7:63">
      <c r="G960">
        <v>959</v>
      </c>
      <c r="H960" s="7" t="s">
        <v>1908</v>
      </c>
      <c r="I960" t="s">
        <v>29</v>
      </c>
      <c r="J960">
        <f>LEN(H960)</f>
        <v>11</v>
      </c>
      <c r="K960" s="49" t="s">
        <v>6078</v>
      </c>
      <c r="O960" s="3" t="s">
        <v>7010</v>
      </c>
      <c r="P960" s="3" t="s">
        <v>7010</v>
      </c>
      <c r="Q960" s="3" t="s">
        <v>7010</v>
      </c>
      <c r="R960" s="3" t="s">
        <v>7010</v>
      </c>
      <c r="S960" s="3" t="s">
        <v>7010</v>
      </c>
      <c r="T960" s="3" t="s">
        <v>7015</v>
      </c>
      <c r="U960" s="3" t="s">
        <v>7010</v>
      </c>
      <c r="V960" s="3" t="s">
        <v>7010</v>
      </c>
      <c r="W960" s="74" t="str">
        <f t="shared" si="57"/>
        <v>Yes</v>
      </c>
      <c r="Z960">
        <v>959</v>
      </c>
      <c r="AA960" s="55" t="s">
        <v>6718</v>
      </c>
      <c r="AC960">
        <f t="shared" si="56"/>
        <v>6</v>
      </c>
      <c r="AD960" s="30" t="s">
        <v>6719</v>
      </c>
      <c r="AH960" s="3" t="s">
        <v>7015</v>
      </c>
      <c r="AI960" s="3" t="s">
        <v>7010</v>
      </c>
      <c r="AJ960" s="3" t="s">
        <v>7010</v>
      </c>
      <c r="AK960" s="3" t="s">
        <v>7015</v>
      </c>
      <c r="AL960" s="3" t="s">
        <v>7010</v>
      </c>
      <c r="AM960" s="3" t="s">
        <v>7010</v>
      </c>
      <c r="AN960" s="3" t="s">
        <v>7010</v>
      </c>
      <c r="AO960" s="3" t="s">
        <v>7010</v>
      </c>
      <c r="AP960" s="74" t="s">
        <v>7015</v>
      </c>
      <c r="AU960">
        <v>959</v>
      </c>
      <c r="AV960" t="s">
        <v>6720</v>
      </c>
      <c r="AW960" t="s">
        <v>2279</v>
      </c>
      <c r="AX960">
        <f t="shared" si="58"/>
        <v>9</v>
      </c>
      <c r="AY960" s="30" t="s">
        <v>6721</v>
      </c>
      <c r="BC960" s="3" t="s">
        <v>7010</v>
      </c>
      <c r="BD960" s="3" t="s">
        <v>7010</v>
      </c>
      <c r="BE960" s="3" t="s">
        <v>7015</v>
      </c>
      <c r="BF960" s="3" t="s">
        <v>7010</v>
      </c>
      <c r="BG960" s="3" t="s">
        <v>7010</v>
      </c>
      <c r="BH960" s="3" t="s">
        <v>7010</v>
      </c>
      <c r="BI960" s="3" t="s">
        <v>7010</v>
      </c>
      <c r="BJ960" s="3" t="s">
        <v>7010</v>
      </c>
      <c r="BK960" s="74" t="str">
        <f t="shared" si="59"/>
        <v>Yes</v>
      </c>
    </row>
    <row r="961" spans="7:63">
      <c r="G961">
        <v>960</v>
      </c>
      <c r="H961" s="7" t="s">
        <v>410</v>
      </c>
      <c r="I961" t="s">
        <v>29</v>
      </c>
      <c r="J961">
        <f>LEN(H961)</f>
        <v>13</v>
      </c>
      <c r="K961" s="49" t="s">
        <v>2557</v>
      </c>
      <c r="O961" s="3" t="s">
        <v>7010</v>
      </c>
      <c r="P961" s="3" t="s">
        <v>7010</v>
      </c>
      <c r="Q961" s="3" t="s">
        <v>7010</v>
      </c>
      <c r="R961" s="3" t="s">
        <v>7010</v>
      </c>
      <c r="S961" s="3" t="s">
        <v>7010</v>
      </c>
      <c r="T961" s="3" t="s">
        <v>7010</v>
      </c>
      <c r="U961" s="3" t="s">
        <v>7010</v>
      </c>
      <c r="V961" s="3" t="s">
        <v>7010</v>
      </c>
      <c r="W961" s="74" t="str">
        <f t="shared" si="57"/>
        <v>No</v>
      </c>
      <c r="Z961">
        <v>960</v>
      </c>
      <c r="AA961" s="55" t="s">
        <v>6723</v>
      </c>
      <c r="AC961">
        <f t="shared" si="56"/>
        <v>5</v>
      </c>
      <c r="AD961" s="30" t="s">
        <v>6724</v>
      </c>
      <c r="AH961" s="3" t="s">
        <v>7015</v>
      </c>
      <c r="AI961" s="3" t="s">
        <v>7010</v>
      </c>
      <c r="AJ961" s="3" t="s">
        <v>7010</v>
      </c>
      <c r="AK961" s="3" t="s">
        <v>7015</v>
      </c>
      <c r="AL961" s="3" t="s">
        <v>7010</v>
      </c>
      <c r="AM961" s="3" t="s">
        <v>7010</v>
      </c>
      <c r="AN961" s="3" t="s">
        <v>7010</v>
      </c>
      <c r="AO961" s="3" t="s">
        <v>7010</v>
      </c>
      <c r="AP961" s="74" t="s">
        <v>7015</v>
      </c>
      <c r="AU961">
        <v>960</v>
      </c>
      <c r="AV961" t="s">
        <v>6725</v>
      </c>
      <c r="AW961" t="s">
        <v>2279</v>
      </c>
      <c r="AX961">
        <f t="shared" si="58"/>
        <v>11</v>
      </c>
      <c r="AY961" s="30" t="s">
        <v>6726</v>
      </c>
      <c r="BC961" s="3" t="s">
        <v>7010</v>
      </c>
      <c r="BD961" s="3" t="s">
        <v>7010</v>
      </c>
      <c r="BE961" s="3" t="s">
        <v>7010</v>
      </c>
      <c r="BF961" s="3" t="s">
        <v>7010</v>
      </c>
      <c r="BG961" s="3" t="s">
        <v>7010</v>
      </c>
      <c r="BH961" s="3" t="s">
        <v>7010</v>
      </c>
      <c r="BI961" s="3" t="s">
        <v>7010</v>
      </c>
      <c r="BJ961" s="3" t="s">
        <v>7010</v>
      </c>
      <c r="BK961" s="74" t="str">
        <f t="shared" si="59"/>
        <v>No</v>
      </c>
    </row>
    <row r="962" spans="7:63">
      <c r="G962">
        <v>961</v>
      </c>
      <c r="H962" s="7" t="s">
        <v>1260</v>
      </c>
      <c r="I962" t="s">
        <v>29</v>
      </c>
      <c r="J962">
        <f>LEN(H962)</f>
        <v>9</v>
      </c>
      <c r="K962" s="49" t="s">
        <v>4366</v>
      </c>
      <c r="O962" s="3" t="s">
        <v>7010</v>
      </c>
      <c r="P962" s="3" t="s">
        <v>7010</v>
      </c>
      <c r="Q962" s="3" t="s">
        <v>7010</v>
      </c>
      <c r="R962" s="3" t="s">
        <v>7010</v>
      </c>
      <c r="S962" s="3" t="s">
        <v>7010</v>
      </c>
      <c r="T962" s="3" t="s">
        <v>7010</v>
      </c>
      <c r="U962" s="3" t="s">
        <v>7010</v>
      </c>
      <c r="V962" s="3" t="s">
        <v>7010</v>
      </c>
      <c r="W962" s="74" t="str">
        <f t="shared" si="57"/>
        <v>No</v>
      </c>
      <c r="Z962">
        <v>961</v>
      </c>
      <c r="AA962" s="55" t="s">
        <v>6728</v>
      </c>
      <c r="AC962">
        <f t="shared" ref="AC962:AC1001" si="60">LEN(AA962)</f>
        <v>6</v>
      </c>
      <c r="AD962" s="30" t="s">
        <v>6729</v>
      </c>
      <c r="AH962" s="3" t="s">
        <v>7015</v>
      </c>
      <c r="AI962" s="3" t="s">
        <v>7010</v>
      </c>
      <c r="AJ962" s="3" t="s">
        <v>7010</v>
      </c>
      <c r="AK962" s="3" t="s">
        <v>7015</v>
      </c>
      <c r="AL962" s="3" t="s">
        <v>7010</v>
      </c>
      <c r="AM962" s="3" t="s">
        <v>7010</v>
      </c>
      <c r="AN962" s="3" t="s">
        <v>7010</v>
      </c>
      <c r="AO962" s="3" t="s">
        <v>7010</v>
      </c>
      <c r="AP962" s="74" t="s">
        <v>7015</v>
      </c>
      <c r="AU962">
        <v>961</v>
      </c>
      <c r="AV962" t="s">
        <v>6730</v>
      </c>
      <c r="AW962" t="s">
        <v>2279</v>
      </c>
      <c r="AX962">
        <f t="shared" si="58"/>
        <v>8</v>
      </c>
      <c r="AY962" s="30" t="s">
        <v>6731</v>
      </c>
      <c r="BC962" s="3" t="s">
        <v>7015</v>
      </c>
      <c r="BD962" s="3" t="s">
        <v>7010</v>
      </c>
      <c r="BE962" s="3" t="s">
        <v>7015</v>
      </c>
      <c r="BF962" s="3" t="s">
        <v>7010</v>
      </c>
      <c r="BG962" s="3" t="s">
        <v>7010</v>
      </c>
      <c r="BH962" s="3" t="s">
        <v>7010</v>
      </c>
      <c r="BI962" s="3" t="s">
        <v>7010</v>
      </c>
      <c r="BJ962" s="3" t="s">
        <v>7010</v>
      </c>
      <c r="BK962" s="74" t="str">
        <f t="shared" si="59"/>
        <v>Yes</v>
      </c>
    </row>
    <row r="963" spans="7:63">
      <c r="G963">
        <v>962</v>
      </c>
      <c r="H963" s="7" t="s">
        <v>1386</v>
      </c>
      <c r="I963" t="s">
        <v>29</v>
      </c>
      <c r="J963">
        <f>LEN(H963)</f>
        <v>12</v>
      </c>
      <c r="K963" s="49" t="s">
        <v>4686</v>
      </c>
      <c r="O963" s="3" t="s">
        <v>7010</v>
      </c>
      <c r="P963" s="3" t="s">
        <v>7010</v>
      </c>
      <c r="Q963" s="3" t="s">
        <v>7010</v>
      </c>
      <c r="R963" s="3" t="s">
        <v>7010</v>
      </c>
      <c r="S963" s="3" t="s">
        <v>7010</v>
      </c>
      <c r="T963" s="3" t="s">
        <v>7010</v>
      </c>
      <c r="U963" s="3" t="s">
        <v>7010</v>
      </c>
      <c r="V963" s="3" t="s">
        <v>7010</v>
      </c>
      <c r="W963" s="74" t="str">
        <f t="shared" ref="W963:W1001" si="61">IF(COUNTIF(O963:V963, "Yes") &gt; 0, "Yes", "No")</f>
        <v>No</v>
      </c>
      <c r="Z963">
        <v>962</v>
      </c>
      <c r="AA963" s="55" t="s">
        <v>6733</v>
      </c>
      <c r="AC963">
        <f t="shared" si="60"/>
        <v>5</v>
      </c>
      <c r="AD963" s="30" t="s">
        <v>6734</v>
      </c>
      <c r="AH963" s="3" t="s">
        <v>7015</v>
      </c>
      <c r="AI963" s="3" t="s">
        <v>7010</v>
      </c>
      <c r="AJ963" s="3" t="s">
        <v>7010</v>
      </c>
      <c r="AK963" s="3" t="s">
        <v>7015</v>
      </c>
      <c r="AL963" s="3" t="s">
        <v>7010</v>
      </c>
      <c r="AM963" s="3" t="s">
        <v>7010</v>
      </c>
      <c r="AN963" s="3" t="s">
        <v>7010</v>
      </c>
      <c r="AO963" s="3" t="s">
        <v>7010</v>
      </c>
      <c r="AP963" s="74" t="s">
        <v>7015</v>
      </c>
      <c r="AU963">
        <v>962</v>
      </c>
      <c r="AV963" t="s">
        <v>6735</v>
      </c>
      <c r="AW963" t="s">
        <v>2279</v>
      </c>
      <c r="AX963">
        <f t="shared" ref="AX963:AX1004" si="62">LEN(AV963)</f>
        <v>8</v>
      </c>
      <c r="AY963" s="30" t="s">
        <v>6736</v>
      </c>
      <c r="BC963" s="3" t="s">
        <v>7010</v>
      </c>
      <c r="BD963" s="3" t="s">
        <v>7010</v>
      </c>
      <c r="BE963" s="3" t="s">
        <v>7010</v>
      </c>
      <c r="BF963" s="3" t="s">
        <v>7010</v>
      </c>
      <c r="BG963" s="3" t="s">
        <v>7010</v>
      </c>
      <c r="BH963" s="3" t="s">
        <v>7010</v>
      </c>
      <c r="BI963" s="3" t="s">
        <v>7010</v>
      </c>
      <c r="BJ963" s="3" t="s">
        <v>7010</v>
      </c>
      <c r="BK963" s="74" t="str">
        <f t="shared" ref="BK963:BK1001" si="63">IF(COUNTIF(BC963:BJ963, "Yes") &gt; 0, "Yes", "No")</f>
        <v>No</v>
      </c>
    </row>
    <row r="964" spans="7:63">
      <c r="G964">
        <v>963</v>
      </c>
      <c r="H964" s="7" t="s">
        <v>1576</v>
      </c>
      <c r="I964" t="s">
        <v>29</v>
      </c>
      <c r="J964">
        <f>LEN(H964)</f>
        <v>11</v>
      </c>
      <c r="K964" s="49" t="s">
        <v>5168</v>
      </c>
      <c r="O964" s="3" t="s">
        <v>7010</v>
      </c>
      <c r="P964" s="3" t="s">
        <v>7010</v>
      </c>
      <c r="Q964" s="3" t="s">
        <v>7010</v>
      </c>
      <c r="R964" s="3" t="s">
        <v>7010</v>
      </c>
      <c r="S964" s="3" t="s">
        <v>7010</v>
      </c>
      <c r="T964" s="3" t="s">
        <v>7010</v>
      </c>
      <c r="U964" s="3" t="s">
        <v>7010</v>
      </c>
      <c r="V964" s="3" t="s">
        <v>7010</v>
      </c>
      <c r="W964" s="74" t="str">
        <f t="shared" si="61"/>
        <v>No</v>
      </c>
      <c r="Z964">
        <v>963</v>
      </c>
      <c r="AA964" s="55" t="s">
        <v>6738</v>
      </c>
      <c r="AC964">
        <f t="shared" si="60"/>
        <v>6</v>
      </c>
      <c r="AD964" s="30" t="s">
        <v>6739</v>
      </c>
      <c r="AH964" s="3" t="s">
        <v>7015</v>
      </c>
      <c r="AI964" s="3" t="s">
        <v>7010</v>
      </c>
      <c r="AJ964" s="3" t="s">
        <v>7010</v>
      </c>
      <c r="AK964" s="3" t="s">
        <v>7015</v>
      </c>
      <c r="AL964" s="3" t="s">
        <v>7010</v>
      </c>
      <c r="AM964" s="3" t="s">
        <v>7010</v>
      </c>
      <c r="AN964" s="3" t="s">
        <v>7010</v>
      </c>
      <c r="AO964" s="3" t="s">
        <v>7010</v>
      </c>
      <c r="AP964" s="74" t="s">
        <v>7015</v>
      </c>
      <c r="AU964">
        <v>963</v>
      </c>
      <c r="AV964" t="s">
        <v>6740</v>
      </c>
      <c r="AW964" t="s">
        <v>2279</v>
      </c>
      <c r="AX964">
        <f t="shared" si="62"/>
        <v>8</v>
      </c>
      <c r="AY964" s="30" t="s">
        <v>6741</v>
      </c>
      <c r="BC964" s="3" t="s">
        <v>7010</v>
      </c>
      <c r="BD964" s="3" t="s">
        <v>7010</v>
      </c>
      <c r="BE964" s="3" t="s">
        <v>7010</v>
      </c>
      <c r="BF964" s="3" t="s">
        <v>7010</v>
      </c>
      <c r="BG964" s="3" t="s">
        <v>7010</v>
      </c>
      <c r="BH964" s="3" t="s">
        <v>7010</v>
      </c>
      <c r="BI964" s="3" t="s">
        <v>7010</v>
      </c>
      <c r="BJ964" s="3" t="s">
        <v>7010</v>
      </c>
      <c r="BK964" s="74" t="str">
        <f t="shared" si="63"/>
        <v>No</v>
      </c>
    </row>
    <row r="965" spans="7:63">
      <c r="G965">
        <v>964</v>
      </c>
      <c r="H965" s="7" t="s">
        <v>1690</v>
      </c>
      <c r="I965" t="s">
        <v>29</v>
      </c>
      <c r="J965">
        <f>LEN(H965)</f>
        <v>16</v>
      </c>
      <c r="K965" s="49" t="s">
        <v>5455</v>
      </c>
      <c r="O965" s="3" t="s">
        <v>7010</v>
      </c>
      <c r="P965" s="3" t="s">
        <v>7010</v>
      </c>
      <c r="Q965" s="3" t="s">
        <v>7010</v>
      </c>
      <c r="R965" s="3" t="s">
        <v>7010</v>
      </c>
      <c r="S965" s="3" t="s">
        <v>7010</v>
      </c>
      <c r="T965" s="3" t="s">
        <v>7010</v>
      </c>
      <c r="U965" s="3" t="s">
        <v>7010</v>
      </c>
      <c r="V965" s="3" t="s">
        <v>7010</v>
      </c>
      <c r="W965" s="74" t="str">
        <f t="shared" si="61"/>
        <v>No</v>
      </c>
      <c r="Z965">
        <v>964</v>
      </c>
      <c r="AA965" s="55" t="s">
        <v>6743</v>
      </c>
      <c r="AC965">
        <f t="shared" si="60"/>
        <v>7</v>
      </c>
      <c r="AD965" s="30" t="s">
        <v>6744</v>
      </c>
      <c r="AH965" s="3" t="s">
        <v>7015</v>
      </c>
      <c r="AI965" s="3" t="s">
        <v>7010</v>
      </c>
      <c r="AJ965" s="3" t="s">
        <v>7010</v>
      </c>
      <c r="AK965" s="3" t="s">
        <v>7015</v>
      </c>
      <c r="AL965" s="3" t="s">
        <v>7010</v>
      </c>
      <c r="AM965" s="3" t="s">
        <v>7010</v>
      </c>
      <c r="AN965" s="3" t="s">
        <v>7010</v>
      </c>
      <c r="AO965" s="3" t="s">
        <v>7010</v>
      </c>
      <c r="AP965" s="74" t="s">
        <v>7015</v>
      </c>
      <c r="AU965">
        <v>964</v>
      </c>
      <c r="AV965" t="s">
        <v>6745</v>
      </c>
      <c r="AW965" t="s">
        <v>2279</v>
      </c>
      <c r="AX965">
        <f t="shared" si="62"/>
        <v>9</v>
      </c>
      <c r="AY965" s="30" t="s">
        <v>6746</v>
      </c>
      <c r="BC965" s="3" t="s">
        <v>7010</v>
      </c>
      <c r="BD965" s="3" t="s">
        <v>7010</v>
      </c>
      <c r="BE965" s="3" t="s">
        <v>7010</v>
      </c>
      <c r="BF965" s="3" t="s">
        <v>7010</v>
      </c>
      <c r="BG965" s="3" t="s">
        <v>7010</v>
      </c>
      <c r="BH965" s="3" t="s">
        <v>7010</v>
      </c>
      <c r="BI965" s="3" t="s">
        <v>7010</v>
      </c>
      <c r="BJ965" s="3" t="s">
        <v>7010</v>
      </c>
      <c r="BK965" s="74" t="str">
        <f t="shared" si="63"/>
        <v>No</v>
      </c>
    </row>
    <row r="966" spans="7:63">
      <c r="G966">
        <v>965</v>
      </c>
      <c r="H966" s="7" t="s">
        <v>1336</v>
      </c>
      <c r="I966" t="s">
        <v>29</v>
      </c>
      <c r="J966">
        <f>LEN(H966)</f>
        <v>9</v>
      </c>
      <c r="K966" s="49" t="s">
        <v>4555</v>
      </c>
      <c r="O966" s="3" t="s">
        <v>7010</v>
      </c>
      <c r="P966" s="3" t="s">
        <v>7010</v>
      </c>
      <c r="Q966" s="3" t="s">
        <v>7010</v>
      </c>
      <c r="R966" s="3" t="s">
        <v>7010</v>
      </c>
      <c r="S966" s="3" t="s">
        <v>7010</v>
      </c>
      <c r="T966" s="3" t="s">
        <v>7010</v>
      </c>
      <c r="U966" s="3" t="s">
        <v>7010</v>
      </c>
      <c r="V966" s="3" t="s">
        <v>7010</v>
      </c>
      <c r="W966" s="74" t="str">
        <f t="shared" si="61"/>
        <v>No</v>
      </c>
      <c r="Z966">
        <v>965</v>
      </c>
      <c r="AA966" s="55" t="s">
        <v>6748</v>
      </c>
      <c r="AC966">
        <f t="shared" si="60"/>
        <v>7</v>
      </c>
      <c r="AD966" s="30" t="s">
        <v>6749</v>
      </c>
      <c r="AH966" s="3" t="s">
        <v>7015</v>
      </c>
      <c r="AI966" s="3" t="s">
        <v>7010</v>
      </c>
      <c r="AJ966" s="3" t="s">
        <v>7010</v>
      </c>
      <c r="AK966" s="3" t="s">
        <v>7015</v>
      </c>
      <c r="AL966" s="3" t="s">
        <v>7010</v>
      </c>
      <c r="AM966" s="3" t="s">
        <v>7010</v>
      </c>
      <c r="AN966" s="3" t="s">
        <v>7010</v>
      </c>
      <c r="AO966" s="3" t="s">
        <v>7010</v>
      </c>
      <c r="AP966" s="74" t="s">
        <v>7015</v>
      </c>
      <c r="AU966">
        <v>965</v>
      </c>
      <c r="AV966" t="s">
        <v>6750</v>
      </c>
      <c r="AW966" t="s">
        <v>2279</v>
      </c>
      <c r="AX966">
        <f t="shared" si="62"/>
        <v>30</v>
      </c>
      <c r="AY966" s="30" t="s">
        <v>6751</v>
      </c>
      <c r="BC966" s="3" t="s">
        <v>7010</v>
      </c>
      <c r="BD966" s="3" t="s">
        <v>7010</v>
      </c>
      <c r="BE966" s="3" t="s">
        <v>7010</v>
      </c>
      <c r="BF966" s="3" t="s">
        <v>7010</v>
      </c>
      <c r="BG966" s="3" t="s">
        <v>7010</v>
      </c>
      <c r="BH966" s="3" t="s">
        <v>7010</v>
      </c>
      <c r="BI966" s="3" t="s">
        <v>7010</v>
      </c>
      <c r="BJ966" s="3" t="s">
        <v>7010</v>
      </c>
      <c r="BK966" s="74" t="str">
        <f t="shared" si="63"/>
        <v>No</v>
      </c>
    </row>
    <row r="967" spans="7:63">
      <c r="G967">
        <v>966</v>
      </c>
      <c r="H967" s="7" t="s">
        <v>1518</v>
      </c>
      <c r="I967" t="s">
        <v>29</v>
      </c>
      <c r="J967">
        <f>LEN(H967)</f>
        <v>12</v>
      </c>
      <c r="K967" s="49" t="s">
        <v>5021</v>
      </c>
      <c r="O967" s="3" t="s">
        <v>7010</v>
      </c>
      <c r="P967" s="3" t="s">
        <v>7010</v>
      </c>
      <c r="Q967" s="3" t="s">
        <v>7010</v>
      </c>
      <c r="R967" s="3" t="s">
        <v>7010</v>
      </c>
      <c r="S967" s="3" t="s">
        <v>7010</v>
      </c>
      <c r="T967" s="3" t="s">
        <v>7010</v>
      </c>
      <c r="U967" s="3" t="s">
        <v>7010</v>
      </c>
      <c r="V967" s="3" t="s">
        <v>7010</v>
      </c>
      <c r="W967" s="74" t="str">
        <f t="shared" si="61"/>
        <v>No</v>
      </c>
      <c r="Z967">
        <v>966</v>
      </c>
      <c r="AA967" s="55" t="s">
        <v>6753</v>
      </c>
      <c r="AC967">
        <f t="shared" si="60"/>
        <v>7</v>
      </c>
      <c r="AD967" s="30" t="s">
        <v>6754</v>
      </c>
      <c r="AH967" s="3" t="s">
        <v>7015</v>
      </c>
      <c r="AI967" s="3" t="s">
        <v>7010</v>
      </c>
      <c r="AJ967" s="3" t="s">
        <v>7010</v>
      </c>
      <c r="AK967" s="3" t="s">
        <v>7015</v>
      </c>
      <c r="AL967" s="3" t="s">
        <v>7010</v>
      </c>
      <c r="AM967" s="3" t="s">
        <v>7010</v>
      </c>
      <c r="AN967" s="3" t="s">
        <v>7010</v>
      </c>
      <c r="AO967" s="3" t="s">
        <v>7010</v>
      </c>
      <c r="AP967" s="74" t="s">
        <v>7015</v>
      </c>
      <c r="AU967">
        <v>966</v>
      </c>
      <c r="AV967" t="s">
        <v>6755</v>
      </c>
      <c r="AW967" t="s">
        <v>2279</v>
      </c>
      <c r="AX967">
        <f t="shared" si="62"/>
        <v>8</v>
      </c>
      <c r="AY967" s="31" t="s">
        <v>6756</v>
      </c>
      <c r="BC967" s="3" t="s">
        <v>7010</v>
      </c>
      <c r="BD967" s="3" t="s">
        <v>7010</v>
      </c>
      <c r="BE967" s="3" t="s">
        <v>7015</v>
      </c>
      <c r="BF967" s="3" t="s">
        <v>7010</v>
      </c>
      <c r="BG967" s="3" t="s">
        <v>7010</v>
      </c>
      <c r="BH967" s="3" t="s">
        <v>7010</v>
      </c>
      <c r="BI967" s="3" t="s">
        <v>7010</v>
      </c>
      <c r="BJ967" s="3" t="s">
        <v>7010</v>
      </c>
      <c r="BK967" s="74" t="str">
        <f t="shared" si="63"/>
        <v>Yes</v>
      </c>
    </row>
    <row r="968" spans="7:63">
      <c r="G968">
        <v>967</v>
      </c>
      <c r="H968" s="7" t="s">
        <v>1428</v>
      </c>
      <c r="I968" t="s">
        <v>29</v>
      </c>
      <c r="J968">
        <f>LEN(H968)</f>
        <v>9</v>
      </c>
      <c r="K968" s="49" t="s">
        <v>4794</v>
      </c>
      <c r="O968" s="3" t="s">
        <v>7010</v>
      </c>
      <c r="P968" s="3" t="s">
        <v>7010</v>
      </c>
      <c r="Q968" s="3" t="s">
        <v>7010</v>
      </c>
      <c r="R968" s="3" t="s">
        <v>7010</v>
      </c>
      <c r="S968" s="3" t="s">
        <v>7010</v>
      </c>
      <c r="T968" s="3" t="s">
        <v>7010</v>
      </c>
      <c r="U968" s="3" t="s">
        <v>7010</v>
      </c>
      <c r="V968" s="3" t="s">
        <v>7010</v>
      </c>
      <c r="W968" s="74" t="str">
        <f t="shared" si="61"/>
        <v>No</v>
      </c>
      <c r="Z968">
        <v>967</v>
      </c>
      <c r="AA968" s="55" t="s">
        <v>6758</v>
      </c>
      <c r="AC968">
        <f t="shared" si="60"/>
        <v>8</v>
      </c>
      <c r="AD968" s="30" t="s">
        <v>6759</v>
      </c>
      <c r="AH968" s="3" t="s">
        <v>7015</v>
      </c>
      <c r="AI968" s="3" t="s">
        <v>7010</v>
      </c>
      <c r="AJ968" s="3" t="s">
        <v>7010</v>
      </c>
      <c r="AK968" s="3" t="s">
        <v>7015</v>
      </c>
      <c r="AL968" s="3" t="s">
        <v>7010</v>
      </c>
      <c r="AM968" s="3" t="s">
        <v>7010</v>
      </c>
      <c r="AN968" s="3" t="s">
        <v>7010</v>
      </c>
      <c r="AO968" s="3" t="s">
        <v>7010</v>
      </c>
      <c r="AP968" s="74" t="s">
        <v>7015</v>
      </c>
      <c r="AU968">
        <v>967</v>
      </c>
      <c r="AV968" t="s">
        <v>6760</v>
      </c>
      <c r="AW968" t="s">
        <v>2279</v>
      </c>
      <c r="AX968">
        <f t="shared" si="62"/>
        <v>10</v>
      </c>
      <c r="AY968" s="31" t="s">
        <v>6761</v>
      </c>
      <c r="BC968" s="3" t="s">
        <v>7010</v>
      </c>
      <c r="BD968" s="3" t="s">
        <v>7010</v>
      </c>
      <c r="BE968" s="3" t="s">
        <v>7010</v>
      </c>
      <c r="BF968" s="3" t="s">
        <v>7010</v>
      </c>
      <c r="BG968" s="3" t="s">
        <v>7010</v>
      </c>
      <c r="BH968" s="3" t="s">
        <v>7010</v>
      </c>
      <c r="BI968" s="3" t="s">
        <v>7010</v>
      </c>
      <c r="BJ968" s="3" t="s">
        <v>7010</v>
      </c>
      <c r="BK968" s="74" t="str">
        <f t="shared" si="63"/>
        <v>No</v>
      </c>
    </row>
    <row r="969" spans="7:63">
      <c r="G969">
        <v>968</v>
      </c>
      <c r="H969" s="7" t="s">
        <v>1616</v>
      </c>
      <c r="I969" t="s">
        <v>29</v>
      </c>
      <c r="J969">
        <f>LEN(H969)</f>
        <v>12</v>
      </c>
      <c r="K969" s="49" t="s">
        <v>5268</v>
      </c>
      <c r="O969" s="3" t="s">
        <v>7010</v>
      </c>
      <c r="P969" s="3" t="s">
        <v>7010</v>
      </c>
      <c r="Q969" s="3" t="s">
        <v>7010</v>
      </c>
      <c r="R969" s="3" t="s">
        <v>7010</v>
      </c>
      <c r="S969" s="3" t="s">
        <v>7010</v>
      </c>
      <c r="T969" s="3" t="s">
        <v>7010</v>
      </c>
      <c r="U969" s="3" t="s">
        <v>7015</v>
      </c>
      <c r="V969" s="3" t="s">
        <v>7010</v>
      </c>
      <c r="W969" s="74" t="str">
        <f t="shared" si="61"/>
        <v>Yes</v>
      </c>
      <c r="Z969">
        <v>968</v>
      </c>
      <c r="AA969" s="55" t="s">
        <v>6763</v>
      </c>
      <c r="AC969">
        <f t="shared" si="60"/>
        <v>8</v>
      </c>
      <c r="AD969" s="30" t="s">
        <v>6764</v>
      </c>
      <c r="AH969" s="3" t="s">
        <v>7015</v>
      </c>
      <c r="AI969" s="3" t="s">
        <v>7010</v>
      </c>
      <c r="AJ969" s="3" t="s">
        <v>7010</v>
      </c>
      <c r="AK969" s="3" t="s">
        <v>7015</v>
      </c>
      <c r="AL969" s="3" t="s">
        <v>7010</v>
      </c>
      <c r="AM969" s="3" t="s">
        <v>7010</v>
      </c>
      <c r="AN969" s="3" t="s">
        <v>7010</v>
      </c>
      <c r="AO969" s="3" t="s">
        <v>7010</v>
      </c>
      <c r="AP969" s="74" t="s">
        <v>7015</v>
      </c>
      <c r="AU969">
        <v>968</v>
      </c>
      <c r="AV969" t="s">
        <v>6765</v>
      </c>
      <c r="AW969" t="s">
        <v>2279</v>
      </c>
      <c r="AX969">
        <f t="shared" si="62"/>
        <v>8</v>
      </c>
      <c r="AY969" s="30" t="s">
        <v>6766</v>
      </c>
      <c r="BC969" s="3" t="s">
        <v>7010</v>
      </c>
      <c r="BD969" s="3" t="s">
        <v>7010</v>
      </c>
      <c r="BE969" s="3" t="s">
        <v>7010</v>
      </c>
      <c r="BF969" s="3" t="s">
        <v>7010</v>
      </c>
      <c r="BG969" s="3" t="s">
        <v>7010</v>
      </c>
      <c r="BH969" s="3" t="s">
        <v>7010</v>
      </c>
      <c r="BI969" s="3" t="s">
        <v>7010</v>
      </c>
      <c r="BJ969" s="3" t="s">
        <v>7010</v>
      </c>
      <c r="BK969" s="74" t="str">
        <f t="shared" si="63"/>
        <v>No</v>
      </c>
    </row>
    <row r="970" spans="7:63">
      <c r="G970">
        <v>969</v>
      </c>
      <c r="H970" s="7" t="s">
        <v>134</v>
      </c>
      <c r="I970" t="s">
        <v>29</v>
      </c>
      <c r="J970">
        <f>LEN(H970)</f>
        <v>13</v>
      </c>
      <c r="K970" s="49" t="s">
        <v>2301</v>
      </c>
      <c r="O970" s="3" t="s">
        <v>7010</v>
      </c>
      <c r="P970" s="3" t="s">
        <v>7010</v>
      </c>
      <c r="Q970" s="3" t="s">
        <v>7010</v>
      </c>
      <c r="R970" s="3" t="s">
        <v>7015</v>
      </c>
      <c r="S970" s="3" t="s">
        <v>7010</v>
      </c>
      <c r="T970" s="3" t="s">
        <v>7010</v>
      </c>
      <c r="U970" s="3" t="s">
        <v>7010</v>
      </c>
      <c r="V970" s="3" t="s">
        <v>7010</v>
      </c>
      <c r="W970" s="74" t="str">
        <f t="shared" si="61"/>
        <v>Yes</v>
      </c>
      <c r="Z970">
        <v>969</v>
      </c>
      <c r="AA970" s="55" t="s">
        <v>6768</v>
      </c>
      <c r="AC970">
        <f t="shared" si="60"/>
        <v>7</v>
      </c>
      <c r="AD970" s="30" t="s">
        <v>6769</v>
      </c>
      <c r="AH970" s="3" t="s">
        <v>7015</v>
      </c>
      <c r="AI970" s="3" t="s">
        <v>7010</v>
      </c>
      <c r="AJ970" s="3" t="s">
        <v>7010</v>
      </c>
      <c r="AK970" s="3" t="s">
        <v>7015</v>
      </c>
      <c r="AL970" s="3" t="s">
        <v>7010</v>
      </c>
      <c r="AM970" s="3" t="s">
        <v>7010</v>
      </c>
      <c r="AN970" s="3" t="s">
        <v>7010</v>
      </c>
      <c r="AO970" s="3" t="s">
        <v>7010</v>
      </c>
      <c r="AP970" s="74" t="s">
        <v>7015</v>
      </c>
      <c r="AU970">
        <v>969</v>
      </c>
      <c r="AV970" t="s">
        <v>6770</v>
      </c>
      <c r="AW970" t="s">
        <v>2279</v>
      </c>
      <c r="AX970">
        <f t="shared" si="62"/>
        <v>8</v>
      </c>
      <c r="AY970" s="30" t="s">
        <v>6771</v>
      </c>
      <c r="BC970" s="3" t="s">
        <v>7010</v>
      </c>
      <c r="BD970" s="3" t="s">
        <v>7010</v>
      </c>
      <c r="BE970" s="3" t="s">
        <v>7010</v>
      </c>
      <c r="BF970" s="3" t="s">
        <v>7010</v>
      </c>
      <c r="BG970" s="3" t="s">
        <v>7010</v>
      </c>
      <c r="BH970" s="3" t="s">
        <v>7010</v>
      </c>
      <c r="BI970" s="3" t="s">
        <v>7010</v>
      </c>
      <c r="BJ970" s="3" t="s">
        <v>7010</v>
      </c>
      <c r="BK970" s="74" t="str">
        <f t="shared" si="63"/>
        <v>No</v>
      </c>
    </row>
    <row r="971" spans="7:63">
      <c r="G971">
        <v>970</v>
      </c>
      <c r="H971" s="7" t="s">
        <v>1458</v>
      </c>
      <c r="I971" t="s">
        <v>29</v>
      </c>
      <c r="J971">
        <f>LEN(H971)</f>
        <v>10</v>
      </c>
      <c r="K971" s="49" t="s">
        <v>4870</v>
      </c>
      <c r="O971" s="3" t="s">
        <v>7010</v>
      </c>
      <c r="P971" s="3" t="s">
        <v>7010</v>
      </c>
      <c r="Q971" s="3" t="s">
        <v>7010</v>
      </c>
      <c r="R971" s="3" t="s">
        <v>7010</v>
      </c>
      <c r="S971" s="3" t="s">
        <v>7010</v>
      </c>
      <c r="T971" s="3" t="s">
        <v>7010</v>
      </c>
      <c r="U971" s="3" t="s">
        <v>7010</v>
      </c>
      <c r="V971" s="3" t="s">
        <v>7010</v>
      </c>
      <c r="W971" s="74" t="str">
        <f t="shared" si="61"/>
        <v>No</v>
      </c>
      <c r="Z971">
        <v>970</v>
      </c>
      <c r="AA971" s="55" t="s">
        <v>6773</v>
      </c>
      <c r="AC971">
        <f t="shared" si="60"/>
        <v>5</v>
      </c>
      <c r="AD971" s="30" t="s">
        <v>6774</v>
      </c>
      <c r="AH971" s="3" t="s">
        <v>7015</v>
      </c>
      <c r="AI971" s="3" t="s">
        <v>7010</v>
      </c>
      <c r="AJ971" s="3" t="s">
        <v>7010</v>
      </c>
      <c r="AK971" s="3" t="s">
        <v>7015</v>
      </c>
      <c r="AL971" s="3" t="s">
        <v>7010</v>
      </c>
      <c r="AM971" s="3" t="s">
        <v>7010</v>
      </c>
      <c r="AN971" s="3" t="s">
        <v>7010</v>
      </c>
      <c r="AO971" s="3" t="s">
        <v>7010</v>
      </c>
      <c r="AP971" s="74" t="s">
        <v>7015</v>
      </c>
      <c r="AU971">
        <v>970</v>
      </c>
      <c r="AV971" t="s">
        <v>6775</v>
      </c>
      <c r="AW971" t="s">
        <v>2279</v>
      </c>
      <c r="AX971">
        <f t="shared" si="62"/>
        <v>10</v>
      </c>
      <c r="AY971" s="30" t="s">
        <v>6776</v>
      </c>
      <c r="BC971" s="3" t="s">
        <v>7010</v>
      </c>
      <c r="BD971" s="3" t="s">
        <v>7010</v>
      </c>
      <c r="BE971" s="3" t="s">
        <v>7010</v>
      </c>
      <c r="BF971" s="3" t="s">
        <v>7010</v>
      </c>
      <c r="BG971" s="3" t="s">
        <v>7010</v>
      </c>
      <c r="BH971" s="3" t="s">
        <v>7010</v>
      </c>
      <c r="BI971" s="3" t="s">
        <v>7010</v>
      </c>
      <c r="BJ971" s="3" t="s">
        <v>7010</v>
      </c>
      <c r="BK971" s="74" t="str">
        <f t="shared" si="63"/>
        <v>No</v>
      </c>
    </row>
    <row r="972" spans="7:63">
      <c r="G972">
        <v>971</v>
      </c>
      <c r="H972" s="7" t="s">
        <v>1212</v>
      </c>
      <c r="I972" t="s">
        <v>29</v>
      </c>
      <c r="J972">
        <f>LEN(H972)</f>
        <v>8</v>
      </c>
      <c r="K972" s="49" t="s">
        <v>4246</v>
      </c>
      <c r="O972" s="3" t="s">
        <v>7010</v>
      </c>
      <c r="P972" s="3" t="s">
        <v>7010</v>
      </c>
      <c r="Q972" s="3" t="s">
        <v>7010</v>
      </c>
      <c r="R972" s="3" t="s">
        <v>7010</v>
      </c>
      <c r="S972" s="3" t="s">
        <v>7010</v>
      </c>
      <c r="T972" s="3" t="s">
        <v>7010</v>
      </c>
      <c r="U972" s="3" t="s">
        <v>7010</v>
      </c>
      <c r="V972" s="3" t="s">
        <v>7010</v>
      </c>
      <c r="W972" s="74" t="str">
        <f t="shared" si="61"/>
        <v>No</v>
      </c>
      <c r="Z972">
        <v>971</v>
      </c>
      <c r="AA972" s="55" t="s">
        <v>6778</v>
      </c>
      <c r="AC972">
        <f t="shared" si="60"/>
        <v>6</v>
      </c>
      <c r="AD972" s="30" t="s">
        <v>6779</v>
      </c>
      <c r="AH972" s="3" t="s">
        <v>7015</v>
      </c>
      <c r="AI972" s="3" t="s">
        <v>7010</v>
      </c>
      <c r="AJ972" s="3" t="s">
        <v>7010</v>
      </c>
      <c r="AK972" s="3" t="s">
        <v>7015</v>
      </c>
      <c r="AL972" s="3" t="s">
        <v>7010</v>
      </c>
      <c r="AM972" s="3" t="s">
        <v>7010</v>
      </c>
      <c r="AN972" s="3" t="s">
        <v>7010</v>
      </c>
      <c r="AO972" s="3" t="s">
        <v>7010</v>
      </c>
      <c r="AP972" s="74" t="s">
        <v>7015</v>
      </c>
      <c r="AU972">
        <v>971</v>
      </c>
      <c r="AV972" t="s">
        <v>6780</v>
      </c>
      <c r="AW972" t="s">
        <v>2279</v>
      </c>
      <c r="AX972">
        <f t="shared" si="62"/>
        <v>8</v>
      </c>
      <c r="AY972" s="30" t="s">
        <v>6781</v>
      </c>
      <c r="BC972" s="3" t="s">
        <v>7010</v>
      </c>
      <c r="BD972" s="3" t="s">
        <v>7010</v>
      </c>
      <c r="BE972" s="3" t="s">
        <v>7010</v>
      </c>
      <c r="BF972" s="3" t="s">
        <v>7010</v>
      </c>
      <c r="BG972" s="3" t="s">
        <v>7010</v>
      </c>
      <c r="BH972" s="3" t="s">
        <v>7010</v>
      </c>
      <c r="BI972" s="3" t="s">
        <v>7010</v>
      </c>
      <c r="BJ972" s="3" t="s">
        <v>7010</v>
      </c>
      <c r="BK972" s="74" t="str">
        <f t="shared" si="63"/>
        <v>No</v>
      </c>
    </row>
    <row r="973" spans="7:63">
      <c r="G973">
        <v>972</v>
      </c>
      <c r="H973" s="7" t="s">
        <v>1398</v>
      </c>
      <c r="I973" t="s">
        <v>29</v>
      </c>
      <c r="J973">
        <f>LEN(H973)</f>
        <v>10</v>
      </c>
      <c r="K973" s="49" t="s">
        <v>4715</v>
      </c>
      <c r="O973" s="3" t="s">
        <v>7010</v>
      </c>
      <c r="P973" s="3" t="s">
        <v>7010</v>
      </c>
      <c r="Q973" s="3" t="s">
        <v>7010</v>
      </c>
      <c r="R973" s="3" t="s">
        <v>7010</v>
      </c>
      <c r="S973" s="3" t="s">
        <v>7010</v>
      </c>
      <c r="T973" s="3" t="s">
        <v>7015</v>
      </c>
      <c r="U973" s="3" t="s">
        <v>7010</v>
      </c>
      <c r="V973" s="3" t="s">
        <v>7010</v>
      </c>
      <c r="W973" s="74" t="str">
        <f t="shared" si="61"/>
        <v>Yes</v>
      </c>
      <c r="Z973">
        <v>972</v>
      </c>
      <c r="AA973" s="55">
        <v>87654321</v>
      </c>
      <c r="AC973">
        <f t="shared" si="60"/>
        <v>8</v>
      </c>
      <c r="AD973" s="31" t="s">
        <v>6783</v>
      </c>
      <c r="AH973" s="3" t="s">
        <v>7015</v>
      </c>
      <c r="AI973" s="3" t="s">
        <v>7010</v>
      </c>
      <c r="AJ973" s="3" t="s">
        <v>7010</v>
      </c>
      <c r="AK973" s="3" t="s">
        <v>7015</v>
      </c>
      <c r="AL973" s="3" t="s">
        <v>7010</v>
      </c>
      <c r="AM973" s="3" t="s">
        <v>7010</v>
      </c>
      <c r="AN973" s="3" t="s">
        <v>7010</v>
      </c>
      <c r="AO973" s="3" t="s">
        <v>7010</v>
      </c>
      <c r="AP973" s="74" t="s">
        <v>7015</v>
      </c>
      <c r="AU973">
        <v>972</v>
      </c>
      <c r="AV973" t="s">
        <v>6784</v>
      </c>
      <c r="AW973" t="s">
        <v>2279</v>
      </c>
      <c r="AX973">
        <f t="shared" si="62"/>
        <v>8</v>
      </c>
      <c r="AY973" s="30" t="s">
        <v>6785</v>
      </c>
      <c r="BC973" s="3" t="s">
        <v>7010</v>
      </c>
      <c r="BD973" s="3" t="s">
        <v>7010</v>
      </c>
      <c r="BE973" s="3" t="s">
        <v>7010</v>
      </c>
      <c r="BF973" s="3" t="s">
        <v>7010</v>
      </c>
      <c r="BG973" s="3" t="s">
        <v>7010</v>
      </c>
      <c r="BH973" s="3" t="s">
        <v>7010</v>
      </c>
      <c r="BI973" s="3" t="s">
        <v>7010</v>
      </c>
      <c r="BJ973" s="3" t="s">
        <v>7010</v>
      </c>
      <c r="BK973" s="74" t="str">
        <f t="shared" si="63"/>
        <v>No</v>
      </c>
    </row>
    <row r="974" spans="7:63">
      <c r="G974">
        <v>973</v>
      </c>
      <c r="H974" s="7" t="s">
        <v>1508</v>
      </c>
      <c r="I974" t="s">
        <v>29</v>
      </c>
      <c r="J974">
        <f>LEN(H974)</f>
        <v>15</v>
      </c>
      <c r="K974" s="49" t="s">
        <v>4996</v>
      </c>
      <c r="O974" s="3" t="s">
        <v>7010</v>
      </c>
      <c r="P974" s="3" t="s">
        <v>7010</v>
      </c>
      <c r="Q974" s="3" t="s">
        <v>7010</v>
      </c>
      <c r="R974" s="3" t="s">
        <v>7010</v>
      </c>
      <c r="S974" s="3" t="s">
        <v>7010</v>
      </c>
      <c r="T974" s="3" t="s">
        <v>7015</v>
      </c>
      <c r="U974" s="3" t="s">
        <v>7015</v>
      </c>
      <c r="V974" s="3" t="s">
        <v>7015</v>
      </c>
      <c r="W974" s="74" t="str">
        <f t="shared" si="61"/>
        <v>Yes</v>
      </c>
      <c r="Z974">
        <v>973</v>
      </c>
      <c r="AA974" s="55" t="s">
        <v>6787</v>
      </c>
      <c r="AC974">
        <f t="shared" si="60"/>
        <v>8</v>
      </c>
      <c r="AD974" s="30" t="s">
        <v>6788</v>
      </c>
      <c r="AH974" s="3" t="s">
        <v>7015</v>
      </c>
      <c r="AI974" s="3" t="s">
        <v>7010</v>
      </c>
      <c r="AJ974" s="3" t="s">
        <v>7010</v>
      </c>
      <c r="AK974" s="3" t="s">
        <v>7015</v>
      </c>
      <c r="AL974" s="3" t="s">
        <v>7010</v>
      </c>
      <c r="AM974" s="3" t="s">
        <v>7010</v>
      </c>
      <c r="AN974" s="3" t="s">
        <v>7010</v>
      </c>
      <c r="AO974" s="3" t="s">
        <v>7010</v>
      </c>
      <c r="AP974" s="74" t="s">
        <v>7015</v>
      </c>
      <c r="AU974">
        <v>973</v>
      </c>
      <c r="AV974" t="s">
        <v>6789</v>
      </c>
      <c r="AW974" t="s">
        <v>2279</v>
      </c>
      <c r="AX974">
        <f t="shared" si="62"/>
        <v>20</v>
      </c>
      <c r="AY974" s="30" t="s">
        <v>6790</v>
      </c>
      <c r="BC974" s="3" t="s">
        <v>7010</v>
      </c>
      <c r="BD974" s="3" t="s">
        <v>7010</v>
      </c>
      <c r="BE974" s="3" t="s">
        <v>7010</v>
      </c>
      <c r="BF974" s="3" t="s">
        <v>7010</v>
      </c>
      <c r="BG974" s="3" t="s">
        <v>7010</v>
      </c>
      <c r="BH974" s="3" t="s">
        <v>7010</v>
      </c>
      <c r="BI974" s="3" t="s">
        <v>7010</v>
      </c>
      <c r="BJ974" s="3" t="s">
        <v>7010</v>
      </c>
      <c r="BK974" s="74" t="str">
        <f t="shared" si="63"/>
        <v>No</v>
      </c>
    </row>
    <row r="975" spans="7:63">
      <c r="G975">
        <v>974</v>
      </c>
      <c r="H975" s="7" t="s">
        <v>1280</v>
      </c>
      <c r="I975" t="s">
        <v>29</v>
      </c>
      <c r="J975">
        <f>LEN(H975)</f>
        <v>9</v>
      </c>
      <c r="K975" s="49" t="s">
        <v>4416</v>
      </c>
      <c r="O975" s="3" t="s">
        <v>7010</v>
      </c>
      <c r="P975" s="3" t="s">
        <v>7010</v>
      </c>
      <c r="Q975" s="3" t="s">
        <v>7010</v>
      </c>
      <c r="R975" s="3" t="s">
        <v>7010</v>
      </c>
      <c r="S975" s="3" t="s">
        <v>7010</v>
      </c>
      <c r="T975" s="3" t="s">
        <v>7015</v>
      </c>
      <c r="U975" s="3" t="s">
        <v>7015</v>
      </c>
      <c r="V975" s="3" t="s">
        <v>7015</v>
      </c>
      <c r="W975" s="74" t="str">
        <f t="shared" si="61"/>
        <v>Yes</v>
      </c>
      <c r="Z975">
        <v>974</v>
      </c>
      <c r="AA975" s="55" t="s">
        <v>6792</v>
      </c>
      <c r="AC975">
        <f t="shared" si="60"/>
        <v>8</v>
      </c>
      <c r="AD975" s="30" t="s">
        <v>6793</v>
      </c>
      <c r="AH975" s="3" t="s">
        <v>7015</v>
      </c>
      <c r="AI975" s="3" t="s">
        <v>7010</v>
      </c>
      <c r="AJ975" s="3" t="s">
        <v>7010</v>
      </c>
      <c r="AK975" s="3" t="s">
        <v>7015</v>
      </c>
      <c r="AL975" s="3" t="s">
        <v>7010</v>
      </c>
      <c r="AM975" s="3" t="s">
        <v>7010</v>
      </c>
      <c r="AN975" s="3" t="s">
        <v>7010</v>
      </c>
      <c r="AO975" s="3" t="s">
        <v>7010</v>
      </c>
      <c r="AP975" s="74" t="s">
        <v>7015</v>
      </c>
      <c r="AU975">
        <v>974</v>
      </c>
      <c r="AV975" t="s">
        <v>6794</v>
      </c>
      <c r="AW975" t="s">
        <v>2279</v>
      </c>
      <c r="AX975">
        <f t="shared" si="62"/>
        <v>8</v>
      </c>
      <c r="AY975" s="30" t="s">
        <v>6795</v>
      </c>
      <c r="BC975" s="3" t="s">
        <v>7010</v>
      </c>
      <c r="BD975" s="3" t="s">
        <v>7010</v>
      </c>
      <c r="BE975" s="3" t="s">
        <v>7015</v>
      </c>
      <c r="BF975" s="3" t="s">
        <v>7010</v>
      </c>
      <c r="BG975" s="3" t="s">
        <v>7010</v>
      </c>
      <c r="BH975" s="3" t="s">
        <v>7010</v>
      </c>
      <c r="BI975" s="3" t="s">
        <v>7010</v>
      </c>
      <c r="BJ975" s="3" t="s">
        <v>7010</v>
      </c>
      <c r="BK975" s="74" t="str">
        <f t="shared" si="63"/>
        <v>Yes</v>
      </c>
    </row>
    <row r="976" spans="7:63">
      <c r="G976">
        <v>975</v>
      </c>
      <c r="H976" s="7" t="s">
        <v>1538</v>
      </c>
      <c r="I976" t="s">
        <v>29</v>
      </c>
      <c r="J976">
        <f>LEN(H976)</f>
        <v>12</v>
      </c>
      <c r="K976" s="49" t="s">
        <v>5072</v>
      </c>
      <c r="O976" s="3" t="s">
        <v>7010</v>
      </c>
      <c r="P976" s="3" t="s">
        <v>7010</v>
      </c>
      <c r="Q976" s="3" t="s">
        <v>7010</v>
      </c>
      <c r="R976" s="3" t="s">
        <v>7010</v>
      </c>
      <c r="S976" s="3" t="s">
        <v>7010</v>
      </c>
      <c r="T976" s="3" t="s">
        <v>7015</v>
      </c>
      <c r="U976" s="3" t="s">
        <v>7010</v>
      </c>
      <c r="V976" s="3" t="s">
        <v>7010</v>
      </c>
      <c r="W976" s="74" t="str">
        <f t="shared" si="61"/>
        <v>Yes</v>
      </c>
      <c r="Z976">
        <v>975</v>
      </c>
      <c r="AA976" s="55" t="s">
        <v>6797</v>
      </c>
      <c r="AC976">
        <f t="shared" si="60"/>
        <v>7</v>
      </c>
      <c r="AD976" s="30" t="s">
        <v>6798</v>
      </c>
      <c r="AH976" s="3" t="s">
        <v>7015</v>
      </c>
      <c r="AI976" s="3" t="s">
        <v>7010</v>
      </c>
      <c r="AJ976" s="3" t="s">
        <v>7010</v>
      </c>
      <c r="AK976" s="3" t="s">
        <v>7015</v>
      </c>
      <c r="AL976" s="3" t="s">
        <v>7010</v>
      </c>
      <c r="AM976" s="3" t="s">
        <v>7010</v>
      </c>
      <c r="AN976" s="3" t="s">
        <v>7010</v>
      </c>
      <c r="AO976" s="3" t="s">
        <v>7010</v>
      </c>
      <c r="AP976" s="74" t="s">
        <v>7015</v>
      </c>
      <c r="AU976">
        <v>975</v>
      </c>
      <c r="AV976" t="s">
        <v>6799</v>
      </c>
      <c r="AW976" t="s">
        <v>2279</v>
      </c>
      <c r="AX976">
        <f t="shared" si="62"/>
        <v>10</v>
      </c>
      <c r="AY976" s="30" t="s">
        <v>6800</v>
      </c>
      <c r="BC976" s="3" t="s">
        <v>7010</v>
      </c>
      <c r="BD976" s="3" t="s">
        <v>7010</v>
      </c>
      <c r="BE976" s="3" t="s">
        <v>7010</v>
      </c>
      <c r="BF976" s="3" t="s">
        <v>7010</v>
      </c>
      <c r="BG976" s="3" t="s">
        <v>7010</v>
      </c>
      <c r="BH976" s="3" t="s">
        <v>7010</v>
      </c>
      <c r="BI976" s="3" t="s">
        <v>7010</v>
      </c>
      <c r="BJ976" s="3" t="s">
        <v>7010</v>
      </c>
      <c r="BK976" s="74" t="str">
        <f t="shared" si="63"/>
        <v>No</v>
      </c>
    </row>
    <row r="977" spans="7:63">
      <c r="G977">
        <v>976</v>
      </c>
      <c r="H977" s="7" t="s">
        <v>1316</v>
      </c>
      <c r="I977" t="s">
        <v>29</v>
      </c>
      <c r="J977">
        <f>LEN(H977)</f>
        <v>9</v>
      </c>
      <c r="K977" s="51" t="s">
        <v>4506</v>
      </c>
      <c r="O977" s="3" t="s">
        <v>7010</v>
      </c>
      <c r="P977" s="3" t="s">
        <v>7010</v>
      </c>
      <c r="Q977" s="3" t="s">
        <v>7010</v>
      </c>
      <c r="R977" s="3" t="s">
        <v>7010</v>
      </c>
      <c r="S977" s="3" t="s">
        <v>7010</v>
      </c>
      <c r="T977" s="3" t="s">
        <v>7010</v>
      </c>
      <c r="U977" s="3" t="s">
        <v>7010</v>
      </c>
      <c r="V977" s="3" t="s">
        <v>7010</v>
      </c>
      <c r="W977" s="74" t="str">
        <f t="shared" si="61"/>
        <v>No</v>
      </c>
      <c r="Z977">
        <v>976</v>
      </c>
      <c r="AA977" s="55" t="s">
        <v>6802</v>
      </c>
      <c r="AC977">
        <f t="shared" si="60"/>
        <v>6</v>
      </c>
      <c r="AD977" s="30" t="s">
        <v>6803</v>
      </c>
      <c r="AH977" s="3" t="s">
        <v>7015</v>
      </c>
      <c r="AI977" s="3" t="s">
        <v>7010</v>
      </c>
      <c r="AJ977" s="3" t="s">
        <v>7010</v>
      </c>
      <c r="AK977" s="3" t="s">
        <v>7015</v>
      </c>
      <c r="AL977" s="3" t="s">
        <v>7010</v>
      </c>
      <c r="AM977" s="3" t="s">
        <v>7010</v>
      </c>
      <c r="AN977" s="3" t="s">
        <v>7010</v>
      </c>
      <c r="AO977" s="3" t="s">
        <v>7010</v>
      </c>
      <c r="AP977" s="74" t="s">
        <v>7015</v>
      </c>
      <c r="AU977">
        <v>976</v>
      </c>
      <c r="AV977" t="s">
        <v>6804</v>
      </c>
      <c r="AW977" t="s">
        <v>2279</v>
      </c>
      <c r="AX977">
        <f t="shared" si="62"/>
        <v>8</v>
      </c>
      <c r="AY977" s="31" t="s">
        <v>6805</v>
      </c>
      <c r="BC977" s="3" t="s">
        <v>7010</v>
      </c>
      <c r="BD977" s="3" t="s">
        <v>7010</v>
      </c>
      <c r="BE977" s="3" t="s">
        <v>7010</v>
      </c>
      <c r="BF977" s="3" t="s">
        <v>7010</v>
      </c>
      <c r="BG977" s="3" t="s">
        <v>7010</v>
      </c>
      <c r="BH977" s="3" t="s">
        <v>7010</v>
      </c>
      <c r="BI977" s="3" t="s">
        <v>7010</v>
      </c>
      <c r="BJ977" s="3" t="s">
        <v>7010</v>
      </c>
      <c r="BK977" s="74" t="str">
        <f t="shared" si="63"/>
        <v>No</v>
      </c>
    </row>
    <row r="978" spans="7:63">
      <c r="G978">
        <v>977</v>
      </c>
      <c r="H978" s="7" t="s">
        <v>1644</v>
      </c>
      <c r="I978" t="s">
        <v>29</v>
      </c>
      <c r="J978">
        <f>LEN(H978)</f>
        <v>12</v>
      </c>
      <c r="K978" s="49" t="s">
        <v>5341</v>
      </c>
      <c r="O978" s="3" t="s">
        <v>7010</v>
      </c>
      <c r="P978" s="3" t="s">
        <v>7010</v>
      </c>
      <c r="Q978" s="3" t="s">
        <v>7010</v>
      </c>
      <c r="R978" s="3" t="s">
        <v>7010</v>
      </c>
      <c r="S978" s="3" t="s">
        <v>7010</v>
      </c>
      <c r="T978" s="3" t="s">
        <v>7010</v>
      </c>
      <c r="U978" s="3" t="s">
        <v>7015</v>
      </c>
      <c r="V978" s="3" t="s">
        <v>7015</v>
      </c>
      <c r="W978" s="74" t="str">
        <f t="shared" si="61"/>
        <v>Yes</v>
      </c>
      <c r="Z978">
        <v>977</v>
      </c>
      <c r="AA978" s="55" t="s">
        <v>6807</v>
      </c>
      <c r="AC978">
        <f t="shared" si="60"/>
        <v>6</v>
      </c>
      <c r="AD978" s="31" t="s">
        <v>6808</v>
      </c>
      <c r="AH978" s="3" t="s">
        <v>7015</v>
      </c>
      <c r="AI978" s="3" t="s">
        <v>7010</v>
      </c>
      <c r="AJ978" s="3" t="s">
        <v>7010</v>
      </c>
      <c r="AK978" s="3" t="s">
        <v>7015</v>
      </c>
      <c r="AL978" s="3" t="s">
        <v>7010</v>
      </c>
      <c r="AM978" s="3" t="s">
        <v>7010</v>
      </c>
      <c r="AN978" s="3" t="s">
        <v>7010</v>
      </c>
      <c r="AO978" s="3" t="s">
        <v>7010</v>
      </c>
      <c r="AP978" s="74" t="s">
        <v>7015</v>
      </c>
      <c r="AU978">
        <v>977</v>
      </c>
      <c r="AV978" t="s">
        <v>6809</v>
      </c>
      <c r="AW978" t="s">
        <v>2279</v>
      </c>
      <c r="AX978">
        <f t="shared" si="62"/>
        <v>8</v>
      </c>
      <c r="AY978" s="30" t="s">
        <v>6810</v>
      </c>
      <c r="BC978" s="3" t="s">
        <v>7010</v>
      </c>
      <c r="BD978" s="3" t="s">
        <v>7010</v>
      </c>
      <c r="BE978" s="3" t="s">
        <v>7010</v>
      </c>
      <c r="BF978" s="3" t="s">
        <v>7010</v>
      </c>
      <c r="BG978" s="3" t="s">
        <v>7010</v>
      </c>
      <c r="BH978" s="3" t="s">
        <v>7010</v>
      </c>
      <c r="BI978" s="3" t="s">
        <v>7010</v>
      </c>
      <c r="BJ978" s="3" t="s">
        <v>7010</v>
      </c>
      <c r="BK978" s="74" t="str">
        <f t="shared" si="63"/>
        <v>No</v>
      </c>
    </row>
    <row r="979" spans="7:63">
      <c r="G979">
        <v>978</v>
      </c>
      <c r="H979" s="7" t="s">
        <v>553</v>
      </c>
      <c r="I979" t="s">
        <v>29</v>
      </c>
      <c r="J979">
        <f>LEN(H979)</f>
        <v>12</v>
      </c>
      <c r="K979" s="49" t="s">
        <v>3129</v>
      </c>
      <c r="O979" s="3" t="s">
        <v>7010</v>
      </c>
      <c r="P979" s="3" t="s">
        <v>7010</v>
      </c>
      <c r="Q979" s="3" t="s">
        <v>7010</v>
      </c>
      <c r="R979" s="3" t="s">
        <v>7010</v>
      </c>
      <c r="S979" s="3" t="s">
        <v>7010</v>
      </c>
      <c r="T979" s="3" t="s">
        <v>7015</v>
      </c>
      <c r="U979" s="3" t="s">
        <v>7010</v>
      </c>
      <c r="V979" s="3" t="s">
        <v>7010</v>
      </c>
      <c r="W979" s="74" t="str">
        <f t="shared" si="61"/>
        <v>Yes</v>
      </c>
      <c r="Z979">
        <v>978</v>
      </c>
      <c r="AA979" s="55" t="s">
        <v>6812</v>
      </c>
      <c r="AC979">
        <f t="shared" si="60"/>
        <v>7</v>
      </c>
      <c r="AD979" s="30" t="s">
        <v>6813</v>
      </c>
      <c r="AH979" s="3" t="s">
        <v>7015</v>
      </c>
      <c r="AI979" s="3" t="s">
        <v>7010</v>
      </c>
      <c r="AJ979" s="3" t="s">
        <v>7010</v>
      </c>
      <c r="AK979" s="3" t="s">
        <v>7015</v>
      </c>
      <c r="AL979" s="3" t="s">
        <v>7010</v>
      </c>
      <c r="AM979" s="3" t="s">
        <v>7010</v>
      </c>
      <c r="AN979" s="3" t="s">
        <v>7010</v>
      </c>
      <c r="AO979" s="3" t="s">
        <v>7010</v>
      </c>
      <c r="AP979" s="74" t="s">
        <v>7015</v>
      </c>
      <c r="AU979">
        <v>978</v>
      </c>
      <c r="AV979" t="s">
        <v>6814</v>
      </c>
      <c r="AW979" t="s">
        <v>2279</v>
      </c>
      <c r="AX979">
        <f t="shared" si="62"/>
        <v>8</v>
      </c>
      <c r="AY979" s="30" t="s">
        <v>6815</v>
      </c>
      <c r="BC979" s="3" t="s">
        <v>7010</v>
      </c>
      <c r="BD979" s="3" t="s">
        <v>7010</v>
      </c>
      <c r="BE979" s="3" t="s">
        <v>7010</v>
      </c>
      <c r="BF979" s="3" t="s">
        <v>7010</v>
      </c>
      <c r="BG979" s="3" t="s">
        <v>7010</v>
      </c>
      <c r="BH979" s="3" t="s">
        <v>7010</v>
      </c>
      <c r="BI979" s="3" t="s">
        <v>7010</v>
      </c>
      <c r="BJ979" s="3" t="s">
        <v>7010</v>
      </c>
      <c r="BK979" s="74" t="str">
        <f t="shared" si="63"/>
        <v>No</v>
      </c>
    </row>
    <row r="980" spans="7:63">
      <c r="G980">
        <v>979</v>
      </c>
      <c r="H980" s="7" t="s">
        <v>465</v>
      </c>
      <c r="I980" t="s">
        <v>29</v>
      </c>
      <c r="J980">
        <f>LEN(H980)</f>
        <v>13</v>
      </c>
      <c r="K980" s="49" t="s">
        <v>2777</v>
      </c>
      <c r="O980" s="3" t="s">
        <v>7010</v>
      </c>
      <c r="P980" s="3" t="s">
        <v>7010</v>
      </c>
      <c r="Q980" s="3" t="s">
        <v>7010</v>
      </c>
      <c r="R980" s="3" t="s">
        <v>7015</v>
      </c>
      <c r="S980" s="3" t="s">
        <v>7010</v>
      </c>
      <c r="T980" s="3" t="s">
        <v>7015</v>
      </c>
      <c r="U980" s="3" t="s">
        <v>7010</v>
      </c>
      <c r="V980" s="3" t="s">
        <v>7010</v>
      </c>
      <c r="W980" s="74" t="str">
        <f t="shared" si="61"/>
        <v>Yes</v>
      </c>
      <c r="Z980">
        <v>979</v>
      </c>
      <c r="AA980" s="55" t="s">
        <v>6817</v>
      </c>
      <c r="AC980">
        <f t="shared" si="60"/>
        <v>6</v>
      </c>
      <c r="AD980" s="30" t="s">
        <v>6818</v>
      </c>
      <c r="AH980" s="3" t="s">
        <v>7015</v>
      </c>
      <c r="AI980" s="3" t="s">
        <v>7010</v>
      </c>
      <c r="AJ980" s="3" t="s">
        <v>7010</v>
      </c>
      <c r="AK980" s="3" t="s">
        <v>7015</v>
      </c>
      <c r="AL980" s="3" t="s">
        <v>7010</v>
      </c>
      <c r="AM980" s="3" t="s">
        <v>7010</v>
      </c>
      <c r="AN980" s="3" t="s">
        <v>7010</v>
      </c>
      <c r="AO980" s="3" t="s">
        <v>7010</v>
      </c>
      <c r="AP980" s="74" t="s">
        <v>7015</v>
      </c>
      <c r="AU980">
        <v>979</v>
      </c>
      <c r="AV980" t="s">
        <v>6819</v>
      </c>
      <c r="AW980" t="s">
        <v>2279</v>
      </c>
      <c r="AX980">
        <f t="shared" si="62"/>
        <v>8</v>
      </c>
      <c r="AY980" s="30" t="s">
        <v>6820</v>
      </c>
      <c r="BC980" s="3" t="s">
        <v>7010</v>
      </c>
      <c r="BD980" s="3" t="s">
        <v>7010</v>
      </c>
      <c r="BE980" s="3" t="s">
        <v>7010</v>
      </c>
      <c r="BF980" s="3" t="s">
        <v>7010</v>
      </c>
      <c r="BG980" s="3" t="s">
        <v>7010</v>
      </c>
      <c r="BH980" s="3" t="s">
        <v>7010</v>
      </c>
      <c r="BI980" s="3" t="s">
        <v>7010</v>
      </c>
      <c r="BJ980" s="3" t="s">
        <v>7010</v>
      </c>
      <c r="BK980" s="74" t="str">
        <f t="shared" si="63"/>
        <v>No</v>
      </c>
    </row>
    <row r="981" spans="7:63">
      <c r="G981">
        <v>980</v>
      </c>
      <c r="H981" t="s">
        <v>6968</v>
      </c>
      <c r="I981" t="s">
        <v>29</v>
      </c>
      <c r="J981">
        <f>LEN(H981)</f>
        <v>13</v>
      </c>
      <c r="K981" s="49" t="s">
        <v>6969</v>
      </c>
      <c r="O981" s="3" t="s">
        <v>7010</v>
      </c>
      <c r="P981" s="3" t="s">
        <v>7010</v>
      </c>
      <c r="Q981" s="3" t="s">
        <v>7010</v>
      </c>
      <c r="R981" s="3" t="s">
        <v>7015</v>
      </c>
      <c r="S981" s="3" t="s">
        <v>7010</v>
      </c>
      <c r="T981" s="3" t="s">
        <v>7015</v>
      </c>
      <c r="U981" s="3" t="s">
        <v>7010</v>
      </c>
      <c r="V981" s="3" t="s">
        <v>7010</v>
      </c>
      <c r="W981" s="74" t="str">
        <f t="shared" si="61"/>
        <v>Yes</v>
      </c>
      <c r="Z981">
        <v>980</v>
      </c>
      <c r="AA981" s="55" t="s">
        <v>6822</v>
      </c>
      <c r="AC981">
        <f t="shared" si="60"/>
        <v>8</v>
      </c>
      <c r="AD981" s="30" t="s">
        <v>6823</v>
      </c>
      <c r="AH981" s="3" t="s">
        <v>7015</v>
      </c>
      <c r="AI981" s="3" t="s">
        <v>7010</v>
      </c>
      <c r="AJ981" s="3" t="s">
        <v>7010</v>
      </c>
      <c r="AK981" s="3" t="s">
        <v>7015</v>
      </c>
      <c r="AL981" s="3" t="s">
        <v>7010</v>
      </c>
      <c r="AM981" s="3" t="s">
        <v>7010</v>
      </c>
      <c r="AN981" s="3" t="s">
        <v>7010</v>
      </c>
      <c r="AO981" s="3" t="s">
        <v>7010</v>
      </c>
      <c r="AP981" s="74" t="s">
        <v>7015</v>
      </c>
      <c r="AU981">
        <v>980</v>
      </c>
      <c r="AV981" t="s">
        <v>6824</v>
      </c>
      <c r="AW981" t="s">
        <v>2279</v>
      </c>
      <c r="AX981">
        <f t="shared" si="62"/>
        <v>8</v>
      </c>
      <c r="AY981" s="30" t="s">
        <v>6825</v>
      </c>
      <c r="BC981" s="3" t="s">
        <v>7010</v>
      </c>
      <c r="BD981" s="3" t="s">
        <v>7010</v>
      </c>
      <c r="BE981" s="3" t="s">
        <v>7010</v>
      </c>
      <c r="BF981" s="3" t="s">
        <v>7010</v>
      </c>
      <c r="BG981" s="3" t="s">
        <v>7010</v>
      </c>
      <c r="BH981" s="3" t="s">
        <v>7010</v>
      </c>
      <c r="BI981" s="3" t="s">
        <v>7010</v>
      </c>
      <c r="BJ981" s="3" t="s">
        <v>7010</v>
      </c>
      <c r="BK981" s="74" t="str">
        <f t="shared" si="63"/>
        <v>No</v>
      </c>
    </row>
    <row r="982" spans="7:63">
      <c r="G982">
        <v>981</v>
      </c>
      <c r="H982" t="s">
        <v>6982</v>
      </c>
      <c r="I982" t="s">
        <v>29</v>
      </c>
      <c r="J982">
        <f>LEN(H982)</f>
        <v>11</v>
      </c>
      <c r="K982" s="49" t="s">
        <v>6983</v>
      </c>
      <c r="O982" s="3" t="s">
        <v>7010</v>
      </c>
      <c r="P982" s="3" t="s">
        <v>7010</v>
      </c>
      <c r="Q982" s="3" t="s">
        <v>7010</v>
      </c>
      <c r="R982" s="3" t="s">
        <v>7015</v>
      </c>
      <c r="S982" s="3" t="s">
        <v>7010</v>
      </c>
      <c r="T982" s="3" t="s">
        <v>7010</v>
      </c>
      <c r="U982" s="3" t="s">
        <v>7010</v>
      </c>
      <c r="V982" s="3" t="s">
        <v>7010</v>
      </c>
      <c r="W982" s="74" t="str">
        <f t="shared" si="61"/>
        <v>Yes</v>
      </c>
      <c r="Z982">
        <v>981</v>
      </c>
      <c r="AA982" s="55">
        <v>147852369</v>
      </c>
      <c r="AC982">
        <f t="shared" si="60"/>
        <v>9</v>
      </c>
      <c r="AD982" s="30" t="s">
        <v>6827</v>
      </c>
      <c r="AH982" s="3" t="s">
        <v>7015</v>
      </c>
      <c r="AI982" s="3" t="s">
        <v>7010</v>
      </c>
      <c r="AJ982" s="3" t="s">
        <v>7010</v>
      </c>
      <c r="AK982" s="3" t="s">
        <v>7015</v>
      </c>
      <c r="AL982" s="3" t="s">
        <v>7010</v>
      </c>
      <c r="AM982" s="3" t="s">
        <v>7010</v>
      </c>
      <c r="AN982" s="3" t="s">
        <v>7010</v>
      </c>
      <c r="AO982" s="3" t="s">
        <v>7010</v>
      </c>
      <c r="AP982" s="74" t="s">
        <v>7015</v>
      </c>
      <c r="AU982">
        <v>981</v>
      </c>
      <c r="AV982" t="s">
        <v>6828</v>
      </c>
      <c r="AW982" t="s">
        <v>2279</v>
      </c>
      <c r="AX982">
        <f t="shared" si="62"/>
        <v>9</v>
      </c>
      <c r="AY982" s="30" t="s">
        <v>6829</v>
      </c>
      <c r="BC982" s="3" t="s">
        <v>7010</v>
      </c>
      <c r="BD982" s="3" t="s">
        <v>7010</v>
      </c>
      <c r="BE982" s="3" t="s">
        <v>7010</v>
      </c>
      <c r="BF982" s="3" t="s">
        <v>7010</v>
      </c>
      <c r="BG982" s="3" t="s">
        <v>7010</v>
      </c>
      <c r="BH982" s="3" t="s">
        <v>7010</v>
      </c>
      <c r="BI982" s="3" t="s">
        <v>7010</v>
      </c>
      <c r="BJ982" s="3" t="s">
        <v>7010</v>
      </c>
      <c r="BK982" s="74" t="str">
        <f t="shared" si="63"/>
        <v>No</v>
      </c>
    </row>
    <row r="983" spans="7:63">
      <c r="G983">
        <v>982</v>
      </c>
      <c r="H983" s="7" t="s">
        <v>6926</v>
      </c>
      <c r="I983" t="s">
        <v>29</v>
      </c>
      <c r="J983">
        <f>LEN(H983)</f>
        <v>10</v>
      </c>
      <c r="K983" s="49" t="s">
        <v>6927</v>
      </c>
      <c r="O983" s="3" t="s">
        <v>7010</v>
      </c>
      <c r="P983" s="3" t="s">
        <v>7010</v>
      </c>
      <c r="Q983" s="3" t="s">
        <v>7010</v>
      </c>
      <c r="R983" s="3" t="s">
        <v>7015</v>
      </c>
      <c r="S983" s="3" t="s">
        <v>7010</v>
      </c>
      <c r="T983" s="3" t="s">
        <v>7015</v>
      </c>
      <c r="U983" s="3" t="s">
        <v>7010</v>
      </c>
      <c r="V983" s="3" t="s">
        <v>7010</v>
      </c>
      <c r="W983" s="74" t="str">
        <f t="shared" si="61"/>
        <v>Yes</v>
      </c>
      <c r="Z983">
        <v>982</v>
      </c>
      <c r="AA983" s="55" t="s">
        <v>6831</v>
      </c>
      <c r="AC983">
        <f t="shared" si="60"/>
        <v>7</v>
      </c>
      <c r="AD983" s="30" t="s">
        <v>6832</v>
      </c>
      <c r="AH983" s="3" t="s">
        <v>7015</v>
      </c>
      <c r="AI983" s="3" t="s">
        <v>7010</v>
      </c>
      <c r="AJ983" s="3" t="s">
        <v>7010</v>
      </c>
      <c r="AK983" s="3" t="s">
        <v>7015</v>
      </c>
      <c r="AL983" s="3" t="s">
        <v>7010</v>
      </c>
      <c r="AM983" s="3" t="s">
        <v>7010</v>
      </c>
      <c r="AN983" s="3" t="s">
        <v>7010</v>
      </c>
      <c r="AO983" s="3" t="s">
        <v>7010</v>
      </c>
      <c r="AP983" s="74" t="s">
        <v>7015</v>
      </c>
      <c r="AU983">
        <v>982</v>
      </c>
      <c r="AV983" t="s">
        <v>6833</v>
      </c>
      <c r="AW983" t="s">
        <v>2279</v>
      </c>
      <c r="AX983">
        <f t="shared" si="62"/>
        <v>10</v>
      </c>
      <c r="AY983" s="31" t="s">
        <v>6834</v>
      </c>
      <c r="BC983" s="3" t="s">
        <v>7010</v>
      </c>
      <c r="BD983" s="3" t="s">
        <v>7010</v>
      </c>
      <c r="BE983" s="3" t="s">
        <v>7010</v>
      </c>
      <c r="BF983" s="3" t="s">
        <v>7010</v>
      </c>
      <c r="BG983" s="3" t="s">
        <v>7010</v>
      </c>
      <c r="BH983" s="3" t="s">
        <v>7010</v>
      </c>
      <c r="BI983" s="3" t="s">
        <v>7010</v>
      </c>
      <c r="BJ983" s="3" t="s">
        <v>7010</v>
      </c>
      <c r="BK983" s="74" t="str">
        <f t="shared" si="63"/>
        <v>No</v>
      </c>
    </row>
    <row r="984" spans="7:63">
      <c r="G984">
        <v>983</v>
      </c>
      <c r="H984" s="7" t="s">
        <v>6928</v>
      </c>
      <c r="I984" t="s">
        <v>29</v>
      </c>
      <c r="J984">
        <f>LEN(H984)</f>
        <v>11</v>
      </c>
      <c r="K984" s="49" t="s">
        <v>6929</v>
      </c>
      <c r="O984" s="3" t="s">
        <v>7010</v>
      </c>
      <c r="P984" s="3" t="s">
        <v>7010</v>
      </c>
      <c r="Q984" s="3" t="s">
        <v>7010</v>
      </c>
      <c r="R984" s="3" t="s">
        <v>7015</v>
      </c>
      <c r="S984" s="3" t="s">
        <v>7010</v>
      </c>
      <c r="T984" s="3" t="s">
        <v>7015</v>
      </c>
      <c r="U984" s="3" t="s">
        <v>7010</v>
      </c>
      <c r="V984" s="3" t="s">
        <v>7010</v>
      </c>
      <c r="W984" s="74" t="str">
        <f t="shared" si="61"/>
        <v>Yes</v>
      </c>
      <c r="Z984">
        <v>983</v>
      </c>
      <c r="AA984" s="55" t="s">
        <v>6836</v>
      </c>
      <c r="AC984">
        <f t="shared" si="60"/>
        <v>6</v>
      </c>
      <c r="AD984" s="30" t="s">
        <v>6837</v>
      </c>
      <c r="AH984" s="3" t="s">
        <v>7015</v>
      </c>
      <c r="AI984" s="3" t="s">
        <v>7010</v>
      </c>
      <c r="AJ984" s="3" t="s">
        <v>7010</v>
      </c>
      <c r="AK984" s="3" t="s">
        <v>7015</v>
      </c>
      <c r="AL984" s="3" t="s">
        <v>7010</v>
      </c>
      <c r="AM984" s="3" t="s">
        <v>7010</v>
      </c>
      <c r="AN984" s="3" t="s">
        <v>7010</v>
      </c>
      <c r="AO984" s="3" t="s">
        <v>7010</v>
      </c>
      <c r="AP984" s="74" t="s">
        <v>7015</v>
      </c>
      <c r="AU984">
        <v>983</v>
      </c>
      <c r="AV984" t="s">
        <v>6838</v>
      </c>
      <c r="AW984" t="s">
        <v>2279</v>
      </c>
      <c r="AX984">
        <f t="shared" si="62"/>
        <v>13</v>
      </c>
      <c r="AY984" s="30" t="s">
        <v>6839</v>
      </c>
      <c r="BC984" s="3" t="s">
        <v>7010</v>
      </c>
      <c r="BD984" s="3" t="s">
        <v>7010</v>
      </c>
      <c r="BE984" s="3" t="s">
        <v>7010</v>
      </c>
      <c r="BF984" s="3" t="s">
        <v>7010</v>
      </c>
      <c r="BG984" s="3" t="s">
        <v>7010</v>
      </c>
      <c r="BH984" s="3" t="s">
        <v>7010</v>
      </c>
      <c r="BI984" s="3" t="s">
        <v>7010</v>
      </c>
      <c r="BJ984" s="3" t="s">
        <v>7010</v>
      </c>
      <c r="BK984" s="74" t="str">
        <f t="shared" si="63"/>
        <v>No</v>
      </c>
    </row>
    <row r="985" spans="7:63">
      <c r="G985">
        <v>984</v>
      </c>
      <c r="H985" t="s">
        <v>6960</v>
      </c>
      <c r="I985" t="s">
        <v>29</v>
      </c>
      <c r="J985">
        <f>LEN(H985)</f>
        <v>11</v>
      </c>
      <c r="K985" s="49" t="s">
        <v>6961</v>
      </c>
      <c r="O985" s="3" t="s">
        <v>7010</v>
      </c>
      <c r="P985" s="3" t="s">
        <v>7010</v>
      </c>
      <c r="Q985" s="3" t="s">
        <v>7010</v>
      </c>
      <c r="R985" s="3" t="s">
        <v>7010</v>
      </c>
      <c r="S985" s="3" t="s">
        <v>7010</v>
      </c>
      <c r="T985" s="3" t="s">
        <v>7015</v>
      </c>
      <c r="U985" s="3" t="s">
        <v>7010</v>
      </c>
      <c r="V985" s="3" t="s">
        <v>7010</v>
      </c>
      <c r="W985" s="74" t="str">
        <f t="shared" si="61"/>
        <v>Yes</v>
      </c>
      <c r="Z985">
        <v>984</v>
      </c>
      <c r="AA985" s="55" t="s">
        <v>6841</v>
      </c>
      <c r="AC985">
        <f t="shared" si="60"/>
        <v>7</v>
      </c>
      <c r="AD985" s="30" t="s">
        <v>6842</v>
      </c>
      <c r="AH985" s="3" t="s">
        <v>7015</v>
      </c>
      <c r="AI985" s="3" t="s">
        <v>7010</v>
      </c>
      <c r="AJ985" s="3" t="s">
        <v>7010</v>
      </c>
      <c r="AK985" s="3" t="s">
        <v>7015</v>
      </c>
      <c r="AL985" s="3" t="s">
        <v>7010</v>
      </c>
      <c r="AM985" s="3" t="s">
        <v>7010</v>
      </c>
      <c r="AN985" s="3" t="s">
        <v>7010</v>
      </c>
      <c r="AO985" s="3" t="s">
        <v>7010</v>
      </c>
      <c r="AP985" s="74" t="s">
        <v>7015</v>
      </c>
      <c r="AU985">
        <v>984</v>
      </c>
      <c r="AV985" t="s">
        <v>6843</v>
      </c>
      <c r="AW985" t="s">
        <v>2279</v>
      </c>
      <c r="AX985">
        <f t="shared" si="62"/>
        <v>9</v>
      </c>
      <c r="AY985" s="30" t="s">
        <v>6844</v>
      </c>
      <c r="BC985" s="3" t="s">
        <v>7015</v>
      </c>
      <c r="BD985" s="3" t="s">
        <v>7010</v>
      </c>
      <c r="BE985" s="3" t="s">
        <v>7015</v>
      </c>
      <c r="BF985" s="3" t="s">
        <v>7010</v>
      </c>
      <c r="BG985" s="3" t="s">
        <v>7010</v>
      </c>
      <c r="BH985" s="3" t="s">
        <v>7010</v>
      </c>
      <c r="BI985" s="3" t="s">
        <v>7010</v>
      </c>
      <c r="BJ985" s="3" t="s">
        <v>7010</v>
      </c>
      <c r="BK985" s="74" t="str">
        <f t="shared" si="63"/>
        <v>Yes</v>
      </c>
    </row>
    <row r="986" spans="7:63">
      <c r="G986">
        <v>985</v>
      </c>
      <c r="H986" s="7" t="s">
        <v>1122</v>
      </c>
      <c r="I986" t="s">
        <v>29</v>
      </c>
      <c r="J986">
        <f>LEN(H986)</f>
        <v>16</v>
      </c>
      <c r="K986" s="49" t="s">
        <v>4017</v>
      </c>
      <c r="O986" s="3" t="s">
        <v>7010</v>
      </c>
      <c r="P986" s="3" t="s">
        <v>7010</v>
      </c>
      <c r="Q986" s="3" t="s">
        <v>7010</v>
      </c>
      <c r="R986" s="3" t="s">
        <v>7010</v>
      </c>
      <c r="S986" s="3" t="s">
        <v>7010</v>
      </c>
      <c r="T986" s="3" t="s">
        <v>7010</v>
      </c>
      <c r="U986" s="3" t="s">
        <v>7010</v>
      </c>
      <c r="V986" s="3" t="s">
        <v>7010</v>
      </c>
      <c r="W986" s="74" t="str">
        <f t="shared" si="61"/>
        <v>No</v>
      </c>
      <c r="Z986">
        <v>985</v>
      </c>
      <c r="AA986" s="55" t="s">
        <v>6846</v>
      </c>
      <c r="AC986">
        <f t="shared" si="60"/>
        <v>9</v>
      </c>
      <c r="AD986" s="31" t="s">
        <v>6847</v>
      </c>
      <c r="AH986" s="3" t="s">
        <v>7015</v>
      </c>
      <c r="AI986" s="3" t="s">
        <v>7010</v>
      </c>
      <c r="AJ986" s="3" t="s">
        <v>7010</v>
      </c>
      <c r="AK986" s="3" t="s">
        <v>7015</v>
      </c>
      <c r="AL986" s="3" t="s">
        <v>7010</v>
      </c>
      <c r="AM986" s="3" t="s">
        <v>7010</v>
      </c>
      <c r="AN986" s="3" t="s">
        <v>7010</v>
      </c>
      <c r="AO986" s="3" t="s">
        <v>7010</v>
      </c>
      <c r="AP986" s="74" t="s">
        <v>7015</v>
      </c>
      <c r="AU986">
        <v>985</v>
      </c>
      <c r="AV986" t="s">
        <v>6848</v>
      </c>
      <c r="AW986" t="s">
        <v>2279</v>
      </c>
      <c r="AX986">
        <f t="shared" si="62"/>
        <v>9</v>
      </c>
      <c r="AY986" s="30" t="s">
        <v>6849</v>
      </c>
      <c r="BC986" s="3" t="s">
        <v>7010</v>
      </c>
      <c r="BD986" s="3" t="s">
        <v>7010</v>
      </c>
      <c r="BE986" s="3" t="s">
        <v>7015</v>
      </c>
      <c r="BF986" s="3" t="s">
        <v>7010</v>
      </c>
      <c r="BG986" s="3" t="s">
        <v>7010</v>
      </c>
      <c r="BH986" s="3" t="s">
        <v>7010</v>
      </c>
      <c r="BI986" s="3" t="s">
        <v>7010</v>
      </c>
      <c r="BJ986" s="3" t="s">
        <v>7010</v>
      </c>
      <c r="BK986" s="74" t="str">
        <f t="shared" si="63"/>
        <v>Yes</v>
      </c>
    </row>
    <row r="987" spans="7:63">
      <c r="G987">
        <v>986</v>
      </c>
      <c r="H987" s="7" t="s">
        <v>1096</v>
      </c>
      <c r="I987" t="s">
        <v>29</v>
      </c>
      <c r="J987">
        <f>LEN(H987)</f>
        <v>11</v>
      </c>
      <c r="K987" s="49" t="s">
        <v>3952</v>
      </c>
      <c r="O987" s="3" t="s">
        <v>7010</v>
      </c>
      <c r="P987" s="3" t="s">
        <v>7010</v>
      </c>
      <c r="Q987" s="3" t="s">
        <v>7010</v>
      </c>
      <c r="R987" s="3" t="s">
        <v>7010</v>
      </c>
      <c r="S987" s="3" t="s">
        <v>7010</v>
      </c>
      <c r="T987" s="3" t="s">
        <v>7015</v>
      </c>
      <c r="U987" s="3" t="s">
        <v>7010</v>
      </c>
      <c r="V987" s="3" t="s">
        <v>7010</v>
      </c>
      <c r="W987" s="74" t="str">
        <f t="shared" si="61"/>
        <v>Yes</v>
      </c>
      <c r="Z987">
        <v>986</v>
      </c>
      <c r="AA987" s="55" t="s">
        <v>6851</v>
      </c>
      <c r="AC987">
        <f t="shared" si="60"/>
        <v>6</v>
      </c>
      <c r="AD987" s="30" t="s">
        <v>6852</v>
      </c>
      <c r="AH987" s="3" t="s">
        <v>7015</v>
      </c>
      <c r="AI987" s="3" t="s">
        <v>7010</v>
      </c>
      <c r="AJ987" s="3" t="s">
        <v>7010</v>
      </c>
      <c r="AK987" s="3" t="s">
        <v>7015</v>
      </c>
      <c r="AL987" s="3" t="s">
        <v>7010</v>
      </c>
      <c r="AM987" s="3" t="s">
        <v>7010</v>
      </c>
      <c r="AN987" s="3" t="s">
        <v>7010</v>
      </c>
      <c r="AO987" s="3" t="s">
        <v>7010</v>
      </c>
      <c r="AP987" s="74" t="s">
        <v>7015</v>
      </c>
      <c r="AU987">
        <v>986</v>
      </c>
      <c r="AV987" t="s">
        <v>6853</v>
      </c>
      <c r="AW987" t="s">
        <v>2279</v>
      </c>
      <c r="AX987">
        <f t="shared" si="62"/>
        <v>8</v>
      </c>
      <c r="AY987" s="30" t="s">
        <v>6854</v>
      </c>
      <c r="BC987" s="3" t="s">
        <v>7010</v>
      </c>
      <c r="BD987" s="3" t="s">
        <v>7010</v>
      </c>
      <c r="BE987" s="3" t="s">
        <v>7010</v>
      </c>
      <c r="BF987" s="3" t="s">
        <v>7010</v>
      </c>
      <c r="BG987" s="3" t="s">
        <v>7010</v>
      </c>
      <c r="BH987" s="3" t="s">
        <v>7010</v>
      </c>
      <c r="BI987" s="3" t="s">
        <v>7010</v>
      </c>
      <c r="BJ987" s="3" t="s">
        <v>7010</v>
      </c>
      <c r="BK987" s="74" t="str">
        <f t="shared" si="63"/>
        <v>No</v>
      </c>
    </row>
    <row r="988" spans="7:63">
      <c r="G988">
        <v>987</v>
      </c>
      <c r="H988" s="7" t="s">
        <v>433</v>
      </c>
      <c r="I988" t="s">
        <v>29</v>
      </c>
      <c r="J988">
        <f>LEN(H988)</f>
        <v>12</v>
      </c>
      <c r="K988" s="49" t="s">
        <v>2649</v>
      </c>
      <c r="O988" s="3" t="s">
        <v>7010</v>
      </c>
      <c r="P988" s="3" t="s">
        <v>7010</v>
      </c>
      <c r="Q988" s="3" t="s">
        <v>7010</v>
      </c>
      <c r="R988" s="3" t="s">
        <v>7015</v>
      </c>
      <c r="S988" s="3" t="s">
        <v>7010</v>
      </c>
      <c r="T988" s="3" t="s">
        <v>7015</v>
      </c>
      <c r="U988" s="3" t="s">
        <v>7010</v>
      </c>
      <c r="V988" s="3" t="s">
        <v>7010</v>
      </c>
      <c r="W988" s="74" t="str">
        <f t="shared" si="61"/>
        <v>Yes</v>
      </c>
      <c r="Z988">
        <v>987</v>
      </c>
      <c r="AA988" s="55" t="s">
        <v>6856</v>
      </c>
      <c r="AC988">
        <f t="shared" si="60"/>
        <v>6</v>
      </c>
      <c r="AD988" s="30" t="s">
        <v>6857</v>
      </c>
      <c r="AH988" s="3" t="s">
        <v>7015</v>
      </c>
      <c r="AI988" s="3" t="s">
        <v>7010</v>
      </c>
      <c r="AJ988" s="3" t="s">
        <v>7010</v>
      </c>
      <c r="AK988" s="3" t="s">
        <v>7015</v>
      </c>
      <c r="AL988" s="3" t="s">
        <v>7010</v>
      </c>
      <c r="AM988" s="3" t="s">
        <v>7010</v>
      </c>
      <c r="AN988" s="3" t="s">
        <v>7010</v>
      </c>
      <c r="AO988" s="3" t="s">
        <v>7010</v>
      </c>
      <c r="AP988" s="74" t="s">
        <v>7015</v>
      </c>
      <c r="AU988">
        <v>987</v>
      </c>
      <c r="AV988" t="s">
        <v>6858</v>
      </c>
      <c r="AW988" t="s">
        <v>2279</v>
      </c>
      <c r="AX988">
        <f t="shared" si="62"/>
        <v>8</v>
      </c>
      <c r="AY988" s="30" t="s">
        <v>6859</v>
      </c>
      <c r="BC988" s="3" t="s">
        <v>7010</v>
      </c>
      <c r="BD988" s="3" t="s">
        <v>7010</v>
      </c>
      <c r="BE988" s="3" t="s">
        <v>7015</v>
      </c>
      <c r="BF988" s="3" t="s">
        <v>7010</v>
      </c>
      <c r="BG988" s="3" t="s">
        <v>7010</v>
      </c>
      <c r="BH988" s="3" t="s">
        <v>7010</v>
      </c>
      <c r="BI988" s="3" t="s">
        <v>7010</v>
      </c>
      <c r="BJ988" s="3" t="s">
        <v>7010</v>
      </c>
      <c r="BK988" s="74" t="str">
        <f t="shared" si="63"/>
        <v>Yes</v>
      </c>
    </row>
    <row r="989" spans="7:63">
      <c r="G989">
        <v>988</v>
      </c>
      <c r="H989" s="7" t="s">
        <v>1914</v>
      </c>
      <c r="I989" t="s">
        <v>29</v>
      </c>
      <c r="J989">
        <f>LEN(H989)</f>
        <v>16</v>
      </c>
      <c r="K989" s="49" t="s">
        <v>6093</v>
      </c>
      <c r="O989" s="3" t="s">
        <v>7010</v>
      </c>
      <c r="P989" s="3" t="s">
        <v>7010</v>
      </c>
      <c r="Q989" s="3" t="s">
        <v>7010</v>
      </c>
      <c r="R989" s="3" t="s">
        <v>7010</v>
      </c>
      <c r="S989" s="3" t="s">
        <v>7010</v>
      </c>
      <c r="T989" s="3" t="s">
        <v>7010</v>
      </c>
      <c r="U989" s="3" t="s">
        <v>7010</v>
      </c>
      <c r="V989" s="3" t="s">
        <v>7010</v>
      </c>
      <c r="W989" s="74" t="str">
        <f t="shared" si="61"/>
        <v>No</v>
      </c>
      <c r="Z989">
        <v>988</v>
      </c>
      <c r="AA989" s="55" t="s">
        <v>6861</v>
      </c>
      <c r="AC989">
        <f t="shared" si="60"/>
        <v>6</v>
      </c>
      <c r="AD989" s="30" t="s">
        <v>6862</v>
      </c>
      <c r="AH989" s="3" t="s">
        <v>7015</v>
      </c>
      <c r="AI989" s="3" t="s">
        <v>7010</v>
      </c>
      <c r="AJ989" s="3" t="s">
        <v>7010</v>
      </c>
      <c r="AK989" s="3" t="s">
        <v>7015</v>
      </c>
      <c r="AL989" s="3" t="s">
        <v>7010</v>
      </c>
      <c r="AM989" s="3" t="s">
        <v>7010</v>
      </c>
      <c r="AN989" s="3" t="s">
        <v>7010</v>
      </c>
      <c r="AO989" s="3" t="s">
        <v>7010</v>
      </c>
      <c r="AP989" s="74" t="s">
        <v>7015</v>
      </c>
      <c r="AU989">
        <v>988</v>
      </c>
      <c r="AV989" t="s">
        <v>6863</v>
      </c>
      <c r="AW989" t="s">
        <v>2279</v>
      </c>
      <c r="AX989">
        <f t="shared" si="62"/>
        <v>8</v>
      </c>
      <c r="AY989" s="30" t="s">
        <v>6864</v>
      </c>
      <c r="BC989" s="3" t="s">
        <v>7010</v>
      </c>
      <c r="BD989" s="3" t="s">
        <v>7010</v>
      </c>
      <c r="BE989" s="3" t="s">
        <v>7010</v>
      </c>
      <c r="BF989" s="3" t="s">
        <v>7010</v>
      </c>
      <c r="BG989" s="3" t="s">
        <v>7010</v>
      </c>
      <c r="BH989" s="3" t="s">
        <v>7010</v>
      </c>
      <c r="BI989" s="3" t="s">
        <v>7010</v>
      </c>
      <c r="BJ989" s="3" t="s">
        <v>7010</v>
      </c>
      <c r="BK989" s="74" t="str">
        <f t="shared" si="63"/>
        <v>No</v>
      </c>
    </row>
    <row r="990" spans="7:63">
      <c r="G990">
        <v>989</v>
      </c>
      <c r="H990" s="7" t="s">
        <v>2079</v>
      </c>
      <c r="I990" t="s">
        <v>29</v>
      </c>
      <c r="J990">
        <f>LEN(H990)</f>
        <v>18</v>
      </c>
      <c r="K990" s="49" t="s">
        <v>6523</v>
      </c>
      <c r="O990" s="3" t="s">
        <v>7010</v>
      </c>
      <c r="P990" s="3" t="s">
        <v>7010</v>
      </c>
      <c r="Q990" s="3" t="s">
        <v>7010</v>
      </c>
      <c r="R990" s="3" t="s">
        <v>7010</v>
      </c>
      <c r="S990" s="3" t="s">
        <v>7010</v>
      </c>
      <c r="T990" s="3" t="s">
        <v>7015</v>
      </c>
      <c r="U990" s="3" t="s">
        <v>7010</v>
      </c>
      <c r="V990" s="3" t="s">
        <v>7010</v>
      </c>
      <c r="W990" s="74" t="str">
        <f t="shared" si="61"/>
        <v>Yes</v>
      </c>
      <c r="Z990">
        <v>989</v>
      </c>
      <c r="AA990" s="55">
        <v>123123123</v>
      </c>
      <c r="AC990">
        <f t="shared" si="60"/>
        <v>9</v>
      </c>
      <c r="AD990" s="30" t="s">
        <v>6866</v>
      </c>
      <c r="AH990" s="3" t="s">
        <v>7015</v>
      </c>
      <c r="AI990" s="3" t="s">
        <v>7010</v>
      </c>
      <c r="AJ990" s="3" t="s">
        <v>7010</v>
      </c>
      <c r="AK990" s="3" t="s">
        <v>7015</v>
      </c>
      <c r="AL990" s="3" t="s">
        <v>7010</v>
      </c>
      <c r="AM990" s="3" t="s">
        <v>7010</v>
      </c>
      <c r="AN990" s="3" t="s">
        <v>7010</v>
      </c>
      <c r="AO990" s="3" t="s">
        <v>7010</v>
      </c>
      <c r="AP990" s="74" t="s">
        <v>7015</v>
      </c>
      <c r="AU990">
        <v>989</v>
      </c>
      <c r="AV990" t="s">
        <v>6867</v>
      </c>
      <c r="AW990" t="s">
        <v>2279</v>
      </c>
      <c r="AX990">
        <f t="shared" si="62"/>
        <v>10</v>
      </c>
      <c r="AY990" s="30" t="s">
        <v>6868</v>
      </c>
      <c r="BC990" s="3" t="s">
        <v>7010</v>
      </c>
      <c r="BD990" s="3" t="s">
        <v>7010</v>
      </c>
      <c r="BE990" s="3" t="s">
        <v>7010</v>
      </c>
      <c r="BF990" s="3" t="s">
        <v>7010</v>
      </c>
      <c r="BG990" s="3" t="s">
        <v>7010</v>
      </c>
      <c r="BH990" s="3" t="s">
        <v>7010</v>
      </c>
      <c r="BI990" s="3" t="s">
        <v>7010</v>
      </c>
      <c r="BJ990" s="3" t="s">
        <v>7010</v>
      </c>
      <c r="BK990" s="74" t="str">
        <f t="shared" si="63"/>
        <v>No</v>
      </c>
    </row>
    <row r="991" spans="7:63">
      <c r="G991">
        <v>990</v>
      </c>
      <c r="H991" t="s">
        <v>6952</v>
      </c>
      <c r="I991" t="s">
        <v>29</v>
      </c>
      <c r="J991">
        <f>LEN(H991)</f>
        <v>10</v>
      </c>
      <c r="K991" s="49" t="s">
        <v>6953</v>
      </c>
      <c r="O991" s="3" t="s">
        <v>7010</v>
      </c>
      <c r="P991" s="3" t="s">
        <v>7010</v>
      </c>
      <c r="Q991" s="3" t="s">
        <v>7010</v>
      </c>
      <c r="R991" s="3" t="s">
        <v>7015</v>
      </c>
      <c r="S991" s="3" t="s">
        <v>7010</v>
      </c>
      <c r="T991" s="3" t="s">
        <v>7010</v>
      </c>
      <c r="U991" s="3" t="s">
        <v>7010</v>
      </c>
      <c r="V991" s="3" t="s">
        <v>7010</v>
      </c>
      <c r="W991" s="74" t="str">
        <f t="shared" si="61"/>
        <v>Yes</v>
      </c>
      <c r="Z991">
        <v>990</v>
      </c>
      <c r="AA991" s="55" t="s">
        <v>6870</v>
      </c>
      <c r="AC991">
        <f t="shared" si="60"/>
        <v>7</v>
      </c>
      <c r="AD991" s="30" t="s">
        <v>6871</v>
      </c>
      <c r="AH991" s="3" t="s">
        <v>7015</v>
      </c>
      <c r="AI991" s="3" t="s">
        <v>7010</v>
      </c>
      <c r="AJ991" s="3" t="s">
        <v>7010</v>
      </c>
      <c r="AK991" s="3" t="s">
        <v>7015</v>
      </c>
      <c r="AL991" s="3" t="s">
        <v>7010</v>
      </c>
      <c r="AM991" s="3" t="s">
        <v>7010</v>
      </c>
      <c r="AN991" s="3" t="s">
        <v>7010</v>
      </c>
      <c r="AO991" s="3" t="s">
        <v>7010</v>
      </c>
      <c r="AP991" s="74" t="s">
        <v>7015</v>
      </c>
      <c r="AU991">
        <v>990</v>
      </c>
      <c r="AV991" t="s">
        <v>6872</v>
      </c>
      <c r="AW991" t="s">
        <v>2279</v>
      </c>
      <c r="AX991">
        <f t="shared" si="62"/>
        <v>9</v>
      </c>
      <c r="AY991" s="30" t="s">
        <v>6873</v>
      </c>
      <c r="BC991" s="3" t="s">
        <v>7010</v>
      </c>
      <c r="BD991" s="3" t="s">
        <v>7010</v>
      </c>
      <c r="BE991" s="3" t="s">
        <v>7010</v>
      </c>
      <c r="BF991" s="3" t="s">
        <v>7010</v>
      </c>
      <c r="BG991" s="3" t="s">
        <v>7010</v>
      </c>
      <c r="BH991" s="3" t="s">
        <v>7010</v>
      </c>
      <c r="BI991" s="3" t="s">
        <v>7010</v>
      </c>
      <c r="BJ991" s="3" t="s">
        <v>7010</v>
      </c>
      <c r="BK991" s="74" t="str">
        <f t="shared" si="63"/>
        <v>No</v>
      </c>
    </row>
    <row r="992" spans="7:63">
      <c r="G992">
        <v>991</v>
      </c>
      <c r="H992" s="7" t="s">
        <v>409</v>
      </c>
      <c r="I992" t="s">
        <v>29</v>
      </c>
      <c r="J992">
        <f>LEN(H992)</f>
        <v>9</v>
      </c>
      <c r="K992" s="49" t="s">
        <v>2553</v>
      </c>
      <c r="O992" s="3" t="s">
        <v>7010</v>
      </c>
      <c r="P992" s="3" t="s">
        <v>7010</v>
      </c>
      <c r="Q992" s="3" t="s">
        <v>7010</v>
      </c>
      <c r="R992" s="3" t="s">
        <v>7010</v>
      </c>
      <c r="S992" s="3" t="s">
        <v>7010</v>
      </c>
      <c r="T992" s="3" t="s">
        <v>7015</v>
      </c>
      <c r="U992" s="3" t="s">
        <v>7010</v>
      </c>
      <c r="V992" s="3" t="s">
        <v>7010</v>
      </c>
      <c r="W992" s="74" t="str">
        <f t="shared" si="61"/>
        <v>Yes</v>
      </c>
      <c r="Z992">
        <v>991</v>
      </c>
      <c r="AA992" s="55" t="s">
        <v>6875</v>
      </c>
      <c r="AC992">
        <f t="shared" si="60"/>
        <v>5</v>
      </c>
      <c r="AD992" s="30" t="s">
        <v>6876</v>
      </c>
      <c r="AH992" s="3" t="s">
        <v>7015</v>
      </c>
      <c r="AI992" s="3" t="s">
        <v>7010</v>
      </c>
      <c r="AJ992" s="3" t="s">
        <v>7010</v>
      </c>
      <c r="AK992" s="3" t="s">
        <v>7015</v>
      </c>
      <c r="AL992" s="3" t="s">
        <v>7010</v>
      </c>
      <c r="AM992" s="3" t="s">
        <v>7010</v>
      </c>
      <c r="AN992" s="3" t="s">
        <v>7010</v>
      </c>
      <c r="AO992" s="3" t="s">
        <v>7010</v>
      </c>
      <c r="AP992" s="74" t="s">
        <v>7015</v>
      </c>
      <c r="AU992">
        <v>991</v>
      </c>
      <c r="AV992" t="s">
        <v>6877</v>
      </c>
      <c r="AW992" t="s">
        <v>2279</v>
      </c>
      <c r="AX992">
        <f t="shared" si="62"/>
        <v>8</v>
      </c>
      <c r="AY992" s="30" t="s">
        <v>6878</v>
      </c>
      <c r="BC992" s="3" t="s">
        <v>7010</v>
      </c>
      <c r="BD992" s="3" t="s">
        <v>7010</v>
      </c>
      <c r="BE992" s="3" t="s">
        <v>7015</v>
      </c>
      <c r="BF992" s="3" t="s">
        <v>7010</v>
      </c>
      <c r="BG992" s="3" t="s">
        <v>7010</v>
      </c>
      <c r="BH992" s="3" t="s">
        <v>7010</v>
      </c>
      <c r="BI992" s="3" t="s">
        <v>7010</v>
      </c>
      <c r="BJ992" s="3" t="s">
        <v>7010</v>
      </c>
      <c r="BK992" s="74" t="str">
        <f t="shared" si="63"/>
        <v>Yes</v>
      </c>
    </row>
    <row r="993" spans="7:63">
      <c r="G993">
        <v>992</v>
      </c>
      <c r="H993" s="7" t="s">
        <v>2147</v>
      </c>
      <c r="I993" t="s">
        <v>29</v>
      </c>
      <c r="J993">
        <f>LEN(H993)</f>
        <v>13</v>
      </c>
      <c r="K993" s="49" t="s">
        <v>6692</v>
      </c>
      <c r="O993" s="3" t="s">
        <v>7010</v>
      </c>
      <c r="P993" s="3" t="s">
        <v>7010</v>
      </c>
      <c r="Q993" s="3" t="s">
        <v>7010</v>
      </c>
      <c r="R993" s="3" t="s">
        <v>7010</v>
      </c>
      <c r="S993" s="3" t="s">
        <v>7010</v>
      </c>
      <c r="T993" s="3" t="s">
        <v>7010</v>
      </c>
      <c r="U993" s="3" t="s">
        <v>7010</v>
      </c>
      <c r="V993" s="3" t="s">
        <v>7010</v>
      </c>
      <c r="W993" s="74" t="str">
        <f t="shared" si="61"/>
        <v>No</v>
      </c>
      <c r="Z993">
        <v>992</v>
      </c>
      <c r="AA993" s="55" t="s">
        <v>6880</v>
      </c>
      <c r="AC993">
        <f t="shared" si="60"/>
        <v>8</v>
      </c>
      <c r="AD993" s="30" t="s">
        <v>6881</v>
      </c>
      <c r="AH993" s="3" t="s">
        <v>7015</v>
      </c>
      <c r="AI993" s="3" t="s">
        <v>7010</v>
      </c>
      <c r="AJ993" s="3" t="s">
        <v>7010</v>
      </c>
      <c r="AK993" s="3" t="s">
        <v>7015</v>
      </c>
      <c r="AL993" s="3" t="s">
        <v>7010</v>
      </c>
      <c r="AM993" s="3" t="s">
        <v>7010</v>
      </c>
      <c r="AN993" s="3" t="s">
        <v>7010</v>
      </c>
      <c r="AO993" s="3" t="s">
        <v>7010</v>
      </c>
      <c r="AP993" s="74" t="s">
        <v>7015</v>
      </c>
      <c r="AU993">
        <v>992</v>
      </c>
      <c r="AV993" t="s">
        <v>6882</v>
      </c>
      <c r="AW993" t="s">
        <v>2279</v>
      </c>
      <c r="AX993">
        <f t="shared" si="62"/>
        <v>8</v>
      </c>
      <c r="AY993" s="30" t="s">
        <v>6883</v>
      </c>
      <c r="BC993" s="3" t="s">
        <v>7010</v>
      </c>
      <c r="BD993" s="3" t="s">
        <v>7010</v>
      </c>
      <c r="BE993" s="3" t="s">
        <v>7010</v>
      </c>
      <c r="BF993" s="3" t="s">
        <v>7010</v>
      </c>
      <c r="BG993" s="3" t="s">
        <v>7010</v>
      </c>
      <c r="BH993" s="3" t="s">
        <v>7010</v>
      </c>
      <c r="BI993" s="3" t="s">
        <v>7010</v>
      </c>
      <c r="BJ993" s="3" t="s">
        <v>7010</v>
      </c>
      <c r="BK993" s="74" t="str">
        <f t="shared" si="63"/>
        <v>No</v>
      </c>
    </row>
    <row r="994" spans="7:63">
      <c r="G994">
        <v>993</v>
      </c>
      <c r="H994" s="7" t="s">
        <v>511</v>
      </c>
      <c r="I994" t="s">
        <v>29</v>
      </c>
      <c r="J994">
        <f>LEN(H994)</f>
        <v>11</v>
      </c>
      <c r="K994" s="49" t="s">
        <v>2961</v>
      </c>
      <c r="O994" s="3" t="s">
        <v>7010</v>
      </c>
      <c r="P994" s="3" t="s">
        <v>7010</v>
      </c>
      <c r="Q994" s="3" t="s">
        <v>7010</v>
      </c>
      <c r="R994" s="3" t="s">
        <v>7010</v>
      </c>
      <c r="S994" s="3" t="s">
        <v>7010</v>
      </c>
      <c r="T994" s="3" t="s">
        <v>7010</v>
      </c>
      <c r="U994" s="3" t="s">
        <v>7010</v>
      </c>
      <c r="V994" s="3" t="s">
        <v>7010</v>
      </c>
      <c r="W994" s="74" t="str">
        <f t="shared" si="61"/>
        <v>No</v>
      </c>
      <c r="Z994">
        <v>993</v>
      </c>
      <c r="AA994" s="55" t="s">
        <v>6885</v>
      </c>
      <c r="AC994">
        <f t="shared" si="60"/>
        <v>5</v>
      </c>
      <c r="AD994" s="30" t="s">
        <v>6886</v>
      </c>
      <c r="AH994" s="3" t="s">
        <v>7015</v>
      </c>
      <c r="AI994" s="3" t="s">
        <v>7010</v>
      </c>
      <c r="AJ994" s="3" t="s">
        <v>7010</v>
      </c>
      <c r="AK994" s="3" t="s">
        <v>7015</v>
      </c>
      <c r="AL994" s="3" t="s">
        <v>7010</v>
      </c>
      <c r="AM994" s="3" t="s">
        <v>7010</v>
      </c>
      <c r="AN994" s="3" t="s">
        <v>7010</v>
      </c>
      <c r="AO994" s="3" t="s">
        <v>7010</v>
      </c>
      <c r="AP994" s="74" t="s">
        <v>7015</v>
      </c>
      <c r="AU994">
        <v>993</v>
      </c>
      <c r="AV994" t="s">
        <v>6887</v>
      </c>
      <c r="AW994" t="s">
        <v>2279</v>
      </c>
      <c r="AX994">
        <f t="shared" si="62"/>
        <v>8</v>
      </c>
      <c r="AY994" s="30" t="s">
        <v>6888</v>
      </c>
      <c r="BC994" s="3" t="s">
        <v>7010</v>
      </c>
      <c r="BD994" s="3" t="s">
        <v>7010</v>
      </c>
      <c r="BE994" s="3" t="s">
        <v>7010</v>
      </c>
      <c r="BF994" s="3" t="s">
        <v>7010</v>
      </c>
      <c r="BG994" s="3" t="s">
        <v>7010</v>
      </c>
      <c r="BH994" s="3" t="s">
        <v>7010</v>
      </c>
      <c r="BI994" s="3" t="s">
        <v>7010</v>
      </c>
      <c r="BJ994" s="3" t="s">
        <v>7010</v>
      </c>
      <c r="BK994" s="74" t="str">
        <f t="shared" si="63"/>
        <v>No</v>
      </c>
    </row>
    <row r="995" spans="7:63">
      <c r="G995">
        <v>994</v>
      </c>
      <c r="H995" s="7" t="s">
        <v>1868</v>
      </c>
      <c r="I995" t="s">
        <v>29</v>
      </c>
      <c r="J995">
        <f>LEN(H995)</f>
        <v>12</v>
      </c>
      <c r="K995" s="49" t="s">
        <v>5976</v>
      </c>
      <c r="O995" s="3" t="s">
        <v>7010</v>
      </c>
      <c r="P995" s="3" t="s">
        <v>7010</v>
      </c>
      <c r="Q995" s="3" t="s">
        <v>7010</v>
      </c>
      <c r="R995" s="3" t="s">
        <v>7010</v>
      </c>
      <c r="S995" s="3" t="s">
        <v>7010</v>
      </c>
      <c r="T995" s="3" t="s">
        <v>7010</v>
      </c>
      <c r="U995" s="3" t="s">
        <v>7010</v>
      </c>
      <c r="V995" s="3" t="s">
        <v>7010</v>
      </c>
      <c r="W995" s="74" t="str">
        <f t="shared" si="61"/>
        <v>No</v>
      </c>
      <c r="Z995">
        <v>994</v>
      </c>
      <c r="AA995" s="55" t="s">
        <v>6890</v>
      </c>
      <c r="AC995">
        <f t="shared" si="60"/>
        <v>6</v>
      </c>
      <c r="AD995" s="30" t="s">
        <v>6891</v>
      </c>
      <c r="AH995" s="3" t="s">
        <v>7015</v>
      </c>
      <c r="AI995" s="3" t="s">
        <v>7010</v>
      </c>
      <c r="AJ995" s="3" t="s">
        <v>7010</v>
      </c>
      <c r="AK995" s="3" t="s">
        <v>7015</v>
      </c>
      <c r="AL995" s="3" t="s">
        <v>7010</v>
      </c>
      <c r="AM995" s="3" t="s">
        <v>7010</v>
      </c>
      <c r="AN995" s="3" t="s">
        <v>7010</v>
      </c>
      <c r="AO995" s="3" t="s">
        <v>7010</v>
      </c>
      <c r="AP995" s="74" t="s">
        <v>7015</v>
      </c>
      <c r="AU995">
        <v>994</v>
      </c>
      <c r="AV995" t="s">
        <v>6892</v>
      </c>
      <c r="AW995" t="s">
        <v>2279</v>
      </c>
      <c r="AX995">
        <f t="shared" si="62"/>
        <v>11</v>
      </c>
      <c r="AY995" s="30" t="s">
        <v>6893</v>
      </c>
      <c r="BC995" s="3" t="s">
        <v>7010</v>
      </c>
      <c r="BD995" s="3" t="s">
        <v>7010</v>
      </c>
      <c r="BE995" s="3" t="s">
        <v>7010</v>
      </c>
      <c r="BF995" s="3" t="s">
        <v>7010</v>
      </c>
      <c r="BG995" s="3" t="s">
        <v>7010</v>
      </c>
      <c r="BH995" s="3" t="s">
        <v>7010</v>
      </c>
      <c r="BI995" s="3" t="s">
        <v>7010</v>
      </c>
      <c r="BJ995" s="3" t="s">
        <v>7010</v>
      </c>
      <c r="BK995" s="74" t="str">
        <f t="shared" si="63"/>
        <v>No</v>
      </c>
    </row>
    <row r="996" spans="7:63">
      <c r="G996">
        <v>995</v>
      </c>
      <c r="H996" s="7" t="s">
        <v>429</v>
      </c>
      <c r="I996" t="s">
        <v>29</v>
      </c>
      <c r="J996">
        <f>LEN(H996)</f>
        <v>10</v>
      </c>
      <c r="K996" s="49" t="s">
        <v>2633</v>
      </c>
      <c r="O996" s="3" t="s">
        <v>7010</v>
      </c>
      <c r="P996" s="3" t="s">
        <v>7010</v>
      </c>
      <c r="Q996" s="3" t="s">
        <v>7010</v>
      </c>
      <c r="R996" s="3" t="s">
        <v>7015</v>
      </c>
      <c r="S996" s="3" t="s">
        <v>7010</v>
      </c>
      <c r="T996" s="3" t="s">
        <v>7015</v>
      </c>
      <c r="U996" s="3" t="s">
        <v>7010</v>
      </c>
      <c r="V996" s="3" t="s">
        <v>7010</v>
      </c>
      <c r="W996" s="74" t="str">
        <f t="shared" si="61"/>
        <v>Yes</v>
      </c>
      <c r="Z996">
        <v>995</v>
      </c>
      <c r="AA996" s="55" t="s">
        <v>6895</v>
      </c>
      <c r="AC996">
        <f t="shared" si="60"/>
        <v>7</v>
      </c>
      <c r="AD996" s="30" t="s">
        <v>6896</v>
      </c>
      <c r="AH996" s="3" t="s">
        <v>7015</v>
      </c>
      <c r="AI996" s="3" t="s">
        <v>7010</v>
      </c>
      <c r="AJ996" s="3" t="s">
        <v>7010</v>
      </c>
      <c r="AK996" s="3" t="s">
        <v>7015</v>
      </c>
      <c r="AL996" s="3" t="s">
        <v>7010</v>
      </c>
      <c r="AM996" s="3" t="s">
        <v>7010</v>
      </c>
      <c r="AN996" s="3" t="s">
        <v>7010</v>
      </c>
      <c r="AO996" s="3" t="s">
        <v>7010</v>
      </c>
      <c r="AP996" s="74" t="s">
        <v>7015</v>
      </c>
      <c r="AU996">
        <v>995</v>
      </c>
      <c r="AV996" t="s">
        <v>6897</v>
      </c>
      <c r="AW996" t="s">
        <v>2279</v>
      </c>
      <c r="AX996">
        <f t="shared" si="62"/>
        <v>9</v>
      </c>
      <c r="AY996" s="30" t="s">
        <v>6898</v>
      </c>
      <c r="BC996" s="3" t="s">
        <v>7015</v>
      </c>
      <c r="BD996" s="3" t="s">
        <v>7010</v>
      </c>
      <c r="BE996" s="3" t="s">
        <v>7015</v>
      </c>
      <c r="BF996" s="3" t="s">
        <v>7010</v>
      </c>
      <c r="BG996" s="3" t="s">
        <v>7010</v>
      </c>
      <c r="BH996" s="3" t="s">
        <v>7010</v>
      </c>
      <c r="BI996" s="3" t="s">
        <v>7010</v>
      </c>
      <c r="BJ996" s="3" t="s">
        <v>7010</v>
      </c>
      <c r="BK996" s="74" t="str">
        <f t="shared" si="63"/>
        <v>Yes</v>
      </c>
    </row>
    <row r="997" spans="7:63">
      <c r="G997">
        <v>996</v>
      </c>
      <c r="H997" s="7" t="s">
        <v>2009</v>
      </c>
      <c r="I997" t="s">
        <v>29</v>
      </c>
      <c r="J997">
        <f>LEN(H997)</f>
        <v>15</v>
      </c>
      <c r="K997" s="49" t="s">
        <v>6351</v>
      </c>
      <c r="O997" s="3" t="s">
        <v>7010</v>
      </c>
      <c r="P997" s="3" t="s">
        <v>7010</v>
      </c>
      <c r="Q997" s="3" t="s">
        <v>7010</v>
      </c>
      <c r="R997" s="3" t="s">
        <v>7010</v>
      </c>
      <c r="S997" s="3" t="s">
        <v>7010</v>
      </c>
      <c r="T997" s="3" t="s">
        <v>7010</v>
      </c>
      <c r="U997" s="3" t="s">
        <v>7010</v>
      </c>
      <c r="V997" s="3" t="s">
        <v>7010</v>
      </c>
      <c r="W997" s="74" t="str">
        <f t="shared" si="61"/>
        <v>No</v>
      </c>
      <c r="Z997">
        <v>996</v>
      </c>
      <c r="AA997" s="55" t="s">
        <v>6900</v>
      </c>
      <c r="AC997">
        <f t="shared" si="60"/>
        <v>7</v>
      </c>
      <c r="AD997" s="30" t="s">
        <v>6901</v>
      </c>
      <c r="AH997" s="3" t="s">
        <v>7015</v>
      </c>
      <c r="AI997" s="3" t="s">
        <v>7010</v>
      </c>
      <c r="AJ997" s="3" t="s">
        <v>7010</v>
      </c>
      <c r="AK997" s="3" t="s">
        <v>7015</v>
      </c>
      <c r="AL997" s="3" t="s">
        <v>7010</v>
      </c>
      <c r="AM997" s="3" t="s">
        <v>7010</v>
      </c>
      <c r="AN997" s="3" t="s">
        <v>7010</v>
      </c>
      <c r="AO997" s="3" t="s">
        <v>7010</v>
      </c>
      <c r="AP997" s="74" t="s">
        <v>7015</v>
      </c>
      <c r="AU997">
        <v>996</v>
      </c>
      <c r="AV997" t="s">
        <v>6902</v>
      </c>
      <c r="AW997" t="s">
        <v>2279</v>
      </c>
      <c r="AX997">
        <f t="shared" si="62"/>
        <v>8</v>
      </c>
      <c r="AY997" s="31" t="s">
        <v>6903</v>
      </c>
      <c r="BC997" s="3" t="s">
        <v>7010</v>
      </c>
      <c r="BD997" s="3" t="s">
        <v>7010</v>
      </c>
      <c r="BE997" s="3" t="s">
        <v>7010</v>
      </c>
      <c r="BF997" s="3" t="s">
        <v>7010</v>
      </c>
      <c r="BG997" s="3" t="s">
        <v>7010</v>
      </c>
      <c r="BH997" s="3" t="s">
        <v>7010</v>
      </c>
      <c r="BI997" s="3" t="s">
        <v>7010</v>
      </c>
      <c r="BJ997" s="3" t="s">
        <v>7010</v>
      </c>
      <c r="BK997" s="74" t="str">
        <f t="shared" si="63"/>
        <v>No</v>
      </c>
    </row>
    <row r="998" spans="7:63">
      <c r="G998">
        <v>997</v>
      </c>
      <c r="H998" s="7" t="s">
        <v>1965</v>
      </c>
      <c r="I998" t="s">
        <v>29</v>
      </c>
      <c r="J998">
        <f>LEN(H998)</f>
        <v>8</v>
      </c>
      <c r="K998" s="49" t="s">
        <v>6230</v>
      </c>
      <c r="O998" s="3" t="s">
        <v>7010</v>
      </c>
      <c r="P998" s="3" t="s">
        <v>7010</v>
      </c>
      <c r="Q998" s="3" t="s">
        <v>7010</v>
      </c>
      <c r="R998" s="3" t="s">
        <v>7015</v>
      </c>
      <c r="S998" s="3" t="s">
        <v>7010</v>
      </c>
      <c r="T998" s="3" t="s">
        <v>7010</v>
      </c>
      <c r="U998" s="3" t="s">
        <v>7010</v>
      </c>
      <c r="V998" s="3" t="s">
        <v>7010</v>
      </c>
      <c r="W998" s="74" t="str">
        <f t="shared" si="61"/>
        <v>Yes</v>
      </c>
      <c r="Z998">
        <v>997</v>
      </c>
      <c r="AA998" s="55" t="s">
        <v>6905</v>
      </c>
      <c r="AC998">
        <f t="shared" si="60"/>
        <v>6</v>
      </c>
      <c r="AD998" s="30" t="s">
        <v>6906</v>
      </c>
      <c r="AH998" s="3" t="s">
        <v>7015</v>
      </c>
      <c r="AI998" s="3" t="s">
        <v>7010</v>
      </c>
      <c r="AJ998" s="3" t="s">
        <v>7010</v>
      </c>
      <c r="AK998" s="3" t="s">
        <v>7015</v>
      </c>
      <c r="AL998" s="3" t="s">
        <v>7010</v>
      </c>
      <c r="AM998" s="3" t="s">
        <v>7010</v>
      </c>
      <c r="AN998" s="3" t="s">
        <v>7010</v>
      </c>
      <c r="AO998" s="3" t="s">
        <v>7010</v>
      </c>
      <c r="AP998" s="74" t="s">
        <v>7015</v>
      </c>
      <c r="AU998">
        <v>997</v>
      </c>
      <c r="AV998" t="s">
        <v>6907</v>
      </c>
      <c r="AW998" t="s">
        <v>2279</v>
      </c>
      <c r="AX998">
        <f t="shared" si="62"/>
        <v>11</v>
      </c>
      <c r="AY998" s="30" t="s">
        <v>6908</v>
      </c>
      <c r="BC998" s="3" t="s">
        <v>7010</v>
      </c>
      <c r="BD998" s="3" t="s">
        <v>7010</v>
      </c>
      <c r="BE998" s="3" t="s">
        <v>7010</v>
      </c>
      <c r="BF998" s="3" t="s">
        <v>7010</v>
      </c>
      <c r="BG998" s="3" t="s">
        <v>7010</v>
      </c>
      <c r="BH998" s="3" t="s">
        <v>7010</v>
      </c>
      <c r="BI998" s="3" t="s">
        <v>7010</v>
      </c>
      <c r="BJ998" s="3" t="s">
        <v>7010</v>
      </c>
      <c r="BK998" s="74" t="str">
        <f t="shared" si="63"/>
        <v>No</v>
      </c>
    </row>
    <row r="999" spans="7:63">
      <c r="G999">
        <v>998</v>
      </c>
      <c r="H999" s="7" t="s">
        <v>1872</v>
      </c>
      <c r="I999" t="s">
        <v>29</v>
      </c>
      <c r="J999">
        <f>LEN(H999)</f>
        <v>13</v>
      </c>
      <c r="K999" s="49" t="s">
        <v>5984</v>
      </c>
      <c r="O999" s="3" t="s">
        <v>7010</v>
      </c>
      <c r="P999" s="3" t="s">
        <v>7010</v>
      </c>
      <c r="Q999" s="3" t="s">
        <v>7010</v>
      </c>
      <c r="R999" s="3" t="s">
        <v>7010</v>
      </c>
      <c r="S999" s="3" t="s">
        <v>7010</v>
      </c>
      <c r="T999" s="3" t="s">
        <v>7010</v>
      </c>
      <c r="U999" s="3" t="s">
        <v>7010</v>
      </c>
      <c r="V999" s="3" t="s">
        <v>7010</v>
      </c>
      <c r="W999" s="74" t="str">
        <f t="shared" si="61"/>
        <v>No</v>
      </c>
      <c r="Z999">
        <v>998</v>
      </c>
      <c r="AA999" s="55" t="s">
        <v>6909</v>
      </c>
      <c r="AC999">
        <f t="shared" si="60"/>
        <v>5</v>
      </c>
      <c r="AD999" s="30" t="s">
        <v>6910</v>
      </c>
      <c r="AH999" s="3" t="s">
        <v>7015</v>
      </c>
      <c r="AI999" s="3" t="s">
        <v>7010</v>
      </c>
      <c r="AJ999" s="3" t="s">
        <v>7010</v>
      </c>
      <c r="AK999" s="3" t="s">
        <v>7015</v>
      </c>
      <c r="AL999" s="3" t="s">
        <v>7010</v>
      </c>
      <c r="AM999" s="3" t="s">
        <v>7010</v>
      </c>
      <c r="AN999" s="3" t="s">
        <v>7010</v>
      </c>
      <c r="AO999" s="3" t="s">
        <v>7010</v>
      </c>
      <c r="AP999" s="74" t="s">
        <v>7015</v>
      </c>
      <c r="AU999">
        <v>998</v>
      </c>
      <c r="AV999" t="s">
        <v>6911</v>
      </c>
      <c r="AW999" t="s">
        <v>2279</v>
      </c>
      <c r="AX999">
        <f t="shared" si="62"/>
        <v>9</v>
      </c>
      <c r="AY999" s="30" t="s">
        <v>6912</v>
      </c>
      <c r="BC999" s="3" t="s">
        <v>7010</v>
      </c>
      <c r="BD999" s="3" t="s">
        <v>7010</v>
      </c>
      <c r="BE999" s="3" t="s">
        <v>7010</v>
      </c>
      <c r="BF999" s="3" t="s">
        <v>7010</v>
      </c>
      <c r="BG999" s="3" t="s">
        <v>7010</v>
      </c>
      <c r="BH999" s="3" t="s">
        <v>7010</v>
      </c>
      <c r="BI999" s="3" t="s">
        <v>7010</v>
      </c>
      <c r="BJ999" s="3" t="s">
        <v>7010</v>
      </c>
      <c r="BK999" s="74" t="str">
        <f t="shared" si="63"/>
        <v>No</v>
      </c>
    </row>
    <row r="1000" spans="7:63">
      <c r="G1000">
        <v>999</v>
      </c>
      <c r="H1000" s="7" t="s">
        <v>2029</v>
      </c>
      <c r="I1000" t="s">
        <v>29</v>
      </c>
      <c r="J1000">
        <f>LEN(H1000)</f>
        <v>10</v>
      </c>
      <c r="K1000" s="49" t="s">
        <v>6402</v>
      </c>
      <c r="O1000" s="3" t="s">
        <v>7010</v>
      </c>
      <c r="P1000" s="3" t="s">
        <v>7010</v>
      </c>
      <c r="Q1000" s="3" t="s">
        <v>7010</v>
      </c>
      <c r="R1000" s="3" t="s">
        <v>7010</v>
      </c>
      <c r="S1000" s="3" t="s">
        <v>7010</v>
      </c>
      <c r="T1000" s="3" t="s">
        <v>7010</v>
      </c>
      <c r="U1000" s="3" t="s">
        <v>7010</v>
      </c>
      <c r="V1000" s="3" t="s">
        <v>7010</v>
      </c>
      <c r="W1000" s="74" t="str">
        <f t="shared" si="61"/>
        <v>No</v>
      </c>
      <c r="Z1000">
        <v>999</v>
      </c>
      <c r="AA1000" s="55" t="s">
        <v>6914</v>
      </c>
      <c r="AC1000">
        <f t="shared" si="60"/>
        <v>7</v>
      </c>
      <c r="AD1000" s="30" t="s">
        <v>6915</v>
      </c>
      <c r="AH1000" s="3" t="s">
        <v>7015</v>
      </c>
      <c r="AI1000" s="3" t="s">
        <v>7010</v>
      </c>
      <c r="AJ1000" s="3" t="s">
        <v>7010</v>
      </c>
      <c r="AK1000" s="3" t="s">
        <v>7015</v>
      </c>
      <c r="AL1000" s="3" t="s">
        <v>7010</v>
      </c>
      <c r="AM1000" s="3" t="s">
        <v>7010</v>
      </c>
      <c r="AN1000" s="3" t="s">
        <v>7010</v>
      </c>
      <c r="AO1000" s="3" t="s">
        <v>7010</v>
      </c>
      <c r="AP1000" s="74" t="s">
        <v>7015</v>
      </c>
      <c r="AU1000">
        <v>999</v>
      </c>
      <c r="AV1000" t="s">
        <v>6916</v>
      </c>
      <c r="AW1000" t="s">
        <v>2279</v>
      </c>
      <c r="AX1000">
        <f t="shared" si="62"/>
        <v>12</v>
      </c>
      <c r="AY1000" s="30" t="s">
        <v>6917</v>
      </c>
      <c r="BC1000" s="3" t="s">
        <v>7010</v>
      </c>
      <c r="BD1000" s="3" t="s">
        <v>7010</v>
      </c>
      <c r="BE1000" s="3" t="s">
        <v>7010</v>
      </c>
      <c r="BF1000" s="3" t="s">
        <v>7010</v>
      </c>
      <c r="BG1000" s="3" t="s">
        <v>7010</v>
      </c>
      <c r="BH1000" s="3" t="s">
        <v>7010</v>
      </c>
      <c r="BI1000" s="3" t="s">
        <v>7010</v>
      </c>
      <c r="BJ1000" s="3" t="s">
        <v>7010</v>
      </c>
      <c r="BK1000" s="74" t="str">
        <f t="shared" si="63"/>
        <v>No</v>
      </c>
    </row>
    <row r="1001" spans="7:63">
      <c r="G1001">
        <v>1000</v>
      </c>
      <c r="H1001" s="7" t="s">
        <v>403</v>
      </c>
      <c r="I1001" t="s">
        <v>29</v>
      </c>
      <c r="J1001">
        <f>LEN(H1001)</f>
        <v>12</v>
      </c>
      <c r="K1001" s="49" t="s">
        <v>2529</v>
      </c>
      <c r="O1001" s="3" t="s">
        <v>7010</v>
      </c>
      <c r="P1001" s="3" t="s">
        <v>7010</v>
      </c>
      <c r="Q1001" s="3" t="s">
        <v>7010</v>
      </c>
      <c r="R1001" s="3" t="s">
        <v>7010</v>
      </c>
      <c r="S1001" s="3" t="s">
        <v>7010</v>
      </c>
      <c r="T1001" s="3" t="s">
        <v>7010</v>
      </c>
      <c r="U1001" s="3" t="s">
        <v>7010</v>
      </c>
      <c r="V1001" s="3" t="s">
        <v>7010</v>
      </c>
      <c r="W1001" s="74" t="str">
        <f t="shared" si="61"/>
        <v>No</v>
      </c>
      <c r="Z1001">
        <v>1000</v>
      </c>
      <c r="AA1001" s="55" t="s">
        <v>6919</v>
      </c>
      <c r="AC1001">
        <f t="shared" si="60"/>
        <v>9</v>
      </c>
      <c r="AD1001" s="30" t="s">
        <v>6920</v>
      </c>
      <c r="AH1001" s="3" t="s">
        <v>7015</v>
      </c>
      <c r="AI1001" s="3" t="s">
        <v>7010</v>
      </c>
      <c r="AJ1001" s="3" t="s">
        <v>7010</v>
      </c>
      <c r="AK1001" s="3" t="s">
        <v>7015</v>
      </c>
      <c r="AL1001" s="3" t="s">
        <v>7010</v>
      </c>
      <c r="AM1001" s="3" t="s">
        <v>7010</v>
      </c>
      <c r="AN1001" s="3" t="s">
        <v>7010</v>
      </c>
      <c r="AO1001" s="3" t="s">
        <v>7010</v>
      </c>
      <c r="AP1001" s="74" t="s">
        <v>7015</v>
      </c>
      <c r="AU1001">
        <v>1000</v>
      </c>
      <c r="AV1001" t="s">
        <v>6921</v>
      </c>
      <c r="AW1001" t="s">
        <v>2279</v>
      </c>
      <c r="AX1001">
        <f t="shared" si="62"/>
        <v>12</v>
      </c>
      <c r="AY1001" s="30" t="s">
        <v>6922</v>
      </c>
      <c r="BC1001" s="3" t="s">
        <v>7010</v>
      </c>
      <c r="BD1001" s="3" t="s">
        <v>7010</v>
      </c>
      <c r="BE1001" s="3" t="s">
        <v>7010</v>
      </c>
      <c r="BF1001" s="3" t="s">
        <v>7010</v>
      </c>
      <c r="BG1001" s="3" t="s">
        <v>7010</v>
      </c>
      <c r="BH1001" s="3" t="s">
        <v>7010</v>
      </c>
      <c r="BI1001" s="3" t="s">
        <v>7010</v>
      </c>
      <c r="BJ1001" s="3" t="s">
        <v>7010</v>
      </c>
      <c r="BK1001" s="74" t="str">
        <f t="shared" si="63"/>
        <v>No</v>
      </c>
    </row>
    <row r="1002" spans="7:63">
      <c r="H1002" s="7"/>
      <c r="AC1002" s="18"/>
      <c r="AX1002">
        <f t="shared" si="62"/>
        <v>0</v>
      </c>
      <c r="AY1002" s="30"/>
    </row>
    <row r="1003" spans="7:63">
      <c r="H1003" s="7"/>
      <c r="AC1003" s="18"/>
      <c r="AX1003">
        <f t="shared" si="62"/>
        <v>0</v>
      </c>
      <c r="AY1003" s="30"/>
    </row>
    <row r="1004" spans="7:63">
      <c r="H1004" s="7"/>
      <c r="AC1004" s="18"/>
      <c r="AX1004">
        <f t="shared" si="62"/>
        <v>0</v>
      </c>
      <c r="AY1004" s="30"/>
    </row>
    <row r="1005" spans="7:63">
      <c r="H1005" s="7"/>
    </row>
    <row r="1006" spans="7:63">
      <c r="H1006" s="7"/>
    </row>
    <row r="1007" spans="7:63">
      <c r="H1007" s="7"/>
      <c r="O1007" s="74"/>
    </row>
    <row r="1008" spans="7:63">
      <c r="H1008" s="7"/>
    </row>
    <row r="1009" spans="8:8">
      <c r="H1009" s="7"/>
    </row>
    <row r="1010" spans="8:8">
      <c r="H1010" s="7"/>
    </row>
    <row r="1011" spans="8:8">
      <c r="H1011" s="7"/>
    </row>
    <row r="1012" spans="8:8">
      <c r="H1012" s="7"/>
    </row>
    <row r="1013" spans="8:8">
      <c r="H1013" s="7"/>
    </row>
    <row r="1014" spans="8:8">
      <c r="H1014" s="7"/>
    </row>
    <row r="1015" spans="8:8">
      <c r="H1015" s="7"/>
    </row>
    <row r="1016" spans="8:8">
      <c r="H1016" s="7"/>
    </row>
    <row r="1017" spans="8:8">
      <c r="H1017" s="7"/>
    </row>
    <row r="1018" spans="8:8">
      <c r="H1018" s="7"/>
    </row>
    <row r="1019" spans="8:8">
      <c r="H1019" s="7"/>
    </row>
    <row r="1020" spans="8:8">
      <c r="H1020" s="7"/>
    </row>
    <row r="1021" spans="8:8">
      <c r="H1021" s="7"/>
    </row>
    <row r="1022" spans="8:8">
      <c r="H1022" s="7"/>
    </row>
    <row r="1023" spans="8:8">
      <c r="H1023" s="7"/>
    </row>
    <row r="1024" spans="8:8">
      <c r="H1024" s="7"/>
    </row>
    <row r="1025" spans="8:8">
      <c r="H1025" s="7"/>
    </row>
    <row r="1026" spans="8:8">
      <c r="H1026" s="7"/>
    </row>
    <row r="1027" spans="8:8">
      <c r="H1027" s="7"/>
    </row>
    <row r="1028" spans="8:8">
      <c r="H1028" s="7"/>
    </row>
    <row r="1029" spans="8:8">
      <c r="H1029" s="7"/>
    </row>
    <row r="1030" spans="8:8">
      <c r="H1030" s="7"/>
    </row>
    <row r="1031" spans="8:8">
      <c r="H1031" s="7"/>
    </row>
    <row r="1032" spans="8:8">
      <c r="H1032" s="7"/>
    </row>
    <row r="1033" spans="8:8">
      <c r="H1033" s="7"/>
    </row>
    <row r="1034" spans="8:8">
      <c r="H1034" s="7"/>
    </row>
    <row r="1035" spans="8:8">
      <c r="H1035" s="7"/>
    </row>
    <row r="1036" spans="8:8">
      <c r="H1036" s="7"/>
    </row>
    <row r="1037" spans="8:8">
      <c r="H1037" s="7"/>
    </row>
    <row r="1038" spans="8:8">
      <c r="H1038" s="7"/>
    </row>
    <row r="1039" spans="8:8"/>
  </sheetData>
  <autoFilter ref="J1:J1039" xr:uid="{7364B1CB-F0D7-45F3-94E7-21FFFC2A9E50}"/>
  <conditionalFormatting sqref="N1011">
    <cfRule type="duplicateValues" dxfId="14" priority="32"/>
  </conditionalFormatting>
  <conditionalFormatting sqref="BB3:BJ3 I1:Z1 AW3:AZ3 AW1:BJ2 BL1:XFD1048576 I1002:Z1006 X2:Z1001 AB1:AU1048576 I719:V719 I573:K573 M573:P573 I572:V572 I2:P571 R2:V571 I574:P718 R573:V718 I720:P1001 R720:V1001 AW4:BJ1048576 BK1 BK1002:BK1048576 I1008:Z1048576 I1007:N1007 P1007:Z1007">
    <cfRule type="containsText" dxfId="13" priority="11" operator="containsText" text="no">
      <formula>NOT(ISERROR(SEARCH("no",I1)))</formula>
    </cfRule>
    <cfRule type="containsText" dxfId="12" priority="12" operator="containsText" text="yes">
      <formula>NOT(ISERROR(SEARCH("yes",I1)))</formula>
    </cfRule>
  </conditionalFormatting>
  <conditionalFormatting sqref="W1:W1048576">
    <cfRule type="containsText" dxfId="11" priority="9" operator="containsText" text="yes">
      <formula>NOT(ISERROR(SEARCH("yes",W1)))</formula>
    </cfRule>
    <cfRule type="containsText" dxfId="10" priority="10" operator="containsText" text="no">
      <formula>NOT(ISERROR(SEARCH("no",W1)))</formula>
    </cfRule>
  </conditionalFormatting>
  <conditionalFormatting sqref="Q1:Q1048576">
    <cfRule type="containsText" dxfId="9" priority="8" operator="containsText" text="no">
      <formula>NOT(ISERROR(SEARCH("no",Q1)))</formula>
    </cfRule>
  </conditionalFormatting>
  <conditionalFormatting sqref="AT1:AT1048576 AV1:AV1048576">
    <cfRule type="duplicateValues" dxfId="8" priority="7"/>
  </conditionalFormatting>
  <conditionalFormatting sqref="BK1:BK1048576">
    <cfRule type="containsText" dxfId="7" priority="5" operator="containsText" text="yes">
      <formula>NOT(ISERROR(SEARCH("yes",BK1)))</formula>
    </cfRule>
    <cfRule type="containsText" dxfId="6" priority="6" operator="containsText" text="no">
      <formula>NOT(ISERROR(SEARCH("no",BK1)))</formula>
    </cfRule>
  </conditionalFormatting>
  <conditionalFormatting sqref="O1007">
    <cfRule type="containsText" dxfId="5" priority="3" operator="containsText" text="yes">
      <formula>NOT(ISERROR(SEARCH("yes",O1007)))</formula>
    </cfRule>
    <cfRule type="containsText" dxfId="4" priority="4" operator="containsText" text="no">
      <formula>NOT(ISERROR(SEARCH("no",O1007)))</formula>
    </cfRule>
  </conditionalFormatting>
  <conditionalFormatting sqref="B44">
    <cfRule type="containsText" dxfId="3" priority="1" operator="containsText" text="yes">
      <formula>NOT(ISERROR(SEARCH("yes",B44)))</formula>
    </cfRule>
    <cfRule type="containsText" dxfId="2" priority="2" operator="containsText" text="no">
      <formula>NOT(ISERROR(SEARCH("no",B44)))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7B1C-1D56-40A3-9209-97181BA21A64}">
  <dimension ref="D1:BF1038"/>
  <sheetViews>
    <sheetView zoomScale="70" zoomScaleNormal="70" workbookViewId="0">
      <selection activeCell="I2" sqref="I2:I3"/>
    </sheetView>
  </sheetViews>
  <sheetFormatPr defaultRowHeight="15" customHeight="1"/>
  <cols>
    <col min="4" max="5" width="21.85546875" customWidth="1"/>
    <col min="6" max="7" width="48.5703125" customWidth="1"/>
    <col min="8" max="8" width="46.85546875" customWidth="1"/>
    <col min="9" max="9" width="46.85546875" style="78" customWidth="1"/>
    <col min="10" max="10" width="46.85546875" customWidth="1"/>
    <col min="11" max="12" width="57.42578125" customWidth="1"/>
    <col min="13" max="14" width="46.7109375" customWidth="1"/>
    <col min="15" max="16" width="55.7109375" customWidth="1"/>
    <col min="17" max="18" width="51.140625" customWidth="1"/>
    <col min="19" max="19" width="47.7109375" customWidth="1"/>
    <col min="20" max="20" width="47.7109375" style="55" customWidth="1"/>
    <col min="28" max="28" width="24.5703125" customWidth="1"/>
    <col min="29" max="29" width="23.42578125" customWidth="1"/>
    <col min="30" max="30" width="33.85546875" style="78" customWidth="1"/>
    <col min="31" max="31" width="27.5703125" customWidth="1"/>
    <col min="32" max="32" width="19.28515625" customWidth="1"/>
    <col min="33" max="33" width="25.42578125" customWidth="1"/>
    <col min="34" max="35" width="27.28515625" customWidth="1"/>
    <col min="41" max="41" width="20.7109375" customWidth="1"/>
    <col min="42" max="42" width="11.28515625" customWidth="1"/>
    <col min="43" max="43" width="47.7109375" customWidth="1"/>
    <col min="44" max="44" width="45.7109375" customWidth="1"/>
    <col min="45" max="46" width="55.140625" customWidth="1"/>
    <col min="47" max="47" width="55.140625" style="78" customWidth="1"/>
    <col min="48" max="48" width="55.140625" customWidth="1"/>
    <col min="49" max="49" width="21" customWidth="1"/>
    <col min="50" max="50" width="33.7109375" customWidth="1"/>
    <col min="51" max="51" width="25.28515625" customWidth="1"/>
    <col min="52" max="52" width="13.28515625" customWidth="1"/>
    <col min="53" max="53" width="23.7109375" customWidth="1"/>
    <col min="54" max="54" width="21.28515625" customWidth="1"/>
    <col min="55" max="55" width="26.7109375" customWidth="1"/>
    <col min="56" max="56" width="23.28515625" customWidth="1"/>
    <col min="57" max="57" width="32.85546875" customWidth="1"/>
    <col min="58" max="58" width="16.7109375" customWidth="1"/>
  </cols>
  <sheetData>
    <row r="1" spans="4:58">
      <c r="D1" s="23" t="s">
        <v>1</v>
      </c>
      <c r="E1" s="23"/>
      <c r="F1" s="23" t="s">
        <v>7394</v>
      </c>
      <c r="G1" s="23" t="s">
        <v>8095</v>
      </c>
      <c r="H1" s="23" t="s">
        <v>7395</v>
      </c>
      <c r="I1" s="79" t="s">
        <v>7396</v>
      </c>
      <c r="J1" s="23"/>
      <c r="K1" s="23" t="s">
        <v>7397</v>
      </c>
      <c r="L1" s="23" t="s">
        <v>8096</v>
      </c>
      <c r="M1" s="23" t="s">
        <v>7398</v>
      </c>
      <c r="N1" s="23"/>
      <c r="O1" s="23" t="s">
        <v>7399</v>
      </c>
      <c r="P1" s="23"/>
      <c r="Q1" s="23" t="s">
        <v>7401</v>
      </c>
      <c r="R1" s="23"/>
      <c r="S1" s="23" t="s">
        <v>7400</v>
      </c>
      <c r="T1" s="58"/>
      <c r="AB1" s="47" t="s">
        <v>7394</v>
      </c>
      <c r="AC1" s="47" t="s">
        <v>7395</v>
      </c>
      <c r="AD1" s="77" t="s">
        <v>7396</v>
      </c>
      <c r="AE1" s="47" t="s">
        <v>7397</v>
      </c>
      <c r="AF1" s="47" t="s">
        <v>7398</v>
      </c>
      <c r="AG1" s="47" t="s">
        <v>7399</v>
      </c>
      <c r="AH1" s="47" t="s">
        <v>7401</v>
      </c>
      <c r="AI1" s="47" t="s">
        <v>7400</v>
      </c>
      <c r="AO1" s="48" t="s">
        <v>1</v>
      </c>
      <c r="AP1" s="48"/>
      <c r="AQ1" s="48" t="s">
        <v>7394</v>
      </c>
      <c r="AR1" s="48" t="s">
        <v>8095</v>
      </c>
      <c r="AS1" s="48" t="s">
        <v>7395</v>
      </c>
      <c r="AT1" s="48" t="s">
        <v>8097</v>
      </c>
      <c r="AU1" s="80" t="s">
        <v>7396</v>
      </c>
      <c r="AV1" s="48"/>
      <c r="AW1" s="48" t="s">
        <v>7397</v>
      </c>
      <c r="AX1" s="48" t="s">
        <v>8096</v>
      </c>
      <c r="AY1" s="48" t="s">
        <v>7398</v>
      </c>
      <c r="AZ1" s="48"/>
      <c r="BA1" s="48" t="s">
        <v>7399</v>
      </c>
      <c r="BB1" s="48"/>
      <c r="BC1" s="48" t="s">
        <v>7401</v>
      </c>
      <c r="BD1" s="48"/>
      <c r="BE1" s="48" t="s">
        <v>7400</v>
      </c>
      <c r="BF1" s="59"/>
    </row>
    <row r="2" spans="4:58">
      <c r="D2" s="7" t="s">
        <v>442</v>
      </c>
      <c r="E2" s="7" t="s">
        <v>7015</v>
      </c>
      <c r="F2" t="s">
        <v>8098</v>
      </c>
      <c r="G2" t="str">
        <f>RIGHT(F2,LEN(F2)-33)</f>
        <v>grnjvolobm</v>
      </c>
      <c r="H2" t="s">
        <v>7408</v>
      </c>
      <c r="I2" s="78" t="s">
        <v>8098</v>
      </c>
      <c r="K2" t="s">
        <v>8099</v>
      </c>
      <c r="L2" t="str">
        <f>RIGHT(K2,LEN(K2)-33)</f>
        <v>dit5k'9how,h</v>
      </c>
      <c r="M2" t="s">
        <v>8100</v>
      </c>
      <c r="N2" t="str">
        <f>RIGHT(M2,LEN(M2)-33)</f>
        <v>gvd]ydJIB</v>
      </c>
      <c r="O2" t="s">
        <v>8101</v>
      </c>
      <c r="P2" t="str">
        <f>RIGHT(O2,LEN(O2)-33)</f>
        <v>d9yPP^d9g;mu</v>
      </c>
      <c r="Q2" t="s">
        <v>8102</v>
      </c>
      <c r="R2" t="str">
        <f>RIGHT(Q2,LEN(Q2)-33)</f>
        <v>xdiIBoomB</v>
      </c>
      <c r="S2" t="s">
        <v>8103</v>
      </c>
      <c r="T2" s="55" t="s">
        <v>1684</v>
      </c>
      <c r="AB2" s="56">
        <v>1</v>
      </c>
      <c r="AC2" t="s">
        <v>7408</v>
      </c>
      <c r="AD2" s="82">
        <v>1</v>
      </c>
      <c r="AE2" t="s">
        <v>7408</v>
      </c>
      <c r="AF2" t="s">
        <v>7408</v>
      </c>
      <c r="AG2" t="s">
        <v>7408</v>
      </c>
      <c r="AH2" t="s">
        <v>7408</v>
      </c>
      <c r="AI2" t="s">
        <v>7408</v>
      </c>
      <c r="AO2" t="s">
        <v>2278</v>
      </c>
      <c r="AQ2" t="s">
        <v>8104</v>
      </c>
      <c r="AR2" t="str">
        <f>RIGHT(AQ2,LEN(AQ2)-33)</f>
        <v>angel111</v>
      </c>
      <c r="AS2" t="s">
        <v>8105</v>
      </c>
      <c r="AT2" t="str">
        <f>RIGHT(AS2,LEN(AS2)-33)</f>
        <v>92dZjO6S!R_r</v>
      </c>
      <c r="AU2" s="78" t="s">
        <v>8104</v>
      </c>
      <c r="AV2" t="str">
        <f>RIGHT(AU2,LEN(AU2)-33)</f>
        <v>angel111</v>
      </c>
      <c r="AW2" t="s">
        <v>7408</v>
      </c>
      <c r="AX2" t="s">
        <v>7408</v>
      </c>
      <c r="AY2" t="s">
        <v>7408</v>
      </c>
      <c r="BA2" t="s">
        <v>7408</v>
      </c>
      <c r="BC2" t="s">
        <v>7408</v>
      </c>
      <c r="BE2" t="s">
        <v>7408</v>
      </c>
    </row>
    <row r="3" spans="4:58">
      <c r="D3" s="7" t="s">
        <v>604</v>
      </c>
      <c r="E3" s="7"/>
      <c r="F3" t="s">
        <v>8106</v>
      </c>
      <c r="G3" t="str">
        <f>RIGHT(F3,LEN(F3)-33)</f>
        <v>l;ylfu8iy[</v>
      </c>
      <c r="I3" s="78" t="s">
        <v>8107</v>
      </c>
      <c r="K3" t="s">
        <v>8108</v>
      </c>
      <c r="L3" t="str">
        <f>RIGHT(K3,LEN(K3)-33)</f>
        <v>d]jv'fbolv</v>
      </c>
      <c r="M3" t="s">
        <v>8109</v>
      </c>
      <c r="N3" t="str">
        <f>RIGHT(M3,LEN(M3)-33)</f>
        <v>Tii,=k9b</v>
      </c>
      <c r="O3" t="s">
        <v>8110</v>
      </c>
      <c r="P3" t="str">
        <f>RIGHT(O3,LEN(O3)-33)</f>
        <v>wdjmvfdiv[</v>
      </c>
      <c r="Q3" t="s">
        <v>8103</v>
      </c>
      <c r="R3" t="str">
        <f>RIGHT(Q3,LEN(Q3)-33)</f>
        <v>iy9okKiu8e</v>
      </c>
      <c r="S3" t="s">
        <v>8111</v>
      </c>
      <c r="T3" s="55" t="s">
        <v>1540</v>
      </c>
      <c r="AO3" t="s">
        <v>2283</v>
      </c>
      <c r="AQ3" t="s">
        <v>8112</v>
      </c>
      <c r="AR3" t="str">
        <f>RIGHT(AQ3,LEN(AQ3)-33)</f>
        <v>thinkpink1</v>
      </c>
      <c r="AS3" t="s">
        <v>8113</v>
      </c>
      <c r="AT3" t="str">
        <f>RIGHT(AS3,LEN(AS3)-33)</f>
        <v>$y5AJEnU3Ary2a</v>
      </c>
      <c r="AU3" s="78" t="s">
        <v>8114</v>
      </c>
      <c r="AV3" t="str">
        <f>RIGHT(AU3,LEN(AU3)-33)</f>
        <v>george22</v>
      </c>
    </row>
    <row r="4" spans="4:58">
      <c r="D4" s="7" t="s">
        <v>2067</v>
      </c>
      <c r="E4" s="7" t="s">
        <v>7015</v>
      </c>
      <c r="F4" s="54" t="s">
        <v>8115</v>
      </c>
      <c r="G4" t="str">
        <f>RIGHT(F4,LEN(F4)-33)</f>
        <v>l;ylfu8jt</v>
      </c>
      <c r="K4" t="s">
        <v>8116</v>
      </c>
      <c r="L4" t="str">
        <f>RIGHT(K4,LEN(K4)-33)</f>
        <v>ditgxHkoydgiupo</v>
      </c>
      <c r="M4" t="s">
        <v>8117</v>
      </c>
      <c r="N4" t="str">
        <f>RIGHT(M4,LEN(M4)-33)</f>
        <v>vTbxw9p</v>
      </c>
      <c r="O4" t="s">
        <v>8118</v>
      </c>
      <c r="P4" t="str">
        <f>RIGHT(O4,LEN(O4)-33)</f>
        <v>-o,xy'div[</v>
      </c>
      <c r="Q4" t="s">
        <v>8119</v>
      </c>
      <c r="R4" t="str">
        <f>RIGHT(Q4,LEN(Q4)-33)</f>
        <v>Kb]xxitp6d9B</v>
      </c>
      <c r="S4" t="s">
        <v>8102</v>
      </c>
      <c r="T4" s="55" t="s">
        <v>1280</v>
      </c>
      <c r="AO4" t="s">
        <v>2287</v>
      </c>
      <c r="AQ4" t="s">
        <v>8120</v>
      </c>
      <c r="AR4" t="str">
        <f>RIGHT(AQ4,LEN(AQ4)-33)</f>
        <v>cutie1234</v>
      </c>
      <c r="AS4" t="s">
        <v>8121</v>
      </c>
      <c r="AT4" t="str">
        <f>RIGHT(AS4,LEN(AS4)-33)</f>
        <v>EQu2YMu5a#AhEm</v>
      </c>
      <c r="AU4" s="78" t="s">
        <v>8122</v>
      </c>
      <c r="AV4" t="str">
        <f>RIGHT(AU4,LEN(AU4)-33)</f>
        <v>maestro1</v>
      </c>
    </row>
    <row r="5" spans="4:58">
      <c r="D5" s="7" t="s">
        <v>632</v>
      </c>
      <c r="E5" s="7"/>
      <c r="F5" s="54" t="s">
        <v>8123</v>
      </c>
      <c r="G5" t="str">
        <f>RIGHT(F5,LEN(F5)-33)</f>
        <v>v6]9ihkc,o</v>
      </c>
      <c r="K5" t="s">
        <v>8124</v>
      </c>
      <c r="L5" t="str">
        <f>RIGHT(K5,LEN(K5)-33)</f>
        <v>ditgxHkl9k'8B</v>
      </c>
      <c r="M5" t="s">
        <v>8125</v>
      </c>
      <c r="N5" t="str">
        <f>RIGHT(M5,LEN(M5)-33)</f>
        <v>v6f,dkiIB</v>
      </c>
      <c r="O5" t="s">
        <v>8126</v>
      </c>
      <c r="P5" t="str">
        <f>RIGHT(O5,LEN(O5)-33)</f>
        <v>wmpdi6'gmr</v>
      </c>
      <c r="Q5" t="s">
        <v>8127</v>
      </c>
      <c r="R5" t="str">
        <f>RIGHT(Q5,LEN(Q5)-33)</f>
        <v>lD9iBpbh,cph,</v>
      </c>
      <c r="S5" t="s">
        <v>8128</v>
      </c>
      <c r="T5" s="55" t="s">
        <v>1632</v>
      </c>
      <c r="AO5" t="s">
        <v>2291</v>
      </c>
      <c r="AQ5" t="s">
        <v>8129</v>
      </c>
      <c r="AR5" t="str">
        <f>RIGHT(AQ5,LEN(AQ5)-33)</f>
        <v>george06</v>
      </c>
      <c r="AU5" s="78" t="s">
        <v>8130</v>
      </c>
      <c r="AV5" t="str">
        <f>RIGHT(AU5,LEN(AU5)-33)</f>
        <v>montana16</v>
      </c>
    </row>
    <row r="6" spans="4:58">
      <c r="D6" s="7" t="s">
        <v>454</v>
      </c>
      <c r="E6" s="7"/>
      <c r="F6" t="s">
        <v>8131</v>
      </c>
      <c r="G6" t="str">
        <f>RIGHT(F6,LEN(F6)-33)</f>
        <v>pbofu9hvoiy[</v>
      </c>
      <c r="K6" t="s">
        <v>8132</v>
      </c>
      <c r="L6" t="str">
        <f>RIGHT(K6,LEN(K6)-33)</f>
        <v>ditgxHkltrkp</v>
      </c>
      <c r="O6" t="s">
        <v>8133</v>
      </c>
      <c r="P6" t="str">
        <f>RIGHT(O6,LEN(O6)-33)</f>
        <v>goxk]dk{,kIR6</v>
      </c>
      <c r="Q6" t="s">
        <v>8134</v>
      </c>
      <c r="R6" t="str">
        <f>RIGHT(Q6,LEN(Q6)-33)</f>
        <v>0b9;bPPkI</v>
      </c>
      <c r="S6" t="s">
        <v>8135</v>
      </c>
      <c r="T6" s="55" t="s">
        <v>1582</v>
      </c>
      <c r="AO6" t="s">
        <v>2295</v>
      </c>
      <c r="AQ6" t="s">
        <v>8114</v>
      </c>
      <c r="AR6" t="str">
        <f>RIGHT(AQ6,LEN(AQ6)-33)</f>
        <v>george22</v>
      </c>
      <c r="AU6" s="78" t="s">
        <v>8129</v>
      </c>
      <c r="AV6" t="str">
        <f>RIGHT(AU6,LEN(AU6)-33)</f>
        <v>george06</v>
      </c>
    </row>
    <row r="7" spans="4:58">
      <c r="D7" s="7" t="s">
        <v>538</v>
      </c>
      <c r="E7" s="7"/>
      <c r="F7" s="54" t="s">
        <v>8107</v>
      </c>
      <c r="G7" t="str">
        <f>RIGHT(F7,LEN(F7)-33)</f>
        <v>mefuwfhfu</v>
      </c>
      <c r="K7" t="s">
        <v>8136</v>
      </c>
      <c r="L7" t="str">
        <f>RIGHT(K7,LEN(K7)-33)</f>
        <v>dk'gd'-kpk;</v>
      </c>
      <c r="O7" t="s">
        <v>8137</v>
      </c>
      <c r="P7" t="str">
        <f>RIGHT(O7,LEN(O7)-33)</f>
        <v>xdiIBdv]Ba</v>
      </c>
      <c r="Q7" t="s">
        <v>8138</v>
      </c>
      <c r="R7" t="str">
        <f>RIGHT(Q7,LEN(Q7)-33)</f>
        <v>9]kfoyfl6-.0</v>
      </c>
      <c r="S7" t="s">
        <v>8139</v>
      </c>
      <c r="T7" s="55" t="s">
        <v>1528</v>
      </c>
      <c r="AO7" t="s">
        <v>2299</v>
      </c>
      <c r="AQ7" t="s">
        <v>8140</v>
      </c>
      <c r="AR7" t="str">
        <f>RIGHT(AQ7,LEN(AQ7)-33)</f>
        <v>kirkland1</v>
      </c>
      <c r="AU7" s="78" t="s">
        <v>8141</v>
      </c>
      <c r="AV7" t="str">
        <f>RIGHT(AU7,LEN(AU7)-33)</f>
        <v>catdog22</v>
      </c>
    </row>
    <row r="8" spans="4:58">
      <c r="D8" t="s">
        <v>6944</v>
      </c>
      <c r="E8" s="7" t="s">
        <v>7015</v>
      </c>
      <c r="F8" t="s">
        <v>8142</v>
      </c>
      <c r="G8" t="str">
        <f>RIGHT(F8,LEN(F8)-33)</f>
        <v>0bo9okdki</v>
      </c>
      <c r="K8" t="s">
        <v>8143</v>
      </c>
      <c r="L8" t="str">
        <f>RIGHT(K8,LEN(K8)-33)</f>
        <v>dkp4kr[e[yf</v>
      </c>
      <c r="O8" t="s">
        <v>8142</v>
      </c>
      <c r="P8" t="str">
        <f>RIGHT(O8,LEN(O8)-33)</f>
        <v>0bo9okdki</v>
      </c>
      <c r="Q8" t="s">
        <v>8144</v>
      </c>
      <c r="R8" t="str">
        <f>RIGHT(Q8,LEN(Q8)-33)</f>
        <v>9]kfohevy,r;k</v>
      </c>
      <c r="S8" t="s">
        <v>8145</v>
      </c>
      <c r="T8" s="55" t="s">
        <v>1544</v>
      </c>
      <c r="AO8" t="s">
        <v>2303</v>
      </c>
      <c r="AQ8" t="s">
        <v>8146</v>
      </c>
      <c r="AR8" t="str">
        <f>RIGHT(AQ8,LEN(AQ8)-33)</f>
        <v>synyster1</v>
      </c>
      <c r="AU8" s="78" t="s">
        <v>8112</v>
      </c>
      <c r="AV8" t="str">
        <f>RIGHT(AU8,LEN(AU8)-33)</f>
        <v>thinkpink1</v>
      </c>
    </row>
    <row r="9" spans="4:58">
      <c r="D9" t="s">
        <v>6946</v>
      </c>
      <c r="E9" s="7" t="s">
        <v>7015</v>
      </c>
      <c r="F9" t="s">
        <v>8147</v>
      </c>
      <c r="G9" t="str">
        <f>RIGHT(F9,LEN(F9)-33)</f>
        <v>8bf57'ot</v>
      </c>
      <c r="K9" t="s">
        <v>8148</v>
      </c>
      <c r="L9" t="str">
        <f>RIGHT(K9,LEN(K9)-33)</f>
        <v>gdJ9iKkl9iB</v>
      </c>
      <c r="O9" t="s">
        <v>8149</v>
      </c>
      <c r="P9" t="str">
        <f>RIGHT(O9,LEN(O9)-33)</f>
        <v>xitl[dkiIB</v>
      </c>
      <c r="Q9" t="s">
        <v>8139</v>
      </c>
      <c r="R9" t="str">
        <f>RIGHT(Q9,LEN(Q9)-33)</f>
        <v>r'Kdil6-.0</v>
      </c>
      <c r="S9" t="s">
        <v>8150</v>
      </c>
      <c r="T9" s="55" t="s">
        <v>1680</v>
      </c>
      <c r="AO9" t="s">
        <v>2307</v>
      </c>
      <c r="AQ9" t="s">
        <v>8141</v>
      </c>
      <c r="AR9" t="str">
        <f>RIGHT(AQ9,LEN(AQ9)-33)</f>
        <v>catdog22</v>
      </c>
      <c r="AU9" s="78" t="s">
        <v>8140</v>
      </c>
      <c r="AV9" t="str">
        <f>RIGHT(AU9,LEN(AU9)-33)</f>
        <v>kirkland1</v>
      </c>
    </row>
    <row r="10" spans="4:58">
      <c r="D10" s="7" t="s">
        <v>1890</v>
      </c>
      <c r="E10" s="7" t="s">
        <v>7015</v>
      </c>
      <c r="F10" t="s">
        <v>8151</v>
      </c>
      <c r="G10" t="str">
        <f>RIGHT(F10,LEN(F10)-33)</f>
        <v>viblik;iiI</v>
      </c>
      <c r="K10" t="s">
        <v>8152</v>
      </c>
      <c r="L10" t="str">
        <f>RIGHT(K10,LEN(K10)-33)</f>
        <v>gdupi9bpK</v>
      </c>
      <c r="O10" t="s">
        <v>8153</v>
      </c>
      <c r="P10" t="str">
        <f>RIGHT(O10,LEN(O10)-33)</f>
        <v>-hk;zyfd6h'</v>
      </c>
      <c r="Q10" t="s">
        <v>8154</v>
      </c>
      <c r="R10" t="str">
        <f>RIGHT(Q10,LEN(Q10)-33)</f>
        <v>xibPPkKiul6-</v>
      </c>
      <c r="S10" t="s">
        <v>8155</v>
      </c>
      <c r="T10" s="55" t="s">
        <v>1692</v>
      </c>
      <c r="AO10" t="s">
        <v>2311</v>
      </c>
      <c r="AQ10" t="s">
        <v>8130</v>
      </c>
      <c r="AR10" t="str">
        <f>RIGHT(AQ10,LEN(AQ10)-33)</f>
        <v>montana16</v>
      </c>
      <c r="AU10" s="78" t="s">
        <v>8120</v>
      </c>
      <c r="AV10" t="str">
        <f>RIGHT(AU10,LEN(AU10)-33)</f>
        <v>cutie1234</v>
      </c>
    </row>
    <row r="11" spans="4:58">
      <c r="D11" s="7" t="s">
        <v>2115</v>
      </c>
      <c r="E11" s="7" t="s">
        <v>7015</v>
      </c>
      <c r="F11" t="s">
        <v>8156</v>
      </c>
      <c r="G11" t="str">
        <f>RIGHT(F11,LEN(F11)-33)</f>
        <v>lh,9ewmp</v>
      </c>
      <c r="K11" t="s">
        <v>8157</v>
      </c>
      <c r="L11" t="str">
        <f>RIGHT(K11,LEN(K11)-33)</f>
        <v>cd'g-up;s;ko</v>
      </c>
      <c r="O11" t="s">
        <v>8158</v>
      </c>
      <c r="P11" t="str">
        <f>RIGHT(O11,LEN(O11)-33)</f>
        <v>9h,ped6h'</v>
      </c>
      <c r="Q11" t="s">
        <v>8145</v>
      </c>
      <c r="R11" t="str">
        <f>RIGHT(Q11,LEN(Q11)-33)</f>
        <v>4^;f];'KBmv'</v>
      </c>
      <c r="S11" t="s">
        <v>8159</v>
      </c>
      <c r="T11" s="55" t="s">
        <v>1572</v>
      </c>
      <c r="AO11" t="s">
        <v>2315</v>
      </c>
      <c r="AQ11" t="s">
        <v>8160</v>
      </c>
      <c r="AR11" t="str">
        <f>RIGHT(AQ11,LEN(AQ11)-33)</f>
        <v>alicia69</v>
      </c>
      <c r="AU11" s="78" t="s">
        <v>8161</v>
      </c>
      <c r="AV11" t="str">
        <f>RIGHT(AU11,LEN(AU11)-33)</f>
        <v>fucking2</v>
      </c>
    </row>
    <row r="12" spans="4:58">
      <c r="D12" s="7" t="s">
        <v>1734</v>
      </c>
      <c r="E12" s="7"/>
      <c r="F12" t="s">
        <v>8162</v>
      </c>
      <c r="G12" t="str">
        <f>RIGHT(F12,LEN(F12)-33)</f>
        <v>iv'gmhkc9t</v>
      </c>
      <c r="K12" t="s">
        <v>8163</v>
      </c>
      <c r="L12" t="str">
        <f>RIGHT(K12,LEN(K12)-33)</f>
        <v>-vclf'8;k,oy[5nv</v>
      </c>
      <c r="O12" t="s">
        <v>8164</v>
      </c>
      <c r="P12" t="str">
        <f>RIGHT(O12,LEN(O12)-33)</f>
        <v>D9Utdbo-hk;</v>
      </c>
      <c r="Q12" t="s">
        <v>8165</v>
      </c>
      <c r="R12" t="str">
        <f>RIGHT(Q12,LEN(Q12)-33)</f>
        <v>=u;;bmpk</v>
      </c>
      <c r="S12" t="s">
        <v>8154</v>
      </c>
      <c r="T12" s="55" t="s">
        <v>1644</v>
      </c>
      <c r="AO12" t="s">
        <v>2319</v>
      </c>
      <c r="AQ12" t="s">
        <v>8166</v>
      </c>
      <c r="AR12" t="str">
        <f>RIGHT(AQ12,LEN(AQ12)-33)</f>
        <v>itsover1</v>
      </c>
      <c r="AU12" s="78" t="s">
        <v>8146</v>
      </c>
      <c r="AV12" t="str">
        <f>RIGHT(AU12,LEN(AU12)-33)</f>
        <v>synyster1</v>
      </c>
    </row>
    <row r="13" spans="4:58">
      <c r="D13" s="7" t="s">
        <v>1824</v>
      </c>
      <c r="E13" s="7"/>
      <c r="F13" t="s">
        <v>8165</v>
      </c>
      <c r="G13" t="str">
        <f>RIGHT(F13,LEN(F13)-33)</f>
        <v>=u;;bmpk</v>
      </c>
      <c r="K13" t="s">
        <v>8167</v>
      </c>
      <c r="L13" t="str">
        <f>RIGHT(K13,LEN(K13)-33)</f>
        <v>-jk;fj;o</v>
      </c>
      <c r="O13" t="s">
        <v>8168</v>
      </c>
      <c r="P13" t="str">
        <f>RIGHT(O13,LEN(O13)-33)</f>
        <v>-hk;,yowdj</v>
      </c>
      <c r="Q13" t="s">
        <v>8169</v>
      </c>
      <c r="R13" t="str">
        <f>RIGHT(Q13,LEN(Q13)-33)</f>
        <v>obg;K;bmpk</v>
      </c>
      <c r="S13" s="54" t="s">
        <v>8170</v>
      </c>
      <c r="T13" s="55" t="s">
        <v>1668</v>
      </c>
      <c r="AO13" t="s">
        <v>2323</v>
      </c>
      <c r="AQ13" t="s">
        <v>8161</v>
      </c>
      <c r="AR13" t="str">
        <f>RIGHT(AQ13,LEN(AQ13)-33)</f>
        <v>fucking2</v>
      </c>
      <c r="AU13" s="78" t="s">
        <v>8171</v>
      </c>
      <c r="AV13" t="str">
        <f>RIGHT(AU13,LEN(AU13)-33)</f>
        <v>987654321qw</v>
      </c>
    </row>
    <row r="14" spans="4:58">
      <c r="D14" s="7" t="s">
        <v>990</v>
      </c>
      <c r="E14" s="7"/>
      <c r="F14" t="s">
        <v>8172</v>
      </c>
      <c r="G14" t="str">
        <f>RIGHT(F14,LEN(F14)-33)</f>
        <v>=bo0y'0v,cdjo</v>
      </c>
      <c r="K14" t="s">
        <v>8173</v>
      </c>
      <c r="L14" t="str">
        <f>RIGHT(K14,LEN(K14)-33)</f>
        <v>-6f[jv]jvx]k</v>
      </c>
      <c r="O14" t="s">
        <v>8174</v>
      </c>
      <c r="P14" t="str">
        <f>RIGHT(O14,LEN(O14)-33)</f>
        <v>[hko-o,s;ko</v>
      </c>
      <c r="Q14" t="s">
        <v>8175</v>
      </c>
      <c r="R14" t="str">
        <f>RIGHT(Q14,LEN(Q14)-33)</f>
        <v>;bKi69gdj'</v>
      </c>
      <c r="S14" s="54" t="s">
        <v>8176</v>
      </c>
      <c r="T14" s="55" t="s">
        <v>1682</v>
      </c>
      <c r="AO14" t="s">
        <v>2327</v>
      </c>
      <c r="AQ14" t="s">
        <v>8177</v>
      </c>
      <c r="AR14" t="str">
        <f>RIGHT(AQ14,LEN(AQ14)-33)</f>
        <v>chrisbr0wn</v>
      </c>
      <c r="AU14" s="78" t="s">
        <v>8178</v>
      </c>
      <c r="AV14" t="str">
        <f>RIGHT(AU14,LEN(AU14)-33)</f>
        <v>jjjjjjj1</v>
      </c>
    </row>
    <row r="15" spans="4:58">
      <c r="D15" s="7" t="s">
        <v>1850</v>
      </c>
      <c r="E15" s="7" t="s">
        <v>7015</v>
      </c>
      <c r="F15" t="s">
        <v>8168</v>
      </c>
      <c r="G15" t="str">
        <f>RIGHT(F15,LEN(F15)-33)</f>
        <v>-hk;,yowdj</v>
      </c>
      <c r="K15" t="s">
        <v>8168</v>
      </c>
      <c r="L15" t="str">
        <f>RIGHT(K15,LEN(K15)-33)</f>
        <v>-hk;,yowdj</v>
      </c>
      <c r="O15" t="s">
        <v>8179</v>
      </c>
      <c r="P15" t="str">
        <f>RIGHT(O15,LEN(O15)-33)</f>
        <v>Ddfy'-v'.=h</v>
      </c>
      <c r="Q15" t="s">
        <v>8180</v>
      </c>
      <c r="R15" t="str">
        <f>RIGHT(Q15,LEN(Q15)-33)</f>
        <v>;bKi69[6P=j;p</v>
      </c>
      <c r="S15" t="s">
        <v>8181</v>
      </c>
      <c r="T15" s="55" t="s">
        <v>1588</v>
      </c>
      <c r="AO15" t="s">
        <v>2331</v>
      </c>
      <c r="AQ15" t="s">
        <v>8122</v>
      </c>
      <c r="AR15" t="str">
        <f>RIGHT(AQ15,LEN(AQ15)-33)</f>
        <v>maestro1</v>
      </c>
      <c r="AU15" s="78" t="s">
        <v>8182</v>
      </c>
      <c r="AV15" t="str">
        <f>RIGHT(AU15,LEN(AU15)-33)</f>
        <v>andrey1992</v>
      </c>
    </row>
    <row r="16" spans="4:58">
      <c r="D16" s="7" t="s">
        <v>920</v>
      </c>
      <c r="E16" s="7"/>
      <c r="F16" t="s">
        <v>8183</v>
      </c>
      <c r="G16" t="str">
        <f>RIGHT(F16,LEN(F16)-33)</f>
        <v>,sk;bmpk]yp</v>
      </c>
      <c r="K16" t="s">
        <v>8184</v>
      </c>
      <c r="L16" t="str">
        <f>RIGHT(K16,LEN(K16)-33)</f>
        <v>8Ib9Kkl9iB</v>
      </c>
      <c r="O16" t="s">
        <v>8185</v>
      </c>
      <c r="P16" t="str">
        <f>RIGHT(O16,LEN(O16)-33)</f>
        <v>d]jv'-hk;d]k';yo</v>
      </c>
      <c r="Q16" t="s">
        <v>8186</v>
      </c>
      <c r="R16" t="str">
        <f>RIGHT(Q16,LEN(Q16)-33)</f>
        <v>mujgmujp;Tii,=k9b</v>
      </c>
      <c r="S16" t="s">
        <v>8187</v>
      </c>
      <c r="T16" s="55" t="s">
        <v>1514</v>
      </c>
      <c r="AO16" t="s">
        <v>2335</v>
      </c>
      <c r="AQ16" t="s">
        <v>8188</v>
      </c>
      <c r="AR16" t="str">
        <f>RIGHT(AQ16,LEN(AQ16)-33)</f>
        <v>kristen69</v>
      </c>
      <c r="AU16" s="78" t="s">
        <v>8160</v>
      </c>
      <c r="AV16" t="str">
        <f>RIGHT(AU16,LEN(AU16)-33)</f>
        <v>alicia69</v>
      </c>
    </row>
    <row r="17" spans="4:48">
      <c r="D17" s="7" t="s">
        <v>1000</v>
      </c>
      <c r="E17" s="7"/>
      <c r="K17" t="s">
        <v>8189</v>
      </c>
      <c r="L17" t="str">
        <f>RIGHT(K17,LEN(K17)-33)</f>
        <v>8[gfGdlihk'[hko</v>
      </c>
      <c r="O17" t="s">
        <v>8190</v>
      </c>
      <c r="P17" t="str">
        <f>RIGHT(O17,LEN(O17)-33)</f>
        <v>5oo-hk;lki</v>
      </c>
      <c r="Q17" t="s">
        <v>8191</v>
      </c>
      <c r="R17" t="str">
        <f>RIGHT(Q17,LEN(Q17)-33)</f>
        <v>=69b,kKiul;ylfbB</v>
      </c>
      <c r="S17" t="s">
        <v>8192</v>
      </c>
      <c r="T17" s="55" t="s">
        <v>1612</v>
      </c>
      <c r="AO17" t="s">
        <v>2339</v>
      </c>
      <c r="AQ17" t="s">
        <v>8193</v>
      </c>
      <c r="AR17" t="str">
        <f>RIGHT(AQ17,LEN(AQ17)-33)</f>
        <v>disney04</v>
      </c>
      <c r="AU17" s="78" t="s">
        <v>8194</v>
      </c>
      <c r="AV17" t="str">
        <f>RIGHT(AU17,LEN(AU17)-33)</f>
        <v>dylan1997</v>
      </c>
    </row>
    <row r="18" spans="4:48">
      <c r="D18" s="7" t="s">
        <v>1176</v>
      </c>
      <c r="E18" s="7"/>
      <c r="K18" t="s">
        <v>8195</v>
      </c>
      <c r="L18" t="str">
        <f>RIGHT(K18,LEN(K18)-33)</f>
        <v>8;k,l'jk'k,</v>
      </c>
      <c r="O18" t="s">
        <v>8157</v>
      </c>
      <c r="P18" t="str">
        <f>RIGHT(O18,LEN(O18)-33)</f>
        <v>cd'g-up;s;ko</v>
      </c>
      <c r="Q18" t="s">
        <v>8196</v>
      </c>
      <c r="R18" t="str">
        <f>RIGHT(Q18,LEN(Q18)-33)</f>
        <v>fo9iulkd]</v>
      </c>
      <c r="S18" t="s">
        <v>8197</v>
      </c>
      <c r="T18" s="55" t="s">
        <v>1584</v>
      </c>
      <c r="AO18" t="s">
        <v>2343</v>
      </c>
      <c r="AQ18" t="s">
        <v>8198</v>
      </c>
      <c r="AR18" t="str">
        <f>RIGHT(AQ18,LEN(AQ18)-33)</f>
        <v>brianna17</v>
      </c>
      <c r="AU18" s="78" t="s">
        <v>8199</v>
      </c>
      <c r="AV18" t="str">
        <f>RIGHT(AU18,LEN(AU18)-33)</f>
        <v>tgbhn25fb</v>
      </c>
    </row>
    <row r="19" spans="4:48">
      <c r="D19" s="7" t="s">
        <v>968</v>
      </c>
      <c r="E19" s="7"/>
      <c r="K19" t="s">
        <v>8200</v>
      </c>
      <c r="L19" t="str">
        <f>RIGHT(K19,LEN(K19)-33)</f>
        <v>D8,wa9yh'D9Ut</v>
      </c>
      <c r="O19" t="s">
        <v>8201</v>
      </c>
      <c r="P19" t="str">
        <f>RIGHT(O19,LEN(O19)-33)</f>
        <v>xjkw,hg-up;</v>
      </c>
      <c r="Q19" t="s">
        <v>8202</v>
      </c>
      <c r="R19" t="str">
        <f>RIGHT(Q19,LEN(Q19)-33)</f>
        <v>xdiIBKiul;ylfbB</v>
      </c>
      <c r="S19" t="s">
        <v>8203</v>
      </c>
      <c r="T19" s="55" t="s">
        <v>1614</v>
      </c>
      <c r="AO19" t="s">
        <v>2347</v>
      </c>
      <c r="AQ19" t="s">
        <v>8204</v>
      </c>
      <c r="AR19" t="str">
        <f>RIGHT(AQ19,LEN(AQ19)-33)</f>
        <v>born1986</v>
      </c>
      <c r="AU19" s="78" t="s">
        <v>8204</v>
      </c>
      <c r="AV19" t="str">
        <f>RIGHT(AU19,LEN(AU19)-33)</f>
        <v>born1986</v>
      </c>
    </row>
    <row r="20" spans="4:48">
      <c r="D20" s="7" t="s">
        <v>1784</v>
      </c>
      <c r="E20" s="7"/>
      <c r="K20" t="s">
        <v>8205</v>
      </c>
      <c r="L20" t="str">
        <f>RIGHT(K20,LEN(K20)-33)</f>
        <v>g8injv'gxjkz,</v>
      </c>
      <c r="O20" t="s">
        <v>8206</v>
      </c>
      <c r="P20" t="str">
        <f>RIGHT(O20,LEN(O20)-33)</f>
        <v>0v4kr8,=yf</v>
      </c>
      <c r="Q20" t="s">
        <v>8098</v>
      </c>
      <c r="R20" t="str">
        <f>RIGHT(Q20,LEN(Q20)-33)</f>
        <v>grnjvolobm</v>
      </c>
      <c r="S20" t="s">
        <v>8175</v>
      </c>
      <c r="T20" s="55" t="s">
        <v>1402</v>
      </c>
      <c r="AO20" t="s">
        <v>2351</v>
      </c>
      <c r="AQ20" t="s">
        <v>8207</v>
      </c>
      <c r="AR20" t="str">
        <f>RIGHT(AQ20,LEN(AQ20)-33)</f>
        <v>1general</v>
      </c>
      <c r="AU20" s="78" t="s">
        <v>8208</v>
      </c>
      <c r="AV20" t="str">
        <f>RIGHT(AU20,LEN(AU20)-33)</f>
        <v>gandalf5</v>
      </c>
    </row>
    <row r="21" spans="4:48">
      <c r="D21" s="7" t="s">
        <v>956</v>
      </c>
      <c r="E21" s="7"/>
      <c r="K21" t="s">
        <v>8134</v>
      </c>
      <c r="L21" t="str">
        <f>RIGHT(K21,LEN(K21)-33)</f>
        <v>0b9;bPPkI</v>
      </c>
      <c r="O21" t="s">
        <v>8209</v>
      </c>
      <c r="P21" t="str">
        <f>RIGHT(O21,LEN(O21)-33)</f>
        <v>g=]D]8]kllbd</v>
      </c>
      <c r="Q21" t="s">
        <v>8210</v>
      </c>
      <c r="R21" t="str">
        <f>RIGHT(Q21,LEN(Q21)-33)</f>
        <v>,o6Jply,ryoTB</v>
      </c>
      <c r="S21" t="s">
        <v>8180</v>
      </c>
      <c r="T21" s="55" t="s">
        <v>1512</v>
      </c>
      <c r="AO21" t="s">
        <v>2355</v>
      </c>
      <c r="AQ21" t="s">
        <v>8211</v>
      </c>
      <c r="AR21" t="str">
        <f>RIGHT(AQ21,LEN(AQ21)-33)</f>
        <v>fashion9</v>
      </c>
      <c r="AU21" s="78" t="s">
        <v>8211</v>
      </c>
      <c r="AV21" t="str">
        <f>RIGHT(AU21,LEN(AU21)-33)</f>
        <v>fashion9</v>
      </c>
    </row>
    <row r="22" spans="4:48">
      <c r="D22" s="7" t="s">
        <v>1194</v>
      </c>
      <c r="E22" s="7" t="s">
        <v>7015</v>
      </c>
      <c r="K22" t="s">
        <v>8142</v>
      </c>
      <c r="L22" t="str">
        <f>RIGHT(K22,LEN(K22)-33)</f>
        <v>0bo9okdki</v>
      </c>
      <c r="O22" t="s">
        <v>8195</v>
      </c>
      <c r="P22" t="str">
        <f>RIGHT(O22,LEN(O22)-33)</f>
        <v>8;k,l'jk'k,</v>
      </c>
      <c r="Q22" t="s">
        <v>8212</v>
      </c>
      <c r="R22" t="str">
        <f>RIGHT(Q22,LEN(Q22)-33)</f>
        <v>=69b,k/o</v>
      </c>
      <c r="S22" t="s">
        <v>8213</v>
      </c>
      <c r="T22" s="55" t="s">
        <v>540</v>
      </c>
      <c r="AO22" t="s">
        <v>2359</v>
      </c>
      <c r="AQ22" t="s">
        <v>8214</v>
      </c>
      <c r="AR22" t="str">
        <f>RIGHT(AQ22,LEN(AQ22)-33)</f>
        <v>flores69</v>
      </c>
      <c r="AU22" s="78" t="s">
        <v>8166</v>
      </c>
      <c r="AV22" t="str">
        <f>RIGHT(AU22,LEN(AU22)-33)</f>
        <v>itsover1</v>
      </c>
    </row>
    <row r="23" spans="4:48">
      <c r="D23" s="7" t="s">
        <v>1160</v>
      </c>
      <c r="E23" s="7" t="s">
        <v>7015</v>
      </c>
      <c r="K23" t="s">
        <v>8215</v>
      </c>
      <c r="L23" t="str">
        <f>RIGHT(K23,LEN(K23)-33)</f>
        <v>=yho;k'soy'lnv</v>
      </c>
      <c r="O23" t="s">
        <v>8216</v>
      </c>
      <c r="P23" t="str">
        <f>RIGHT(O23,LEN(O23)-33)</f>
        <v>gfo,kiBdD8gxogCgdo</v>
      </c>
      <c r="Q23" t="s">
        <v>8217</v>
      </c>
      <c r="R23" t="str">
        <f>RIGHT(Q23,LEN(Q23)-33)</f>
        <v>lok,[bol6;iiI4^,b</v>
      </c>
      <c r="S23" t="s">
        <v>8218</v>
      </c>
      <c r="T23" s="55" t="s">
        <v>1578</v>
      </c>
      <c r="AO23" t="s">
        <v>2363</v>
      </c>
      <c r="AQ23" t="s">
        <v>8219</v>
      </c>
      <c r="AR23" t="str">
        <f>RIGHT(AQ23,LEN(AQ23)-33)</f>
        <v>baller27</v>
      </c>
      <c r="AU23" s="78" t="s">
        <v>8220</v>
      </c>
      <c r="AV23" t="str">
        <f>RIGHT(AU23,LEN(AU23)-33)</f>
        <v>192837465z</v>
      </c>
    </row>
    <row r="24" spans="4:48">
      <c r="D24" s="7" t="s">
        <v>1088</v>
      </c>
      <c r="E24" s="7" t="s">
        <v>7015</v>
      </c>
      <c r="K24" t="s">
        <v>8221</v>
      </c>
      <c r="L24" t="str">
        <f>RIGHT(K24,LEN(K24)-33)</f>
        <v>=hk'gvg=up</v>
      </c>
      <c r="O24" t="s">
        <v>8222</v>
      </c>
      <c r="P24" t="str">
        <f>RIGHT(O24,LEN(O24)-33)</f>
        <v>9]kfoyf0960ydi</v>
      </c>
      <c r="Q24" t="s">
        <v>8223</v>
      </c>
      <c r="R24" t="str">
        <f>RIGHT(Q24,LEN(Q24)-33)</f>
        <v>ginvleikP</v>
      </c>
      <c r="S24" t="s">
        <v>8224</v>
      </c>
      <c r="T24" s="55" t="s">
        <v>1678</v>
      </c>
      <c r="AO24" t="s">
        <v>2367</v>
      </c>
      <c r="AQ24" t="s">
        <v>8225</v>
      </c>
      <c r="AR24" t="str">
        <f>RIGHT(AQ24,LEN(AQ24)-33)</f>
        <v>sooners22</v>
      </c>
      <c r="AU24" s="78" t="s">
        <v>8226</v>
      </c>
      <c r="AV24" t="str">
        <f>RIGHT(AU24,LEN(AU24)-33)</f>
        <v>soccer2012</v>
      </c>
    </row>
    <row r="25" spans="4:48">
      <c r="D25" s="7" t="s">
        <v>1724</v>
      </c>
      <c r="E25" s="7"/>
      <c r="K25" t="s">
        <v>8165</v>
      </c>
      <c r="L25" t="str">
        <f>RIGHT(K25,LEN(K25)-33)</f>
        <v>=u;;bmpk</v>
      </c>
      <c r="O25" t="s">
        <v>8227</v>
      </c>
      <c r="P25" t="str">
        <f>RIGHT(O25,LEN(O25)-33)</f>
        <v>oyfg0vdyo</v>
      </c>
      <c r="Q25" s="54" t="s">
        <v>8228</v>
      </c>
      <c r="R25" t="str">
        <f>RIGHT(Q25,LEN(Q25)-33)</f>
        <v>x;uIkcl'mv'</v>
      </c>
      <c r="S25" s="54" t="s">
        <v>8229</v>
      </c>
      <c r="T25" s="55" t="s">
        <v>1602</v>
      </c>
      <c r="AO25" t="s">
        <v>2371</v>
      </c>
      <c r="AQ25" t="s">
        <v>8230</v>
      </c>
      <c r="AR25" t="str">
        <f>RIGHT(AQ25,LEN(AQ25)-33)</f>
        <v>nascar19</v>
      </c>
      <c r="AU25" s="78" t="s">
        <v>8231</v>
      </c>
      <c r="AV25" t="str">
        <f>RIGHT(AU25,LEN(AU25)-33)</f>
        <v>molson12</v>
      </c>
    </row>
    <row r="26" spans="4:48">
      <c r="D26" s="7" t="s">
        <v>1756</v>
      </c>
      <c r="E26" s="7"/>
      <c r="K26" t="s">
        <v>8232</v>
      </c>
      <c r="L26" t="str">
        <f>RIGHT(K26,LEN(K26)-33)</f>
        <v>LkDpokit</v>
      </c>
      <c r="O26" t="s">
        <v>8233</v>
      </c>
      <c r="P26" t="str">
        <f>RIGHT(O26,LEN(O26)-33)</f>
        <v>cd'lh,=tv,</v>
      </c>
      <c r="Q26" s="54" t="s">
        <v>8234</v>
      </c>
      <c r="R26" t="str">
        <f>RIGHT(Q26,LEN(Q26)-33)</f>
        <v>x;uIkKydfbB=yp</v>
      </c>
      <c r="S26" t="s">
        <v>8235</v>
      </c>
      <c r="T26" s="55" t="s">
        <v>1634</v>
      </c>
      <c r="AO26" t="s">
        <v>2375</v>
      </c>
      <c r="AQ26" t="s">
        <v>8194</v>
      </c>
      <c r="AR26" t="str">
        <f>RIGHT(AQ26,LEN(AQ26)-33)</f>
        <v>dylan1997</v>
      </c>
      <c r="AU26" s="78" t="s">
        <v>8193</v>
      </c>
      <c r="AV26" t="str">
        <f>RIGHT(AU26,LEN(AU26)-33)</f>
        <v>disney04</v>
      </c>
    </row>
    <row r="27" spans="4:48">
      <c r="D27" s="7" t="s">
        <v>1832</v>
      </c>
      <c r="E27" s="7"/>
      <c r="K27" t="s">
        <v>8196</v>
      </c>
      <c r="L27" t="str">
        <f>RIGHT(K27,LEN(K27)-33)</f>
        <v>fo9iulkd]</v>
      </c>
      <c r="O27" t="s">
        <v>8236</v>
      </c>
      <c r="P27" t="str">
        <f>RIGHT(O27,LEN(O27)-33)</f>
        <v>Dfoym=GvdDdc]9</v>
      </c>
      <c r="Q27" t="s">
        <v>8237</v>
      </c>
      <c r="R27" t="str">
        <f>RIGHT(Q27,LEN(Q27)-33)</f>
        <v>iy9okKiumv'</v>
      </c>
      <c r="S27" t="s">
        <v>8238</v>
      </c>
      <c r="T27" s="55" t="s">
        <v>1674</v>
      </c>
      <c r="AO27" t="s">
        <v>2379</v>
      </c>
      <c r="AQ27" t="s">
        <v>8239</v>
      </c>
      <c r="AR27" t="str">
        <f>RIGHT(AQ27,LEN(AQ27)-33)</f>
        <v>donttry1</v>
      </c>
      <c r="AU27" s="78" t="s">
        <v>8207</v>
      </c>
      <c r="AV27" t="str">
        <f>RIGHT(AU27,LEN(AU27)-33)</f>
        <v>1general</v>
      </c>
    </row>
    <row r="28" spans="4:48">
      <c r="D28" s="7" t="s">
        <v>1138</v>
      </c>
      <c r="E28" s="7"/>
      <c r="K28" t="s">
        <v>8240</v>
      </c>
      <c r="L28" t="str">
        <f>RIGHT(K28,LEN(K28)-33)</f>
        <v>Dfikgv,vo</v>
      </c>
      <c r="O28" t="s">
        <v>8109</v>
      </c>
      <c r="P28" t="str">
        <f>RIGHT(O28,LEN(O28)-33)</f>
        <v>Tii,=k9b</v>
      </c>
      <c r="Q28" t="s">
        <v>8241</v>
      </c>
      <c r="R28" t="str">
        <f>RIGHT(Q28,LEN(Q28)-33)</f>
        <v>l;oly9;Bf6lb9</v>
      </c>
      <c r="S28" t="s">
        <v>8242</v>
      </c>
      <c r="T28" s="55" t="s">
        <v>1532</v>
      </c>
      <c r="AO28" t="s">
        <v>2383</v>
      </c>
      <c r="AQ28" t="s">
        <v>8243</v>
      </c>
      <c r="AR28" t="str">
        <f>RIGHT(AQ28,LEN(AQ28)-33)</f>
        <v>amormio12</v>
      </c>
      <c r="AU28" s="78" t="s">
        <v>8244</v>
      </c>
      <c r="AV28" t="str">
        <f>RIGHT(AU28,LEN(AU28)-33)</f>
        <v>yfcnz1234</v>
      </c>
    </row>
    <row r="29" spans="4:48">
      <c r="D29" s="7" t="s">
        <v>1714</v>
      </c>
      <c r="E29" s="7"/>
      <c r="K29" t="s">
        <v>8245</v>
      </c>
      <c r="L29" t="str">
        <f>RIGHT(K29,LEN(K29)-33)</f>
        <v>wfh8n[0tgvkKvd</v>
      </c>
      <c r="O29" t="s">
        <v>8246</v>
      </c>
      <c r="P29" t="str">
        <f>RIGHT(O29,LEN(O29)-33)</f>
        <v>Doh9=kiBm</v>
      </c>
      <c r="Q29" t="s">
        <v>8195</v>
      </c>
      <c r="R29" t="str">
        <f>RIGHT(Q29,LEN(Q29)-33)</f>
        <v>8;k,l'jk'k,</v>
      </c>
      <c r="S29" t="s">
        <v>8247</v>
      </c>
      <c r="T29" s="55" t="s">
        <v>1500</v>
      </c>
      <c r="AO29" t="s">
        <v>2387</v>
      </c>
      <c r="AQ29" t="s">
        <v>8248</v>
      </c>
      <c r="AR29" t="str">
        <f>RIGHT(AQ29,LEN(AQ29)-33)</f>
        <v>INUYASHA1</v>
      </c>
      <c r="AU29" s="78" t="s">
        <v>8249</v>
      </c>
      <c r="AV29" t="str">
        <f>RIGHT(AU29,LEN(AU29)-33)</f>
        <v>alinka12</v>
      </c>
    </row>
    <row r="30" spans="4:48">
      <c r="D30" s="7" t="s">
        <v>1170</v>
      </c>
      <c r="E30" s="7"/>
      <c r="K30" t="s">
        <v>8158</v>
      </c>
      <c r="L30" t="str">
        <f>RIGHT(K30,LEN(K30)-33)</f>
        <v>9h,ped6h'</v>
      </c>
      <c r="O30" t="s">
        <v>8250</v>
      </c>
      <c r="P30" t="str">
        <f>RIGHT(O30,LEN(O30)-33)</f>
        <v>ohegpGo=njo.0</v>
      </c>
      <c r="Q30" t="s">
        <v>8251</v>
      </c>
      <c r="R30" t="str">
        <f>RIGHT(Q30,LEN(Q30)-33)</f>
        <v>5y'-ptg]Gd</v>
      </c>
      <c r="S30" t="s">
        <v>8252</v>
      </c>
      <c r="T30" s="55" t="s">
        <v>1624</v>
      </c>
      <c r="AO30" t="s">
        <v>2391</v>
      </c>
      <c r="AQ30" t="s">
        <v>8253</v>
      </c>
      <c r="AR30" t="str">
        <f>RIGHT(AQ30,LEN(AQ30)-33)</f>
        <v>kenrick1</v>
      </c>
      <c r="AU30" s="78" t="s">
        <v>8254</v>
      </c>
      <c r="AV30" t="str">
        <f>RIGHT(AU30,LEN(AU30)-33)</f>
        <v>manutd87</v>
      </c>
    </row>
    <row r="31" spans="4:48">
      <c r="D31" s="7" t="s">
        <v>1812</v>
      </c>
      <c r="E31" s="7"/>
      <c r="K31" t="s">
        <v>8255</v>
      </c>
      <c r="L31" t="str">
        <f>RIGHT(K31,LEN(K31)-33)</f>
        <v>miyrpkdi[688]</v>
      </c>
      <c r="O31" t="s">
        <v>8256</v>
      </c>
      <c r="P31" t="str">
        <f>RIGHT(O31,LEN(O31)-33)</f>
        <v>xiy=Pk=u;b9</v>
      </c>
      <c r="Q31" t="s">
        <v>8257</v>
      </c>
      <c r="R31" t="str">
        <f>RIGHT(Q31,LEN(Q31)-33)</f>
        <v>giupol;ylfu</v>
      </c>
      <c r="S31" t="s">
        <v>8202</v>
      </c>
      <c r="T31" s="55" t="s">
        <v>1508</v>
      </c>
      <c r="AO31" t="s">
        <v>2395</v>
      </c>
      <c r="AQ31" t="s">
        <v>8208</v>
      </c>
      <c r="AR31" t="str">
        <f>RIGHT(AQ31,LEN(AQ31)-33)</f>
        <v>gandalf5</v>
      </c>
      <c r="AU31" s="78" t="s">
        <v>8258</v>
      </c>
      <c r="AV31" t="str">
        <f>RIGHT(AU31,LEN(AU31)-33)</f>
        <v>gators24</v>
      </c>
    </row>
    <row r="32" spans="4:48">
      <c r="D32" s="7" t="s">
        <v>1800</v>
      </c>
      <c r="E32" s="7"/>
      <c r="K32" t="s">
        <v>8259</v>
      </c>
      <c r="L32" t="str">
        <f>RIGHT(K32,LEN(K32)-33)</f>
        <v>DmiKyrmB,nv5nv</v>
      </c>
      <c r="O32" t="s">
        <v>8260</v>
      </c>
      <c r="P32" t="str">
        <f>RIGHT(O32,LEN(O32)-33)</f>
        <v>dyx9yoL7[klt</v>
      </c>
      <c r="S32" t="s">
        <v>8196</v>
      </c>
      <c r="T32" s="55" t="s">
        <v>476</v>
      </c>
      <c r="AO32" t="s">
        <v>2399</v>
      </c>
      <c r="AQ32" t="s">
        <v>8226</v>
      </c>
      <c r="AR32" t="str">
        <f>RIGHT(AQ32,LEN(AQ32)-33)</f>
        <v>soccer2012</v>
      </c>
      <c r="AU32" s="78" t="s">
        <v>8188</v>
      </c>
      <c r="AV32" t="str">
        <f>RIGHT(AU32,LEN(AU32)-33)</f>
        <v>kristen69</v>
      </c>
    </row>
    <row r="33" spans="4:48">
      <c r="D33" s="7" t="s">
        <v>1842</v>
      </c>
      <c r="E33" s="7"/>
      <c r="K33" t="s">
        <v>8164</v>
      </c>
      <c r="L33" t="str">
        <f>RIGHT(K33,LEN(K33)-33)</f>
        <v>D9Utdbo-hk;</v>
      </c>
      <c r="O33" t="s">
        <v>8261</v>
      </c>
      <c r="P33" t="str">
        <f>RIGHT(O33,LEN(O33)-33)</f>
        <v>gdks]u.9hDL]</v>
      </c>
      <c r="S33" t="s">
        <v>8191</v>
      </c>
      <c r="T33" s="55" t="s">
        <v>1670</v>
      </c>
      <c r="AO33" t="s">
        <v>2403</v>
      </c>
      <c r="AQ33" t="s">
        <v>8262</v>
      </c>
      <c r="AR33" t="str">
        <f>RIGHT(AQ33,LEN(AQ33)-33)</f>
        <v>roswell4</v>
      </c>
      <c r="AU33" s="78" t="s">
        <v>8263</v>
      </c>
      <c r="AV33" t="str">
        <f>RIGHT(AU33,LEN(AU33)-33)</f>
        <v>8nopx77XzP</v>
      </c>
    </row>
    <row r="34" spans="4:48">
      <c r="D34" s="7" t="s">
        <v>1148</v>
      </c>
      <c r="E34" s="7"/>
      <c r="K34" t="s">
        <v>8264</v>
      </c>
      <c r="L34" t="str">
        <f>RIGHT(K34,LEN(K34)-33)</f>
        <v>D9Utme'ko</v>
      </c>
      <c r="O34" t="s">
        <v>8167</v>
      </c>
      <c r="P34" t="str">
        <f>RIGHT(O34,LEN(O34)-33)</f>
        <v>-jk;fj;o</v>
      </c>
      <c r="S34" t="s">
        <v>8265</v>
      </c>
      <c r="T34" s="55" t="s">
        <v>1520</v>
      </c>
      <c r="AO34" t="s">
        <v>2407</v>
      </c>
      <c r="AQ34" t="s">
        <v>8266</v>
      </c>
      <c r="AR34" t="str">
        <f>RIGHT(AQ34,LEN(AQ34)-33)</f>
        <v>michigan00</v>
      </c>
      <c r="AU34" s="78" t="s">
        <v>8267</v>
      </c>
      <c r="AV34" t="str">
        <f>RIGHT(AU34,LEN(AU34)-33)</f>
        <v>star1701</v>
      </c>
    </row>
    <row r="35" spans="4:48">
      <c r="D35" s="7" t="s">
        <v>978</v>
      </c>
      <c r="E35" s="7"/>
      <c r="K35" t="s">
        <v>8268</v>
      </c>
      <c r="L35" t="str">
        <f>RIGHT(K35,LEN(K35)-33)</f>
        <v>9^hglnhvzhk</v>
      </c>
      <c r="O35" t="s">
        <v>8108</v>
      </c>
      <c r="P35" t="str">
        <f>RIGHT(O35,LEN(O35)-33)</f>
        <v>d]jv'fbolv</v>
      </c>
      <c r="S35" t="s">
        <v>8212</v>
      </c>
      <c r="T35" s="55" t="s">
        <v>1390</v>
      </c>
      <c r="AO35" t="s">
        <v>2411</v>
      </c>
      <c r="AQ35" t="s">
        <v>8269</v>
      </c>
      <c r="AR35" t="str">
        <f>RIGHT(AQ35,LEN(AQ35)-33)</f>
        <v>john-117</v>
      </c>
      <c r="AU35" s="78" t="s">
        <v>8225</v>
      </c>
      <c r="AV35" t="str">
        <f>RIGHT(AU35,LEN(AU35)-33)</f>
        <v>sooners22</v>
      </c>
    </row>
    <row r="36" spans="4:48">
      <c r="D36" s="7" t="s">
        <v>1186</v>
      </c>
      <c r="E36" s="7"/>
      <c r="K36" t="s">
        <v>8270</v>
      </c>
      <c r="L36" t="str">
        <f>RIGHT(K36,LEN(K36)-33)</f>
        <v>gm8DoD]pulkilogmK</v>
      </c>
      <c r="O36" t="s">
        <v>8271</v>
      </c>
      <c r="P36" t="str">
        <f>RIGHT(O36,LEN(O36)-33)</f>
        <v>8vp0y's;tfu</v>
      </c>
      <c r="S36" t="s">
        <v>8237</v>
      </c>
      <c r="T36" s="55" t="s">
        <v>1580</v>
      </c>
      <c r="AO36" t="s">
        <v>2415</v>
      </c>
      <c r="AQ36" t="s">
        <v>8272</v>
      </c>
      <c r="AR36" t="str">
        <f>RIGHT(AQ36,LEN(AQ36)-33)</f>
        <v>critter123</v>
      </c>
      <c r="AU36" s="78" t="s">
        <v>8198</v>
      </c>
      <c r="AV36" t="str">
        <f>RIGHT(AU36,LEN(AU36)-33)</f>
        <v>brianna17</v>
      </c>
    </row>
    <row r="37" spans="4:48">
      <c r="D37" s="7" t="s">
        <v>1702</v>
      </c>
      <c r="E37" s="7"/>
      <c r="K37" t="s">
        <v>8109</v>
      </c>
      <c r="L37" t="str">
        <f>RIGHT(K37,LEN(K37)-33)</f>
        <v>Tii,=k9b</v>
      </c>
      <c r="O37" t="s">
        <v>8273</v>
      </c>
      <c r="P37" t="str">
        <f>RIGHT(O37,LEN(O37)-33)</f>
        <v>o;y9dii,fb0bmy]</v>
      </c>
      <c r="S37" t="s">
        <v>8274</v>
      </c>
      <c r="T37" s="55" t="s">
        <v>1638</v>
      </c>
      <c r="AO37" t="s">
        <v>2419</v>
      </c>
      <c r="AQ37" t="s">
        <v>8275</v>
      </c>
      <c r="AR37" t="str">
        <f>RIGHT(AQ37,LEN(AQ37)-33)</f>
        <v>blazer33</v>
      </c>
      <c r="AU37" s="78" t="s">
        <v>8219</v>
      </c>
      <c r="AV37" t="str">
        <f>RIGHT(AU37,LEN(AU37)-33)</f>
        <v>baller27</v>
      </c>
    </row>
    <row r="38" spans="4:48">
      <c r="D38" s="7" t="s">
        <v>1010</v>
      </c>
      <c r="E38" s="7"/>
      <c r="K38" t="s">
        <v>8276</v>
      </c>
      <c r="L38" t="str">
        <f>RIGHT(K38,LEN(K38)-33)</f>
        <v>ohe-7ho.shiu[9yd</v>
      </c>
      <c r="O38" t="s">
        <v>8277</v>
      </c>
      <c r="P38" t="str">
        <f>RIGHT(O38,LEN(O38)-33)</f>
        <v>dk9kiBDfCk</v>
      </c>
      <c r="S38" t="s">
        <v>8278</v>
      </c>
      <c r="T38" s="55" t="s">
        <v>1642</v>
      </c>
      <c r="AO38" t="s">
        <v>2423</v>
      </c>
      <c r="AQ38" t="s">
        <v>8279</v>
      </c>
      <c r="AR38" t="str">
        <f>RIGHT(AQ38,LEN(AQ38)-33)</f>
        <v>Darren01</v>
      </c>
      <c r="AU38" s="78" t="s">
        <v>8280</v>
      </c>
      <c r="AV38" t="str">
        <f>RIGHT(AU38,LEN(AU38)-33)</f>
        <v>rommel44</v>
      </c>
    </row>
    <row r="39" spans="4:48">
      <c r="D39" s="7" t="s">
        <v>1108</v>
      </c>
      <c r="E39" s="7"/>
      <c r="K39" t="s">
        <v>8169</v>
      </c>
      <c r="L39" t="str">
        <f>RIGHT(K39,LEN(K39)-33)</f>
        <v>obg;K;bmpk</v>
      </c>
      <c r="O39" t="s">
        <v>8099</v>
      </c>
      <c r="P39" t="str">
        <f>RIGHT(O39,LEN(O39)-33)</f>
        <v>dit5k'9how,h</v>
      </c>
      <c r="S39" t="s">
        <v>8281</v>
      </c>
      <c r="T39" s="55" t="s">
        <v>1666</v>
      </c>
      <c r="AO39" t="s">
        <v>2427</v>
      </c>
      <c r="AQ39" t="s">
        <v>8282</v>
      </c>
      <c r="AR39" t="str">
        <f>RIGHT(AQ39,LEN(AQ39)-33)</f>
        <v>BIGDADDY2</v>
      </c>
      <c r="AU39" s="78" t="s">
        <v>8283</v>
      </c>
      <c r="AV39" t="str">
        <f>RIGHT(AU39,LEN(AU39)-33)</f>
        <v>fusion99</v>
      </c>
    </row>
    <row r="40" spans="4:48">
      <c r="D40" s="7" t="s">
        <v>932</v>
      </c>
      <c r="E40" s="7"/>
      <c r="K40" t="s">
        <v>8284</v>
      </c>
      <c r="L40" t="str">
        <f>RIGHT(K40,LEN(K40)-33)</f>
        <v>xitlbmTb4kr</v>
      </c>
      <c r="O40" t="s">
        <v>8285</v>
      </c>
      <c r="P40" t="str">
        <f>RIGHT(O40,LEN(O40)-33)</f>
        <v>g8injv'[boDfplki</v>
      </c>
      <c r="S40" t="s">
        <v>8228</v>
      </c>
      <c r="T40" s="55" t="s">
        <v>1568</v>
      </c>
      <c r="AO40" t="s">
        <v>2431</v>
      </c>
      <c r="AQ40" t="s">
        <v>8267</v>
      </c>
      <c r="AR40" t="str">
        <f>RIGHT(AQ40,LEN(AQ40)-33)</f>
        <v>star1701</v>
      </c>
      <c r="AU40" s="78" t="s">
        <v>8269</v>
      </c>
      <c r="AV40" t="str">
        <f>RIGHT(AU40,LEN(AU40)-33)</f>
        <v>john-117</v>
      </c>
    </row>
    <row r="41" spans="4:48">
      <c r="D41" s="7" t="s">
        <v>1742</v>
      </c>
      <c r="E41" s="7"/>
      <c r="K41" t="s">
        <v>8286</v>
      </c>
      <c r="L41" t="str">
        <f>RIGHT(K41,LEN(K41)-33)</f>
        <v>ohegpGox]k9kp</v>
      </c>
      <c r="O41" t="s">
        <v>8107</v>
      </c>
      <c r="P41" t="str">
        <f>RIGHT(O41,LEN(O41)-33)</f>
        <v>mefuwfhfu</v>
      </c>
      <c r="S41" t="s">
        <v>8287</v>
      </c>
      <c r="T41" s="55" t="s">
        <v>1534</v>
      </c>
      <c r="AO41" t="s">
        <v>2435</v>
      </c>
      <c r="AQ41" t="s">
        <v>8288</v>
      </c>
      <c r="AR41" t="str">
        <f>RIGHT(AQ41,LEN(AQ41)-33)</f>
        <v>quaker57</v>
      </c>
      <c r="AU41" s="78" t="s">
        <v>8289</v>
      </c>
      <c r="AV41" t="str">
        <f>RIGHT(AU41,LEN(AU41)-33)</f>
        <v>bright01</v>
      </c>
    </row>
    <row r="42" spans="4:48">
      <c r="D42" s="7" t="s">
        <v>1026</v>
      </c>
      <c r="E42" s="7"/>
      <c r="K42" t="s">
        <v>8290</v>
      </c>
      <c r="L42" t="str">
        <f>RIGHT(K42,LEN(K42)-33)</f>
        <v>oheihvox]kgxGo</v>
      </c>
      <c r="O42" t="s">
        <v>8291</v>
      </c>
      <c r="P42" t="str">
        <f>RIGHT(O42,LEN(O42)-33)</f>
        <v>/o9dd]k'8no</v>
      </c>
      <c r="S42" s="54" t="s">
        <v>8234</v>
      </c>
      <c r="T42" s="55" t="s">
        <v>1604</v>
      </c>
      <c r="AO42" t="s">
        <v>2439</v>
      </c>
      <c r="AQ42" t="s">
        <v>8292</v>
      </c>
      <c r="AR42" t="str">
        <f>RIGHT(AQ42,LEN(AQ42)-33)</f>
        <v>province1</v>
      </c>
      <c r="AU42" s="78" t="s">
        <v>8293</v>
      </c>
      <c r="AV42" t="str">
        <f>RIGHT(AU42,LEN(AU42)-33)</f>
        <v>twilight25</v>
      </c>
    </row>
    <row r="43" spans="4:48">
      <c r="D43" s="7" t="s">
        <v>554</v>
      </c>
      <c r="E43" s="7" t="s">
        <v>7015</v>
      </c>
      <c r="K43" t="s">
        <v>8294</v>
      </c>
      <c r="L43" t="str">
        <f>RIGHT(K43,LEN(K43)-33)</f>
        <v>xit=kdiKkl9iB</v>
      </c>
      <c r="O43" t="s">
        <v>8295</v>
      </c>
      <c r="P43" t="str">
        <f>RIGHT(O43,LEN(O43)-33)</f>
        <v>],sok;d]k'8no</v>
      </c>
      <c r="S43" t="s">
        <v>8296</v>
      </c>
      <c r="T43" s="55" t="s">
        <v>1660</v>
      </c>
      <c r="AO43" t="s">
        <v>2443</v>
      </c>
      <c r="AQ43" t="s">
        <v>8297</v>
      </c>
      <c r="AR43" t="str">
        <f>RIGHT(AQ43,LEN(AQ43)-33)</f>
        <v>ilovemax123</v>
      </c>
      <c r="AU43" s="78" t="s">
        <v>8298</v>
      </c>
      <c r="AV43" t="str">
        <f>RIGHT(AU43,LEN(AU43)-33)</f>
        <v>canguro1</v>
      </c>
    </row>
    <row r="44" spans="4:48">
      <c r="D44" s="7" t="s">
        <v>462</v>
      </c>
      <c r="E44" s="7" t="s">
        <v>7015</v>
      </c>
      <c r="K44" t="s">
        <v>8299</v>
      </c>
      <c r="L44" t="str">
        <f>RIGHT(K44,LEN(K44)-33)</f>
        <v>xit=kTbxw9p</v>
      </c>
      <c r="O44" t="s">
        <v>8300</v>
      </c>
      <c r="P44" t="str">
        <f>RIGHT(O44,LEN(O44)-33)</f>
        <v>8v,rb;g9viB9yh'D9Ut</v>
      </c>
      <c r="S44" t="s">
        <v>8301</v>
      </c>
      <c r="T44" s="55" t="s">
        <v>1566</v>
      </c>
      <c r="AO44" t="s">
        <v>2447</v>
      </c>
      <c r="AQ44" t="s">
        <v>8258</v>
      </c>
      <c r="AR44" t="str">
        <f>RIGHT(AQ44,LEN(AQ44)-33)</f>
        <v>gators24</v>
      </c>
      <c r="AU44" s="78" t="s">
        <v>8239</v>
      </c>
      <c r="AV44" t="str">
        <f>RIGHT(AU44,LEN(AU44)-33)</f>
        <v>donttry1</v>
      </c>
    </row>
    <row r="45" spans="4:48">
      <c r="D45" s="7" t="s">
        <v>1064</v>
      </c>
      <c r="E45" s="7" t="s">
        <v>7015</v>
      </c>
      <c r="K45" t="s">
        <v>8302</v>
      </c>
      <c r="L45" t="str">
        <f>RIGHT(K45,LEN(K45)-33)</f>
        <v>[iipkdkK</v>
      </c>
      <c r="O45" s="54" t="s">
        <v>8200</v>
      </c>
      <c r="P45" t="str">
        <f>RIGHT(O45,LEN(O45)-33)</f>
        <v>D8,wa9yh'D9Ut</v>
      </c>
      <c r="S45" s="54" t="s">
        <v>8303</v>
      </c>
      <c r="T45" s="55" t="s">
        <v>1560</v>
      </c>
      <c r="AO45" t="s">
        <v>2451</v>
      </c>
      <c r="AQ45" t="s">
        <v>8304</v>
      </c>
      <c r="AR45" t="str">
        <f>RIGHT(AQ45,LEN(AQ45)-33)</f>
        <v>english33</v>
      </c>
      <c r="AU45" s="78" t="s">
        <v>8253</v>
      </c>
      <c r="AV45" t="str">
        <f>RIGHT(AU45,LEN(AU45)-33)</f>
        <v>kenrick1</v>
      </c>
    </row>
    <row r="46" spans="4:48">
      <c r="D46" t="s">
        <v>6950</v>
      </c>
      <c r="E46" s="7" t="s">
        <v>7015</v>
      </c>
      <c r="K46" t="s">
        <v>8305</v>
      </c>
      <c r="L46" t="str">
        <f>RIGHT(K46,LEN(K46)-33)</f>
        <v>xit;y9bKkl9iB</v>
      </c>
      <c r="O46" t="s">
        <v>8306</v>
      </c>
      <c r="P46" t="str">
        <f>RIGHT(O46,LEN(O46)-33)</f>
        <v>odC^d9kD9</v>
      </c>
      <c r="S46" t="s">
        <v>8307</v>
      </c>
      <c r="T46" s="55" t="s">
        <v>1552</v>
      </c>
      <c r="AO46" t="s">
        <v>2455</v>
      </c>
      <c r="AQ46" t="s">
        <v>8308</v>
      </c>
      <c r="AR46" t="str">
        <f>RIGHT(AQ46,LEN(AQ46)-33)</f>
        <v>cuddler1</v>
      </c>
      <c r="AU46" s="78" t="s">
        <v>8262</v>
      </c>
      <c r="AV46" t="str">
        <f>RIGHT(AU46,LEN(AU46)-33)</f>
        <v>roswell4</v>
      </c>
    </row>
    <row r="47" spans="4:48">
      <c r="D47" s="7" t="s">
        <v>628</v>
      </c>
      <c r="E47" s="7" t="s">
        <v>7015</v>
      </c>
      <c r="K47" t="s">
        <v>8149</v>
      </c>
      <c r="L47" t="str">
        <f>RIGHT(K47,LEN(K47)-33)</f>
        <v>xitl[dkiIB</v>
      </c>
      <c r="O47" t="s">
        <v>8309</v>
      </c>
      <c r="P47" t="str">
        <f>RIGHT(O47,LEN(O47)-33)</f>
        <v>Pujx6joD9gdup;</v>
      </c>
      <c r="S47" t="s">
        <v>8310</v>
      </c>
      <c r="T47" s="55" t="s">
        <v>1496</v>
      </c>
      <c r="AO47" t="s">
        <v>2459</v>
      </c>
      <c r="AQ47" t="s">
        <v>8311</v>
      </c>
      <c r="AR47" t="str">
        <f>RIGHT(AQ47,LEN(AQ47)-33)</f>
        <v>chacha05</v>
      </c>
      <c r="AU47" s="81" t="s">
        <v>8312</v>
      </c>
      <c r="AV47" t="str">
        <f>RIGHT(AU47,LEN(AU47)-33)</f>
        <v>15temmuz</v>
      </c>
    </row>
    <row r="48" spans="4:48">
      <c r="D48" s="7" t="s">
        <v>1512</v>
      </c>
      <c r="E48" s="7" t="s">
        <v>7015</v>
      </c>
      <c r="K48" t="s">
        <v>8313</v>
      </c>
      <c r="L48" t="str">
        <f>RIGHT(K48,LEN(K48)-33)</f>
        <v>xkddk]^d]njo</v>
      </c>
      <c r="O48" t="s">
        <v>8264</v>
      </c>
      <c r="P48" t="str">
        <f>RIGHT(O48,LEN(O48)-33)</f>
        <v>D9Utme'ko</v>
      </c>
      <c r="S48" t="s">
        <v>8314</v>
      </c>
      <c r="T48" s="55" t="s">
        <v>1360</v>
      </c>
      <c r="AO48" t="s">
        <v>2463</v>
      </c>
      <c r="AQ48" t="s">
        <v>8289</v>
      </c>
      <c r="AR48" t="str">
        <f>RIGHT(AQ48,LEN(AQ48)-33)</f>
        <v>bright01</v>
      </c>
      <c r="AU48" s="78" t="s">
        <v>8248</v>
      </c>
      <c r="AV48" t="str">
        <f>RIGHT(AU48,LEN(AU48)-33)</f>
        <v>INUYASHA1</v>
      </c>
    </row>
    <row r="49" spans="4:48">
      <c r="D49" s="7" t="s">
        <v>1216</v>
      </c>
      <c r="E49" s="7" t="s">
        <v>7015</v>
      </c>
      <c r="K49" t="s">
        <v>8315</v>
      </c>
      <c r="L49" t="str">
        <f>RIGHT(K49,LEN(K49)-33)</f>
        <v>x]vds,vo</v>
      </c>
      <c r="O49" t="s">
        <v>8316</v>
      </c>
      <c r="P49" t="str">
        <f>RIGHT(O49,LEN(O49)-33)</f>
        <v>g8lDmiKyrmB</v>
      </c>
      <c r="S49" t="s">
        <v>8317</v>
      </c>
      <c r="T49" s="55" t="s">
        <v>1594</v>
      </c>
      <c r="AO49" t="s">
        <v>2467</v>
      </c>
      <c r="AQ49" t="s">
        <v>8318</v>
      </c>
      <c r="AR49" t="str">
        <f>RIGHT(AQ49,LEN(AQ49)-33)</f>
        <v>blackdog13</v>
      </c>
      <c r="AU49" s="78" t="s">
        <v>8230</v>
      </c>
      <c r="AV49" t="str">
        <f>RIGHT(AU49,LEN(AU49)-33)</f>
        <v>nascar19</v>
      </c>
    </row>
    <row r="50" spans="4:48">
      <c r="D50" s="7" t="s">
        <v>1402</v>
      </c>
      <c r="E50" s="7" t="s">
        <v>7015</v>
      </c>
      <c r="K50" t="s">
        <v>8319</v>
      </c>
      <c r="L50" t="str">
        <f>RIGHT(K50,LEN(K50)-33)</f>
        <v>x]ks,v9kpgriktxkd</v>
      </c>
      <c r="O50" t="s">
        <v>8320</v>
      </c>
      <c r="P50" t="str">
        <f>RIGHT(O50,LEN(O50)-33)</f>
        <v>0b9idii,wmp</v>
      </c>
      <c r="S50" t="s">
        <v>8321</v>
      </c>
      <c r="T50" s="55" t="s">
        <v>1616</v>
      </c>
      <c r="AO50" t="s">
        <v>2471</v>
      </c>
      <c r="AQ50" t="s">
        <v>8322</v>
      </c>
      <c r="AR50" t="str">
        <f>RIGHT(AQ50,LEN(AQ50)-33)</f>
        <v>bangbang6</v>
      </c>
      <c r="AU50" s="78" t="s">
        <v>8279</v>
      </c>
      <c r="AV50" t="str">
        <f>RIGHT(AU50,LEN(AU50)-33)</f>
        <v>Darren01</v>
      </c>
    </row>
    <row r="51" spans="4:48">
      <c r="D51" s="7" t="s">
        <v>1284</v>
      </c>
      <c r="E51" s="7" t="s">
        <v>7015</v>
      </c>
      <c r="K51" t="s">
        <v>8323</v>
      </c>
      <c r="L51" t="str">
        <f>RIGHT(K51,LEN(K51)-33)</f>
        <v>zhkg=Gf9y;</v>
      </c>
      <c r="O51" t="s">
        <v>8186</v>
      </c>
      <c r="P51" t="str">
        <f>RIGHT(O51,LEN(O51)-33)</f>
        <v>mujgmujp;Tii,=k9b</v>
      </c>
      <c r="S51" t="s">
        <v>8324</v>
      </c>
      <c r="T51" s="55" t="s">
        <v>551</v>
      </c>
      <c r="AO51" t="s">
        <v>2475</v>
      </c>
      <c r="AQ51" t="s">
        <v>8325</v>
      </c>
      <c r="AR51" t="str">
        <f>RIGHT(AQ51,LEN(AQ51)-33)</f>
        <v>KickAss1</v>
      </c>
      <c r="AU51" s="78" t="s">
        <v>8326</v>
      </c>
      <c r="AV51" t="str">
        <f>RIGHT(AU51,LEN(AU51)-33)</f>
        <v>moshatinkor3</v>
      </c>
    </row>
    <row r="52" spans="4:48">
      <c r="D52" s="7" t="s">
        <v>1242</v>
      </c>
      <c r="E52" s="7" t="s">
        <v>7015</v>
      </c>
      <c r="K52" t="s">
        <v>8327</v>
      </c>
      <c r="L52" t="str">
        <f>RIGHT(K52,LEN(K52)-33)</f>
        <v>xbfmv's]y'rit</v>
      </c>
      <c r="O52" t="s">
        <v>8328</v>
      </c>
      <c r="P52" t="str">
        <f>RIGHT(O52,LEN(O52)-33)</f>
        <v>,kg]gLupdy;]k]y,gxviB</v>
      </c>
      <c r="AO52" t="s">
        <v>2479</v>
      </c>
      <c r="AQ52" s="54" t="s">
        <v>8329</v>
      </c>
      <c r="AR52" t="str">
        <f>RIGHT(AQ52,LEN(AQ52)-33)</f>
        <v>JULIE123</v>
      </c>
      <c r="AU52" s="78" t="s">
        <v>8330</v>
      </c>
      <c r="AV52" t="str">
        <f>RIGHT(AU52,LEN(AU52)-33)</f>
        <v>zzzxxxccc111</v>
      </c>
    </row>
    <row r="53" spans="4:48">
      <c r="D53" s="7" t="s">
        <v>461</v>
      </c>
      <c r="E53" s="7" t="s">
        <v>7015</v>
      </c>
      <c r="K53" t="s">
        <v>8331</v>
      </c>
      <c r="L53" t="str">
        <f>RIGHT(K53,LEN(K53)-33)</f>
        <v>zhkryo8v</v>
      </c>
      <c r="O53" t="s">
        <v>8116</v>
      </c>
      <c r="P53" t="str">
        <f>RIGHT(O53,LEN(O53)-33)</f>
        <v>ditgxHkoydgiupo</v>
      </c>
      <c r="AO53" t="s">
        <v>2483</v>
      </c>
      <c r="AQ53" t="s">
        <v>8332</v>
      </c>
      <c r="AR53" t="str">
        <f>RIGHT(AQ53,LEN(AQ53)-33)</f>
        <v>2painful</v>
      </c>
      <c r="AU53" s="78" t="s">
        <v>8318</v>
      </c>
      <c r="AV53" t="str">
        <f>RIGHT(AU53,LEN(AU53)-33)</f>
        <v>blackdog13</v>
      </c>
    </row>
    <row r="54" spans="4:48">
      <c r="D54" s="7" t="s">
        <v>514</v>
      </c>
      <c r="E54" s="7" t="s">
        <v>7015</v>
      </c>
      <c r="K54" t="s">
        <v>7412</v>
      </c>
      <c r="L54" t="str">
        <f>RIGHT(K54,LEN(K54)-33)</f>
        <v>Dxgd,vo</v>
      </c>
      <c r="O54" t="s">
        <v>8147</v>
      </c>
      <c r="P54" t="str">
        <f>RIGHT(O54,LEN(O54)-33)</f>
        <v>8bf57'ot</v>
      </c>
      <c r="AO54" t="s">
        <v>2487</v>
      </c>
      <c r="AQ54" t="s">
        <v>8333</v>
      </c>
      <c r="AR54" t="str">
        <f>RIGHT(AQ54,LEN(AQ54)-33)</f>
        <v>woodie69</v>
      </c>
      <c r="AU54" s="78" t="s">
        <v>8334</v>
      </c>
      <c r="AV54" t="str">
        <f>RIGHT(AU54,LEN(AU54)-33)</f>
        <v>77bronco</v>
      </c>
    </row>
    <row r="55" spans="4:48">
      <c r="D55" s="7" t="s">
        <v>2207</v>
      </c>
      <c r="E55" s="7"/>
      <c r="K55" t="s">
        <v>8335</v>
      </c>
      <c r="L55" t="str">
        <f>RIGHT(K55,LEN(K55)-33)</f>
        <v>xkSbskibpB</v>
      </c>
      <c r="O55" t="s">
        <v>8336</v>
      </c>
      <c r="P55" t="str">
        <f>RIGHT(O55,LEN(O55)-33)</f>
        <v>LuiulBojkf^</v>
      </c>
      <c r="AO55" t="s">
        <v>2491</v>
      </c>
      <c r="AQ55" t="s">
        <v>8293</v>
      </c>
      <c r="AR55" t="str">
        <f>RIGHT(AQ55,LEN(AQ55)-33)</f>
        <v>twilight25</v>
      </c>
      <c r="AU55" s="78" t="s">
        <v>8275</v>
      </c>
      <c r="AV55" t="str">
        <f>RIGHT(AU55,LEN(AU55)-33)</f>
        <v>blazer33</v>
      </c>
    </row>
    <row r="56" spans="4:48">
      <c r="D56" s="7" t="s">
        <v>2169</v>
      </c>
      <c r="E56" s="7" t="s">
        <v>7015</v>
      </c>
      <c r="K56" t="s">
        <v>8337</v>
      </c>
      <c r="L56" t="str">
        <f>RIGHT(K56,LEN(K56)-33)</f>
        <v>ritv4yp,Iu</v>
      </c>
      <c r="O56" t="s">
        <v>8338</v>
      </c>
      <c r="P56" t="str">
        <f>RIGHT(O56,LEN(O56)-33)</f>
        <v>[y'd]kgmKTkdk</v>
      </c>
      <c r="AO56" t="s">
        <v>2495</v>
      </c>
      <c r="AQ56" t="s">
        <v>8339</v>
      </c>
      <c r="AR56" t="str">
        <f>RIGHT(AQ56,LEN(AQ56)-33)</f>
        <v>truffle8</v>
      </c>
      <c r="AU56" s="78" t="s">
        <v>8272</v>
      </c>
      <c r="AV56" t="str">
        <f>RIGHT(AU56,LEN(AU56)-33)</f>
        <v>critter123</v>
      </c>
    </row>
    <row r="57" spans="4:48">
      <c r="D57" s="7" t="s">
        <v>2239</v>
      </c>
      <c r="E57" s="7"/>
      <c r="K57" t="s">
        <v>8340</v>
      </c>
      <c r="L57" t="str">
        <f>RIGHT(K57,LEN(K57)-33)</f>
        <v>cxi'luayo</v>
      </c>
      <c r="O57" t="s">
        <v>8102</v>
      </c>
      <c r="P57" t="str">
        <f>RIGHT(O57,LEN(O57)-33)</f>
        <v>xdiIBoomB</v>
      </c>
      <c r="AO57" t="s">
        <v>2499</v>
      </c>
      <c r="AQ57" t="s">
        <v>8341</v>
      </c>
      <c r="AR57" t="str">
        <f>RIGHT(AQ57,LEN(AQ57)-33)</f>
        <v>street87</v>
      </c>
      <c r="AU57" s="81" t="s">
        <v>8342</v>
      </c>
      <c r="AV57" t="str">
        <f>RIGHT(AU57,LEN(AU57)-33)</f>
        <v>1258963a</v>
      </c>
    </row>
    <row r="58" spans="4:48">
      <c r="D58" s="7" t="s">
        <v>2195</v>
      </c>
      <c r="E58" s="7"/>
      <c r="K58" t="s">
        <v>8210</v>
      </c>
      <c r="L58" t="str">
        <f>RIGHT(K58,LEN(K58)-33)</f>
        <v>,o6Jply,ryoTB</v>
      </c>
      <c r="O58" t="s">
        <v>8343</v>
      </c>
      <c r="P58" t="str">
        <f>RIGHT(O58,LEN(O58)-33)</f>
        <v>dkoheihvo</v>
      </c>
      <c r="AO58" t="s">
        <v>2503</v>
      </c>
      <c r="AQ58" s="54" t="s">
        <v>8344</v>
      </c>
      <c r="AR58" t="str">
        <f>RIGHT(AQ58,LEN(AQ58)-33)</f>
        <v>seagirt1</v>
      </c>
      <c r="AU58" s="78" t="s">
        <v>8214</v>
      </c>
      <c r="AV58" t="str">
        <f>RIGHT(AU58,LEN(AU58)-33)</f>
        <v>flores69</v>
      </c>
    </row>
    <row r="59" spans="4:48">
      <c r="D59" s="7" t="s">
        <v>2197</v>
      </c>
      <c r="E59" s="7"/>
      <c r="K59" t="s">
        <v>8345</v>
      </c>
      <c r="L59" t="str">
        <f>RIGHT(K59,LEN(K59)-33)</f>
        <v>4^,bKkl9iB</v>
      </c>
      <c r="O59" t="s">
        <v>8346</v>
      </c>
      <c r="P59" t="str">
        <f>RIGHT(O59,LEN(O59)-33)</f>
        <v>dit9jkpgogTviBc]ofB</v>
      </c>
      <c r="AO59" t="s">
        <v>2507</v>
      </c>
      <c r="AQ59" t="s">
        <v>8347</v>
      </c>
      <c r="AR59" t="str">
        <f>RIGHT(AQ59,LEN(AQ59)-33)</f>
        <v>pjkjnfhtd170661</v>
      </c>
      <c r="AU59" s="78" t="s">
        <v>8348</v>
      </c>
      <c r="AV59" t="str">
        <f>RIGHT(AU59,LEN(AU59)-33)</f>
        <v>russia95</v>
      </c>
    </row>
    <row r="60" spans="4:48">
      <c r="D60" s="7" t="s">
        <v>2211</v>
      </c>
      <c r="E60" s="7"/>
      <c r="K60" t="s">
        <v>8349</v>
      </c>
      <c r="L60" t="str">
        <f>RIGHT(K60,LEN(K60)-33)</f>
        <v>ryoTdb0</v>
      </c>
      <c r="O60" t="s">
        <v>8350</v>
      </c>
      <c r="P60" t="str">
        <f>RIGHT(O60,LEN(O60)-33)</f>
        <v>,6,dkcalf</v>
      </c>
      <c r="AO60" t="s">
        <v>2511</v>
      </c>
      <c r="AQ60" t="s">
        <v>8351</v>
      </c>
      <c r="AR60" t="str">
        <f>RIGHT(AQ60,LEN(AQ60)-33)</f>
        <v>pipillo989</v>
      </c>
      <c r="AU60" s="78" t="s">
        <v>8352</v>
      </c>
      <c r="AV60" t="str">
        <f>RIGHT(AU60,LEN(AU60)-33)</f>
        <v>yecgaa1296</v>
      </c>
    </row>
    <row r="61" spans="4:48">
      <c r="D61" s="7" t="s">
        <v>2217</v>
      </c>
      <c r="E61" s="7" t="s">
        <v>7015</v>
      </c>
      <c r="K61" t="s">
        <v>8098</v>
      </c>
      <c r="L61" t="str">
        <f>RIGHT(K61,LEN(K61)-33)</f>
        <v>grnjvolobm</v>
      </c>
      <c r="O61" t="s">
        <v>8353</v>
      </c>
      <c r="P61" t="str">
        <f>RIGHT(O61,LEN(O61)-33)</f>
        <v>ditfkJDoh9</v>
      </c>
      <c r="AO61" t="s">
        <v>2515</v>
      </c>
      <c r="AQ61" t="s">
        <v>8354</v>
      </c>
      <c r="AR61" t="str">
        <f>RIGHT(AQ61,LEN(AQ61)-33)</f>
        <v>oliverm1</v>
      </c>
      <c r="AU61" s="78" t="s">
        <v>8355</v>
      </c>
      <c r="AV61" t="str">
        <f>RIGHT(AU61,LEN(AU61)-33)</f>
        <v>darina2000</v>
      </c>
    </row>
    <row r="62" spans="4:48">
      <c r="D62" s="7" t="s">
        <v>1882</v>
      </c>
      <c r="E62" s="7" t="s">
        <v>7015</v>
      </c>
      <c r="K62" t="s">
        <v>8356</v>
      </c>
      <c r="L62" t="str">
        <f>RIGHT(K62,LEN(K62)-33)</f>
        <v>ryf],9yh'D9Ut</v>
      </c>
      <c r="O62" t="s">
        <v>8357</v>
      </c>
      <c r="P62" t="str">
        <f>RIGHT(O62,LEN(O62)-33)</f>
        <v>fikdhvo[v]</v>
      </c>
      <c r="AO62" t="s">
        <v>2519</v>
      </c>
      <c r="AQ62" t="s">
        <v>8358</v>
      </c>
      <c r="AR62" t="str">
        <f>RIGHT(AQ62,LEN(AQ62)-33)</f>
        <v>nena1782</v>
      </c>
      <c r="AU62" s="78" t="s">
        <v>8311</v>
      </c>
      <c r="AV62" t="str">
        <f>RIGHT(AU62,LEN(AU62)-33)</f>
        <v>chacha05</v>
      </c>
    </row>
    <row r="63" spans="4:48">
      <c r="D63" s="7" t="s">
        <v>432</v>
      </c>
      <c r="E63" s="7"/>
      <c r="K63" t="s">
        <v>8359</v>
      </c>
      <c r="L63" t="str">
        <f>RIGHT(K63,LEN(K63)-33)</f>
        <v>4kJkvy'd|J</v>
      </c>
      <c r="O63" t="s">
        <v>8360</v>
      </c>
      <c r="P63" t="str">
        <f>RIGHT(O63,LEN(O63)-33)</f>
        <v>g[]gpup,[iylgL]lB</v>
      </c>
      <c r="AO63" t="s">
        <v>2523</v>
      </c>
      <c r="AQ63" t="s">
        <v>8231</v>
      </c>
      <c r="AR63" t="str">
        <f>RIGHT(AQ63,LEN(AQ63)-33)</f>
        <v>molson12</v>
      </c>
      <c r="AU63" s="78" t="s">
        <v>8361</v>
      </c>
      <c r="AV63" t="str">
        <f>RIGHT(AU63,LEN(AU63)-33)</f>
        <v>wisdom33</v>
      </c>
    </row>
    <row r="64" spans="4:48">
      <c r="D64" s="7" t="s">
        <v>546</v>
      </c>
      <c r="E64" s="7"/>
      <c r="K64" t="s">
        <v>8362</v>
      </c>
      <c r="L64" t="str">
        <f>RIGHT(K64,LEN(K64)-33)</f>
        <v>ritr6mTKklok</v>
      </c>
      <c r="O64" t="s">
        <v>8363</v>
      </c>
      <c r="P64" t="str">
        <f>RIGHT(O64,LEN(O64)-33)</f>
        <v>d6Pc0[hko</v>
      </c>
      <c r="AO64" t="s">
        <v>2527</v>
      </c>
      <c r="AQ64" t="s">
        <v>8254</v>
      </c>
      <c r="AR64" t="str">
        <f>RIGHT(AQ64,LEN(AQ64)-33)</f>
        <v>manutd87</v>
      </c>
      <c r="AU64" s="78" t="s">
        <v>8292</v>
      </c>
      <c r="AV64" t="str">
        <f>RIGHT(AU64,LEN(AU64)-33)</f>
        <v>province1</v>
      </c>
    </row>
    <row r="65" spans="4:48">
      <c r="D65" s="7" t="s">
        <v>1266</v>
      </c>
      <c r="E65" s="7"/>
      <c r="K65" t="s">
        <v>8364</v>
      </c>
      <c r="L65" t="str">
        <f>RIGHT(K65,LEN(K65)-33)</f>
        <v>cah,gvdlki</v>
      </c>
      <c r="O65" t="s">
        <v>8143</v>
      </c>
      <c r="P65" t="str">
        <f>RIGHT(O65,LEN(O65)-33)</f>
        <v>dkp4kr[e[yf</v>
      </c>
      <c r="AO65" t="s">
        <v>2531</v>
      </c>
      <c r="AQ65" t="s">
        <v>8365</v>
      </c>
      <c r="AR65" t="str">
        <f>RIGHT(AQ65,LEN(AQ65)-33)</f>
        <v>kani2006</v>
      </c>
      <c r="AU65" s="78" t="s">
        <v>8366</v>
      </c>
      <c r="AV65" t="str">
        <f>RIGHT(AU65,LEN(AU65)-33)</f>
        <v>qwerty1812</v>
      </c>
    </row>
    <row r="66" spans="4:48">
      <c r="D66" s="7" t="s">
        <v>1380</v>
      </c>
      <c r="E66" s="7"/>
      <c r="K66" t="s">
        <v>8183</v>
      </c>
      <c r="L66" t="str">
        <f>RIGHT(K66,LEN(K66)-33)</f>
        <v>,sk;bmpk]yp</v>
      </c>
      <c r="O66" t="s">
        <v>8367</v>
      </c>
      <c r="P66" t="str">
        <f>RIGHT(O66,LEN(O66)-33)</f>
        <v>dki[yP=ug[nhv'9ho</v>
      </c>
      <c r="AO66" t="s">
        <v>2535</v>
      </c>
      <c r="AQ66" t="s">
        <v>8178</v>
      </c>
      <c r="AR66" t="str">
        <f>RIGHT(AQ66,LEN(AQ66)-33)</f>
        <v>jjjjjjj1</v>
      </c>
      <c r="AU66" s="78" t="s">
        <v>8368</v>
      </c>
      <c r="AV66" t="str">
        <f>RIGHT(AU66,LEN(AU66)-33)</f>
        <v>Fuckyou0</v>
      </c>
    </row>
    <row r="67" spans="4:48">
      <c r="D67" s="7" t="s">
        <v>1482</v>
      </c>
      <c r="E67" s="7"/>
      <c r="K67" t="s">
        <v>7410</v>
      </c>
      <c r="L67" t="str">
        <f>RIGHT(K67,LEN(K67)-33)</f>
        <v>pkluayo</v>
      </c>
      <c r="O67" t="s">
        <v>8255</v>
      </c>
      <c r="P67" t="str">
        <f>RIGHT(O67,LEN(O67)-33)</f>
        <v>miyrpkdi[688]</v>
      </c>
      <c r="AO67" t="s">
        <v>2539</v>
      </c>
      <c r="AQ67" t="s">
        <v>8369</v>
      </c>
      <c r="AR67" t="str">
        <f>RIGHT(AQ67,LEN(AQ67)-33)</f>
        <v>jamrock20</v>
      </c>
      <c r="AU67" s="78" t="s">
        <v>8370</v>
      </c>
      <c r="AV67" t="str">
        <f>RIGHT(AU67,LEN(AU67)-33)</f>
        <v>evilmatt1</v>
      </c>
    </row>
    <row r="68" spans="4:48">
      <c r="D68" s="7" t="s">
        <v>1582</v>
      </c>
      <c r="E68" s="7" t="s">
        <v>7015</v>
      </c>
      <c r="K68" t="s">
        <v>8371</v>
      </c>
      <c r="L68" t="str">
        <f>RIGHT(K68,LEN(K68)-33)</f>
        <v>i5lk,]hvg8injv'</v>
      </c>
      <c r="O68" t="s">
        <v>8372</v>
      </c>
      <c r="P68" t="str">
        <f>RIGHT(O68,LEN(O68)-33)</f>
        <v>T6idb0g[nhv'9ho</v>
      </c>
      <c r="AO68" t="s">
        <v>2543</v>
      </c>
      <c r="AQ68" t="s">
        <v>8283</v>
      </c>
      <c r="AR68" t="str">
        <f>RIGHT(AQ68,LEN(AQ68)-33)</f>
        <v>fusion99</v>
      </c>
      <c r="AU68" s="78" t="s">
        <v>8373</v>
      </c>
      <c r="AV68" t="str">
        <f>RIGHT(AU68,LEN(AU68)-33)</f>
        <v>shrikant123</v>
      </c>
    </row>
    <row r="69" spans="4:48">
      <c r="D69" s="7" t="s">
        <v>1686</v>
      </c>
      <c r="E69" s="7"/>
      <c r="K69" t="s">
        <v>8131</v>
      </c>
      <c r="L69" t="str">
        <f>RIGHT(K69,LEN(K69)-33)</f>
        <v>pbofu9hvoiy[</v>
      </c>
      <c r="O69" t="s">
        <v>8374</v>
      </c>
      <c r="P69" t="str">
        <f>RIGHT(O69,LEN(O69)-33)</f>
        <v>0uoxyddbj'</v>
      </c>
      <c r="AO69" t="s">
        <v>2547</v>
      </c>
      <c r="AQ69" s="54" t="s">
        <v>8375</v>
      </c>
      <c r="AR69" t="str">
        <f>RIGHT(AQ69,LEN(AQ69)-33)</f>
        <v>firebird15</v>
      </c>
      <c r="AU69" s="78" t="s">
        <v>8376</v>
      </c>
      <c r="AV69" t="str">
        <f>RIGHT(AU69,LEN(AU69)-33)</f>
        <v>Mansfield1</v>
      </c>
    </row>
    <row r="70" spans="4:48">
      <c r="D70" s="7" t="s">
        <v>507</v>
      </c>
      <c r="E70" s="7" t="s">
        <v>7015</v>
      </c>
      <c r="K70" t="s">
        <v>8377</v>
      </c>
      <c r="L70" t="str">
        <f>RIGHT(K70,LEN(K70)-33)</f>
        <v>i5po9Blj;o[688]</v>
      </c>
      <c r="O70" t="s">
        <v>8378</v>
      </c>
      <c r="P70" t="str">
        <f>RIGHT(O70,LEN(O70)-33)</f>
        <v>gfbomk'x]vf4yp</v>
      </c>
      <c r="AO70" t="s">
        <v>2551</v>
      </c>
      <c r="AQ70" t="s">
        <v>8379</v>
      </c>
      <c r="AR70" t="str">
        <f>RIGHT(AQ70,LEN(AQ70)-33)</f>
        <v>feb151982</v>
      </c>
      <c r="AU70" s="78" t="s">
        <v>8380</v>
      </c>
      <c r="AV70" t="str">
        <f>RIGHT(AU70,LEN(AU70)-33)</f>
        <v>db123456789</v>
      </c>
    </row>
    <row r="71" spans="4:48">
      <c r="D71" s="7" t="s">
        <v>1444</v>
      </c>
      <c r="E71" s="7"/>
      <c r="K71" t="s">
        <v>8381</v>
      </c>
      <c r="L71" t="str">
        <f>RIGHT(K71,LEN(K71)-33)</f>
        <v>i50ydipkopo9B</v>
      </c>
      <c r="O71" t="s">
        <v>8382</v>
      </c>
      <c r="P71" t="str">
        <f>RIGHT(O71,LEN(O71)-33)</f>
        <v>o,lfxyjo</v>
      </c>
      <c r="AO71" t="s">
        <v>2555</v>
      </c>
      <c r="AQ71" t="s">
        <v>8380</v>
      </c>
      <c r="AR71" t="str">
        <f>RIGHT(AQ71,LEN(AQ71)-33)</f>
        <v>db123456789</v>
      </c>
      <c r="AU71" s="78" t="s">
        <v>8383</v>
      </c>
      <c r="AV71" t="str">
        <f>RIGHT(AU71,LEN(AU71)-33)</f>
        <v>MV8dSxyR</v>
      </c>
    </row>
    <row r="72" spans="4:48">
      <c r="D72" s="7" t="s">
        <v>1368</v>
      </c>
      <c r="E72" s="7"/>
      <c r="K72" t="s">
        <v>8384</v>
      </c>
      <c r="L72" t="str">
        <f>RIGHT(K72,LEN(K72)-33)</f>
        <v>i5Dfplkixit0emk'</v>
      </c>
      <c r="O72" t="s">
        <v>8385</v>
      </c>
      <c r="P72" t="str">
        <f>RIGHT(O72,LEN(O72)-33)</f>
        <v>x;uIkxk]B,</v>
      </c>
      <c r="AO72" t="s">
        <v>2559</v>
      </c>
      <c r="AQ72" t="s">
        <v>8386</v>
      </c>
      <c r="AR72" t="str">
        <f>RIGHT(AQ72,LEN(AQ72)-33)</f>
        <v>chopin02</v>
      </c>
      <c r="AU72" s="78" t="s">
        <v>8387</v>
      </c>
      <c r="AV72" t="str">
        <f>RIGHT(AU72,LEN(AU72)-33)</f>
        <v>fyutkmol15</v>
      </c>
    </row>
    <row r="73" spans="4:48">
      <c r="D73" s="7" t="s">
        <v>1658</v>
      </c>
      <c r="E73" s="7"/>
      <c r="K73" t="s">
        <v>8162</v>
      </c>
      <c r="L73" t="str">
        <f>RIGHT(K73,LEN(K73)-33)</f>
        <v>iv'gmhkc9t</v>
      </c>
      <c r="O73" t="s">
        <v>8388</v>
      </c>
      <c r="P73" t="str">
        <f>RIGHT(O73,LEN(O73)-33)</f>
        <v>x;uIkxbjo</v>
      </c>
      <c r="AO73" t="s">
        <v>2563</v>
      </c>
      <c r="AQ73" t="s">
        <v>8389</v>
      </c>
      <c r="AR73" t="str">
        <f>RIGHT(AQ73,LEN(AQ73)-33)</f>
        <v>ceiling7</v>
      </c>
      <c r="AU73" s="78" t="s">
        <v>8390</v>
      </c>
      <c r="AV73" t="str">
        <f>RIGHT(AU73,LEN(AU73)-33)</f>
        <v>jehuty01</v>
      </c>
    </row>
    <row r="74" spans="4:48">
      <c r="D74" s="7" t="s">
        <v>1562</v>
      </c>
      <c r="E74" s="7"/>
      <c r="K74" t="s">
        <v>8391</v>
      </c>
      <c r="L74" t="str">
        <f>RIGHT(K74,LEN(K74)-33)</f>
        <v>iv'gmhkzhk.[</v>
      </c>
      <c r="O74" t="s">
        <v>8392</v>
      </c>
      <c r="P74" t="str">
        <f>RIGHT(O74,LEN(O74)-33)</f>
        <v>gdks]ugsonvgxup'pk'</v>
      </c>
      <c r="AO74" t="s">
        <v>2567</v>
      </c>
      <c r="AQ74" t="s">
        <v>8393</v>
      </c>
      <c r="AR74" t="str">
        <f>RIGHT(AQ74,LEN(AQ74)-33)</f>
        <v>born2befree</v>
      </c>
      <c r="AU74" s="81" t="s">
        <v>8394</v>
      </c>
      <c r="AV74" t="str">
        <f>RIGHT(AU74,LEN(AU74)-33)</f>
        <v>Superman79</v>
      </c>
    </row>
    <row r="75" spans="4:48">
      <c r="D75" s="7" t="s">
        <v>1226</v>
      </c>
      <c r="E75" s="7"/>
      <c r="K75" t="s">
        <v>8395</v>
      </c>
      <c r="L75" t="str">
        <f>RIGHT(K75,LEN(K75)-33)</f>
        <v>ginvDfplki</v>
      </c>
      <c r="O75" t="s">
        <v>8396</v>
      </c>
      <c r="P75" t="str">
        <f>RIGHT(O75,LEN(O75)-33)</f>
        <v>ditgxHkgxh</v>
      </c>
      <c r="AO75" t="s">
        <v>2571</v>
      </c>
      <c r="AQ75" t="s">
        <v>8397</v>
      </c>
      <c r="AR75" t="str">
        <f>RIGHT(AQ75,LEN(AQ75)-33)</f>
        <v>bittner1</v>
      </c>
      <c r="AU75" s="78" t="s">
        <v>8398</v>
      </c>
      <c r="AV75" t="str">
        <f>RIGHT(AU75,LEN(AU75)-33)</f>
        <v>amit1515</v>
      </c>
    </row>
    <row r="76" spans="4:48">
      <c r="D76" s="7" t="s">
        <v>519</v>
      </c>
      <c r="E76" s="7" t="s">
        <v>7015</v>
      </c>
      <c r="K76" t="s">
        <v>8399</v>
      </c>
      <c r="L76" t="str">
        <f>RIGHT(K76,LEN(K76)-33)</f>
        <v>ginv-hk,akd</v>
      </c>
      <c r="O76" t="s">
        <v>8205</v>
      </c>
      <c r="P76" t="str">
        <f>RIGHT(O76,LEN(O76)-33)</f>
        <v>g8injv'gxjkz,</v>
      </c>
      <c r="AO76" t="s">
        <v>2575</v>
      </c>
      <c r="AQ76" t="s">
        <v>8400</v>
      </c>
      <c r="AR76" t="str">
        <f>RIGHT(AQ76,LEN(AQ76)-33)</f>
        <v>bamdph12</v>
      </c>
      <c r="AU76" s="78" t="s">
        <v>8401</v>
      </c>
      <c r="AV76" t="str">
        <f>RIGHT(AU76,LEN(AU76)-33)</f>
        <v>grjH6jkN</v>
      </c>
    </row>
    <row r="77" spans="4:48">
      <c r="D77" s="7" t="s">
        <v>376</v>
      </c>
      <c r="E77" s="7"/>
      <c r="K77" t="s">
        <v>8402</v>
      </c>
      <c r="L77" t="str">
        <f>RIGHT(K77,LEN(K77)-33)</f>
        <v>ginvxit,'</v>
      </c>
      <c r="O77" t="s">
        <v>8403</v>
      </c>
      <c r="P77" t="str">
        <f>RIGHT(O77,LEN(O77)-33)</f>
        <v>9tdihkzhk</v>
      </c>
      <c r="AO77" t="s">
        <v>2579</v>
      </c>
      <c r="AQ77" t="s">
        <v>8404</v>
      </c>
      <c r="AR77" t="str">
        <f>RIGHT(AQ77,LEN(AQ77)-33)</f>
        <v>andrews45</v>
      </c>
      <c r="AU77" s="78" t="s">
        <v>8405</v>
      </c>
      <c r="AV77" t="str">
        <f>RIGHT(AU77,LEN(AU77)-33)</f>
        <v>zolushka61</v>
      </c>
    </row>
    <row r="78" spans="4:48">
      <c r="D78" s="9" t="s">
        <v>608</v>
      </c>
      <c r="E78" s="9"/>
      <c r="K78" t="s">
        <v>8406</v>
      </c>
      <c r="L78" t="str">
        <f>RIGHT(K78,LEN(K78)-33)</f>
        <v>ginvrkp</v>
      </c>
      <c r="O78" t="s">
        <v>8212</v>
      </c>
      <c r="P78" t="str">
        <f>RIGHT(O78,LEN(O78)-33)</f>
        <v>=69b,k/o</v>
      </c>
      <c r="AO78" t="s">
        <v>2583</v>
      </c>
      <c r="AQ78" t="s">
        <v>8407</v>
      </c>
      <c r="AR78" t="str">
        <f>RIGHT(AQ78,LEN(AQ78)-33)</f>
        <v>ally1992</v>
      </c>
      <c r="AU78" s="78" t="s">
        <v>8325</v>
      </c>
      <c r="AV78" t="str">
        <f>RIGHT(AU78,LEN(AU78)-33)</f>
        <v>KickAss1</v>
      </c>
    </row>
    <row r="79" spans="4:48">
      <c r="D79" s="7" t="s">
        <v>279</v>
      </c>
      <c r="E79" s="7"/>
      <c r="K79" t="s">
        <v>8408</v>
      </c>
      <c r="L79" t="str">
        <f>RIGHT(K79,LEN(K79)-33)</f>
        <v>;y;skp]hv,8vd</v>
      </c>
      <c r="O79" t="s">
        <v>8409</v>
      </c>
      <c r="P79" t="str">
        <f>RIGHT(O79,LEN(O79)-33)</f>
        <v>dy,r^=kro,gxP</v>
      </c>
      <c r="AO79" t="s">
        <v>2587</v>
      </c>
      <c r="AQ79" t="s">
        <v>8410</v>
      </c>
      <c r="AR79" t="str">
        <f>RIGHT(AQ79,LEN(AQ79)-33)</f>
        <v>alecia99</v>
      </c>
      <c r="AU79" s="78" t="s">
        <v>8411</v>
      </c>
      <c r="AV79" t="str">
        <f>RIGHT(AU79,LEN(AU79)-33)</f>
        <v>4s5pil2hx</v>
      </c>
    </row>
    <row r="80" spans="4:48">
      <c r="D80" s="7" t="s">
        <v>5284</v>
      </c>
      <c r="E80" s="7"/>
      <c r="K80" t="s">
        <v>8412</v>
      </c>
      <c r="L80" t="str">
        <f>RIGHT(K80,LEN(K80)-33)</f>
        <v>]b'v6iy'v69y'</v>
      </c>
      <c r="O80" t="s">
        <v>8413</v>
      </c>
      <c r="P80" t="str">
        <f>RIGHT(O80,LEN(O80)-33)</f>
        <v>=hvolhv,rdrk</v>
      </c>
      <c r="AO80" t="s">
        <v>2591</v>
      </c>
      <c r="AQ80" t="s">
        <v>8414</v>
      </c>
      <c r="AR80" t="str">
        <f>RIGHT(AQ80,LEN(AQ80)-33)</f>
        <v>SdKfz171</v>
      </c>
      <c r="AU80" s="81" t="s">
        <v>8329</v>
      </c>
      <c r="AV80" t="str">
        <f>RIGHT(AU80,LEN(AU80)-33)</f>
        <v>JULIE123</v>
      </c>
    </row>
    <row r="81" spans="4:48">
      <c r="D81" s="7" t="s">
        <v>1470</v>
      </c>
      <c r="E81" s="7"/>
      <c r="K81" t="s">
        <v>8415</v>
      </c>
      <c r="L81" t="str">
        <f>RIGHT(K81,LEN(K81)-33)</f>
        <v>;b0kiIPkI</v>
      </c>
      <c r="O81" t="s">
        <v>8416</v>
      </c>
      <c r="P81" t="str">
        <f>RIGHT(O81,LEN(O81)-33)</f>
        <v>xig,K;iBr'JB</v>
      </c>
      <c r="AO81" t="s">
        <v>2595</v>
      </c>
      <c r="AQ81" t="s">
        <v>8368</v>
      </c>
      <c r="AR81" t="str">
        <f>RIGHT(AQ81,LEN(AQ81)-33)</f>
        <v>Fuckyou0</v>
      </c>
      <c r="AU81" s="78" t="s">
        <v>8417</v>
      </c>
      <c r="AV81" t="str">
        <f>RIGHT(AU81,LEN(AU81)-33)</f>
        <v>zuzanna9</v>
      </c>
    </row>
    <row r="82" spans="4:48">
      <c r="D82" s="7" t="s">
        <v>1524</v>
      </c>
      <c r="E82" s="7"/>
      <c r="K82" t="s">
        <v>8418</v>
      </c>
      <c r="L82" t="str">
        <f>RIGHT(K82,LEN(K82)-33)</f>
        <v>KiuToP=yp</v>
      </c>
      <c r="O82" s="54" t="s">
        <v>8419</v>
      </c>
      <c r="P82" t="str">
        <f>RIGHT(O82,LEN(O82)-33)</f>
        <v>d]jv'r]kl9bd</v>
      </c>
      <c r="AO82" t="s">
        <v>2599</v>
      </c>
      <c r="AQ82" t="s">
        <v>8171</v>
      </c>
      <c r="AR82" t="str">
        <f>RIGHT(AQ82,LEN(AQ82)-33)</f>
        <v>987654321qw</v>
      </c>
      <c r="AU82" s="78" t="s">
        <v>8379</v>
      </c>
      <c r="AV82" t="str">
        <f>RIGHT(AU82,LEN(AU82)-33)</f>
        <v>feb151982</v>
      </c>
    </row>
    <row r="83" spans="4:48">
      <c r="D83" s="7" t="s">
        <v>1314</v>
      </c>
      <c r="E83" s="7"/>
      <c r="K83" t="s">
        <v>8420</v>
      </c>
      <c r="L83" t="str">
        <f>RIGHT(K83,LEN(K83)-33)</f>
        <v>c;jodyocff</v>
      </c>
      <c r="O83" t="s">
        <v>8421</v>
      </c>
      <c r="P83" t="str">
        <f>RIGHT(O83,LEN(O83)-33)</f>
        <v>g0vdyori6j'ouh</v>
      </c>
      <c r="AO83" t="s">
        <v>2603</v>
      </c>
      <c r="AQ83" t="s">
        <v>8220</v>
      </c>
      <c r="AR83" t="str">
        <f>RIGHT(AQ83,LEN(AQ83)-33)</f>
        <v>192837465z</v>
      </c>
      <c r="AU83" s="78" t="s">
        <v>8177</v>
      </c>
      <c r="AV83" t="str">
        <f>RIGHT(AU83,LEN(AU83)-33)</f>
        <v>chrisbr0wn</v>
      </c>
    </row>
    <row r="84" spans="4:48">
      <c r="D84" s="7" t="s">
        <v>1426</v>
      </c>
      <c r="E84" s="7"/>
      <c r="K84" t="s">
        <v>8422</v>
      </c>
      <c r="L84" t="str">
        <f>RIGHT(K84,LEN(K84)-33)</f>
        <v>;bmpkKkl9iB</v>
      </c>
      <c r="O84" t="s">
        <v>8423</v>
      </c>
      <c r="P84" t="str">
        <f>RIGHT(O84,LEN(O84)-33)</f>
        <v>x]yUdwarj;'</v>
      </c>
      <c r="AO84" t="s">
        <v>2607</v>
      </c>
      <c r="AQ84" s="54" t="s">
        <v>8342</v>
      </c>
      <c r="AR84" t="str">
        <f>RIGHT(AQ84,LEN(AQ84)-33)</f>
        <v>1258963a</v>
      </c>
      <c r="AU84" s="78" t="s">
        <v>8424</v>
      </c>
      <c r="AV84" t="str">
        <f>RIGHT(AU84,LEN(AU84)-33)</f>
        <v>hannah49</v>
      </c>
    </row>
    <row r="85" spans="4:48">
      <c r="D85" s="7" t="s">
        <v>1352</v>
      </c>
      <c r="E85" s="7"/>
      <c r="K85" t="s">
        <v>8425</v>
      </c>
      <c r="L85" t="str">
        <f>RIGHT(K85,LEN(K85)-33)</f>
        <v>c;jo9kdyocff</v>
      </c>
      <c r="O85" t="s">
        <v>8426</v>
      </c>
      <c r="P85" t="str">
        <f>RIGHT(O85,LEN(O85)-33)</f>
        <v>dki9]kfrnho{ko</v>
      </c>
      <c r="AO85" t="s">
        <v>2611</v>
      </c>
      <c r="AU85" s="78" t="s">
        <v>8427</v>
      </c>
      <c r="AV85" t="str">
        <f>RIGHT(AU85,LEN(AU85)-33)</f>
        <v>210287hjvfy</v>
      </c>
    </row>
    <row r="86" spans="4:48">
      <c r="D86" s="7" t="s">
        <v>1552</v>
      </c>
      <c r="E86" s="7" t="s">
        <v>7015</v>
      </c>
      <c r="K86" t="s">
        <v>8428</v>
      </c>
      <c r="L86" t="str">
        <f>RIGHT(K86,LEN(K86)-33)</f>
        <v>l5kxy9pdii,</v>
      </c>
      <c r="O86" t="s">
        <v>8429</v>
      </c>
      <c r="P86" t="str">
        <f>RIGHT(O86,LEN(O86)-33)</f>
        <v>w-jg0up;a^</v>
      </c>
      <c r="AO86" t="s">
        <v>2615</v>
      </c>
      <c r="AU86" s="78" t="s">
        <v>8430</v>
      </c>
      <c r="AV86" t="str">
        <f>RIGHT(AU86,LEN(AU86)-33)</f>
        <v>kurumi36</v>
      </c>
    </row>
    <row r="87" spans="4:48">
      <c r="D87" s="7" t="s">
        <v>2227</v>
      </c>
      <c r="E87" s="7" t="s">
        <v>7015</v>
      </c>
      <c r="K87" t="s">
        <v>8431</v>
      </c>
      <c r="L87" t="str">
        <f>RIGHT(K87,LEN(K87)-33)</f>
        <v>ly0Tii,</v>
      </c>
      <c r="O87" t="s">
        <v>8432</v>
      </c>
      <c r="P87" t="str">
        <f>RIGHT(O87,LEN(O87)-33)</f>
        <v>9tgdup'wa</v>
      </c>
      <c r="AO87" t="s">
        <v>2619</v>
      </c>
      <c r="AU87" s="78" t="s">
        <v>8433</v>
      </c>
      <c r="AV87" t="str">
        <f>RIGHT(AU87,LEN(AU87)-33)</f>
        <v>ljxrf2011</v>
      </c>
    </row>
    <row r="88" spans="4:48">
      <c r="D88" s="4" t="s">
        <v>101</v>
      </c>
      <c r="E88" s="7" t="s">
        <v>7015</v>
      </c>
      <c r="K88" t="s">
        <v>8434</v>
      </c>
      <c r="L88" t="str">
        <f>RIGHT(K88,LEN(K88)-33)</f>
        <v>l;ylfbdki</v>
      </c>
      <c r="O88" t="s">
        <v>8435</v>
      </c>
      <c r="P88" t="str">
        <f>RIGHT(O88,LEN(O88)-33)</f>
        <v>gmiofBca=yjo</v>
      </c>
      <c r="AO88" t="s">
        <v>2623</v>
      </c>
      <c r="AU88" s="78" t="s">
        <v>8397</v>
      </c>
      <c r="AV88" t="str">
        <f>RIGHT(AU88,LEN(AU88)-33)</f>
        <v>bittner1</v>
      </c>
    </row>
    <row r="89" spans="4:48">
      <c r="D89" s="7" t="s">
        <v>571</v>
      </c>
      <c r="E89" s="7" t="s">
        <v>7015</v>
      </c>
      <c r="K89" t="s">
        <v>8436</v>
      </c>
      <c r="L89" t="str">
        <f>RIGHT(K89,LEN(K89)-33)</f>
        <v>gKiJ{Kkl9iB</v>
      </c>
      <c r="O89" t="s">
        <v>8437</v>
      </c>
      <c r="P89" t="str">
        <f>RIGHT(O89,LEN(O89)-33)</f>
        <v>obpkpcao9kLu</v>
      </c>
      <c r="AO89" t="s">
        <v>2627</v>
      </c>
      <c r="AU89" s="78" t="s">
        <v>8438</v>
      </c>
      <c r="AV89" t="str">
        <f>RIGHT(AU89,LEN(AU89)-33)</f>
        <v>dinar35642</v>
      </c>
    </row>
    <row r="90" spans="4:48">
      <c r="D90" s="7" t="s">
        <v>560</v>
      </c>
      <c r="E90" s="7"/>
      <c r="K90" t="s">
        <v>8439</v>
      </c>
      <c r="L90" t="str">
        <f>RIGHT(K90,LEN(K90)-33)</f>
        <v>ly'8,K7dJk</v>
      </c>
      <c r="O90" t="s">
        <v>8284</v>
      </c>
      <c r="P90" t="str">
        <f>RIGHT(O90,LEN(O90)-33)</f>
        <v>xitlbmTb4kr</v>
      </c>
      <c r="AO90" t="s">
        <v>2631</v>
      </c>
      <c r="AU90" s="78" t="s">
        <v>8440</v>
      </c>
      <c r="AV90" t="str">
        <f>RIGHT(AU90,LEN(AU90)-33)</f>
        <v>felipe76</v>
      </c>
    </row>
    <row r="91" spans="4:48">
      <c r="D91" s="7" t="s">
        <v>570</v>
      </c>
      <c r="E91" s="7" t="s">
        <v>7015</v>
      </c>
      <c r="K91" t="s">
        <v>8441</v>
      </c>
      <c r="L91" t="str">
        <f>RIGHT(K91,LEN(K91)-33)</f>
        <v>soy'lnvgiupo</v>
      </c>
      <c r="O91" t="s">
        <v>8442</v>
      </c>
      <c r="P91" t="str">
        <f>RIGHT(O91,LEN(O91)-33)</f>
        <v>miy,gxG9,k9i{ko</v>
      </c>
      <c r="AO91" t="s">
        <v>2635</v>
      </c>
      <c r="AU91" s="78" t="s">
        <v>8341</v>
      </c>
      <c r="AV91" t="str">
        <f>RIGHT(AU91,LEN(AU91)-33)</f>
        <v>street87</v>
      </c>
    </row>
    <row r="92" spans="4:48">
      <c r="D92" s="7" t="s">
        <v>537</v>
      </c>
      <c r="E92" s="7"/>
      <c r="K92" t="s">
        <v>8443</v>
      </c>
      <c r="L92" t="str">
        <f>RIGHT(K92,LEN(K92)-33)</f>
        <v>lkTkiIxitDp=oB</v>
      </c>
      <c r="O92" t="s">
        <v>8444</v>
      </c>
      <c r="P92" t="str">
        <f>RIGHT(O92,LEN(O92)-33)</f>
        <v>xibPPk,yj',u</v>
      </c>
      <c r="AO92" t="s">
        <v>2639</v>
      </c>
      <c r="AU92" s="78" t="s">
        <v>8445</v>
      </c>
      <c r="AV92" t="str">
        <f>RIGHT(AU92,LEN(AU92)-33)</f>
        <v>parcour.1996</v>
      </c>
    </row>
    <row r="93" spans="4:48">
      <c r="D93" s="7" t="s">
        <v>1012</v>
      </c>
      <c r="E93" s="7"/>
      <c r="K93" t="s">
        <v>8446</v>
      </c>
      <c r="L93" t="str">
        <f>RIGHT(K93,LEN(K93)-33)</f>
        <v>lb'D9mtg]</v>
      </c>
      <c r="O93" t="s">
        <v>8447</v>
      </c>
      <c r="P93" t="str">
        <f>RIGHT(O93,LEN(O93)-33)</f>
        <v>diuo,kiBgdG9</v>
      </c>
      <c r="AO93" t="s">
        <v>2643</v>
      </c>
      <c r="AU93" s="78" t="s">
        <v>8448</v>
      </c>
      <c r="AV93" t="str">
        <f>RIGHT(AU93,LEN(AU93)-33)</f>
        <v>Davalka911</v>
      </c>
    </row>
    <row r="94" spans="4:48">
      <c r="D94" s="7" t="s">
        <v>2205</v>
      </c>
      <c r="E94" s="7"/>
      <c r="K94" t="s">
        <v>8449</v>
      </c>
      <c r="L94" t="str">
        <f>RIGHT(K94,LEN(K94)-33)</f>
        <v>l6omiup4kr</v>
      </c>
      <c r="O94" t="s">
        <v>8450</v>
      </c>
      <c r="P94" t="str">
        <f>RIGHT(O94,LEN(O94)-33)</f>
        <v>=69b,k,kp</v>
      </c>
      <c r="AO94" t="s">
        <v>2647</v>
      </c>
      <c r="AU94" s="78" t="s">
        <v>8297</v>
      </c>
      <c r="AV94" t="str">
        <f>RIGHT(AU94,LEN(AU94)-33)</f>
        <v>ilovemax123</v>
      </c>
    </row>
    <row r="95" spans="4:48">
      <c r="D95" s="7" t="s">
        <v>441</v>
      </c>
      <c r="E95" s="7" t="s">
        <v>7015</v>
      </c>
      <c r="K95" t="s">
        <v>8451</v>
      </c>
      <c r="L95" t="str">
        <f>RIGHT(K95,LEN(K95)-33)</f>
        <v>souglnvxt0itg-h</v>
      </c>
      <c r="O95" t="s">
        <v>8452</v>
      </c>
      <c r="P95" t="str">
        <f>RIGHT(O95,LEN(O95)-33)</f>
        <v>g8l,nv5nv</v>
      </c>
      <c r="AO95" t="s">
        <v>2651</v>
      </c>
      <c r="AU95" s="78" t="s">
        <v>8453</v>
      </c>
      <c r="AV95" t="str">
        <f>RIGHT(AU95,LEN(AU95)-33)</f>
        <v>12041993q</v>
      </c>
    </row>
    <row r="96" spans="4:48">
      <c r="D96" s="7" t="s">
        <v>2075</v>
      </c>
      <c r="E96" s="7"/>
      <c r="K96" t="s">
        <v>8454</v>
      </c>
      <c r="L96" t="str">
        <f>RIGHT(K96,LEN(K96)-33)</f>
        <v>glnhvdyosok;</v>
      </c>
      <c r="O96" t="s">
        <v>8259</v>
      </c>
      <c r="P96" t="str">
        <f>RIGHT(O96,LEN(O96)-33)</f>
        <v>DmiKyrmB,nv5nv</v>
      </c>
      <c r="AO96" t="s">
        <v>2655</v>
      </c>
      <c r="AU96" s="78" t="s">
        <v>8455</v>
      </c>
      <c r="AV96" t="str">
        <f>RIGHT(AU96,LEN(AU96)-33)</f>
        <v>serina00</v>
      </c>
    </row>
    <row r="97" spans="4:48">
      <c r="D97" t="s">
        <v>6976</v>
      </c>
      <c r="E97" s="7" t="s">
        <v>7015</v>
      </c>
      <c r="K97" t="s">
        <v>8456</v>
      </c>
      <c r="L97" t="str">
        <f>RIGHT(K97,LEN(K97)-33)</f>
        <v>s,;dcdUx</v>
      </c>
      <c r="O97" t="s">
        <v>8349</v>
      </c>
      <c r="P97" t="str">
        <f>RIGHT(O97,LEN(O97)-33)</f>
        <v>ryoTdb0</v>
      </c>
      <c r="AO97" t="s">
        <v>2659</v>
      </c>
      <c r="AU97" s="78" t="s">
        <v>8457</v>
      </c>
      <c r="AV97" t="str">
        <f>RIGHT(AU97,LEN(AU97)-33)</f>
        <v>topcat77</v>
      </c>
    </row>
    <row r="98" spans="4:48">
      <c r="D98" s="7" t="s">
        <v>2039</v>
      </c>
      <c r="E98" s="7" t="s">
        <v>7015</v>
      </c>
      <c r="K98" t="s">
        <v>8458</v>
      </c>
      <c r="L98" t="str">
        <f>RIGHT(K98,LEN(K98)-33)</f>
        <v>shk'liirlbo8hk</v>
      </c>
      <c r="O98" t="s">
        <v>8152</v>
      </c>
      <c r="P98" t="str">
        <f>RIGHT(O98,LEN(O98)-33)</f>
        <v>gdupi9bpK</v>
      </c>
      <c r="AO98" t="s">
        <v>2663</v>
      </c>
      <c r="AU98" s="78" t="s">
        <v>8266</v>
      </c>
      <c r="AV98" t="str">
        <f>RIGHT(AU98,LEN(AU98)-33)</f>
        <v>michigan00</v>
      </c>
    </row>
    <row r="99" spans="4:48">
      <c r="D99" s="7" t="s">
        <v>2081</v>
      </c>
      <c r="E99" s="7" t="s">
        <v>7015</v>
      </c>
      <c r="K99" t="s">
        <v>8459</v>
      </c>
      <c r="L99" t="str">
        <f>RIGHT(K99,LEN(K99)-33)</f>
        <v>vjkosoy'lnv</v>
      </c>
      <c r="O99" t="s">
        <v>8460</v>
      </c>
      <c r="P99" t="str">
        <f>RIGHT(O99,LEN(O99)-33)</f>
        <v>ohe8hk'pk,g=hk</v>
      </c>
      <c r="AO99" t="s">
        <v>2667</v>
      </c>
      <c r="AU99" s="78" t="s">
        <v>8461</v>
      </c>
      <c r="AV99" t="str">
        <f>RIGHT(AU99,LEN(AU99)-33)</f>
        <v>richione4066</v>
      </c>
    </row>
    <row r="100" spans="4:48">
      <c r="D100" s="7" t="s">
        <v>1144</v>
      </c>
      <c r="E100" s="7"/>
      <c r="K100" t="s">
        <v>8123</v>
      </c>
      <c r="L100" t="str">
        <f>RIGHT(K100,LEN(K100)-33)</f>
        <v>v6]9ihkc,o</v>
      </c>
      <c r="O100" t="s">
        <v>8462</v>
      </c>
      <c r="P100" t="str">
        <f>RIGHT(O100,LEN(O100)-33)</f>
        <v>[y;ifohe9how,h</v>
      </c>
      <c r="AO100" t="s">
        <v>2671</v>
      </c>
      <c r="AU100" s="78" t="s">
        <v>8243</v>
      </c>
      <c r="AV100" t="str">
        <f>RIGHT(AU100,LEN(AU100)-33)</f>
        <v>amormio12</v>
      </c>
    </row>
    <row r="101" spans="4:48">
      <c r="D101" s="7" t="s">
        <v>986</v>
      </c>
      <c r="E101" s="7"/>
      <c r="K101" t="s">
        <v>8463</v>
      </c>
      <c r="L101" t="str">
        <f>RIGHT(K101,LEN(K101)-33)</f>
        <v>v6mpkocsj'=k9b</v>
      </c>
      <c r="O101" t="s">
        <v>8464</v>
      </c>
      <c r="P101" t="str">
        <f>RIGHT(O101,LEN(O101)-33)</f>
        <v>d6Pc0i5</v>
      </c>
      <c r="AO101" t="s">
        <v>2675</v>
      </c>
      <c r="AU101" s="78" t="s">
        <v>8304</v>
      </c>
      <c r="AV101" t="str">
        <f>RIGHT(AU101,LEN(AU101)-33)</f>
        <v>english33</v>
      </c>
    </row>
    <row r="102" spans="4:48">
      <c r="D102" s="7" t="s">
        <v>1808</v>
      </c>
      <c r="E102" s="7"/>
      <c r="K102" t="s">
        <v>8117</v>
      </c>
      <c r="L102" t="str">
        <f>RIGHT(K102,LEN(K102)-33)</f>
        <v>vTbxw9p</v>
      </c>
      <c r="O102" t="s">
        <v>8465</v>
      </c>
      <c r="P102" t="str">
        <f>RIGHT(O102,LEN(O102)-33)</f>
        <v>8tcoog9G,ihvp</v>
      </c>
      <c r="AO102" t="s">
        <v>2679</v>
      </c>
      <c r="AU102" s="78" t="s">
        <v>8466</v>
      </c>
      <c r="AV102" t="str">
        <f>RIGHT(AU102,LEN(AU102)-33)</f>
        <v>prequel1</v>
      </c>
    </row>
    <row r="103" spans="4:48">
      <c r="D103" s="7" t="s">
        <v>966</v>
      </c>
      <c r="E103" s="7"/>
      <c r="K103" t="s">
        <v>8467</v>
      </c>
      <c r="L103" t="str">
        <f>RIGHT(K103,LEN(K103)-33)</f>
        <v>vy0Xibp4kr</v>
      </c>
      <c r="O103" t="s">
        <v>8468</v>
      </c>
      <c r="P103" t="str">
        <f>RIGHT(O103,LEN(O103)-33)</f>
        <v>d;k'giogfupiB</v>
      </c>
      <c r="AO103" t="s">
        <v>2683</v>
      </c>
      <c r="AU103" s="78" t="s">
        <v>8469</v>
      </c>
      <c r="AV103" t="str">
        <f>RIGHT(AU103,LEN(AU103)-33)</f>
        <v>11111987n</v>
      </c>
    </row>
    <row r="104" spans="4:48">
      <c r="D104" s="7" t="s">
        <v>1738</v>
      </c>
      <c r="E104" s="7"/>
      <c r="K104" t="s">
        <v>8125</v>
      </c>
      <c r="L104" t="str">
        <f>RIGHT(K104,LEN(K104)-33)</f>
        <v>v6f,dkiIB</v>
      </c>
      <c r="O104" t="s">
        <v>8470</v>
      </c>
      <c r="P104" t="str">
        <f>RIGHT(O104,LEN(O104)-33)</f>
        <v>8v,rb;g9viBgiG;</v>
      </c>
      <c r="AO104" t="s">
        <v>2687</v>
      </c>
      <c r="AU104" s="81" t="s">
        <v>8375</v>
      </c>
      <c r="AV104" t="str">
        <f>RIGHT(AU104,LEN(AU104)-33)</f>
        <v>firebird15</v>
      </c>
    </row>
    <row r="105" spans="4:48">
      <c r="D105" s="7" t="s">
        <v>1694</v>
      </c>
      <c r="E105" s="7"/>
      <c r="K105" t="s">
        <v>8471</v>
      </c>
      <c r="L105" t="str">
        <f>RIGHT(K105,LEN(K105)-33)</f>
        <v>vkipTii,</v>
      </c>
      <c r="O105" t="s">
        <v>8472</v>
      </c>
      <c r="P105" t="str">
        <f>RIGHT(O105,LEN(O105)-33)</f>
        <v>Lkv6fuvkitg[upibpkf</v>
      </c>
      <c r="AO105" t="s">
        <v>2691</v>
      </c>
      <c r="AU105" s="78" t="s">
        <v>8473</v>
      </c>
      <c r="AV105" t="str">
        <f>RIGHT(AU105,LEN(AU105)-33)</f>
        <v>gulnaz4ic</v>
      </c>
    </row>
    <row r="106" spans="4:48">
      <c r="D106" s="7" t="s">
        <v>1116</v>
      </c>
      <c r="E106" s="7" t="s">
        <v>7015</v>
      </c>
      <c r="K106" t="s">
        <v>8474</v>
      </c>
      <c r="L106" t="str">
        <f>RIGHT(K106,LEN(K106)-33)</f>
        <v>vbol9kcdi,</v>
      </c>
      <c r="O106" t="s">
        <v>8475</v>
      </c>
      <c r="P106" t="str">
        <f>RIGHT(O106,LEN(O106)-33)</f>
        <v>DmiKyrmBi6jo.s,j</v>
      </c>
      <c r="AO106" t="s">
        <v>2695</v>
      </c>
      <c r="AU106" s="78" t="s">
        <v>8476</v>
      </c>
      <c r="AV106" t="str">
        <f>RIGHT(AU106,LEN(AU106)-33)</f>
        <v>24011961m</v>
      </c>
    </row>
    <row r="107" spans="4:48">
      <c r="D107" s="7" t="s">
        <v>1710</v>
      </c>
      <c r="E107" s="7"/>
      <c r="K107" t="s">
        <v>8100</v>
      </c>
      <c r="L107" t="str">
        <f>RIGHT(K107,LEN(K107)-33)</f>
        <v>gvd]ydJIB</v>
      </c>
      <c r="O107" t="s">
        <v>8477</v>
      </c>
      <c r="P107" t="str">
        <f>RIGHT(O107,LEN(O107)-33)</f>
        <v>4^,bomiBgdupi9bpK</v>
      </c>
      <c r="AO107" t="s">
        <v>2699</v>
      </c>
      <c r="AU107" s="78" t="s">
        <v>8407</v>
      </c>
      <c r="AV107" t="str">
        <f>RIGHT(AU107,LEN(AU107)-33)</f>
        <v>ally1992</v>
      </c>
    </row>
    <row r="108" spans="4:48">
      <c r="D108" s="7" t="s">
        <v>1758</v>
      </c>
      <c r="E108" s="7"/>
      <c r="K108" t="s">
        <v>8478</v>
      </c>
      <c r="L108" t="str">
        <f>RIGHT(K108,LEN(K108)-33)</f>
        <v>gC]b8vxg9viB</v>
      </c>
      <c r="O108" t="s">
        <v>8479</v>
      </c>
      <c r="P108" t="str">
        <f>RIGHT(O108,LEN(O108)-33)</f>
        <v>d^Uf[kp]kdjvo</v>
      </c>
      <c r="AO108" t="s">
        <v>2703</v>
      </c>
      <c r="AU108" s="78" t="s">
        <v>8480</v>
      </c>
      <c r="AV108" t="str">
        <f>RIGHT(AU108,LEN(AU108)-33)</f>
        <v>anna2408</v>
      </c>
    </row>
    <row r="109" spans="4:48">
      <c r="D109" s="7" t="s">
        <v>916</v>
      </c>
      <c r="E109" s="7"/>
      <c r="O109" t="s">
        <v>8251</v>
      </c>
      <c r="P109" t="str">
        <f>RIGHT(O109,LEN(O109)-33)</f>
        <v>5y'-ptg]Gd</v>
      </c>
      <c r="AO109" t="s">
        <v>2707</v>
      </c>
      <c r="AU109" s="78" t="s">
        <v>8481</v>
      </c>
      <c r="AV109" t="str">
        <f>RIGHT(AU109,LEN(AU109)-33)</f>
        <v>dima9742</v>
      </c>
    </row>
    <row r="110" spans="4:48">
      <c r="D110" s="7" t="s">
        <v>1818</v>
      </c>
      <c r="E110" s="7"/>
      <c r="O110" t="s">
        <v>8313</v>
      </c>
      <c r="P110" t="str">
        <f>RIGHT(O110,LEN(O110)-33)</f>
        <v>xkddk]^d]njo</v>
      </c>
      <c r="AO110" t="s">
        <v>2711</v>
      </c>
      <c r="AU110" s="78" t="s">
        <v>8482</v>
      </c>
      <c r="AV110" t="str">
        <f>RIGHT(AU110,LEN(AU110)-33)</f>
        <v>13031962n</v>
      </c>
    </row>
    <row r="111" spans="4:48">
      <c r="D111" s="7" t="s">
        <v>1136</v>
      </c>
      <c r="E111" s="7"/>
      <c r="O111" t="s">
        <v>8483</v>
      </c>
      <c r="P111" t="str">
        <f>RIGHT(O111,LEN(O111)-33)</f>
        <v>-v'-;yP;yogdbf</v>
      </c>
      <c r="AO111" t="s">
        <v>2715</v>
      </c>
      <c r="AU111" s="78" t="s">
        <v>8332</v>
      </c>
      <c r="AV111" t="str">
        <f>RIGHT(AU111,LEN(AU111)-33)</f>
        <v>2painful</v>
      </c>
    </row>
    <row r="112" spans="4:48">
      <c r="D112" s="7" t="s">
        <v>936</v>
      </c>
      <c r="E112" s="7"/>
      <c r="O112" t="s">
        <v>8484</v>
      </c>
      <c r="P112" t="str">
        <f>RIGHT(O112,LEN(O112)-33)</f>
        <v>dki[hko;yoouh</v>
      </c>
      <c r="AO112" t="s">
        <v>2719</v>
      </c>
      <c r="AU112" s="78" t="s">
        <v>8485</v>
      </c>
      <c r="AV112" t="str">
        <f>RIGHT(AU112,LEN(AU112)-33)</f>
        <v>Gandalf6</v>
      </c>
    </row>
    <row r="113" spans="4:48">
      <c r="D113" s="7" t="s">
        <v>944</v>
      </c>
      <c r="E113" s="7"/>
      <c r="O113" t="s">
        <v>8486</v>
      </c>
      <c r="P113" t="str">
        <f>RIGHT(O113,LEN(O113)-33)</f>
        <v>-jk;;yoouh</v>
      </c>
      <c r="AO113" t="s">
        <v>2723</v>
      </c>
      <c r="AU113" s="78" t="s">
        <v>8487</v>
      </c>
      <c r="AV113" t="str">
        <f>RIGHT(AU113,LEN(AU113)-33)</f>
        <v>jndcd123</v>
      </c>
    </row>
    <row r="114" spans="4:48">
      <c r="D114" s="7" t="s">
        <v>1154</v>
      </c>
      <c r="E114" s="7"/>
      <c r="O114" t="s">
        <v>8134</v>
      </c>
      <c r="P114" t="str">
        <f>RIGHT(O114,LEN(O114)-33)</f>
        <v>0b9;bPPkI</v>
      </c>
      <c r="AO114" t="s">
        <v>2727</v>
      </c>
      <c r="AU114" s="78" t="s">
        <v>8488</v>
      </c>
      <c r="AV114" t="str">
        <f>RIGHT(AU114,LEN(AU114)-33)</f>
        <v>12051994m</v>
      </c>
    </row>
    <row r="115" spans="4:48">
      <c r="D115" s="7" t="s">
        <v>1086</v>
      </c>
      <c r="E115" s="7"/>
      <c r="O115" t="s">
        <v>8489</v>
      </c>
      <c r="P115" t="str">
        <f>RIGHT(O115,LEN(O115)-33)</f>
        <v>xudwdjmvf</v>
      </c>
      <c r="AO115" t="s">
        <v>2731</v>
      </c>
      <c r="AU115" s="81" t="s">
        <v>8490</v>
      </c>
      <c r="AV115" t="str">
        <f>RIGHT(AU115,LEN(AU115)-33)</f>
        <v>3r5d9b50</v>
      </c>
    </row>
    <row r="116" spans="4:48">
      <c r="D116" s="7" t="s">
        <v>1770</v>
      </c>
      <c r="E116" s="7"/>
      <c r="O116" t="s">
        <v>8165</v>
      </c>
      <c r="P116" t="str">
        <f>RIGHT(O116,LEN(O116)-33)</f>
        <v>=u;;bmpk</v>
      </c>
      <c r="AO116" t="s">
        <v>2735</v>
      </c>
      <c r="AU116" s="78" t="s">
        <v>8491</v>
      </c>
      <c r="AV116" t="str">
        <f>RIGHT(AU116,LEN(AU116)-33)</f>
        <v>55555lena</v>
      </c>
    </row>
    <row r="117" spans="4:48">
      <c r="D117" s="7" t="s">
        <v>1166</v>
      </c>
      <c r="E117" s="7"/>
      <c r="O117" t="s">
        <v>8191</v>
      </c>
      <c r="P117" t="str">
        <f>RIGHT(O117,LEN(O117)-33)</f>
        <v>=69b,kKiul;ylfbB</v>
      </c>
      <c r="AO117" t="s">
        <v>2739</v>
      </c>
      <c r="AU117" s="78" t="s">
        <v>8351</v>
      </c>
      <c r="AV117" t="str">
        <f>RIGHT(AU117,LEN(AU117)-33)</f>
        <v>pipillo989</v>
      </c>
    </row>
    <row r="118" spans="4:48">
      <c r="D118" s="7" t="s">
        <v>996</v>
      </c>
      <c r="E118" s="7"/>
      <c r="O118" t="s">
        <v>8169</v>
      </c>
      <c r="P118" t="str">
        <f>RIGHT(O118,LEN(O118)-33)</f>
        <v>obg;K;bmpk</v>
      </c>
      <c r="AO118" t="s">
        <v>2743</v>
      </c>
      <c r="AU118" s="78" t="s">
        <v>8492</v>
      </c>
      <c r="AV118" t="str">
        <f>RIGHT(AU118,LEN(AU118)-33)</f>
        <v>x82030005</v>
      </c>
    </row>
    <row r="119" spans="4:48">
      <c r="D119" s="7" t="s">
        <v>1786</v>
      </c>
      <c r="E119" s="7"/>
      <c r="O119" t="s">
        <v>8202</v>
      </c>
      <c r="P119" t="str">
        <f>RIGHT(O119,LEN(O119)-33)</f>
        <v>xdiIBKiul;ylfbB</v>
      </c>
      <c r="AO119" t="s">
        <v>2747</v>
      </c>
      <c r="AU119" s="78" t="s">
        <v>8493</v>
      </c>
      <c r="AV119" t="str">
        <f>RIGHT(AU119,LEN(AU119)-33)</f>
        <v>170909vin</v>
      </c>
    </row>
    <row r="120" spans="4:48">
      <c r="D120" s="7" t="s">
        <v>1128</v>
      </c>
      <c r="E120" s="7"/>
      <c r="O120" t="s">
        <v>8148</v>
      </c>
      <c r="P120" t="str">
        <f>RIGHT(O120,LEN(O120)-33)</f>
        <v>gdJ9iKkl9iB</v>
      </c>
      <c r="AO120" t="s">
        <v>2751</v>
      </c>
      <c r="AU120" s="78" t="s">
        <v>8282</v>
      </c>
      <c r="AV120" t="str">
        <f>RIGHT(AU120,LEN(AU120)-33)</f>
        <v>BIGDADDY2</v>
      </c>
    </row>
    <row r="121" spans="4:48">
      <c r="D121" s="7" t="s">
        <v>1836</v>
      </c>
      <c r="E121" s="7"/>
      <c r="O121" t="s">
        <v>8184</v>
      </c>
      <c r="P121" t="str">
        <f>RIGHT(O121,LEN(O121)-33)</f>
        <v>8Ib9Kkl9iB</v>
      </c>
      <c r="AO121" t="s">
        <v>2755</v>
      </c>
      <c r="AU121" s="78" t="s">
        <v>8494</v>
      </c>
      <c r="AV121" t="str">
        <f>RIGHT(AU121,LEN(AU121)-33)</f>
        <v>Ura61179979</v>
      </c>
    </row>
    <row r="122" spans="4:48">
      <c r="D122" s="7" t="s">
        <v>1750</v>
      </c>
      <c r="E122" s="7"/>
      <c r="O122" t="s">
        <v>8124</v>
      </c>
      <c r="P122" t="str">
        <f>RIGHT(O122,LEN(O122)-33)</f>
        <v>ditgxHkl9k'8B</v>
      </c>
      <c r="AO122" t="s">
        <v>2759</v>
      </c>
      <c r="AU122" s="78" t="s">
        <v>8404</v>
      </c>
      <c r="AV122" t="str">
        <f>RIGHT(AU122,LEN(AU122)-33)</f>
        <v>andrews45</v>
      </c>
    </row>
    <row r="123" spans="4:48">
      <c r="D123" s="7" t="s">
        <v>1720</v>
      </c>
      <c r="E123" s="7"/>
      <c r="O123" t="s">
        <v>8495</v>
      </c>
      <c r="P123" t="str">
        <f>RIGHT(O123,LEN(O123)-33)</f>
        <v>dkiB9^olo6d</v>
      </c>
      <c r="AO123" t="s">
        <v>2763</v>
      </c>
      <c r="AU123" s="78" t="s">
        <v>8322</v>
      </c>
      <c r="AV123" t="str">
        <f>RIGHT(AU123,LEN(AU123)-33)</f>
        <v>bangbang6</v>
      </c>
    </row>
    <row r="124" spans="4:48">
      <c r="D124" s="7" t="s">
        <v>960</v>
      </c>
      <c r="E124" s="7"/>
      <c r="O124" t="s">
        <v>8496</v>
      </c>
      <c r="P124" t="str">
        <f>RIGHT(O124,LEN(O124)-33)</f>
        <v>=hvolc9og]l</v>
      </c>
      <c r="AO124" t="s">
        <v>2767</v>
      </c>
      <c r="AU124" s="78" t="s">
        <v>8497</v>
      </c>
      <c r="AV124" t="str">
        <f>RIGHT(AU124,LEN(AU124)-33)</f>
        <v>lexsus2426</v>
      </c>
    </row>
    <row r="125" spans="4:48">
      <c r="D125" s="7" t="s">
        <v>1190</v>
      </c>
      <c r="E125" s="7"/>
      <c r="O125" t="s">
        <v>8294</v>
      </c>
      <c r="P125" t="str">
        <f>RIGHT(O125,LEN(O125)-33)</f>
        <v>xit=kdiKkl9iB</v>
      </c>
      <c r="AO125" t="s">
        <v>2771</v>
      </c>
      <c r="AU125" s="78" t="s">
        <v>8498</v>
      </c>
      <c r="AV125" t="str">
        <f>RIGHT(AU125,LEN(AU125)-33)</f>
        <v>ryanchloe24</v>
      </c>
    </row>
    <row r="126" spans="4:48">
      <c r="D126" s="7" t="s">
        <v>950</v>
      </c>
      <c r="E126" s="7"/>
      <c r="O126" t="s">
        <v>8305</v>
      </c>
      <c r="P126" t="str">
        <f>RIGHT(O126,LEN(O126)-33)</f>
        <v>xit;y9bKkl9iB</v>
      </c>
      <c r="AO126" t="s">
        <v>2775</v>
      </c>
      <c r="AU126" s="78" t="s">
        <v>8333</v>
      </c>
      <c r="AV126" t="str">
        <f>RIGHT(AU126,LEN(AU126)-33)</f>
        <v>woodie69</v>
      </c>
    </row>
    <row r="127" spans="4:48">
      <c r="D127" s="7" t="s">
        <v>1006</v>
      </c>
      <c r="E127" s="7"/>
      <c r="O127" t="s">
        <v>8499</v>
      </c>
      <c r="P127" t="str">
        <f>RIGHT(O127,LEN(O127)-33)</f>
        <v>waXkp-okfg]Gd</v>
      </c>
      <c r="AO127" t="s">
        <v>2779</v>
      </c>
      <c r="AU127" s="78" t="s">
        <v>8500</v>
      </c>
      <c r="AV127" t="str">
        <f>RIGHT(AU127,LEN(AU127)-33)</f>
        <v>22101991n</v>
      </c>
    </row>
    <row r="128" spans="4:48">
      <c r="D128" s="7" t="s">
        <v>976</v>
      </c>
      <c r="E128" s="7" t="s">
        <v>7015</v>
      </c>
      <c r="O128" t="s">
        <v>8501</v>
      </c>
      <c r="P128" t="str">
        <f>RIGHT(O128,LEN(O128)-33)</f>
        <v>odp^'l;p'k,</v>
      </c>
      <c r="AO128" t="s">
        <v>2783</v>
      </c>
      <c r="AU128" s="81" t="s">
        <v>8344</v>
      </c>
      <c r="AV128" t="str">
        <f>RIGHT(AU128,LEN(AU128)-33)</f>
        <v>seagirt1</v>
      </c>
    </row>
    <row r="129" spans="4:48">
      <c r="D129" s="7" t="s">
        <v>1182</v>
      </c>
      <c r="E129" s="7" t="s">
        <v>7015</v>
      </c>
      <c r="O129" t="s">
        <v>8132</v>
      </c>
      <c r="P129" t="str">
        <f>RIGHT(O129,LEN(O129)-33)</f>
        <v>ditgxHkltrkp</v>
      </c>
      <c r="AO129" t="s">
        <v>2787</v>
      </c>
      <c r="AU129" s="78" t="s">
        <v>8502</v>
      </c>
      <c r="AV129" t="str">
        <f>RIGHT(AU129,LEN(AU129)-33)</f>
        <v>thailand2013</v>
      </c>
    </row>
    <row r="130" spans="4:48">
      <c r="D130" s="7" t="s">
        <v>930</v>
      </c>
      <c r="E130" s="7"/>
      <c r="O130" t="s">
        <v>8196</v>
      </c>
      <c r="P130" t="str">
        <f>RIGHT(O130,LEN(O130)-33)</f>
        <v>fo9iulkd]</v>
      </c>
      <c r="AO130" t="s">
        <v>2791</v>
      </c>
      <c r="AU130" s="78" t="s">
        <v>8503</v>
      </c>
      <c r="AV130" t="str">
        <f>RIGHT(AU130,LEN(AU130)-33)</f>
        <v>domin8rr</v>
      </c>
    </row>
    <row r="131" spans="4:48">
      <c r="D131" s="7" t="s">
        <v>1730</v>
      </c>
      <c r="E131" s="7"/>
      <c r="O131" t="s">
        <v>8504</v>
      </c>
      <c r="P131" t="str">
        <f>RIGHT(O131,LEN(O131)-33)</f>
        <v>0ydipkolucf'</v>
      </c>
      <c r="AO131" t="s">
        <v>2795</v>
      </c>
      <c r="AU131" s="78" t="s">
        <v>8505</v>
      </c>
      <c r="AV131" t="str">
        <f>RIGHT(AU131,LEN(AU131)-33)</f>
        <v>fl0rentina</v>
      </c>
    </row>
    <row r="132" spans="4:48">
      <c r="D132" s="7" t="s">
        <v>1848</v>
      </c>
      <c r="E132" s="7"/>
      <c r="O132" t="s">
        <v>8270</v>
      </c>
      <c r="P132" t="str">
        <f>RIGHT(O132,LEN(O132)-33)</f>
        <v>gm8DoD]pulkilogmK</v>
      </c>
      <c r="AO132" t="s">
        <v>2799</v>
      </c>
      <c r="AU132" s="78" t="s">
        <v>8506</v>
      </c>
      <c r="AV132" t="str">
        <f>RIGHT(AU132,LEN(AU132)-33)</f>
        <v>koneyko123</v>
      </c>
    </row>
    <row r="133" spans="4:48">
      <c r="D133" s="7" t="s">
        <v>1780</v>
      </c>
      <c r="E133" s="7"/>
      <c r="O133" t="s">
        <v>8138</v>
      </c>
      <c r="P133" t="str">
        <f>RIGHT(O133,LEN(O133)-33)</f>
        <v>9]kfoyfl6-.0</v>
      </c>
      <c r="AO133" t="s">
        <v>2803</v>
      </c>
      <c r="AU133" s="78" t="s">
        <v>8507</v>
      </c>
      <c r="AV133" t="str">
        <f>RIGHT(AU133,LEN(AU133)-33)</f>
        <v>1323bevis</v>
      </c>
    </row>
    <row r="134" spans="4:48">
      <c r="D134" s="7" t="s">
        <v>1102</v>
      </c>
      <c r="E134" s="7"/>
      <c r="O134" t="s">
        <v>8508</v>
      </c>
      <c r="P134" t="str">
        <f>RIGHT(O134,LEN(O134)-33)</f>
        <v>5oolu],</v>
      </c>
      <c r="AO134" t="s">
        <v>2807</v>
      </c>
      <c r="AU134" s="78" t="s">
        <v>8509</v>
      </c>
      <c r="AV134" t="str">
        <f>RIGHT(AU134,LEN(AU134)-33)</f>
        <v>1Voyager</v>
      </c>
    </row>
    <row r="135" spans="4:48">
      <c r="D135" s="7" t="s">
        <v>532</v>
      </c>
      <c r="E135" s="7"/>
      <c r="O135" t="s">
        <v>8510</v>
      </c>
      <c r="P135" t="str">
        <f>RIGHT(O135,LEN(O135)-33)</f>
        <v>5ool6-6,;bm</v>
      </c>
      <c r="AO135" t="s">
        <v>2811</v>
      </c>
      <c r="AU135" s="78" t="s">
        <v>8511</v>
      </c>
      <c r="AV135" t="str">
        <f>RIGHT(AU135,LEN(AU135)-33)</f>
        <v>bigfoot303</v>
      </c>
    </row>
    <row r="136" spans="4:48">
      <c r="D136" s="7" t="s">
        <v>388</v>
      </c>
      <c r="E136" s="7"/>
      <c r="O136" t="s">
        <v>8512</v>
      </c>
      <c r="P136" t="str">
        <f>RIGHT(O136,LEN(O136)-33)</f>
        <v>8bf57'gl,v</v>
      </c>
      <c r="AO136" t="s">
        <v>2815</v>
      </c>
      <c r="AU136" s="78" t="s">
        <v>8513</v>
      </c>
      <c r="AV136" t="str">
        <f>RIGHT(AU136,LEN(AU136)-33)</f>
        <v>chandani2</v>
      </c>
    </row>
    <row r="137" spans="4:48">
      <c r="D137" s="7" t="s">
        <v>451</v>
      </c>
      <c r="E137" s="7"/>
      <c r="O137" t="s">
        <v>8268</v>
      </c>
      <c r="P137" t="str">
        <f>RIGHT(O137,LEN(O137)-33)</f>
        <v>9^hglnhvzhk</v>
      </c>
      <c r="AO137" t="s">
        <v>2819</v>
      </c>
      <c r="AU137" s="78" t="s">
        <v>8514</v>
      </c>
      <c r="AV137" t="str">
        <f>RIGHT(AU137,LEN(AU137)-33)</f>
        <v>kiss121208</v>
      </c>
    </row>
    <row r="138" spans="4:48">
      <c r="D138" s="7" t="s">
        <v>1995</v>
      </c>
      <c r="E138" s="7" t="s">
        <v>7015</v>
      </c>
      <c r="O138" t="s">
        <v>8515</v>
      </c>
      <c r="P138" t="str">
        <f>RIGHT(O138,LEN(O138)-33)</f>
        <v>cdh;ohe.l</v>
      </c>
      <c r="AO138" t="s">
        <v>2823</v>
      </c>
      <c r="AU138" s="78" t="s">
        <v>8516</v>
      </c>
      <c r="AV138" t="str">
        <f>RIGHT(AU138,LEN(AU138)-33)</f>
        <v>15092005m</v>
      </c>
    </row>
    <row r="139" spans="4:48">
      <c r="D139" s="7" t="s">
        <v>613</v>
      </c>
      <c r="E139" s="7" t="s">
        <v>7015</v>
      </c>
      <c r="O139" t="s">
        <v>8517</v>
      </c>
      <c r="P139" t="str">
        <f>RIGHT(O139,LEN(O139)-33)</f>
        <v>dit0dsohk9jk'</v>
      </c>
      <c r="AO139" t="s">
        <v>2827</v>
      </c>
      <c r="AU139" s="78" t="s">
        <v>8518</v>
      </c>
      <c r="AV139" t="str">
        <f>RIGHT(AU139,LEN(AU139)-33)</f>
        <v>32B06622y5</v>
      </c>
    </row>
    <row r="140" spans="4:48">
      <c r="D140" s="7" t="s">
        <v>381</v>
      </c>
      <c r="E140" s="7"/>
      <c r="O140" t="s">
        <v>8519</v>
      </c>
      <c r="P140" t="str">
        <f>RIGHT(O140,LEN(O140)-33)</f>
        <v>g-G,-yfsoy'</v>
      </c>
      <c r="AO140" t="s">
        <v>2831</v>
      </c>
      <c r="AU140" s="78" t="s">
        <v>8520</v>
      </c>
      <c r="AV140" t="str">
        <f>RIGHT(AU140,LEN(AU140)-33)</f>
        <v>990151egor</v>
      </c>
    </row>
    <row r="141" spans="4:48">
      <c r="D141" s="7" t="s">
        <v>1904</v>
      </c>
      <c r="E141" s="7" t="s">
        <v>7015</v>
      </c>
      <c r="O141" t="s">
        <v>8315</v>
      </c>
      <c r="P141" t="str">
        <f>RIGHT(O141,LEN(O141)-33)</f>
        <v>x]vds,vo</v>
      </c>
      <c r="AO141" t="s">
        <v>2835</v>
      </c>
      <c r="AU141" s="78" t="s">
        <v>8354</v>
      </c>
      <c r="AV141" t="str">
        <f>RIGHT(AU141,LEN(AU141)-33)</f>
        <v>oliverm1</v>
      </c>
    </row>
    <row r="142" spans="4:48">
      <c r="D142" s="7" t="s">
        <v>2059</v>
      </c>
      <c r="E142" s="7" t="s">
        <v>7015</v>
      </c>
      <c r="O142" t="s">
        <v>8521</v>
      </c>
      <c r="P142" t="str">
        <f>RIGHT(O142,LEN(O142)-33)</f>
        <v>gdhkvuhs,6o</v>
      </c>
      <c r="AO142" t="s">
        <v>2839</v>
      </c>
      <c r="AU142" s="78" t="s">
        <v>8522</v>
      </c>
      <c r="AV142" t="str">
        <f>RIGHT(AU142,LEN(AU142)-33)</f>
        <v>timeout23</v>
      </c>
    </row>
    <row r="143" spans="4:48">
      <c r="D143" s="7" t="s">
        <v>399</v>
      </c>
      <c r="E143" s="7"/>
      <c r="O143" t="s">
        <v>8523</v>
      </c>
      <c r="P143" t="str">
        <f>RIGHT(O143,LEN(O143)-33)</f>
        <v>dH;pg9uHp;s,^</v>
      </c>
      <c r="AO143" t="s">
        <v>2843</v>
      </c>
      <c r="AU143" s="78" t="s">
        <v>8524</v>
      </c>
      <c r="AV143" t="str">
        <f>RIGHT(AU143,LEN(AU143)-33)</f>
        <v>true2luv</v>
      </c>
    </row>
    <row r="144" spans="4:48">
      <c r="D144" s="7" t="s">
        <v>2199</v>
      </c>
      <c r="E144" s="7"/>
      <c r="O144" t="s">
        <v>8525</v>
      </c>
      <c r="P144" t="str">
        <f>RIGHT(O144,LEN(O144)-33)</f>
        <v>dit0dshv'ohe</v>
      </c>
      <c r="AO144" t="s">
        <v>2847</v>
      </c>
      <c r="AU144" s="78" t="s">
        <v>8339</v>
      </c>
      <c r="AV144" t="str">
        <f>RIGHT(AU144,LEN(AU144)-33)</f>
        <v>truffle8</v>
      </c>
    </row>
    <row r="145" spans="4:48">
      <c r="D145" s="7" t="s">
        <v>1490</v>
      </c>
      <c r="E145" s="7"/>
      <c r="O145" t="s">
        <v>8526</v>
      </c>
      <c r="P145" t="str">
        <f>RIGHT(O145,LEN(O145)-33)</f>
        <v>=k[^s,k]jk</v>
      </c>
      <c r="AO145" t="s">
        <v>2851</v>
      </c>
      <c r="AU145" s="78" t="s">
        <v>8527</v>
      </c>
      <c r="AV145" t="str">
        <f>RIGHT(AU145,LEN(AU145)-33)</f>
        <v>15021972a</v>
      </c>
    </row>
    <row r="146" spans="4:48">
      <c r="D146" s="7" t="s">
        <v>1438</v>
      </c>
      <c r="E146" s="7"/>
      <c r="O146" t="s">
        <v>8528</v>
      </c>
      <c r="P146" t="str">
        <f>RIGHT(O146,LEN(O146)-33)</f>
        <v>mko-hk;sinvpy'</v>
      </c>
      <c r="AO146" t="s">
        <v>2855</v>
      </c>
      <c r="AU146" s="78" t="s">
        <v>8529</v>
      </c>
      <c r="AV146" t="str">
        <f>RIGHT(AU146,LEN(AU146)-33)</f>
        <v>1956vfq24</v>
      </c>
    </row>
    <row r="147" spans="4:48">
      <c r="D147" s="7" t="s">
        <v>1660</v>
      </c>
      <c r="E147" s="7" t="s">
        <v>7015</v>
      </c>
      <c r="O147" t="s">
        <v>8399</v>
      </c>
      <c r="P147" t="str">
        <f>RIGHT(O147,LEN(O147)-33)</f>
        <v>ginv-hk,akd</v>
      </c>
      <c r="AO147" t="s">
        <v>2859</v>
      </c>
      <c r="AU147" s="78" t="s">
        <v>8530</v>
      </c>
      <c r="AV147" t="str">
        <f>RIGHT(AU147,LEN(AU147)-33)</f>
        <v>777se7my77</v>
      </c>
    </row>
    <row r="148" spans="4:48">
      <c r="D148" s="7" t="s">
        <v>1566</v>
      </c>
      <c r="E148" s="7" t="s">
        <v>7015</v>
      </c>
      <c r="O148" t="s">
        <v>8531</v>
      </c>
      <c r="P148" t="str">
        <f>RIGHT(O148,LEN(O148)-33)</f>
        <v>dkrpBgsjginv</v>
      </c>
      <c r="AO148" t="s">
        <v>2863</v>
      </c>
      <c r="AU148" s="78" t="s">
        <v>8532</v>
      </c>
      <c r="AV148" t="str">
        <f>RIGHT(AU148,LEN(AU148)-33)</f>
        <v>m3704607t</v>
      </c>
    </row>
    <row r="149" spans="4:48">
      <c r="D149" s="7" t="s">
        <v>547</v>
      </c>
      <c r="E149" s="7"/>
      <c r="O149" t="s">
        <v>8533</v>
      </c>
      <c r="P149" t="str">
        <f>RIGHT(O149,LEN(O149)-33)</f>
        <v>DmiKyrmB.s,j</v>
      </c>
      <c r="AO149" t="s">
        <v>2867</v>
      </c>
      <c r="AU149" s="78" t="s">
        <v>8534</v>
      </c>
      <c r="AV149" t="str">
        <f>RIGHT(AU149,LEN(AU149)-33)</f>
        <v>matahari78</v>
      </c>
    </row>
    <row r="150" spans="4:48">
      <c r="D150" s="7" t="s">
        <v>1230</v>
      </c>
      <c r="E150" s="7"/>
      <c r="O150" t="s">
        <v>8535</v>
      </c>
      <c r="P150" t="str">
        <f>RIGHT(O150,LEN(O150)-33)</f>
        <v>9kik'vvdde]y'dkp</v>
      </c>
      <c r="AO150" t="s">
        <v>2871</v>
      </c>
      <c r="AU150" s="78" t="s">
        <v>8536</v>
      </c>
      <c r="AV150" t="str">
        <f>RIGHT(AU150,LEN(AU150)-33)</f>
        <v>ol88ol22</v>
      </c>
    </row>
    <row r="151" spans="4:48">
      <c r="D151" s="7" t="s">
        <v>1476</v>
      </c>
      <c r="E151" s="7" t="s">
        <v>7015</v>
      </c>
      <c r="O151" t="s">
        <v>8144</v>
      </c>
      <c r="P151" t="str">
        <f>RIGHT(O151,LEN(O151)-33)</f>
        <v>9]kfohevy,r;k</v>
      </c>
      <c r="AO151" t="s">
        <v>2875</v>
      </c>
      <c r="AU151" s="78" t="s">
        <v>8537</v>
      </c>
      <c r="AV151" t="str">
        <f>RIGHT(AU151,LEN(AU151)-33)</f>
        <v>v7277229</v>
      </c>
    </row>
    <row r="152" spans="4:48">
      <c r="D152" s="7" t="s">
        <v>1390</v>
      </c>
      <c r="E152" s="7" t="s">
        <v>7015</v>
      </c>
      <c r="O152" t="s">
        <v>8538</v>
      </c>
      <c r="P152" t="str">
        <f>RIGHT(O152,LEN(O152)-33)</f>
        <v>96iduvy'dkik</v>
      </c>
      <c r="AO152" t="s">
        <v>2879</v>
      </c>
      <c r="AU152" s="78" t="s">
        <v>8539</v>
      </c>
      <c r="AV152" t="str">
        <f>RIGHT(AU152,LEN(AU152)-33)</f>
        <v>werdna1964</v>
      </c>
    </row>
    <row r="153" spans="4:48">
      <c r="D153" s="7" t="s">
        <v>1448</v>
      </c>
      <c r="E153" s="7"/>
      <c r="O153" t="s">
        <v>8540</v>
      </c>
      <c r="P153" t="str">
        <f>RIGHT(O153,LEN(O153)-33)</f>
        <v>obpkpvvow]oB</v>
      </c>
      <c r="AO153" t="s">
        <v>2883</v>
      </c>
      <c r="AU153" s="78" t="s">
        <v>8541</v>
      </c>
      <c r="AV153" t="str">
        <f>RIGHT(AU153,LEN(AU153)-33)</f>
        <v>19a04a10</v>
      </c>
    </row>
    <row r="154" spans="4:48">
      <c r="D154" s="7" t="s">
        <v>1670</v>
      </c>
      <c r="E154" s="7" t="s">
        <v>7015</v>
      </c>
      <c r="O154" t="s">
        <v>8542</v>
      </c>
      <c r="P154" t="str">
        <f>RIGHT(O154,LEN(O154)-33)</f>
        <v>oviBg;pBvvlD]</v>
      </c>
      <c r="AO154" t="s">
        <v>2887</v>
      </c>
      <c r="AU154" s="78" t="s">
        <v>8543</v>
      </c>
      <c r="AV154" t="str">
        <f>RIGHT(AU154,LEN(AU154)-33)</f>
        <v>28031988m</v>
      </c>
    </row>
    <row r="155" spans="4:48">
      <c r="D155" s="7" t="s">
        <v>1598</v>
      </c>
      <c r="E155" s="7"/>
      <c r="O155" s="54" t="s">
        <v>8544</v>
      </c>
      <c r="P155" t="str">
        <f>RIGHT(O155,LEN(O155)-33)</f>
        <v>gogTviBc]ofBvy,lg9viBfy,</v>
      </c>
      <c r="AO155" t="s">
        <v>2891</v>
      </c>
      <c r="AU155" s="78" t="s">
        <v>8545</v>
      </c>
      <c r="AV155" t="str">
        <f>RIGHT(AU155,LEN(AU155)-33)</f>
        <v>Anakonda11</v>
      </c>
    </row>
    <row r="156" spans="4:48">
      <c r="D156" s="7" t="s">
        <v>527</v>
      </c>
      <c r="E156" s="7" t="s">
        <v>7015</v>
      </c>
      <c r="O156" t="s">
        <v>8546</v>
      </c>
      <c r="P156" t="str">
        <f>RIGHT(O156,LEN(O156)-33)</f>
        <v>dUvdohevjk']hk'sohk</v>
      </c>
      <c r="AO156" t="s">
        <v>2895</v>
      </c>
      <c r="AU156" s="78" t="s">
        <v>8547</v>
      </c>
      <c r="AV156" t="str">
        <f>RIGHT(AU156,LEN(AU156)-33)</f>
        <v>Snoop1995</v>
      </c>
    </row>
    <row r="157" spans="4:48">
      <c r="D157" s="7" t="s">
        <v>52</v>
      </c>
      <c r="E157" s="7"/>
      <c r="O157" t="s">
        <v>8548</v>
      </c>
      <c r="P157" t="str">
        <f>RIGHT(O157,LEN(O157)-33)</f>
        <v>obmkovulx</v>
      </c>
      <c r="AO157" t="s">
        <v>2899</v>
      </c>
      <c r="AU157" s="78" t="s">
        <v>8549</v>
      </c>
      <c r="AV157" t="str">
        <f>RIGHT(AU157,LEN(AU157)-33)</f>
        <v>a2929008</v>
      </c>
    </row>
    <row r="158" spans="4:48">
      <c r="D158" s="7" t="s">
        <v>605</v>
      </c>
      <c r="E158" s="7" t="s">
        <v>7015</v>
      </c>
      <c r="O158" t="s">
        <v>8550</v>
      </c>
      <c r="P158" t="str">
        <f>RIGHT(O158,LEN(O158)-33)</f>
        <v>xkdul5kovbl]k,k[yf</v>
      </c>
      <c r="AO158" t="s">
        <v>2903</v>
      </c>
      <c r="AU158" s="78" t="s">
        <v>8551</v>
      </c>
      <c r="AV158" t="str">
        <f>RIGHT(AU158,LEN(AU158)-33)</f>
        <v>clq5xt76</v>
      </c>
    </row>
    <row r="159" spans="4:48">
      <c r="D159" s="7" t="s">
        <v>1878</v>
      </c>
      <c r="E159" s="7" t="s">
        <v>7015</v>
      </c>
      <c r="O159" t="s">
        <v>8221</v>
      </c>
      <c r="P159" t="str">
        <f>RIGHT(O159,LEN(O159)-33)</f>
        <v>=hk'gvg=up</v>
      </c>
      <c r="AO159" t="s">
        <v>2907</v>
      </c>
      <c r="AU159" s="78" t="s">
        <v>8552</v>
      </c>
      <c r="AV159" t="str">
        <f>RIGHT(AU159,LEN(AU159)-33)</f>
        <v>e7hstivw</v>
      </c>
    </row>
    <row r="160" spans="4:48">
      <c r="D160" s="7" t="s">
        <v>2013</v>
      </c>
      <c r="E160" s="7"/>
      <c r="O160" t="s">
        <v>8553</v>
      </c>
      <c r="P160" t="str">
        <f>RIGHT(O160,LEN(O160)-33)</f>
        <v>x]kD],kcv9c]o9bd</v>
      </c>
      <c r="AO160" t="s">
        <v>2911</v>
      </c>
      <c r="AU160" s="78" t="s">
        <v>8554</v>
      </c>
      <c r="AV160" t="str">
        <f>RIGHT(AU160,LEN(AU160)-33)</f>
        <v>17lera98</v>
      </c>
    </row>
    <row r="161" spans="4:48">
      <c r="D161" s="7" t="s">
        <v>406</v>
      </c>
      <c r="E161" s="7" t="s">
        <v>7015</v>
      </c>
      <c r="O161" t="s">
        <v>8555</v>
      </c>
      <c r="P161" t="str">
        <f>RIGHT(O161,LEN(O161)-33)</f>
        <v>s,^ditmt</v>
      </c>
      <c r="AO161" t="s">
        <v>2915</v>
      </c>
      <c r="AU161" s="81" t="s">
        <v>8556</v>
      </c>
      <c r="AV161" t="str">
        <f>RIGHT(AU161,LEN(AU161)-33)</f>
        <v>2717west</v>
      </c>
    </row>
    <row r="162" spans="4:48">
      <c r="D162" s="7" t="s">
        <v>1036</v>
      </c>
      <c r="E162" s="7"/>
      <c r="O162" t="s">
        <v>8557</v>
      </c>
      <c r="P162" t="str">
        <f>RIGHT(O162,LEN(O162)-33)</f>
        <v>vvdc[[dikabd</v>
      </c>
      <c r="AO162" t="s">
        <v>2919</v>
      </c>
      <c r="AU162" s="81" t="s">
        <v>8558</v>
      </c>
      <c r="AV162" t="str">
        <f>RIGHT(AU162,LEN(AU162)-33)</f>
        <v>4hpkq1npxjh7</v>
      </c>
    </row>
    <row r="163" spans="4:48">
      <c r="D163" s="7" t="s">
        <v>1520</v>
      </c>
      <c r="E163" s="7"/>
      <c r="O163" t="s">
        <v>8559</v>
      </c>
      <c r="P163" t="str">
        <f>RIGHT(O163,LEN(O163)-33)</f>
        <v>cl'0yomiBd]k'8no</v>
      </c>
      <c r="AO163" t="s">
        <v>2923</v>
      </c>
      <c r="AU163" s="78" t="s">
        <v>8560</v>
      </c>
      <c r="AV163" t="str">
        <f>RIGHT(AU163,LEN(AU163)-33)</f>
        <v>Cedjhjdf352</v>
      </c>
    </row>
    <row r="164" spans="4:48">
      <c r="D164" s="7" t="s">
        <v>1430</v>
      </c>
      <c r="E164" s="7"/>
      <c r="O164" t="s">
        <v>8425</v>
      </c>
      <c r="P164" t="str">
        <f>RIGHT(O164,LEN(O164)-33)</f>
        <v>c;jo9kdyocff</v>
      </c>
      <c r="AO164" t="s">
        <v>2927</v>
      </c>
      <c r="AU164" s="78" t="s">
        <v>8561</v>
      </c>
      <c r="AV164" t="str">
        <f>RIGHT(AU164,LEN(AU164)-33)</f>
        <v>iw2bccnp</v>
      </c>
    </row>
    <row r="165" spans="4:48">
      <c r="D165" s="7" t="s">
        <v>1322</v>
      </c>
      <c r="E165" s="7"/>
      <c r="O165" t="s">
        <v>8420</v>
      </c>
      <c r="P165" t="str">
        <f>RIGHT(O165,LEN(O165)-33)</f>
        <v>c;jodyocff</v>
      </c>
      <c r="AO165" t="s">
        <v>2931</v>
      </c>
      <c r="AU165" s="78" t="s">
        <v>8365</v>
      </c>
      <c r="AV165" t="str">
        <f>RIGHT(AU165,LEN(AU165)-33)</f>
        <v>kani2006</v>
      </c>
    </row>
    <row r="166" spans="4:48">
      <c r="D166" s="7" t="s">
        <v>1624</v>
      </c>
      <c r="E166" s="7" t="s">
        <v>7015</v>
      </c>
      <c r="O166" t="s">
        <v>8562</v>
      </c>
      <c r="P166" t="str">
        <f>RIGHT(O166,LEN(O166)-33)</f>
        <v>s,;ddyocff</v>
      </c>
      <c r="AO166" t="s">
        <v>2935</v>
      </c>
      <c r="AU166" s="78" t="s">
        <v>8563</v>
      </c>
      <c r="AV166" t="str">
        <f>RIGHT(AU166,LEN(AU166)-33)</f>
        <v>porsche0911</v>
      </c>
    </row>
    <row r="167" spans="4:48">
      <c r="D167" s="7" t="s">
        <v>416</v>
      </c>
      <c r="E167" s="7"/>
      <c r="O167" t="s">
        <v>8564</v>
      </c>
      <c r="P167" t="str">
        <f>RIGHT(O167,LEN(O167)-33)</f>
        <v>l^9idkca</v>
      </c>
      <c r="AO167" t="s">
        <v>2939</v>
      </c>
      <c r="AU167" s="78" t="s">
        <v>8565</v>
      </c>
      <c r="AV167" t="str">
        <f>RIGHT(AU167,LEN(AU167)-33)</f>
        <v>tylkoty86</v>
      </c>
    </row>
    <row r="168" spans="4:48">
      <c r="D168" s="7" t="s">
        <v>1572</v>
      </c>
      <c r="E168" s="7" t="s">
        <v>7015</v>
      </c>
      <c r="O168" t="s">
        <v>8434</v>
      </c>
      <c r="P168" t="str">
        <f>RIGHT(O168,LEN(O168)-33)</f>
        <v>l;ylfbdki</v>
      </c>
      <c r="AO168" t="s">
        <v>2943</v>
      </c>
      <c r="AU168" s="78" t="s">
        <v>8566</v>
      </c>
      <c r="AV168" t="str">
        <f>RIGHT(AU168,LEN(AU168)-33)</f>
        <v>vapme673</v>
      </c>
    </row>
    <row r="169" spans="4:48">
      <c r="D169" s="7" t="s">
        <v>1236</v>
      </c>
      <c r="E169" s="7"/>
      <c r="O169" t="s">
        <v>8125</v>
      </c>
      <c r="P169" t="str">
        <f>RIGHT(O169,LEN(O169)-33)</f>
        <v>v6f,dkiIB</v>
      </c>
      <c r="AO169" t="s">
        <v>2947</v>
      </c>
      <c r="AU169" s="78" t="s">
        <v>8567</v>
      </c>
      <c r="AV169" t="str">
        <f>RIGHT(AU169,LEN(AU169)-33)</f>
        <v>xasan1990</v>
      </c>
    </row>
    <row r="170" spans="4:48">
      <c r="D170" s="7" t="s">
        <v>1276</v>
      </c>
      <c r="E170" s="7"/>
      <c r="O170" t="s">
        <v>8175</v>
      </c>
      <c r="P170" t="str">
        <f>RIGHT(O170,LEN(O170)-33)</f>
        <v>;bKi69gdj'</v>
      </c>
      <c r="AO170" t="s">
        <v>2951</v>
      </c>
      <c r="AU170" s="78" t="s">
        <v>8568</v>
      </c>
      <c r="AV170" t="str">
        <f>RIGHT(AU170,LEN(AU170)-33)</f>
        <v>ybrf12345</v>
      </c>
    </row>
    <row r="171" spans="4:48">
      <c r="D171" s="7" t="s">
        <v>1592</v>
      </c>
      <c r="E171" s="7"/>
      <c r="O171" t="s">
        <v>8456</v>
      </c>
      <c r="P171" t="str">
        <f>RIGHT(O171,LEN(O171)-33)</f>
        <v>s,;dcdUx</v>
      </c>
      <c r="AO171" t="s">
        <v>2955</v>
      </c>
      <c r="AU171" s="78" t="s">
        <v>8569</v>
      </c>
      <c r="AV171" t="str">
        <f>RIGHT(AU171,LEN(AU171)-33)</f>
        <v>0071dima</v>
      </c>
    </row>
    <row r="172" spans="4:48">
      <c r="D172" s="7" t="s">
        <v>1378</v>
      </c>
      <c r="E172" s="7"/>
      <c r="O172" t="s">
        <v>8570</v>
      </c>
      <c r="P172" t="str">
        <f>RIGHT(O172,LEN(O172)-33)</f>
        <v>;b=k8Ib9Kkl9iB</v>
      </c>
      <c r="AO172" t="s">
        <v>2959</v>
      </c>
      <c r="AU172" s="78" t="s">
        <v>8571</v>
      </c>
      <c r="AV172" t="str">
        <f>RIGHT(AU172,LEN(AU172)-33)</f>
        <v>09061966Z</v>
      </c>
    </row>
    <row r="173" spans="4:48">
      <c r="D173" s="7" t="s">
        <v>1688</v>
      </c>
      <c r="E173" s="7"/>
      <c r="O173" t="s">
        <v>8106</v>
      </c>
      <c r="P173" t="str">
        <f>RIGHT(O173,LEN(O173)-33)</f>
        <v>l;ylfu8iy[</v>
      </c>
      <c r="AO173" t="s">
        <v>2963</v>
      </c>
      <c r="AU173" s="78" t="s">
        <v>8572</v>
      </c>
      <c r="AV173" t="str">
        <f>RIGHT(AU173,LEN(AU173)-33)</f>
        <v>0d284e5e</v>
      </c>
    </row>
    <row r="174" spans="4:48">
      <c r="D174" s="7" t="s">
        <v>382</v>
      </c>
      <c r="E174" s="7"/>
      <c r="O174" t="s">
        <v>8573</v>
      </c>
      <c r="P174" t="str">
        <f>RIGHT(O174,LEN(O174)-33)</f>
        <v>;bDv]k8]kllbd</v>
      </c>
      <c r="AO174" t="s">
        <v>2967</v>
      </c>
      <c r="AU174" s="78" t="s">
        <v>8574</v>
      </c>
      <c r="AV174" t="str">
        <f>RIGHT(AU174,LEN(AU174)-33)</f>
        <v>20051971t</v>
      </c>
    </row>
    <row r="175" spans="4:48">
      <c r="D175" s="7" t="s">
        <v>5330</v>
      </c>
      <c r="E175" s="7"/>
      <c r="O175" s="54" t="s">
        <v>8115</v>
      </c>
      <c r="P175" t="str">
        <f>RIGHT(O175,LEN(O175)-33)</f>
        <v>l;ylfu8jt</v>
      </c>
      <c r="AO175" t="s">
        <v>2971</v>
      </c>
      <c r="AU175" s="78" t="s">
        <v>8575</v>
      </c>
      <c r="AV175" t="str">
        <f>RIGHT(AU175,LEN(AU175)-33)</f>
        <v>A901aa907</v>
      </c>
    </row>
    <row r="176" spans="4:48">
      <c r="D176" s="7" t="s">
        <v>1468</v>
      </c>
      <c r="E176" s="7"/>
      <c r="O176" t="s">
        <v>8576</v>
      </c>
      <c r="P176" t="str">
        <f>RIGHT(O176,LEN(O176)-33)</f>
        <v>vyadkobl5ko8k[^]</v>
      </c>
      <c r="AO176" t="s">
        <v>2975</v>
      </c>
      <c r="AU176" s="78" t="s">
        <v>8577</v>
      </c>
      <c r="AV176" t="str">
        <f>RIGHT(AU176,LEN(AU176)-33)</f>
        <v>KOLAY0973379521</v>
      </c>
    </row>
    <row r="177" spans="4:48">
      <c r="D177" s="7" t="s">
        <v>1306</v>
      </c>
      <c r="E177" s="7"/>
      <c r="O177" t="s">
        <v>8578</v>
      </c>
      <c r="P177" t="str">
        <f>RIGHT(O177,LEN(O177)-33)</f>
        <v>vupbx9Bw8Di</v>
      </c>
      <c r="AO177" t="s">
        <v>2979</v>
      </c>
      <c r="AU177" s="78" t="s">
        <v>8579</v>
      </c>
      <c r="AV177" t="str">
        <f>RIGHT(AU177,LEN(AU177)-33)</f>
        <v>ZyXEL069</v>
      </c>
    </row>
    <row r="178" spans="4:48">
      <c r="D178" s="7" t="s">
        <v>1550</v>
      </c>
      <c r="E178" s="7"/>
      <c r="O178" t="s">
        <v>8580</v>
      </c>
      <c r="P178" t="str">
        <f>RIGHT(O178,LEN(O178)-33)</f>
        <v>vboDfougLup0kdkiB9k</v>
      </c>
      <c r="AO178" t="s">
        <v>2983</v>
      </c>
      <c r="AU178" s="78" t="s">
        <v>8393</v>
      </c>
      <c r="AV178" t="str">
        <f>RIGHT(AU178,LEN(AU178)-33)</f>
        <v>born2befree</v>
      </c>
    </row>
    <row r="179" spans="4:48">
      <c r="D179" s="7" t="s">
        <v>1356</v>
      </c>
      <c r="E179" s="7"/>
      <c r="O179" t="s">
        <v>8415</v>
      </c>
      <c r="P179" t="str">
        <f>RIGHT(O179,LEN(O179)-33)</f>
        <v>;b0kiIPkI</v>
      </c>
      <c r="AO179" t="s">
        <v>2987</v>
      </c>
      <c r="AU179" s="78" t="s">
        <v>8308</v>
      </c>
      <c r="AV179" t="str">
        <f>RIGHT(AU179,LEN(AU179)-33)</f>
        <v>cuddler1</v>
      </c>
    </row>
    <row r="180" spans="4:48">
      <c r="D180" s="7" t="s">
        <v>466</v>
      </c>
      <c r="E180" s="7" t="s">
        <v>7015</v>
      </c>
      <c r="O180" t="s">
        <v>8581</v>
      </c>
      <c r="P180" t="str">
        <f>RIGHT(O180,LEN(O180)-33)</f>
        <v>lok,[bofvog,nv'</v>
      </c>
      <c r="AO180" t="s">
        <v>2991</v>
      </c>
      <c r="AU180" s="78" t="s">
        <v>8582</v>
      </c>
      <c r="AV180" t="str">
        <f>RIGHT(AU180,LEN(AU180)-33)</f>
        <v>fyutkbyf51</v>
      </c>
    </row>
    <row r="181" spans="4:48">
      <c r="D181" s="7" t="s">
        <v>1997</v>
      </c>
      <c r="E181" s="7" t="s">
        <v>7015</v>
      </c>
      <c r="O181" t="s">
        <v>8241</v>
      </c>
      <c r="P181" t="str">
        <f>RIGHT(O181,LEN(O181)-33)</f>
        <v>l;oly9;Bf6lb9</v>
      </c>
      <c r="AO181" t="s">
        <v>2995</v>
      </c>
      <c r="AU181" s="78" t="s">
        <v>8583</v>
      </c>
      <c r="AV181" t="str">
        <f>RIGHT(AU181,LEN(AU181)-33)</f>
        <v>goblins01</v>
      </c>
    </row>
    <row r="182" spans="4:48">
      <c r="D182" t="s">
        <v>6966</v>
      </c>
      <c r="E182" s="7" t="s">
        <v>7015</v>
      </c>
      <c r="O182" t="s">
        <v>8584</v>
      </c>
      <c r="P182" t="str">
        <f>RIGHT(O182,LEN(O182)-33)</f>
        <v>l;ylfugfhv</v>
      </c>
      <c r="AO182" t="s">
        <v>2999</v>
      </c>
      <c r="AU182" s="78" t="s">
        <v>8585</v>
      </c>
      <c r="AV182" t="str">
        <f>RIGHT(AU182,LEN(AU182)-33)</f>
        <v>helpmaksim20</v>
      </c>
    </row>
    <row r="183" spans="4:48">
      <c r="D183" s="7" t="s">
        <v>517</v>
      </c>
      <c r="E183" s="7" t="s">
        <v>7015</v>
      </c>
      <c r="O183" t="s">
        <v>8586</v>
      </c>
      <c r="P183" t="str">
        <f>RIGHT(O183,LEN(O183)-33)</f>
        <v>l;ylfu9vog=hk</v>
      </c>
      <c r="AO183" t="s">
        <v>3003</v>
      </c>
      <c r="AU183" s="78" t="s">
        <v>8587</v>
      </c>
      <c r="AV183" t="str">
        <f>RIGHT(AU183,LEN(AU183)-33)</f>
        <v>hlebinio0101</v>
      </c>
    </row>
    <row r="184" spans="4:48">
      <c r="D184" t="s">
        <v>6934</v>
      </c>
      <c r="E184" s="7" t="s">
        <v>7015</v>
      </c>
      <c r="O184" t="s">
        <v>8588</v>
      </c>
      <c r="P184" t="str">
        <f>RIGHT(O184,LEN(O184)-33)</f>
        <v>l;ylfu9vogmujp'</v>
      </c>
      <c r="AO184" t="s">
        <v>3007</v>
      </c>
      <c r="AU184" s="78" t="s">
        <v>8589</v>
      </c>
      <c r="AV184" t="str">
        <f>RIGHT(AU184,LEN(AU184)-33)</f>
        <v>ilove577</v>
      </c>
    </row>
    <row r="185" spans="4:48">
      <c r="D185" s="7" t="s">
        <v>614</v>
      </c>
      <c r="E185" s="7"/>
      <c r="O185" t="s">
        <v>8590</v>
      </c>
      <c r="P185" t="str">
        <f>RIGHT(O185,LEN(O185)-33)</f>
        <v>;bmpk9^o</v>
      </c>
      <c r="AO185" t="s">
        <v>3011</v>
      </c>
      <c r="AU185" s="78" t="s">
        <v>8591</v>
      </c>
      <c r="AV185" t="str">
        <f>RIGHT(AU185,LEN(AU185)-33)</f>
        <v>jups2703</v>
      </c>
    </row>
    <row r="186" spans="4:48">
      <c r="D186" s="7" t="s">
        <v>1876</v>
      </c>
      <c r="E186" s="7"/>
      <c r="O186" t="s">
        <v>8592</v>
      </c>
      <c r="P186" t="str">
        <f>RIGHT(O186,LEN(O186)-33)</f>
        <v>vbsijkog9stiko</v>
      </c>
      <c r="AO186" t="s">
        <v>3015</v>
      </c>
      <c r="AU186" s="78" t="s">
        <v>8593</v>
      </c>
      <c r="AV186" t="str">
        <f>RIGHT(AU186,LEN(AU186)-33)</f>
        <v>kirill92cool</v>
      </c>
    </row>
    <row r="187" spans="4:48">
      <c r="D187" s="7" t="s">
        <v>2051</v>
      </c>
      <c r="E187" s="7" t="s">
        <v>7015</v>
      </c>
      <c r="O187" t="s">
        <v>8446</v>
      </c>
      <c r="P187" t="str">
        <f>RIGHT(O187,LEN(O187)-33)</f>
        <v>lb'D9mtg]</v>
      </c>
      <c r="AO187" t="s">
        <v>3019</v>
      </c>
      <c r="AU187" s="81" t="s">
        <v>8594</v>
      </c>
      <c r="AV187" t="str">
        <f>RIGHT(AU187,LEN(AU187)-33)</f>
        <v>molodeznaya14</v>
      </c>
    </row>
    <row r="188" spans="4:48">
      <c r="D188" s="7" t="s">
        <v>1052</v>
      </c>
      <c r="E188" s="7" t="s">
        <v>7015</v>
      </c>
      <c r="O188" t="s">
        <v>8595</v>
      </c>
      <c r="P188" t="str">
        <f>RIGHT(O188,LEN(O188)-33)</f>
        <v>s,^lk,=yhomvf</v>
      </c>
      <c r="AO188" t="s">
        <v>3023</v>
      </c>
      <c r="AU188" s="78" t="s">
        <v>8596</v>
      </c>
      <c r="AV188" t="str">
        <f>RIGHT(AU188,LEN(AU188)-33)</f>
        <v>narik1999</v>
      </c>
    </row>
    <row r="189" spans="4:48">
      <c r="D189" s="7" t="s">
        <v>1896</v>
      </c>
      <c r="E189" s="7"/>
      <c r="O189" s="54" t="s">
        <v>8597</v>
      </c>
      <c r="P189" t="str">
        <f>RIGHT(O189,LEN(O189)-33)</f>
        <v>l;ylfum6dmjko</v>
      </c>
      <c r="AO189" t="s">
        <v>3027</v>
      </c>
      <c r="AU189" s="78" t="s">
        <v>8598</v>
      </c>
      <c r="AV189" t="str">
        <f>RIGHT(AU189,LEN(AU189)-33)</f>
        <v>ox19671986</v>
      </c>
    </row>
    <row r="190" spans="4:48">
      <c r="D190" s="7" t="s">
        <v>1214</v>
      </c>
      <c r="E190" s="7"/>
      <c r="O190" t="s">
        <v>8599</v>
      </c>
      <c r="P190" t="str">
        <f>RIGHT(O190,LEN(O190)-33)</f>
        <v>;iiI8fuwmp</v>
      </c>
      <c r="AO190" t="s">
        <v>3031</v>
      </c>
      <c r="AU190" s="78" t="s">
        <v>8600</v>
      </c>
      <c r="AV190" t="str">
        <f>RIGHT(AU190,LEN(AU190)-33)</f>
        <v>q5522350</v>
      </c>
    </row>
    <row r="191" spans="4:48">
      <c r="D191" s="7" t="s">
        <v>1510</v>
      </c>
      <c r="E191" s="7"/>
      <c r="O191" t="s">
        <v>8156</v>
      </c>
      <c r="P191" t="str">
        <f>RIGHT(O191,LEN(O191)-33)</f>
        <v>lh,9ewmp</v>
      </c>
      <c r="AO191" t="s">
        <v>3035</v>
      </c>
      <c r="AU191" s="78" t="s">
        <v>8601</v>
      </c>
      <c r="AV191" t="str">
        <f>RIGHT(AU191,LEN(AU191)-33)</f>
        <v>sn45432697</v>
      </c>
    </row>
    <row r="192" spans="4:48">
      <c r="D192" s="7" t="s">
        <v>1400</v>
      </c>
      <c r="E192" s="7"/>
      <c r="O192" t="s">
        <v>8431</v>
      </c>
      <c r="P192" t="str">
        <f>RIGHT(O192,LEN(O192)-33)</f>
        <v>ly0Tii,</v>
      </c>
      <c r="AO192" t="s">
        <v>3039</v>
      </c>
      <c r="AU192" s="78" t="s">
        <v>8602</v>
      </c>
      <c r="AV192" t="str">
        <f>RIGHT(AU192,LEN(AU192)-33)</f>
        <v>treebeard11</v>
      </c>
    </row>
    <row r="193" spans="4:48">
      <c r="D193" s="7" t="s">
        <v>1294</v>
      </c>
      <c r="E193" s="7"/>
      <c r="O193" t="s">
        <v>8418</v>
      </c>
      <c r="P193" t="str">
        <f>RIGHT(O193,LEN(O193)-33)</f>
        <v>KiuToP=yp</v>
      </c>
      <c r="AO193" t="s">
        <v>3043</v>
      </c>
      <c r="AU193" s="78" t="s">
        <v>8603</v>
      </c>
      <c r="AV193" t="str">
        <f>RIGHT(AU193,LEN(AU193)-33)</f>
        <v>00099988p</v>
      </c>
    </row>
    <row r="194" spans="4:48">
      <c r="D194" s="7" t="s">
        <v>2003</v>
      </c>
      <c r="E194" s="7" t="s">
        <v>7015</v>
      </c>
      <c r="O194" t="s">
        <v>8471</v>
      </c>
      <c r="P194" t="str">
        <f>RIGHT(O194,LEN(O194)-33)</f>
        <v>vkipTii,</v>
      </c>
      <c r="AO194" t="s">
        <v>3047</v>
      </c>
      <c r="AU194" s="78" t="s">
        <v>8604</v>
      </c>
      <c r="AV194" t="str">
        <f>RIGHT(AU194,LEN(AU194)-33)</f>
        <v>010964ndv</v>
      </c>
    </row>
    <row r="195" spans="4:48">
      <c r="D195" s="7" t="s">
        <v>389</v>
      </c>
      <c r="E195" s="7"/>
      <c r="O195" t="s">
        <v>8605</v>
      </c>
      <c r="P195" t="str">
        <f>RIGHT(O195,LEN(O195)-33)</f>
        <v>;bKi69go,</v>
      </c>
      <c r="AO195" t="s">
        <v>3051</v>
      </c>
      <c r="AU195" s="78" t="s">
        <v>8606</v>
      </c>
      <c r="AV195" t="str">
        <f>RIGHT(AU195,LEN(AU195)-33)</f>
        <v>04021987a</v>
      </c>
    </row>
    <row r="196" spans="4:48">
      <c r="D196" t="s">
        <v>6962</v>
      </c>
      <c r="E196" s="7" t="s">
        <v>7015</v>
      </c>
      <c r="O196" t="s">
        <v>8607</v>
      </c>
      <c r="P196" t="str">
        <f>RIGHT(O196,LEN(O196)-33)</f>
        <v>vbogfupob;gf]u</v>
      </c>
      <c r="AO196" t="s">
        <v>3055</v>
      </c>
      <c r="AU196" s="78" t="s">
        <v>8608</v>
      </c>
      <c r="AV196" t="str">
        <f>RIGHT(AU196,LEN(AU196)-33)</f>
        <v>11111gfgf</v>
      </c>
    </row>
    <row r="197" spans="4:48">
      <c r="D197" s="7" t="s">
        <v>1418</v>
      </c>
      <c r="E197" s="7" t="s">
        <v>7015</v>
      </c>
      <c r="O197" t="s">
        <v>8609</v>
      </c>
      <c r="P197" t="str">
        <f>RIGHT(O197,LEN(O197)-33)</f>
        <v>glnvD8ij'[y'8]kgmK</v>
      </c>
      <c r="AO197" t="s">
        <v>3059</v>
      </c>
      <c r="AU197" s="78" t="s">
        <v>8610</v>
      </c>
      <c r="AV197" t="str">
        <f>RIGHT(AU197,LEN(AU197)-33)</f>
        <v>25856minu</v>
      </c>
    </row>
    <row r="198" spans="4:48">
      <c r="D198" s="7" t="s">
        <v>1254</v>
      </c>
      <c r="E198" s="7"/>
      <c r="O198" t="s">
        <v>8611</v>
      </c>
      <c r="P198" t="str">
        <f>RIGHT(O198,LEN(O198)-33)</f>
        <v>;bKi69[vp</v>
      </c>
      <c r="AO198" t="s">
        <v>3063</v>
      </c>
      <c r="AU198" s="78" t="s">
        <v>8612</v>
      </c>
      <c r="AV198" t="str">
        <f>RIGHT(AU198,LEN(AU198)-33)</f>
        <v>3151020s</v>
      </c>
    </row>
    <row r="199" spans="4:48">
      <c r="D199" s="7" t="s">
        <v>1516</v>
      </c>
      <c r="E199" s="7" t="s">
        <v>7015</v>
      </c>
      <c r="O199" t="s">
        <v>8613</v>
      </c>
      <c r="P199" t="str">
        <f>RIGHT(O199,LEN(O199)-33)</f>
        <v>l,y8i[y9ig8ifb9</v>
      </c>
      <c r="AO199" t="s">
        <v>3067</v>
      </c>
      <c r="AU199" s="78" t="s">
        <v>8614</v>
      </c>
      <c r="AV199" t="str">
        <f>RIGHT(AU199,LEN(AU199)-33)</f>
        <v>4b2a1011b48</v>
      </c>
    </row>
    <row r="200" spans="4:48">
      <c r="D200" s="7" t="s">
        <v>1544</v>
      </c>
      <c r="E200" s="7" t="s">
        <v>7015</v>
      </c>
      <c r="O200" t="s">
        <v>8615</v>
      </c>
      <c r="P200" t="str">
        <f>RIGHT(O200,LEN(O200)-33)</f>
        <v>s^ay'[]^m^T</v>
      </c>
      <c r="AO200" t="s">
        <v>3071</v>
      </c>
      <c r="AU200" s="78" t="s">
        <v>8616</v>
      </c>
      <c r="AV200" t="str">
        <f>RIGHT(AU200,LEN(AU200)-33)</f>
        <v>89UB95U0</v>
      </c>
    </row>
    <row r="201" spans="4:48">
      <c r="D201" s="7" t="s">
        <v>1472</v>
      </c>
      <c r="E201" s="7" t="s">
        <v>7015</v>
      </c>
      <c r="O201" t="s">
        <v>8617</v>
      </c>
      <c r="P201" t="str">
        <f>RIGHT(O201,LEN(O201)-33)</f>
        <v>l;b9gLviBc]ofBg[biBo</v>
      </c>
      <c r="AO201" t="s">
        <v>3075</v>
      </c>
      <c r="AU201" s="78" t="s">
        <v>8618</v>
      </c>
      <c r="AV201" t="str">
        <f>RIGHT(AU201,LEN(AU201)-33)</f>
        <v>Lh3lK7YvI</v>
      </c>
    </row>
    <row r="202" spans="4:48">
      <c r="D202" s="7" t="s">
        <v>1324</v>
      </c>
      <c r="E202" s="7"/>
      <c r="O202" t="s">
        <v>8619</v>
      </c>
      <c r="P202" t="str">
        <f>RIGHT(O202,LEN(O202)-33)</f>
        <v>vbiydc[dcff</v>
      </c>
      <c r="AO202" t="s">
        <v>3079</v>
      </c>
      <c r="AU202" s="78" t="s">
        <v>8400</v>
      </c>
      <c r="AV202" t="str">
        <f>RIGHT(AU202,LEN(AU202)-33)</f>
        <v>bamdph12</v>
      </c>
    </row>
    <row r="203" spans="4:48">
      <c r="D203" s="7" t="s">
        <v>1094</v>
      </c>
      <c r="E203" s="7" t="s">
        <v>7015</v>
      </c>
      <c r="O203" t="s">
        <v>8119</v>
      </c>
      <c r="P203" t="str">
        <f>RIGHT(O203,LEN(O203)-33)</f>
        <v>Kb]xxitp6d9B</v>
      </c>
      <c r="AO203" t="s">
        <v>3083</v>
      </c>
      <c r="AU203" s="78" t="s">
        <v>8620</v>
      </c>
      <c r="AV203" t="str">
        <f>RIGHT(AU203,LEN(AU203)-33)</f>
        <v>crolic80</v>
      </c>
    </row>
    <row r="204" spans="4:48">
      <c r="D204" s="7" t="s">
        <v>1210</v>
      </c>
      <c r="E204" s="7"/>
      <c r="O204" t="s">
        <v>8621</v>
      </c>
      <c r="P204" t="str">
        <f>RIGHT(O204,LEN(O204)-33)</f>
        <v>lujczjofbo</v>
      </c>
      <c r="AO204" t="s">
        <v>3087</v>
      </c>
      <c r="AU204" s="78" t="s">
        <v>8622</v>
      </c>
      <c r="AV204" t="str">
        <f>RIGHT(AU204,LEN(AU204)-33)</f>
        <v>fkj2546v2</v>
      </c>
    </row>
    <row r="205" spans="4:48">
      <c r="D205" s="7" t="s">
        <v>1652</v>
      </c>
      <c r="E205" s="7"/>
      <c r="O205" t="s">
        <v>8623</v>
      </c>
      <c r="P205" t="str">
        <f>RIGHT(O205,LEN(O205)-33)</f>
        <v>cCiBiujrv9g9viB</v>
      </c>
      <c r="AO205" t="s">
        <v>3091</v>
      </c>
      <c r="AU205" s="78" t="s">
        <v>8369</v>
      </c>
      <c r="AV205" t="str">
        <f>RIGHT(AU205,LEN(AU205)-33)</f>
        <v>jamrock20</v>
      </c>
    </row>
    <row r="206" spans="4:48">
      <c r="D206" s="7" t="s">
        <v>1396</v>
      </c>
      <c r="E206" s="7"/>
      <c r="O206" t="s">
        <v>8624</v>
      </c>
      <c r="P206" t="str">
        <f>RIGHT(O206,LEN(O206)-33)</f>
        <v>;yfDrTbB</v>
      </c>
      <c r="AO206" t="s">
        <v>3095</v>
      </c>
      <c r="AU206" s="78" t="s">
        <v>8625</v>
      </c>
      <c r="AV206" t="str">
        <f>RIGHT(AU206,LEN(AU206)-33)</f>
        <v>kvv1ssari4</v>
      </c>
    </row>
    <row r="207" spans="4:48">
      <c r="D207" s="7" t="s">
        <v>1292</v>
      </c>
      <c r="E207" s="7"/>
      <c r="O207" t="s">
        <v>8626</v>
      </c>
      <c r="P207" t="str">
        <f>RIGHT(O207,LEN(O207)-33)</f>
        <v>glnhvzhkca=yjo</v>
      </c>
      <c r="AO207" t="s">
        <v>3099</v>
      </c>
      <c r="AU207" s="78" t="s">
        <v>8627</v>
      </c>
      <c r="AV207" t="str">
        <f>RIGHT(AU207,LEN(AU207)-33)</f>
        <v>maks250188</v>
      </c>
    </row>
    <row r="208" spans="4:48">
      <c r="D208" s="7" t="s">
        <v>1506</v>
      </c>
      <c r="E208" s="7"/>
      <c r="O208" t="s">
        <v>8628</v>
      </c>
      <c r="P208" t="str">
        <f>RIGHT(O208,LEN(O208)-33)</f>
        <v>w;Dv]bowaahk</v>
      </c>
      <c r="AO208" t="s">
        <v>3103</v>
      </c>
      <c r="AU208" s="78" t="s">
        <v>8629</v>
      </c>
      <c r="AV208" t="str">
        <f>RIGHT(AU208,LEN(AU208)-33)</f>
        <v>mr790602</v>
      </c>
    </row>
    <row r="209" spans="4:48">
      <c r="D209" s="7" t="s">
        <v>1636</v>
      </c>
      <c r="E209" s="7"/>
      <c r="O209" t="s">
        <v>8630</v>
      </c>
      <c r="P209" t="str">
        <f>RIGHT(O209,LEN(O209)-33)</f>
        <v>;b=k4kJkwmp</v>
      </c>
      <c r="AO209" t="s">
        <v>3107</v>
      </c>
      <c r="AU209" s="78" t="s">
        <v>8631</v>
      </c>
      <c r="AV209" t="str">
        <f>RIGHT(AU209,LEN(AU209)-33)</f>
        <v>nitish777</v>
      </c>
    </row>
    <row r="210" spans="4:48">
      <c r="D210" s="7" t="s">
        <v>1342</v>
      </c>
      <c r="E210" s="7"/>
      <c r="O210" t="s">
        <v>8632</v>
      </c>
      <c r="P210" t="str">
        <f>RIGHT(O210,LEN(O210)-33)</f>
        <v>v^8^g]g]jwaahk</v>
      </c>
      <c r="AO210" t="s">
        <v>3111</v>
      </c>
      <c r="AU210" s="78" t="s">
        <v>8633</v>
      </c>
      <c r="AV210" t="str">
        <f>RIGHT(AU210,LEN(AU210)-33)</f>
        <v>peter6996</v>
      </c>
    </row>
    <row r="211" spans="4:48">
      <c r="D211" s="7" t="s">
        <v>5273</v>
      </c>
      <c r="E211" s="7"/>
      <c r="O211" t="s">
        <v>8467</v>
      </c>
      <c r="P211" t="str">
        <f>RIGHT(O211,LEN(O211)-33)</f>
        <v>vy0Xibp4kr</v>
      </c>
      <c r="AO211" t="s">
        <v>3115</v>
      </c>
      <c r="AU211" s="78" t="s">
        <v>8634</v>
      </c>
      <c r="AV211" t="str">
        <f>RIGHT(AU211,LEN(AU211)-33)</f>
        <v>yjrbf6600</v>
      </c>
    </row>
    <row r="212" spans="4:48">
      <c r="D212" s="7" t="s">
        <v>4330</v>
      </c>
      <c r="E212" s="7"/>
      <c r="O212" t="s">
        <v>8635</v>
      </c>
      <c r="P212" t="str">
        <f>RIGHT(O212,LEN(O212)-33)</f>
        <v>wvh,fcf'</v>
      </c>
      <c r="AO212" t="s">
        <v>3119</v>
      </c>
      <c r="AU212" s="78" t="s">
        <v>8636</v>
      </c>
      <c r="AV212" t="str">
        <f>RIGHT(AU212,LEN(AU212)-33)</f>
        <v>1942cent</v>
      </c>
    </row>
    <row r="213" spans="4:48">
      <c r="D213" s="7" t="s">
        <v>4584</v>
      </c>
      <c r="E213" s="7"/>
      <c r="O213" t="s">
        <v>8637</v>
      </c>
      <c r="P213" t="str">
        <f>RIGHT(O213,LEN(O213)-33)</f>
        <v>lgxo,kfibf</v>
      </c>
      <c r="AO213" t="s">
        <v>3123</v>
      </c>
      <c r="AU213" s="78" t="s">
        <v>8638</v>
      </c>
      <c r="AV213" t="str">
        <f>RIGHT(AU213,LEN(AU213)-33)</f>
        <v>30081982n</v>
      </c>
    </row>
    <row r="214" spans="4:48">
      <c r="D214" s="7" t="s">
        <v>2057</v>
      </c>
      <c r="E214" s="7"/>
      <c r="O214" t="s">
        <v>8639</v>
      </c>
      <c r="P214" t="str">
        <f>RIGHT(O214,LEN(O214)-33)</f>
        <v>v,iiy9oB,yj',u</v>
      </c>
      <c r="AO214" t="s">
        <v>3127</v>
      </c>
      <c r="AU214" s="78" t="s">
        <v>8640</v>
      </c>
      <c r="AV214" t="str">
        <f>RIGHT(AU214,LEN(AU214)-33)</f>
        <v>423252fff</v>
      </c>
    </row>
    <row r="215" spans="4:48">
      <c r="D215" s="7" t="s">
        <v>1626</v>
      </c>
      <c r="E215" s="7"/>
      <c r="O215" t="s">
        <v>8641</v>
      </c>
      <c r="P215" t="str">
        <f>RIGHT(O215,LEN(O215)-33)</f>
        <v>;v]gxgxviB,nv5nv</v>
      </c>
      <c r="AO215" t="s">
        <v>3131</v>
      </c>
      <c r="AU215" s="78" t="s">
        <v>8642</v>
      </c>
      <c r="AV215" t="str">
        <f>RIGHT(AU215,LEN(AU215)-33)</f>
        <v>8587633m</v>
      </c>
    </row>
    <row r="216" spans="4:48">
      <c r="D216" s="7" t="s">
        <v>1456</v>
      </c>
      <c r="E216" s="7"/>
      <c r="O216" t="s">
        <v>8123</v>
      </c>
      <c r="P216" t="str">
        <f>RIGHT(O216,LEN(O216)-33)</f>
        <v>v6]9ihkc,o</v>
      </c>
      <c r="AO216" t="s">
        <v>3135</v>
      </c>
      <c r="AU216" s="78" t="s">
        <v>8643</v>
      </c>
      <c r="AV216" t="str">
        <f>RIGHT(AU216,LEN(AU216)-33)</f>
        <v>Gumbo123</v>
      </c>
    </row>
    <row r="217" spans="4:48">
      <c r="D217" s="7" t="s">
        <v>1308</v>
      </c>
      <c r="E217" s="7"/>
      <c r="O217" t="s">
        <v>8644</v>
      </c>
      <c r="P217" t="str">
        <f>RIGHT(O217,LEN(O217)-33)</f>
        <v>cl'cffpk,g=hk</v>
      </c>
      <c r="AO217" t="s">
        <v>3139</v>
      </c>
      <c r="AU217" s="78" t="s">
        <v>8645</v>
      </c>
      <c r="AV217" t="str">
        <f>RIGHT(AU217,LEN(AU217)-33)</f>
        <v>b00144507</v>
      </c>
    </row>
    <row r="218" spans="4:48">
      <c r="D218" s="7" t="s">
        <v>1530</v>
      </c>
      <c r="E218" s="7"/>
      <c r="O218" t="s">
        <v>8127</v>
      </c>
      <c r="P218" t="str">
        <f>RIGHT(O218,LEN(O218)-33)</f>
        <v>lD9iBpbh,cph,</v>
      </c>
      <c r="AO218" t="s">
        <v>3143</v>
      </c>
      <c r="AU218" s="78" t="s">
        <v>8386</v>
      </c>
      <c r="AV218" t="str">
        <f>RIGHT(AU218,LEN(AU218)-33)</f>
        <v>chopin02</v>
      </c>
    </row>
    <row r="219" spans="4:48">
      <c r="D219" s="7" t="s">
        <v>463</v>
      </c>
      <c r="E219" s="7" t="s">
        <v>7015</v>
      </c>
      <c r="O219" t="s">
        <v>8646</v>
      </c>
      <c r="P219" t="str">
        <f>RIGHT(O219,LEN(O219)-33)</f>
        <v>;iiIdii,gpk;=o</v>
      </c>
      <c r="AO219" t="s">
        <v>3147</v>
      </c>
      <c r="AU219" s="78" t="s">
        <v>8647</v>
      </c>
      <c r="AV219" t="str">
        <f>RIGHT(AU219,LEN(AU219)-33)</f>
        <v>dog1cats2</v>
      </c>
    </row>
    <row r="220" spans="4:48">
      <c r="D220" s="7" t="s">
        <v>548</v>
      </c>
      <c r="E220" s="7"/>
      <c r="O220" t="s">
        <v>8648</v>
      </c>
      <c r="P220" t="str">
        <f>RIGHT(O220,LEN(O220)-33)</f>
        <v>vblikgv]gpi^Lkg]G,</v>
      </c>
      <c r="AO220" t="s">
        <v>3151</v>
      </c>
      <c r="AU220" s="78" t="s">
        <v>8649</v>
      </c>
      <c r="AV220" t="str">
        <f>RIGHT(AU220,LEN(AU220)-33)</f>
        <v>eumeamo7</v>
      </c>
    </row>
    <row r="221" spans="4:48">
      <c r="D221" s="7" t="s">
        <v>1951</v>
      </c>
      <c r="E221" s="7"/>
      <c r="O221" t="s">
        <v>8650</v>
      </c>
      <c r="P221" t="str">
        <f>RIGHT(O221,LEN(O221)-33)</f>
        <v>s,voiv'8v</v>
      </c>
      <c r="AO221" t="s">
        <v>3155</v>
      </c>
      <c r="AU221" s="78" t="s">
        <v>8651</v>
      </c>
      <c r="AV221" t="str">
        <f>RIGHT(AU221,LEN(AU221)-33)</f>
        <v>jkhguyg7</v>
      </c>
    </row>
    <row r="222" spans="4:48">
      <c r="D222" s="7" t="s">
        <v>2015</v>
      </c>
      <c r="E222" s="7"/>
      <c r="O222" t="s">
        <v>8441</v>
      </c>
      <c r="P222" t="str">
        <f>RIGHT(O222,LEN(O222)-33)</f>
        <v>soy'lnvgiupo</v>
      </c>
      <c r="AO222" t="s">
        <v>3159</v>
      </c>
      <c r="AU222" s="78" t="s">
        <v>8652</v>
      </c>
      <c r="AV222" t="str">
        <f>RIGHT(AU222,LEN(AU222)-33)</f>
        <v>kanuee45</v>
      </c>
    </row>
    <row r="223" spans="4:48">
      <c r="D223" s="7" t="s">
        <v>2031</v>
      </c>
      <c r="E223" s="7"/>
      <c r="O223" t="s">
        <v>8653</v>
      </c>
      <c r="P223" t="str">
        <f>RIGHT(O223,LEN(O223)-33)</f>
        <v>;bTu]fohesoyd</v>
      </c>
      <c r="AO223" t="s">
        <v>3163</v>
      </c>
      <c r="AU223" s="78" t="s">
        <v>8654</v>
      </c>
      <c r="AV223" t="str">
        <f>RIGHT(AU223,LEN(AU223)-33)</f>
        <v>lollipop52460</v>
      </c>
    </row>
    <row r="224" spans="4:48">
      <c r="D224" s="7" t="s">
        <v>568</v>
      </c>
      <c r="E224" s="7" t="s">
        <v>7015</v>
      </c>
      <c r="O224" t="s">
        <v>8655</v>
      </c>
      <c r="P224" t="str">
        <f>RIGHT(O224,LEN(O224)-33)</f>
        <v>vb9k]uDi,</v>
      </c>
      <c r="AO224" t="s">
        <v>3167</v>
      </c>
      <c r="AU224" s="78" t="s">
        <v>8656</v>
      </c>
      <c r="AV224" t="str">
        <f>RIGHT(AU224,LEN(AU224)-33)</f>
        <v>m1t17412369tony</v>
      </c>
    </row>
    <row r="225" spans="4:48">
      <c r="D225" s="7" t="s">
        <v>572</v>
      </c>
      <c r="E225" s="7"/>
      <c r="O225" t="s">
        <v>8657</v>
      </c>
      <c r="P225" t="str">
        <f>RIGHT(O225,LEN(O225)-33)</f>
        <v>glnhvpnf]e]v'</v>
      </c>
      <c r="AO225" t="s">
        <v>3171</v>
      </c>
      <c r="AU225" s="78" t="s">
        <v>8658</v>
      </c>
      <c r="AV225" t="str">
        <f>RIGHT(AU225,LEN(AU225)-33)</f>
        <v>mgdkrnkmr34</v>
      </c>
    </row>
    <row r="226" spans="4:48">
      <c r="D226" s="7" t="s">
        <v>574</v>
      </c>
      <c r="E226" s="7" t="s">
        <v>7015</v>
      </c>
      <c r="O226" t="s">
        <v>8659</v>
      </c>
      <c r="P226" t="str">
        <f>RIGHT(O226,LEN(O226)-33)</f>
        <v>l;o]6,rbou</v>
      </c>
      <c r="AO226" t="s">
        <v>3175</v>
      </c>
      <c r="AU226" s="78" t="s">
        <v>8660</v>
      </c>
      <c r="AV226" t="str">
        <f>RIGHT(AU226,LEN(AU226)-33)</f>
        <v>05051993z</v>
      </c>
    </row>
    <row r="227" spans="4:48">
      <c r="D227" s="7" t="s">
        <v>573</v>
      </c>
      <c r="E227" s="7" t="s">
        <v>7015</v>
      </c>
      <c r="O227" t="s">
        <v>8100</v>
      </c>
      <c r="P227" t="str">
        <f>RIGHT(O227,LEN(O227)-33)</f>
        <v>gvd]ydJIB</v>
      </c>
      <c r="AO227" t="s">
        <v>3179</v>
      </c>
      <c r="AU227" s="78" t="s">
        <v>8661</v>
      </c>
      <c r="AV227" t="str">
        <f>RIGHT(AU227,LEN(AU227)-33)</f>
        <v>rollins25</v>
      </c>
    </row>
    <row r="228" spans="4:48">
      <c r="D228" s="7" t="s">
        <v>1977</v>
      </c>
      <c r="E228" s="7" t="s">
        <v>7015</v>
      </c>
      <c r="O228" t="s">
        <v>8662</v>
      </c>
      <c r="P228" t="str">
        <f>RIGHT(O228,LEN(O228)-33)</f>
        <v>sb;-hk;c]h;</v>
      </c>
      <c r="AO228" t="s">
        <v>3183</v>
      </c>
      <c r="AU228" s="78" t="s">
        <v>8663</v>
      </c>
      <c r="AV228" t="str">
        <f>RIGHT(AU228,LEN(AU228)-33)</f>
        <v>021064467dom</v>
      </c>
    </row>
    <row r="229" spans="4:48">
      <c r="D229" s="7" t="s">
        <v>117</v>
      </c>
      <c r="E229" s="7" t="s">
        <v>7015</v>
      </c>
      <c r="O229" t="s">
        <v>8664</v>
      </c>
      <c r="P229" t="str">
        <f>RIGHT(O229,LEN(O229)-33)</f>
        <v>;b==6fk;iiI</v>
      </c>
      <c r="AO229" t="s">
        <v>3187</v>
      </c>
    </row>
    <row r="230" spans="4:48">
      <c r="D230" s="7" t="s">
        <v>506</v>
      </c>
      <c r="E230" s="7"/>
      <c r="O230" t="s">
        <v>8665</v>
      </c>
      <c r="P230" t="str">
        <f>RIGHT(O230,LEN(O230)-33)</f>
        <v>s6ho;yoouh</v>
      </c>
      <c r="AO230" t="s">
        <v>3191</v>
      </c>
    </row>
    <row r="231" spans="4:48">
      <c r="D231" s="7" t="s">
        <v>2041</v>
      </c>
      <c r="E231" s="7" t="s">
        <v>7015</v>
      </c>
      <c r="O231" t="s">
        <v>8666</v>
      </c>
      <c r="P231" t="str">
        <f>RIGHT(O231,LEN(O231)-33)</f>
        <v>vkdkK;yoouh</v>
      </c>
      <c r="AO231" t="s">
        <v>3195</v>
      </c>
    </row>
    <row r="232" spans="4:48">
      <c r="D232" s="7" t="s">
        <v>150</v>
      </c>
      <c r="E232" s="7"/>
      <c r="O232" t="s">
        <v>8667</v>
      </c>
      <c r="P232" t="str">
        <f>RIGHT(O232,LEN(O232)-33)</f>
        <v>vvlg9iupg;upook</v>
      </c>
      <c r="AO232" t="s">
        <v>3199</v>
      </c>
    </row>
    <row r="233" spans="4:48">
      <c r="D233" s="7" t="s">
        <v>263</v>
      </c>
      <c r="E233" s="7" t="s">
        <v>7015</v>
      </c>
      <c r="O233" t="s">
        <v>8422</v>
      </c>
      <c r="P233" t="str">
        <f>RIGHT(O233,LEN(O233)-33)</f>
        <v>;bmpkKkl9iB</v>
      </c>
      <c r="AO233" t="s">
        <v>3203</v>
      </c>
    </row>
    <row r="234" spans="4:48">
      <c r="D234" s="7" t="s">
        <v>1746</v>
      </c>
      <c r="E234" s="7"/>
      <c r="O234" t="s">
        <v>8436</v>
      </c>
      <c r="P234" t="str">
        <f>RIGHT(O234,LEN(O234)-33)</f>
        <v>gKiJ{Kkl9iB</v>
      </c>
      <c r="AO234" t="s">
        <v>3207</v>
      </c>
    </row>
    <row r="235" spans="4:48">
      <c r="D235" s="7" t="s">
        <v>1726</v>
      </c>
      <c r="E235" s="7"/>
      <c r="O235" t="s">
        <v>8439</v>
      </c>
      <c r="P235" t="str">
        <f>RIGHT(O235,LEN(O235)-33)</f>
        <v>ly'8,K7dJk</v>
      </c>
      <c r="AO235" t="s">
        <v>3211</v>
      </c>
    </row>
    <row r="236" spans="4:48">
      <c r="D236" s="7" t="s">
        <v>1804</v>
      </c>
      <c r="E236" s="7"/>
      <c r="O236" t="s">
        <v>8668</v>
      </c>
      <c r="P236" t="str">
        <f>RIGHT(O236,LEN(O236)-33)</f>
        <v>;bmpkKkl9iBlo6d</v>
      </c>
      <c r="AO236" t="s">
        <v>3215</v>
      </c>
    </row>
    <row r="237" spans="4:48">
      <c r="D237" s="7" t="s">
        <v>1132</v>
      </c>
      <c r="E237" s="7"/>
      <c r="O237" t="s">
        <v>8669</v>
      </c>
      <c r="P237" t="str">
        <f>RIGHT(O237,LEN(O237)-33)</f>
        <v>l;ugfol9vdDC]B,</v>
      </c>
      <c r="AO237" t="s">
        <v>3219</v>
      </c>
    </row>
    <row r="238" spans="4:48">
      <c r="D238" s="7" t="s">
        <v>1764</v>
      </c>
      <c r="E238" s="7"/>
      <c r="O238" t="s">
        <v>8458</v>
      </c>
      <c r="P238" t="str">
        <f>RIGHT(O238,LEN(O238)-33)</f>
        <v>shk'liirlbo8hk</v>
      </c>
      <c r="AO238" t="s">
        <v>3223</v>
      </c>
    </row>
    <row r="239" spans="4:48">
      <c r="D239" s="7" t="s">
        <v>1706</v>
      </c>
      <c r="E239" s="7"/>
      <c r="O239" t="s">
        <v>8670</v>
      </c>
      <c r="P239" t="str">
        <f>RIGHT(O239,LEN(O239)-33)</f>
        <v>vvaabKl;um</v>
      </c>
      <c r="AO239" t="s">
        <v>3227</v>
      </c>
    </row>
    <row r="240" spans="4:48">
      <c r="D240" s="7" t="s">
        <v>1846</v>
      </c>
      <c r="E240" s="7"/>
      <c r="O240" t="s">
        <v>8671</v>
      </c>
      <c r="P240" t="str">
        <f>RIGHT(O240,LEN(O240)-33)</f>
        <v>lb'8DxiBlb'8DxiB</v>
      </c>
      <c r="AO240" t="s">
        <v>3231</v>
      </c>
    </row>
    <row r="241" spans="4:41">
      <c r="D241" s="7" t="s">
        <v>1816</v>
      </c>
      <c r="E241" s="7"/>
      <c r="O241" t="s">
        <v>8217</v>
      </c>
      <c r="P241" t="str">
        <f>RIGHT(O241,LEN(O241)-33)</f>
        <v>lok,[bol6;iiI4^,b</v>
      </c>
      <c r="AO241" t="s">
        <v>3235</v>
      </c>
    </row>
    <row r="242" spans="4:41">
      <c r="D242" s="7" t="s">
        <v>1792</v>
      </c>
      <c r="E242" s="7"/>
      <c r="O242" t="s">
        <v>8371</v>
      </c>
      <c r="P242" t="str">
        <f>RIGHT(O242,LEN(O242)-33)</f>
        <v>i5lk,]hvg8injv'</v>
      </c>
      <c r="AO242" t="s">
        <v>3239</v>
      </c>
    </row>
    <row r="243" spans="4:41">
      <c r="D243" s="7" t="s">
        <v>1830</v>
      </c>
      <c r="E243" s="7"/>
      <c r="O243" t="s">
        <v>8459</v>
      </c>
      <c r="P243" t="str">
        <f>RIGHT(O243,LEN(O243)-33)</f>
        <v>vjkosoy'lnv</v>
      </c>
      <c r="AO243" t="s">
        <v>3243</v>
      </c>
    </row>
    <row r="244" spans="4:41">
      <c r="D244" s="7" t="s">
        <v>1776</v>
      </c>
      <c r="E244" s="7"/>
      <c r="O244" t="s">
        <v>8672</v>
      </c>
      <c r="P244" t="str">
        <f>RIGHT(O244,LEN(O244)-33)</f>
        <v>s,hvs6'-hk;</v>
      </c>
      <c r="AO244" t="s">
        <v>3247</v>
      </c>
    </row>
    <row r="245" spans="4:41">
      <c r="D245" s="7" t="s">
        <v>2091</v>
      </c>
      <c r="E245" s="7"/>
      <c r="O245" t="s">
        <v>8463</v>
      </c>
      <c r="P245" t="str">
        <f>RIGHT(O245,LEN(O245)-33)</f>
        <v>v6mpkocsj'=k9b</v>
      </c>
      <c r="AO245" t="s">
        <v>3251</v>
      </c>
    </row>
    <row r="246" spans="4:41">
      <c r="D246" s="7" t="s">
        <v>1076</v>
      </c>
      <c r="E246" s="7"/>
      <c r="O246" s="54" t="s">
        <v>8673</v>
      </c>
      <c r="P246" t="str">
        <f>RIGHT(O246,LEN(O246)-33)</f>
        <v>;yfvi6Iik=;ikik,</v>
      </c>
      <c r="AO246" t="s">
        <v>3255</v>
      </c>
    </row>
    <row r="247" spans="4:41">
      <c r="D247" s="7" t="s">
        <v>1080</v>
      </c>
      <c r="E247" s="7" t="s">
        <v>7015</v>
      </c>
      <c r="O247" t="s">
        <v>8674</v>
      </c>
      <c r="P247" t="str">
        <f>RIGHT(O247,LEN(O247)-33)</f>
        <v>;bTuvvdde]y'dkp</v>
      </c>
      <c r="AO247" t="s">
        <v>3259</v>
      </c>
    </row>
    <row r="248" spans="4:41">
      <c r="D248" s="7" t="s">
        <v>363</v>
      </c>
      <c r="E248" s="7" t="s">
        <v>7015</v>
      </c>
      <c r="O248" t="s">
        <v>8675</v>
      </c>
      <c r="P248" t="str">
        <f>RIGHT(O248,LEN(O248)-33)</f>
        <v>l,y8i'kovvow]oB</v>
      </c>
      <c r="AO248" t="s">
        <v>3263</v>
      </c>
    </row>
    <row r="249" spans="4:41">
      <c r="D249" s="7" t="s">
        <v>488</v>
      </c>
      <c r="E249" s="7"/>
      <c r="O249" t="s">
        <v>8676</v>
      </c>
      <c r="P249" t="str">
        <f>RIGHT(O249,LEN(O249)-33)</f>
        <v>l[^jgs];vk[ohe</v>
      </c>
      <c r="AO249" t="s">
        <v>3267</v>
      </c>
    </row>
    <row r="250" spans="4:41">
      <c r="D250" s="7" t="s">
        <v>460</v>
      </c>
      <c r="E250" s="7" t="s">
        <v>7015</v>
      </c>
      <c r="O250" t="s">
        <v>8677</v>
      </c>
      <c r="P250" t="str">
        <f>RIGHT(O250,LEN(O250)-33)</f>
        <v>lsiy{vksiy[gv,bgi9lBvk[^fk[u</v>
      </c>
      <c r="AO250" t="s">
        <v>3271</v>
      </c>
    </row>
    <row r="251" spans="4:41">
      <c r="D251" s="7" t="s">
        <v>2203</v>
      </c>
      <c r="E251" s="7"/>
      <c r="O251" t="s">
        <v>8678</v>
      </c>
      <c r="P251" t="str">
        <f>RIGHT(O251,LEN(O251)-33)</f>
        <v>lgxipBcv]dvCv]B</v>
      </c>
      <c r="AO251" t="s">
        <v>3275</v>
      </c>
    </row>
    <row r="252" spans="4:41">
      <c r="D252" s="7" t="s">
        <v>444</v>
      </c>
      <c r="E252" s="7"/>
      <c r="O252" t="s">
        <v>8679</v>
      </c>
      <c r="P252" t="str">
        <f>RIGHT(O252,LEN(O252)-33)</f>
        <v>lb'D9cvaibdk</v>
      </c>
      <c r="AO252" t="s">
        <v>3279</v>
      </c>
    </row>
    <row r="253" spans="4:41">
      <c r="D253" s="7" t="s">
        <v>534</v>
      </c>
      <c r="E253" s="7"/>
      <c r="O253" t="s">
        <v>8680</v>
      </c>
      <c r="P253" t="str">
        <f>RIGHT(O253,LEN(O253)-33)</f>
        <v>v,iiy9oBcvo</v>
      </c>
      <c r="AO253" t="s">
        <v>3283</v>
      </c>
    </row>
    <row r="254" spans="4:41">
      <c r="D254" s="7" t="s">
        <v>455</v>
      </c>
      <c r="E254" s="7"/>
      <c r="O254" t="s">
        <v>8681</v>
      </c>
      <c r="P254" t="str">
        <f>RIGHT(O254,LEN(O254)-33)</f>
        <v>g;upfok,Ckovp</v>
      </c>
      <c r="AO254" t="s">
        <v>3287</v>
      </c>
    </row>
    <row r="255" spans="4:41">
      <c r="D255" s="7" t="s">
        <v>2177</v>
      </c>
      <c r="E255" s="7"/>
      <c r="O255" t="s">
        <v>8682</v>
      </c>
      <c r="P255" t="str">
        <f>RIGHT(O255,LEN(O255)-33)</f>
        <v>l;ylfuCt</v>
      </c>
      <c r="AO255" t="s">
        <v>3291</v>
      </c>
    </row>
    <row r="256" spans="4:41">
      <c r="D256" s="7" t="s">
        <v>486</v>
      </c>
      <c r="E256" s="7"/>
      <c r="O256" t="s">
        <v>8683</v>
      </c>
      <c r="P256" t="str">
        <f>RIGHT(O256,LEN(O256)-33)</f>
        <v>cxhorb,rBg'up[</v>
      </c>
      <c r="AO256" t="s">
        <v>3295</v>
      </c>
    </row>
    <row r="257" spans="4:41">
      <c r="D257" t="s">
        <v>6995</v>
      </c>
      <c r="E257" s="7" t="s">
        <v>7015</v>
      </c>
      <c r="O257" t="s">
        <v>8381</v>
      </c>
      <c r="P257" t="str">
        <f>RIGHT(O257,LEN(O257)-33)</f>
        <v>i50ydipkopo9B</v>
      </c>
      <c r="AO257" t="s">
        <v>3299</v>
      </c>
    </row>
    <row r="258" spans="4:41">
      <c r="D258" s="7" t="s">
        <v>1894</v>
      </c>
      <c r="E258" s="7" t="s">
        <v>7015</v>
      </c>
      <c r="O258" t="s">
        <v>8684</v>
      </c>
      <c r="P258" t="str">
        <f>RIGHT(O258,LEN(O258)-33)</f>
        <v>4^,bomiBg0</v>
      </c>
      <c r="AO258" t="s">
        <v>3303</v>
      </c>
    </row>
    <row r="259" spans="4:41">
      <c r="D259" s="7" t="s">
        <v>1046</v>
      </c>
      <c r="E259" s="7" t="s">
        <v>7015</v>
      </c>
      <c r="O259" t="s">
        <v>8685</v>
      </c>
      <c r="P259" t="str">
        <f>RIGHT(O259,LEN(O259)-33)</f>
        <v>i5wa=kog,nv'</v>
      </c>
      <c r="AO259" t="s">
        <v>3307</v>
      </c>
    </row>
    <row r="260" spans="4:41">
      <c r="D260" s="9" t="s">
        <v>2193</v>
      </c>
      <c r="E260" s="9"/>
      <c r="O260" t="s">
        <v>8323</v>
      </c>
      <c r="P260" t="str">
        <f>RIGHT(O260,LEN(O260)-33)</f>
        <v>zhkg=Gf9y;</v>
      </c>
      <c r="AO260" t="s">
        <v>3311</v>
      </c>
    </row>
    <row r="261" spans="4:41">
      <c r="D261" s="9" t="s">
        <v>328</v>
      </c>
      <c r="E261" s="7" t="s">
        <v>7015</v>
      </c>
      <c r="O261" t="s">
        <v>8686</v>
      </c>
      <c r="P261" t="str">
        <f>RIGHT(O261,LEN(O261)-33)</f>
        <v>c,;oheLu]</v>
      </c>
      <c r="AO261" t="s">
        <v>3315</v>
      </c>
    </row>
    <row r="262" spans="4:41">
      <c r="D262" s="7" t="s">
        <v>579</v>
      </c>
      <c r="E262" s="7" t="s">
        <v>7015</v>
      </c>
      <c r="O262" t="s">
        <v>8687</v>
      </c>
      <c r="P262" t="str">
        <f>RIGHT(O262,LEN(O262)-33)</f>
        <v>i59^hDfplki</v>
      </c>
      <c r="AO262" t="s">
        <v>3319</v>
      </c>
    </row>
    <row r="263" spans="4:41">
      <c r="D263" s="7" t="s">
        <v>564</v>
      </c>
      <c r="E263" s="7" t="s">
        <v>7015</v>
      </c>
      <c r="O263" t="s">
        <v>8395</v>
      </c>
      <c r="P263" t="str">
        <f>RIGHT(O263,LEN(O263)-33)</f>
        <v>ginvDfplki</v>
      </c>
      <c r="AO263" t="s">
        <v>3323</v>
      </c>
    </row>
    <row r="264" spans="4:41">
      <c r="D264" s="7" t="s">
        <v>453</v>
      </c>
      <c r="E264" s="7" t="s">
        <v>7015</v>
      </c>
      <c r="O264" t="s">
        <v>8131</v>
      </c>
      <c r="P264" t="str">
        <f>RIGHT(O264,LEN(O264)-33)</f>
        <v>pbofu9hvoiy[</v>
      </c>
      <c r="AO264" t="s">
        <v>3327</v>
      </c>
    </row>
    <row r="265" spans="4:41">
      <c r="D265" s="7" t="s">
        <v>1993</v>
      </c>
      <c r="E265" s="7" t="s">
        <v>7015</v>
      </c>
      <c r="O265" t="s">
        <v>8356</v>
      </c>
      <c r="P265" t="str">
        <f>RIGHT(O265,LEN(O265)-33)</f>
        <v>ryf],9yh'D9Ut</v>
      </c>
      <c r="AO265" t="s">
        <v>3331</v>
      </c>
    </row>
    <row r="266" spans="4:41">
      <c r="D266" s="7" t="s">
        <v>1860</v>
      </c>
      <c r="E266" s="7"/>
      <c r="O266" t="s">
        <v>8688</v>
      </c>
      <c r="P266" t="str">
        <f>RIGHT(O266,LEN(O266)-33)</f>
        <v>]eDr'9y;g]Gd</v>
      </c>
      <c r="AO266" t="s">
        <v>3335</v>
      </c>
    </row>
    <row r="267" spans="4:41">
      <c r="D267" s="7" t="s">
        <v>2099</v>
      </c>
      <c r="E267" s="7" t="s">
        <v>7015</v>
      </c>
      <c r="O267" t="s">
        <v>8689</v>
      </c>
      <c r="P267" t="str">
        <f>RIGHT(O267,LEN(O267)-33)</f>
        <v>g,klB9y;.s,j</v>
      </c>
      <c r="AO267" t="s">
        <v>3339</v>
      </c>
    </row>
    <row r="268" spans="4:41">
      <c r="D268" s="7" t="s">
        <v>516</v>
      </c>
      <c r="E268" s="7"/>
      <c r="O268" t="s">
        <v>8162</v>
      </c>
      <c r="P268" t="str">
        <f>RIGHT(O268,LEN(O268)-33)</f>
        <v>iv'gmhkc9t</v>
      </c>
      <c r="AO268" t="s">
        <v>3343</v>
      </c>
    </row>
    <row r="269" spans="4:41">
      <c r="D269" s="7" t="s">
        <v>402</v>
      </c>
      <c r="E269" s="7" t="s">
        <v>7015</v>
      </c>
      <c r="O269" t="s">
        <v>8690</v>
      </c>
      <c r="P269" t="str">
        <f>RIGHT(O269,LEN(O269)-33)</f>
        <v>ginvmhv'c[o</v>
      </c>
      <c r="AO269" t="s">
        <v>3347</v>
      </c>
    </row>
    <row r="270" spans="4:41">
      <c r="D270" s="7" t="s">
        <v>1038</v>
      </c>
      <c r="E270" s="7"/>
      <c r="O270" t="s">
        <v>8691</v>
      </c>
      <c r="P270" t="str">
        <f>RIGHT(O270,LEN(O270)-33)</f>
        <v>,ufme8iy;</v>
      </c>
      <c r="AO270" t="s">
        <v>3351</v>
      </c>
    </row>
    <row r="271" spans="4:41">
      <c r="D271" s="7" t="s">
        <v>2149</v>
      </c>
      <c r="E271" s="7"/>
      <c r="O271" t="s">
        <v>8692</v>
      </c>
      <c r="P271" t="str">
        <f>RIGHT(O271,LEN(O271)-33)</f>
        <v>iuD,9mu;u</v>
      </c>
      <c r="AO271" t="s">
        <v>3355</v>
      </c>
    </row>
    <row r="272" spans="4:41">
      <c r="D272" s="7" t="s">
        <v>2221</v>
      </c>
      <c r="E272" s="7" t="s">
        <v>7015</v>
      </c>
      <c r="O272" t="s">
        <v>8693</v>
      </c>
      <c r="P272" t="str">
        <f>RIGHT(O272,LEN(O272)-33)</f>
        <v>iu;b;DmiKyrmB</v>
      </c>
      <c r="AO272" t="s">
        <v>3359</v>
      </c>
    </row>
    <row r="273" spans="4:41">
      <c r="D273" s="7" t="s">
        <v>215</v>
      </c>
      <c r="E273" s="7"/>
      <c r="O273" t="s">
        <v>8694</v>
      </c>
      <c r="P273" t="str">
        <f>RIGHT(O273,LEN(O273)-33)</f>
        <v>r'Kdi[vp</v>
      </c>
      <c r="AO273" t="s">
        <v>3363</v>
      </c>
    </row>
    <row r="274" spans="4:41">
      <c r="D274" s="7" t="s">
        <v>2001</v>
      </c>
      <c r="E274" s="7" t="s">
        <v>7015</v>
      </c>
      <c r="O274" t="s">
        <v>8695</v>
      </c>
      <c r="P274" t="str">
        <f>RIGHT(O274,LEN(O274)-33)</f>
        <v>gxGow'[hk'</v>
      </c>
      <c r="AO274" t="s">
        <v>3367</v>
      </c>
    </row>
    <row r="275" spans="4:41">
      <c r="D275" s="7" t="s">
        <v>2035</v>
      </c>
      <c r="E275" s="7" t="s">
        <v>7015</v>
      </c>
      <c r="O275" t="s">
        <v>8696</v>
      </c>
      <c r="P275" t="str">
        <f>RIGHT(O275,LEN(O275)-33)</f>
        <v>gpvi,oug[viB]bo</v>
      </c>
      <c r="AO275" t="s">
        <v>3371</v>
      </c>
    </row>
    <row r="276" spans="4:41">
      <c r="D276" s="7" t="s">
        <v>2185</v>
      </c>
      <c r="E276" s="7"/>
      <c r="O276" t="s">
        <v>8402</v>
      </c>
      <c r="P276" t="str">
        <f>RIGHT(O276,LEN(O276)-33)</f>
        <v>ginvxit,'</v>
      </c>
      <c r="AO276" t="s">
        <v>3375</v>
      </c>
    </row>
    <row r="277" spans="4:41">
      <c r="D277" s="7" t="s">
        <v>626</v>
      </c>
      <c r="E277" s="7"/>
      <c r="O277" t="s">
        <v>8697</v>
      </c>
      <c r="P277" t="str">
        <f>RIGHT(O277,LEN(O277)-33)</f>
        <v>i5[ylxiy[vkdkK</v>
      </c>
      <c r="AO277" t="s">
        <v>3379</v>
      </c>
    </row>
    <row r="278" spans="4:41">
      <c r="D278" s="7" t="s">
        <v>1934</v>
      </c>
      <c r="E278" s="7"/>
      <c r="O278" t="s">
        <v>8698</v>
      </c>
      <c r="P278" t="str">
        <f>RIGHT(O278,LEN(O278)-33)</f>
        <v>/iyj'gKlxkiul</v>
      </c>
      <c r="AO278" t="s">
        <v>3383</v>
      </c>
    </row>
    <row r="279" spans="4:41">
      <c r="D279" s="7" t="s">
        <v>2073</v>
      </c>
      <c r="E279" s="7" t="s">
        <v>7015</v>
      </c>
      <c r="O279" t="s">
        <v>8699</v>
      </c>
      <c r="P279" t="str">
        <f>RIGHT(O279,LEN(O279)-33)</f>
        <v>iy9okcxh'</v>
      </c>
      <c r="AO279" t="s">
        <v>3387</v>
      </c>
    </row>
    <row r="280" spans="4:41">
      <c r="D280" s="7" t="s">
        <v>499</v>
      </c>
      <c r="E280" s="7"/>
      <c r="O280" t="s">
        <v>8391</v>
      </c>
      <c r="P280" t="str">
        <f>RIGHT(O280,LEN(O280)-33)</f>
        <v>iv'gmhkzhk.[</v>
      </c>
      <c r="AO280" t="s">
        <v>3391</v>
      </c>
    </row>
    <row r="281" spans="4:41">
      <c r="D281" s="7" t="s">
        <v>2139</v>
      </c>
      <c r="E281" s="7" t="s">
        <v>7015</v>
      </c>
      <c r="O281" t="s">
        <v>8700</v>
      </c>
      <c r="P281" t="str">
        <f>RIGHT(O281,LEN(O281)-33)</f>
        <v>waXkprdrk</v>
      </c>
      <c r="AO281" t="s">
        <v>3395</v>
      </c>
    </row>
    <row r="282" spans="4:41">
      <c r="D282" s="7" t="s">
        <v>384</v>
      </c>
      <c r="E282" s="7"/>
      <c r="O282" t="s">
        <v>7406</v>
      </c>
      <c r="P282" t="str">
        <f>RIGHT(O282,LEN(O282)-33)</f>
        <v>/o9drie</v>
      </c>
      <c r="AO282" t="s">
        <v>3399</v>
      </c>
    </row>
    <row r="283" spans="4:41">
      <c r="D283" s="7" t="s">
        <v>1060</v>
      </c>
      <c r="E283" s="7" t="s">
        <v>7015</v>
      </c>
      <c r="O283" t="s">
        <v>8701</v>
      </c>
      <c r="P283" t="str">
        <f>RIGHT(O283,LEN(O283)-33)</f>
        <v>w,h[iimyfr]kl9bd</v>
      </c>
      <c r="AO283" t="s">
        <v>3403</v>
      </c>
    </row>
    <row r="284" spans="4:41">
      <c r="D284" s="7" t="s">
        <v>912</v>
      </c>
      <c r="E284" s="7"/>
      <c r="O284" t="s">
        <v>8702</v>
      </c>
      <c r="P284" t="str">
        <f>RIGHT(O284,LEN(O284)-33)</f>
        <v>i5lb[]hvrj;'</v>
      </c>
      <c r="AO284" t="s">
        <v>3407</v>
      </c>
    </row>
    <row r="285" spans="4:41">
      <c r="D285" s="7" t="s">
        <v>616</v>
      </c>
      <c r="E285" s="7" t="s">
        <v>7015</v>
      </c>
      <c r="O285" t="s">
        <v>8406</v>
      </c>
      <c r="P285" t="str">
        <f>RIGHT(O285,LEN(O285)-33)</f>
        <v>ginvrkp</v>
      </c>
      <c r="AO285" t="s">
        <v>3411</v>
      </c>
    </row>
    <row r="286" spans="4:41">
      <c r="D286" s="7" t="s">
        <v>1098</v>
      </c>
      <c r="E286" s="7"/>
      <c r="O286" s="54" t="s">
        <v>8362</v>
      </c>
      <c r="P286" t="str">
        <f>RIGHT(O286,LEN(O286)-33)</f>
        <v>ritr6mTKklok</v>
      </c>
      <c r="AO286" t="s">
        <v>3415</v>
      </c>
    </row>
    <row r="287" spans="4:41">
      <c r="D287" s="7" t="s">
        <v>1945</v>
      </c>
      <c r="E287" s="7" t="s">
        <v>7015</v>
      </c>
      <c r="O287" t="s">
        <v>8703</v>
      </c>
      <c r="P287" t="str">
        <f>RIGHT(O287,LEN(O287)-33)</f>
        <v>Dxicdi,ab9gol</v>
      </c>
      <c r="AO287" t="s">
        <v>3419</v>
      </c>
    </row>
    <row r="288" spans="4:41">
      <c r="D288" s="7" t="s">
        <v>431</v>
      </c>
      <c r="E288" s="7" t="s">
        <v>7015</v>
      </c>
      <c r="O288" t="s">
        <v>8704</v>
      </c>
      <c r="P288" t="str">
        <f>RIGHT(O288,LEN(O288)-33)</f>
        <v>ginvgaviBiuj</v>
      </c>
      <c r="AO288" t="s">
        <v>3423</v>
      </c>
    </row>
    <row r="289" spans="4:41">
      <c r="D289" s="9" t="s">
        <v>393</v>
      </c>
      <c r="E289" s="9"/>
      <c r="O289" t="s">
        <v>8705</v>
      </c>
      <c r="P289" t="str">
        <f>RIGHT(O289,LEN(O289)-33)</f>
        <v>i5po9Bwaahk</v>
      </c>
      <c r="AO289" t="s">
        <v>3427</v>
      </c>
    </row>
    <row r="290" spans="4:41">
      <c r="D290" s="7" t="s">
        <v>1971</v>
      </c>
      <c r="E290" s="7"/>
      <c r="O290" t="s">
        <v>8706</v>
      </c>
      <c r="P290" t="str">
        <f>RIGHT(O290,LEN(O290)-33)</f>
        <v>giupo4kJkwmp</v>
      </c>
      <c r="AO290" t="s">
        <v>3431</v>
      </c>
    </row>
    <row r="291" spans="4:41">
      <c r="D291" s="7" t="s">
        <v>428</v>
      </c>
      <c r="E291" s="7"/>
      <c r="O291" t="s">
        <v>8707</v>
      </c>
      <c r="P291" t="str">
        <f>RIGHT(O291,LEN(O291)-33)</f>
        <v>giupo4kJkvy'd|J</v>
      </c>
      <c r="AO291" t="s">
        <v>3435</v>
      </c>
    </row>
    <row r="292" spans="4:41">
      <c r="D292" s="7" t="s">
        <v>498</v>
      </c>
      <c r="E292" s="7"/>
      <c r="O292" t="s">
        <v>8708</v>
      </c>
      <c r="P292" t="str">
        <f>RIGHT(O292,LEN(O292)-33)</f>
        <v>Dxgd,jvo</v>
      </c>
      <c r="AO292" t="s">
        <v>3439</v>
      </c>
    </row>
    <row r="293" spans="4:41">
      <c r="D293" s="7" t="s">
        <v>2223</v>
      </c>
      <c r="E293" s="7"/>
      <c r="O293" t="s">
        <v>7412</v>
      </c>
      <c r="P293" t="str">
        <f>RIGHT(O293,LEN(O293)-33)</f>
        <v>Dxgd,vo</v>
      </c>
      <c r="AO293" t="s">
        <v>3443</v>
      </c>
    </row>
    <row r="294" spans="4:41">
      <c r="D294" s="7" t="s">
        <v>1928</v>
      </c>
      <c r="E294" s="7" t="s">
        <v>7015</v>
      </c>
      <c r="O294" t="s">
        <v>8709</v>
      </c>
      <c r="P294" t="str">
        <f>RIGHT(O294,LEN(O294)-33)</f>
        <v>r'Kdi,yj',u</v>
      </c>
      <c r="AO294" t="s">
        <v>3447</v>
      </c>
    </row>
    <row r="295" spans="4:41">
      <c r="D295" s="7" t="s">
        <v>508</v>
      </c>
      <c r="E295" s="7" t="s">
        <v>7015</v>
      </c>
      <c r="O295" t="s">
        <v>8710</v>
      </c>
      <c r="P295" t="str">
        <f>RIGHT(O295,LEN(O295)-33)</f>
        <v>ab]bxxbolB,tob]k</v>
      </c>
      <c r="AO295" t="s">
        <v>3451</v>
      </c>
    </row>
    <row r="296" spans="4:41">
      <c r="D296" s="7" t="s">
        <v>411</v>
      </c>
      <c r="E296" s="7" t="s">
        <v>7015</v>
      </c>
      <c r="O296" s="54" t="s">
        <v>8711</v>
      </c>
      <c r="P296" t="str">
        <f>RIGHT(O296,LEN(O296)-33)</f>
        <v>gaL[6Udg,lgLog0viB</v>
      </c>
      <c r="AO296" t="s">
        <v>3455</v>
      </c>
    </row>
    <row r="297" spans="4:41">
      <c r="D297" s="7" t="s">
        <v>1880</v>
      </c>
      <c r="E297" s="7" t="s">
        <v>7015</v>
      </c>
      <c r="O297" t="s">
        <v>8712</v>
      </c>
      <c r="P297" t="str">
        <f>RIGHT(O297,LEN(O297)-33)</f>
        <v>4^;f]c,Gd</v>
      </c>
      <c r="AO297" t="s">
        <v>3459</v>
      </c>
    </row>
    <row r="298" spans="4:41">
      <c r="D298" s="7" t="s">
        <v>412</v>
      </c>
      <c r="E298" s="7" t="s">
        <v>7015</v>
      </c>
      <c r="O298" t="s">
        <v>8713</v>
      </c>
      <c r="P298" t="str">
        <f>RIGHT(O298,LEN(O298)-33)</f>
        <v>]bho=ydw,h</v>
      </c>
      <c r="AO298" t="s">
        <v>3463</v>
      </c>
    </row>
    <row r="299" spans="4:41">
      <c r="D299" s="7" t="s">
        <v>934</v>
      </c>
      <c r="E299" s="7"/>
      <c r="O299" t="s">
        <v>8714</v>
      </c>
      <c r="P299" t="str">
        <f>RIGHT(O299,LEN(O299)-33)</f>
        <v>crofhkpydJB</v>
      </c>
      <c r="AO299" t="s">
        <v>3467</v>
      </c>
    </row>
    <row r="300" spans="4:41">
      <c r="D300" s="7" t="s">
        <v>629</v>
      </c>
      <c r="E300" s="7"/>
      <c r="O300" t="s">
        <v>8715</v>
      </c>
      <c r="P300" t="str">
        <f>RIGHT(O300,LEN(O300)-33)</f>
        <v>/o9dpk,f7d</v>
      </c>
      <c r="AO300" t="s">
        <v>3471</v>
      </c>
    </row>
    <row r="301" spans="4:41">
      <c r="D301" s="7" t="s">
        <v>1774</v>
      </c>
      <c r="E301" s="7"/>
      <c r="O301" t="s">
        <v>8716</v>
      </c>
      <c r="P301" t="str">
        <f>RIGHT(O301,LEN(O301)-33)</f>
        <v>],sok;pk,f7d</v>
      </c>
      <c r="AO301" t="s">
        <v>3475</v>
      </c>
    </row>
    <row r="302" spans="4:41">
      <c r="D302" s="7" t="s">
        <v>1828</v>
      </c>
      <c r="E302" s="7" t="s">
        <v>7015</v>
      </c>
      <c r="O302" t="s">
        <v>8717</v>
      </c>
      <c r="P302" t="str">
        <f>RIGHT(O302,LEN(O302)-33)</f>
        <v>],mtg]gpGol[kp</v>
      </c>
      <c r="AO302" t="s">
        <v>3480</v>
      </c>
    </row>
    <row r="303" spans="4:41">
      <c r="D303" s="7" t="s">
        <v>1852</v>
      </c>
      <c r="E303" s="7"/>
      <c r="O303" t="s">
        <v>8718</v>
      </c>
      <c r="P303" t="str">
        <f>RIGHT(O303,LEN(O303)-33)</f>
        <v>/o9dib,mtg]</v>
      </c>
      <c r="AO303" t="s">
        <v>3485</v>
      </c>
    </row>
    <row r="304" spans="4:41">
      <c r="D304" s="7" t="s">
        <v>1708</v>
      </c>
      <c r="E304" s="7"/>
      <c r="O304" t="s">
        <v>8719</v>
      </c>
      <c r="P304" t="str">
        <f>RIGHT(O304,LEN(O304)-33)</f>
        <v>g,klBwihlkp</v>
      </c>
      <c r="AO304" t="s">
        <v>3489</v>
      </c>
    </row>
    <row r="305" spans="4:41">
      <c r="D305" s="7" t="s">
        <v>1802</v>
      </c>
      <c r="E305" s="7"/>
      <c r="O305" t="s">
        <v>8720</v>
      </c>
      <c r="P305" t="str">
        <f>RIGHT(O305,LEN(O305)-33)</f>
        <v>Dxi96gdl]bl[vo</v>
      </c>
      <c r="AO305" t="s">
        <v>3494</v>
      </c>
    </row>
    <row r="306" spans="4:41">
      <c r="D306" s="7" t="s">
        <v>1826</v>
      </c>
      <c r="E306" s="7"/>
      <c r="O306" t="s">
        <v>8183</v>
      </c>
      <c r="P306" t="str">
        <f>RIGHT(O306,LEN(O306)-33)</f>
        <v>,sk;bmpk]yp</v>
      </c>
      <c r="AO306" t="s">
        <v>3499</v>
      </c>
    </row>
    <row r="307" spans="4:41">
      <c r="D307" s="7" t="s">
        <v>1744</v>
      </c>
      <c r="E307" s="7"/>
      <c r="O307" t="s">
        <v>8721</v>
      </c>
      <c r="P307" t="str">
        <f>RIGHT(O307,LEN(O307)-33)</f>
        <v>gikg9viBw;wa</v>
      </c>
      <c r="AO307" t="s">
        <v>3504</v>
      </c>
    </row>
    <row r="308" spans="4:41">
      <c r="D308" s="7" t="s">
        <v>1834</v>
      </c>
      <c r="E308" s="7" t="s">
        <v>7015</v>
      </c>
      <c r="O308" t="s">
        <v>8722</v>
      </c>
      <c r="P308" t="str">
        <f>RIGHT(O308,LEN(O308)-33)</f>
        <v>]k;g;up'0yomoB</v>
      </c>
      <c r="AO308" t="s">
        <v>3509</v>
      </c>
    </row>
    <row r="309" spans="4:41">
      <c r="D309" s="7" t="s">
        <v>1156</v>
      </c>
      <c r="E309" s="7"/>
      <c r="O309" t="s">
        <v>8345</v>
      </c>
      <c r="P309" t="str">
        <f>RIGHT(O309,LEN(O309)-33)</f>
        <v>4^,bKkl9iB</v>
      </c>
      <c r="AO309" t="s">
        <v>3514</v>
      </c>
    </row>
    <row r="310" spans="4:41">
      <c r="D310" s="7" t="s">
        <v>1762</v>
      </c>
      <c r="E310" s="7"/>
      <c r="O310" t="s">
        <v>8723</v>
      </c>
      <c r="P310" t="str">
        <f>RIGHT(O310,LEN(O310)-33)</f>
        <v>rbrbT4yIRBKb]xt</v>
      </c>
      <c r="AO310" t="s">
        <v>3519</v>
      </c>
    </row>
    <row r="311" spans="4:41">
      <c r="D311" s="7" t="s">
        <v>1844</v>
      </c>
      <c r="E311" s="7"/>
      <c r="O311" t="s">
        <v>8098</v>
      </c>
      <c r="P311" t="str">
        <f>RIGHT(O311,LEN(O311)-33)</f>
        <v>grnjvolobm</v>
      </c>
      <c r="AO311" t="s">
        <v>3524</v>
      </c>
    </row>
    <row r="312" spans="4:41">
      <c r="D312" s="7" t="s">
        <v>1114</v>
      </c>
      <c r="E312" s="7"/>
      <c r="O312" t="s">
        <v>8724</v>
      </c>
      <c r="P312" t="str">
        <f>RIGHT(O312,LEN(O312)-33)</f>
        <v>ginjv'lyholo6d</v>
      </c>
      <c r="AO312" t="s">
        <v>3529</v>
      </c>
    </row>
    <row r="313" spans="4:41">
      <c r="D313" s="7" t="s">
        <v>1790</v>
      </c>
      <c r="E313" s="7"/>
      <c r="O313" t="s">
        <v>8725</v>
      </c>
      <c r="P313" t="str">
        <f>RIGHT(O313,LEN(O313)-33)</f>
        <v>ay'gr]'l[kp</v>
      </c>
      <c r="AO313" t="s">
        <v>3534</v>
      </c>
    </row>
    <row r="314" spans="4:41">
      <c r="D314" s="7" t="s">
        <v>1696</v>
      </c>
      <c r="E314" s="7"/>
      <c r="O314" t="s">
        <v>8726</v>
      </c>
      <c r="P314" t="str">
        <f>RIGHT(O314,LEN(O314)-33)</f>
        <v>rit0yomiBl;p</v>
      </c>
      <c r="AO314" t="s">
        <v>3539</v>
      </c>
    </row>
    <row r="315" spans="4:41">
      <c r="D315" s="7" t="s">
        <v>1814</v>
      </c>
      <c r="E315" s="7"/>
      <c r="O315" t="s">
        <v>8377</v>
      </c>
      <c r="P315" t="str">
        <f>RIGHT(O315,LEN(O315)-33)</f>
        <v>i5po9Blj;o[688]</v>
      </c>
      <c r="AO315" t="s">
        <v>3544</v>
      </c>
    </row>
    <row r="316" spans="4:41">
      <c r="D316" s="7" t="s">
        <v>1130</v>
      </c>
      <c r="E316" s="7"/>
      <c r="O316" t="s">
        <v>8257</v>
      </c>
      <c r="P316" t="str">
        <f>RIGHT(O316,LEN(O316)-33)</f>
        <v>giupol;ylfu</v>
      </c>
      <c r="AO316" t="s">
        <v>3549</v>
      </c>
    </row>
    <row r="317" spans="4:41">
      <c r="D317" s="7" t="s">
        <v>1728</v>
      </c>
      <c r="E317" s="7"/>
      <c r="O317" t="s">
        <v>8210</v>
      </c>
      <c r="P317" t="str">
        <f>RIGHT(O317,LEN(O317)-33)</f>
        <v>,o6Jply,ryoTB</v>
      </c>
      <c r="AO317" t="s">
        <v>3554</v>
      </c>
    </row>
    <row r="318" spans="4:41">
      <c r="D318" s="7" t="s">
        <v>922</v>
      </c>
      <c r="E318" s="7"/>
      <c r="O318" t="s">
        <v>8223</v>
      </c>
      <c r="P318" t="str">
        <f>RIGHT(O318,LEN(O318)-33)</f>
        <v>ginvleikP</v>
      </c>
      <c r="AO318" t="s">
        <v>3559</v>
      </c>
    </row>
    <row r="319" spans="4:41">
      <c r="D319" s="7" t="s">
        <v>1142</v>
      </c>
      <c r="E319" s="7"/>
      <c r="O319" t="s">
        <v>8139</v>
      </c>
      <c r="P319" t="str">
        <f>RIGHT(O319,LEN(O319)-33)</f>
        <v>r'Kdil6-.0</v>
      </c>
      <c r="AO319" t="s">
        <v>3564</v>
      </c>
    </row>
    <row r="320" spans="4:41">
      <c r="D320" s="7" t="s">
        <v>638</v>
      </c>
      <c r="E320" s="7"/>
      <c r="O320" t="s">
        <v>8727</v>
      </c>
      <c r="P320" t="str">
        <f>RIGHT(O320,LEN(O320)-33)</f>
        <v>4^g-kl^'</v>
      </c>
      <c r="AO320" t="s">
        <v>3569</v>
      </c>
    </row>
    <row r="321" spans="4:41">
      <c r="D321" s="7" t="s">
        <v>623</v>
      </c>
      <c r="E321" s="7"/>
      <c r="O321" t="s">
        <v>8359</v>
      </c>
      <c r="P321" t="str">
        <f>RIGHT(O321,LEN(O321)-33)</f>
        <v>4kJkvy'd|J</v>
      </c>
      <c r="AO321" t="s">
        <v>3573</v>
      </c>
    </row>
    <row r="322" spans="4:41">
      <c r="D322" s="7" t="s">
        <v>383</v>
      </c>
      <c r="E322" s="7"/>
      <c r="O322" t="s">
        <v>8364</v>
      </c>
      <c r="P322" t="str">
        <f>RIGHT(O322,LEN(O322)-33)</f>
        <v>cah,gvdlki</v>
      </c>
      <c r="AO322" t="s">
        <v>3578</v>
      </c>
    </row>
    <row r="323" spans="4:41">
      <c r="D323" s="7" t="s">
        <v>602</v>
      </c>
      <c r="E323" s="7" t="s">
        <v>7015</v>
      </c>
      <c r="O323" t="s">
        <v>8412</v>
      </c>
      <c r="P323" t="str">
        <f>RIGHT(O323,LEN(O323)-33)</f>
        <v>]b'v6iy'v69y'</v>
      </c>
      <c r="AO323" t="s">
        <v>3583</v>
      </c>
    </row>
    <row r="324" spans="4:41">
      <c r="D324" s="7" t="s">
        <v>398</v>
      </c>
      <c r="E324" s="7"/>
      <c r="O324" t="s">
        <v>8728</v>
      </c>
      <c r="P324" t="str">
        <f>RIGHT(O324,LEN(O324)-33)</f>
        <v>aboc]ofBgC]Lb'db</v>
      </c>
      <c r="AO324" t="s">
        <v>3588</v>
      </c>
    </row>
    <row r="325" spans="4:41">
      <c r="D325" s="7" t="s">
        <v>535</v>
      </c>
      <c r="E325" s="7"/>
      <c r="AO325" t="s">
        <v>3593</v>
      </c>
    </row>
    <row r="326" spans="4:41">
      <c r="D326" s="7" t="s">
        <v>2109</v>
      </c>
      <c r="E326" s="7"/>
      <c r="AO326" t="s">
        <v>3598</v>
      </c>
    </row>
    <row r="327" spans="4:41">
      <c r="D327" s="7" t="s">
        <v>539</v>
      </c>
      <c r="E327" s="7"/>
      <c r="AO327" t="s">
        <v>3603</v>
      </c>
    </row>
    <row r="328" spans="4:41">
      <c r="D328" s="7" t="s">
        <v>2225</v>
      </c>
      <c r="E328" s="7"/>
      <c r="AO328" t="s">
        <v>3608</v>
      </c>
    </row>
    <row r="329" spans="4:41">
      <c r="D329" s="7" t="s">
        <v>480</v>
      </c>
      <c r="E329" s="7"/>
      <c r="AO329" t="s">
        <v>3613</v>
      </c>
    </row>
    <row r="330" spans="4:41">
      <c r="D330" s="7" t="s">
        <v>494</v>
      </c>
      <c r="E330" s="7"/>
      <c r="AO330" t="s">
        <v>3618</v>
      </c>
    </row>
    <row r="331" spans="4:41">
      <c r="D331" s="7" t="s">
        <v>1050</v>
      </c>
      <c r="E331" s="7" t="s">
        <v>7015</v>
      </c>
      <c r="AO331" t="s">
        <v>3623</v>
      </c>
    </row>
    <row r="332" spans="4:41">
      <c r="D332" s="7" t="s">
        <v>1900</v>
      </c>
      <c r="E332" s="7"/>
      <c r="AO332" t="s">
        <v>3628</v>
      </c>
    </row>
    <row r="333" spans="4:41">
      <c r="D333" s="7" t="s">
        <v>425</v>
      </c>
      <c r="E333" s="7" t="s">
        <v>7015</v>
      </c>
      <c r="AO333" t="s">
        <v>3633</v>
      </c>
    </row>
    <row r="334" spans="4:41">
      <c r="D334" s="7" t="s">
        <v>1979</v>
      </c>
      <c r="E334" s="7"/>
      <c r="AO334" t="s">
        <v>3637</v>
      </c>
    </row>
    <row r="335" spans="4:41">
      <c r="D335" s="7" t="s">
        <v>452</v>
      </c>
      <c r="E335" s="7"/>
      <c r="AO335" t="s">
        <v>3642</v>
      </c>
    </row>
    <row r="336" spans="4:41">
      <c r="D336" s="7" t="s">
        <v>1662</v>
      </c>
      <c r="E336" s="7"/>
      <c r="AO336" t="s">
        <v>3647</v>
      </c>
    </row>
    <row r="337" spans="4:41">
      <c r="D337" s="7" t="s">
        <v>1570</v>
      </c>
      <c r="E337" s="7"/>
      <c r="AO337" t="s">
        <v>3652</v>
      </c>
    </row>
    <row r="338" spans="4:41">
      <c r="D338" s="7" t="s">
        <v>1362</v>
      </c>
      <c r="E338" s="7"/>
      <c r="AO338" t="s">
        <v>3657</v>
      </c>
    </row>
    <row r="339" spans="4:41">
      <c r="D339" s="7" t="s">
        <v>1234</v>
      </c>
      <c r="E339" s="7"/>
      <c r="AO339" t="s">
        <v>3662</v>
      </c>
    </row>
    <row r="340" spans="4:41">
      <c r="D340" s="7" t="s">
        <v>2105</v>
      </c>
      <c r="E340" s="7"/>
      <c r="AO340" t="s">
        <v>3667</v>
      </c>
    </row>
    <row r="341" spans="4:41">
      <c r="D341" s="7" t="s">
        <v>611</v>
      </c>
      <c r="E341" s="7" t="s">
        <v>7015</v>
      </c>
      <c r="AO341" t="s">
        <v>3672</v>
      </c>
    </row>
    <row r="342" spans="4:41">
      <c r="D342" s="7" t="s">
        <v>515</v>
      </c>
      <c r="E342" s="7"/>
      <c r="AO342" t="s">
        <v>3677</v>
      </c>
    </row>
    <row r="343" spans="4:41">
      <c r="D343" s="7" t="s">
        <v>2033</v>
      </c>
      <c r="E343" s="7"/>
      <c r="AO343" t="s">
        <v>3682</v>
      </c>
    </row>
    <row r="344" spans="4:41">
      <c r="D344" s="7" t="s">
        <v>1922</v>
      </c>
      <c r="E344" s="7" t="s">
        <v>7015</v>
      </c>
      <c r="AO344" t="s">
        <v>3687</v>
      </c>
    </row>
    <row r="345" spans="4:41">
      <c r="D345" s="7" t="s">
        <v>1991</v>
      </c>
      <c r="E345" s="7"/>
      <c r="AO345" t="s">
        <v>3692</v>
      </c>
    </row>
    <row r="346" spans="4:41">
      <c r="D346" s="7" t="s">
        <v>2011</v>
      </c>
      <c r="E346" s="7" t="s">
        <v>7015</v>
      </c>
      <c r="AO346" t="s">
        <v>3697</v>
      </c>
    </row>
    <row r="347" spans="4:41">
      <c r="D347" s="7" t="s">
        <v>2021</v>
      </c>
      <c r="E347" s="7"/>
      <c r="AO347" t="s">
        <v>3702</v>
      </c>
    </row>
    <row r="348" spans="4:41">
      <c r="D348" s="7" t="s">
        <v>1999</v>
      </c>
      <c r="E348" s="7" t="s">
        <v>7015</v>
      </c>
      <c r="AO348" t="s">
        <v>3707</v>
      </c>
    </row>
    <row r="349" spans="4:41">
      <c r="D349" s="7" t="s">
        <v>624</v>
      </c>
      <c r="E349" s="7"/>
      <c r="AO349" t="s">
        <v>3712</v>
      </c>
    </row>
    <row r="350" spans="4:41">
      <c r="D350" s="7" t="s">
        <v>637</v>
      </c>
      <c r="E350" s="7"/>
      <c r="AO350" t="s">
        <v>3717</v>
      </c>
    </row>
    <row r="351" spans="4:41">
      <c r="D351" s="7" t="s">
        <v>625</v>
      </c>
      <c r="E351" s="7"/>
      <c r="AO351" t="s">
        <v>3722</v>
      </c>
    </row>
    <row r="352" spans="4:41">
      <c r="D352" s="7" t="s">
        <v>1024</v>
      </c>
      <c r="E352" s="7"/>
      <c r="AO352" t="s">
        <v>3726</v>
      </c>
    </row>
    <row r="353" spans="4:41">
      <c r="D353" s="7" t="s">
        <v>484</v>
      </c>
      <c r="E353" s="7"/>
      <c r="AO353" t="s">
        <v>3730</v>
      </c>
    </row>
    <row r="354" spans="4:41">
      <c r="D354" t="s">
        <v>6989</v>
      </c>
      <c r="E354" s="7" t="s">
        <v>7015</v>
      </c>
      <c r="AO354" t="s">
        <v>3735</v>
      </c>
    </row>
    <row r="355" spans="4:41">
      <c r="D355" s="7" t="s">
        <v>1546</v>
      </c>
      <c r="E355" s="7"/>
      <c r="AO355" t="s">
        <v>3740</v>
      </c>
    </row>
    <row r="356" spans="4:41">
      <c r="D356" s="7" t="s">
        <v>1350</v>
      </c>
      <c r="E356" s="7"/>
      <c r="AO356" t="s">
        <v>3745</v>
      </c>
    </row>
    <row r="357" spans="4:41">
      <c r="D357" s="7" t="s">
        <v>1620</v>
      </c>
      <c r="E357" s="7"/>
      <c r="AO357" t="s">
        <v>3750</v>
      </c>
    </row>
    <row r="358" spans="4:41">
      <c r="D358" s="7" t="s">
        <v>1240</v>
      </c>
      <c r="E358" s="7"/>
      <c r="AO358" t="s">
        <v>3755</v>
      </c>
    </row>
    <row r="359" spans="4:41">
      <c r="D359" s="7" t="s">
        <v>1937</v>
      </c>
      <c r="E359" s="7" t="s">
        <v>7015</v>
      </c>
      <c r="AO359" t="s">
        <v>3760</v>
      </c>
    </row>
    <row r="360" spans="4:41">
      <c r="D360" s="7" t="s">
        <v>1939</v>
      </c>
      <c r="E360" s="7" t="s">
        <v>7015</v>
      </c>
      <c r="AO360" t="s">
        <v>3765</v>
      </c>
    </row>
    <row r="361" spans="4:41">
      <c r="D361" s="7" t="s">
        <v>1987</v>
      </c>
      <c r="E361" s="7" t="s">
        <v>7015</v>
      </c>
      <c r="AO361" t="s">
        <v>3770</v>
      </c>
    </row>
    <row r="362" spans="4:41">
      <c r="D362" s="7" t="s">
        <v>1864</v>
      </c>
      <c r="E362" s="7"/>
      <c r="AO362" t="s">
        <v>3775</v>
      </c>
    </row>
    <row r="363" spans="4:41">
      <c r="D363" s="7" t="s">
        <v>525</v>
      </c>
      <c r="E363" s="7"/>
      <c r="AO363" t="s">
        <v>3780</v>
      </c>
    </row>
    <row r="364" spans="4:41">
      <c r="D364" s="7" t="s">
        <v>1874</v>
      </c>
      <c r="E364" s="7" t="s">
        <v>7015</v>
      </c>
      <c r="AO364" t="s">
        <v>3785</v>
      </c>
    </row>
    <row r="365" spans="4:41">
      <c r="D365" s="7" t="s">
        <v>1983</v>
      </c>
      <c r="E365" s="7" t="s">
        <v>7015</v>
      </c>
      <c r="AO365" t="s">
        <v>3790</v>
      </c>
    </row>
    <row r="366" spans="4:41">
      <c r="D366" s="7" t="s">
        <v>1854</v>
      </c>
      <c r="E366" s="7"/>
      <c r="AO366" t="s">
        <v>3795</v>
      </c>
    </row>
    <row r="367" spans="4:41">
      <c r="D367" s="7" t="s">
        <v>6924</v>
      </c>
      <c r="E367" s="7" t="s">
        <v>7015</v>
      </c>
      <c r="AO367" t="s">
        <v>3799</v>
      </c>
    </row>
    <row r="368" spans="4:41">
      <c r="D368" s="7" t="s">
        <v>492</v>
      </c>
      <c r="E368" s="7"/>
      <c r="AO368" t="s">
        <v>3803</v>
      </c>
    </row>
    <row r="369" spans="4:41">
      <c r="D369" s="7" t="s">
        <v>559</v>
      </c>
      <c r="E369" s="7"/>
      <c r="AO369" t="s">
        <v>3808</v>
      </c>
    </row>
    <row r="370" spans="4:41">
      <c r="D370" s="7" t="s">
        <v>1500</v>
      </c>
      <c r="E370" s="7" t="s">
        <v>7015</v>
      </c>
      <c r="AO370" t="s">
        <v>3812</v>
      </c>
    </row>
    <row r="371" spans="4:41">
      <c r="D371" s="7" t="s">
        <v>1204</v>
      </c>
      <c r="E371" s="7"/>
      <c r="AO371" t="s">
        <v>3817</v>
      </c>
    </row>
    <row r="372" spans="4:41">
      <c r="D372" s="7" t="s">
        <v>1404</v>
      </c>
      <c r="E372" s="7"/>
      <c r="AO372" t="s">
        <v>3822</v>
      </c>
    </row>
    <row r="373" spans="4:41">
      <c r="D373" s="7" t="s">
        <v>1286</v>
      </c>
      <c r="E373" s="7"/>
      <c r="AO373" t="s">
        <v>3826</v>
      </c>
    </row>
    <row r="374" spans="4:41">
      <c r="D374" s="7" t="s">
        <v>540</v>
      </c>
      <c r="E374" s="7"/>
      <c r="AO374" t="s">
        <v>3831</v>
      </c>
    </row>
    <row r="375" spans="4:41">
      <c r="D375" s="7" t="s">
        <v>615</v>
      </c>
      <c r="E375" s="7"/>
      <c r="AO375" t="s">
        <v>3836</v>
      </c>
    </row>
    <row r="376" spans="4:41">
      <c r="D376" s="7" t="s">
        <v>446</v>
      </c>
      <c r="E376" s="7" t="s">
        <v>7015</v>
      </c>
      <c r="AO376" t="s">
        <v>3841</v>
      </c>
    </row>
    <row r="377" spans="4:41">
      <c r="D377" s="7" t="s">
        <v>1016</v>
      </c>
      <c r="E377" s="7"/>
      <c r="AO377" t="s">
        <v>3846</v>
      </c>
    </row>
    <row r="378" spans="4:41">
      <c r="D378" s="7" t="s">
        <v>533</v>
      </c>
      <c r="E378" s="7"/>
      <c r="AO378" t="s">
        <v>3851</v>
      </c>
    </row>
    <row r="379" spans="4:41">
      <c r="D379" s="7" t="s">
        <v>520</v>
      </c>
      <c r="E379" s="7" t="s">
        <v>7015</v>
      </c>
      <c r="AO379" t="s">
        <v>3856</v>
      </c>
    </row>
    <row r="380" spans="4:41">
      <c r="D380" s="7" t="s">
        <v>419</v>
      </c>
      <c r="E380" s="7" t="s">
        <v>7015</v>
      </c>
      <c r="AO380" t="s">
        <v>3861</v>
      </c>
    </row>
    <row r="381" spans="4:41">
      <c r="D381" s="7" t="s">
        <v>401</v>
      </c>
      <c r="E381" s="7" t="s">
        <v>7015</v>
      </c>
      <c r="AO381" t="s">
        <v>3866</v>
      </c>
    </row>
    <row r="382" spans="4:41">
      <c r="D382" s="7" t="s">
        <v>555</v>
      </c>
      <c r="E382" s="7"/>
      <c r="AO382" t="s">
        <v>3871</v>
      </c>
    </row>
    <row r="383" spans="4:41">
      <c r="D383" s="7" t="s">
        <v>2183</v>
      </c>
      <c r="E383" s="7"/>
      <c r="AO383" t="s">
        <v>3876</v>
      </c>
    </row>
    <row r="384" spans="4:41">
      <c r="D384" s="7" t="s">
        <v>565</v>
      </c>
      <c r="E384" s="7"/>
      <c r="AO384" t="s">
        <v>3880</v>
      </c>
    </row>
    <row r="385" spans="4:41">
      <c r="D385" s="7" t="s">
        <v>1973</v>
      </c>
      <c r="E385" s="7" t="s">
        <v>7015</v>
      </c>
      <c r="AO385" t="s">
        <v>3885</v>
      </c>
    </row>
    <row r="386" spans="4:41">
      <c r="D386" s="7" t="s">
        <v>1866</v>
      </c>
      <c r="E386" s="7" t="s">
        <v>7015</v>
      </c>
      <c r="AO386" t="s">
        <v>3890</v>
      </c>
    </row>
    <row r="387" spans="4:41">
      <c r="D387" s="7" t="s">
        <v>2037</v>
      </c>
      <c r="E387" s="7" t="s">
        <v>7015</v>
      </c>
      <c r="AO387" t="s">
        <v>3895</v>
      </c>
    </row>
    <row r="388" spans="4:41">
      <c r="D388" s="7" t="s">
        <v>603</v>
      </c>
      <c r="E388" s="7"/>
      <c r="AO388" t="s">
        <v>3900</v>
      </c>
    </row>
    <row r="389" spans="4:41">
      <c r="D389" s="7" t="s">
        <v>1930</v>
      </c>
      <c r="E389" s="7" t="s">
        <v>7015</v>
      </c>
      <c r="AO389" t="s">
        <v>3905</v>
      </c>
    </row>
    <row r="390" spans="4:41">
      <c r="D390" s="7" t="s">
        <v>1961</v>
      </c>
      <c r="E390" s="7" t="s">
        <v>7015</v>
      </c>
      <c r="AO390" t="s">
        <v>3910</v>
      </c>
    </row>
    <row r="391" spans="4:41">
      <c r="D391" s="7" t="s">
        <v>2007</v>
      </c>
      <c r="E391" s="7"/>
      <c r="AO391" t="s">
        <v>3915</v>
      </c>
    </row>
    <row r="392" spans="4:41">
      <c r="D392" s="7" t="s">
        <v>422</v>
      </c>
      <c r="E392" s="7" t="s">
        <v>7015</v>
      </c>
      <c r="AO392" t="s">
        <v>3920</v>
      </c>
    </row>
    <row r="393" spans="4:41">
      <c r="D393" s="7" t="s">
        <v>1941</v>
      </c>
      <c r="E393" s="7" t="s">
        <v>7015</v>
      </c>
      <c r="AO393" t="s">
        <v>3925</v>
      </c>
    </row>
    <row r="394" spans="4:41">
      <c r="D394" s="7" t="s">
        <v>1924</v>
      </c>
      <c r="E394" s="7" t="s">
        <v>7015</v>
      </c>
      <c r="AO394" t="s">
        <v>3930</v>
      </c>
    </row>
    <row r="395" spans="4:41">
      <c r="D395" s="7" t="s">
        <v>1888</v>
      </c>
      <c r="E395" s="7"/>
      <c r="AO395" t="s">
        <v>3935</v>
      </c>
    </row>
    <row r="396" spans="4:41">
      <c r="D396" s="7" t="s">
        <v>450</v>
      </c>
      <c r="E396" s="7" t="s">
        <v>7015</v>
      </c>
      <c r="AO396" t="s">
        <v>3940</v>
      </c>
    </row>
    <row r="397" spans="4:41">
      <c r="D397" s="7" t="s">
        <v>2089</v>
      </c>
      <c r="E397" s="7" t="s">
        <v>7015</v>
      </c>
      <c r="AO397" t="s">
        <v>3945</v>
      </c>
    </row>
    <row r="398" spans="4:41">
      <c r="D398" s="7" t="s">
        <v>1032</v>
      </c>
      <c r="E398" s="7"/>
      <c r="AO398" t="s">
        <v>3950</v>
      </c>
    </row>
    <row r="399" spans="4:41">
      <c r="D399" s="7" t="s">
        <v>1955</v>
      </c>
      <c r="E399" s="7" t="s">
        <v>7015</v>
      </c>
      <c r="AO399" t="s">
        <v>3955</v>
      </c>
    </row>
    <row r="400" spans="4:41">
      <c r="D400" s="7" t="s">
        <v>1068</v>
      </c>
      <c r="E400" s="7" t="s">
        <v>7015</v>
      </c>
      <c r="AO400" t="s">
        <v>3960</v>
      </c>
    </row>
    <row r="401" spans="4:41">
      <c r="D401" s="7" t="s">
        <v>468</v>
      </c>
      <c r="E401" s="7" t="s">
        <v>7015</v>
      </c>
      <c r="AO401" t="s">
        <v>3965</v>
      </c>
    </row>
    <row r="402" spans="4:41">
      <c r="D402" s="7" t="s">
        <v>474</v>
      </c>
      <c r="E402" s="7"/>
      <c r="AO402" t="s">
        <v>3970</v>
      </c>
    </row>
    <row r="403" spans="4:41">
      <c r="D403" s="7" t="s">
        <v>467</v>
      </c>
      <c r="E403" s="7" t="s">
        <v>7015</v>
      </c>
      <c r="AO403" t="s">
        <v>3975</v>
      </c>
    </row>
    <row r="404" spans="4:41">
      <c r="D404" s="7" t="s">
        <v>512</v>
      </c>
      <c r="E404" s="7" t="s">
        <v>7015</v>
      </c>
      <c r="AO404" t="s">
        <v>3980</v>
      </c>
    </row>
    <row r="405" spans="4:41">
      <c r="D405" s="7" t="s">
        <v>1466</v>
      </c>
      <c r="E405" s="7"/>
      <c r="AO405" t="s">
        <v>3985</v>
      </c>
    </row>
    <row r="406" spans="4:41">
      <c r="D406" s="7" t="s">
        <v>1328</v>
      </c>
      <c r="E406" s="7"/>
      <c r="AO406" t="s">
        <v>3990</v>
      </c>
    </row>
    <row r="407" spans="4:41">
      <c r="D407" s="7" t="s">
        <v>1522</v>
      </c>
      <c r="E407" s="7"/>
      <c r="AO407" t="s">
        <v>3995</v>
      </c>
    </row>
    <row r="408" spans="4:41">
      <c r="D408" s="7" t="s">
        <v>1648</v>
      </c>
      <c r="E408" s="7"/>
      <c r="AO408" t="s">
        <v>4000</v>
      </c>
    </row>
    <row r="409" spans="4:41">
      <c r="D409" s="7" t="s">
        <v>1884</v>
      </c>
      <c r="E409" s="7" t="s">
        <v>7015</v>
      </c>
      <c r="AO409" t="s">
        <v>4005</v>
      </c>
    </row>
    <row r="410" spans="4:41">
      <c r="D410" s="7" t="s">
        <v>472</v>
      </c>
      <c r="E410" s="7" t="s">
        <v>7015</v>
      </c>
      <c r="AO410" t="s">
        <v>4010</v>
      </c>
    </row>
    <row r="411" spans="4:41">
      <c r="D411" s="7" t="s">
        <v>505</v>
      </c>
      <c r="E411" s="7" t="s">
        <v>7015</v>
      </c>
      <c r="AO411" t="s">
        <v>4015</v>
      </c>
    </row>
    <row r="412" spans="4:41">
      <c r="D412" s="7" t="s">
        <v>420</v>
      </c>
      <c r="E412" s="7" t="s">
        <v>7015</v>
      </c>
      <c r="AO412" t="s">
        <v>4020</v>
      </c>
    </row>
    <row r="413" spans="4:41">
      <c r="D413" s="7" t="s">
        <v>1044</v>
      </c>
      <c r="E413" s="7" t="s">
        <v>7015</v>
      </c>
      <c r="AO413" t="s">
        <v>4025</v>
      </c>
    </row>
    <row r="414" spans="4:41">
      <c r="D414" s="7" t="s">
        <v>2167</v>
      </c>
      <c r="E414" s="7" t="s">
        <v>7015</v>
      </c>
      <c r="AO414" t="s">
        <v>4030</v>
      </c>
    </row>
    <row r="415" spans="4:41">
      <c r="D415" s="7" t="s">
        <v>1862</v>
      </c>
      <c r="E415" s="7"/>
      <c r="AO415" t="s">
        <v>4034</v>
      </c>
    </row>
    <row r="416" spans="4:41">
      <c r="D416" s="7" t="s">
        <v>1486</v>
      </c>
      <c r="E416" s="7"/>
      <c r="AO416" t="s">
        <v>4038</v>
      </c>
    </row>
    <row r="417" spans="4:41">
      <c r="D417" s="7" t="s">
        <v>1584</v>
      </c>
      <c r="E417" s="7" t="s">
        <v>7015</v>
      </c>
      <c r="AO417" t="s">
        <v>4043</v>
      </c>
    </row>
    <row r="418" spans="4:41">
      <c r="D418" s="7" t="s">
        <v>1680</v>
      </c>
      <c r="E418" s="7" t="s">
        <v>7015</v>
      </c>
      <c r="AO418" t="s">
        <v>4048</v>
      </c>
    </row>
    <row r="419" spans="4:41">
      <c r="D419" s="7" t="s">
        <v>1436</v>
      </c>
      <c r="E419" s="7"/>
      <c r="AO419" t="s">
        <v>4053</v>
      </c>
    </row>
    <row r="420" spans="4:41">
      <c r="D420" s="7" t="s">
        <v>1268</v>
      </c>
      <c r="E420" s="7"/>
      <c r="AO420" t="s">
        <v>4058</v>
      </c>
    </row>
    <row r="421" spans="4:41">
      <c r="D421" s="7" t="s">
        <v>1372</v>
      </c>
      <c r="E421" s="7"/>
      <c r="AO421" t="s">
        <v>4063</v>
      </c>
    </row>
    <row r="422" spans="4:41">
      <c r="D422" s="7" t="s">
        <v>489</v>
      </c>
      <c r="E422" s="7" t="s">
        <v>7015</v>
      </c>
      <c r="AO422" t="s">
        <v>4067</v>
      </c>
    </row>
    <row r="423" spans="4:41">
      <c r="D423" s="7" t="s">
        <v>394</v>
      </c>
      <c r="E423" s="7"/>
      <c r="AO423" t="s">
        <v>4072</v>
      </c>
    </row>
    <row r="424" spans="4:41">
      <c r="D424" s="7" t="s">
        <v>621</v>
      </c>
      <c r="E424" s="7"/>
      <c r="AO424" t="s">
        <v>4077</v>
      </c>
    </row>
    <row r="425" spans="4:41">
      <c r="D425" s="7" t="s">
        <v>620</v>
      </c>
      <c r="E425" s="7"/>
      <c r="AO425" t="s">
        <v>4082</v>
      </c>
    </row>
    <row r="426" spans="4:41">
      <c r="D426" s="7" t="s">
        <v>639</v>
      </c>
      <c r="E426" s="7"/>
      <c r="AO426" t="s">
        <v>4087</v>
      </c>
    </row>
    <row r="427" spans="4:41">
      <c r="D427" s="7" t="s">
        <v>1975</v>
      </c>
      <c r="E427" s="7" t="s">
        <v>7015</v>
      </c>
      <c r="AO427" t="s">
        <v>4092</v>
      </c>
    </row>
    <row r="428" spans="4:41">
      <c r="D428" s="7" t="s">
        <v>2093</v>
      </c>
      <c r="E428" s="7"/>
      <c r="AO428" t="s">
        <v>4097</v>
      </c>
    </row>
    <row r="429" spans="4:41">
      <c r="D429" s="7" t="s">
        <v>536</v>
      </c>
      <c r="E429" s="7" t="s">
        <v>7015</v>
      </c>
      <c r="AO429" t="s">
        <v>4102</v>
      </c>
    </row>
    <row r="430" spans="4:41">
      <c r="D430" s="7" t="s">
        <v>528</v>
      </c>
      <c r="E430" s="7"/>
      <c r="AO430" t="s">
        <v>4107</v>
      </c>
    </row>
    <row r="431" spans="4:41">
      <c r="D431" s="7" t="s">
        <v>529</v>
      </c>
      <c r="E431" s="7" t="s">
        <v>7015</v>
      </c>
      <c r="AO431" t="s">
        <v>4112</v>
      </c>
    </row>
    <row r="432" spans="4:41">
      <c r="D432" s="7" t="s">
        <v>2123</v>
      </c>
      <c r="E432" s="7" t="s">
        <v>7015</v>
      </c>
      <c r="AO432" t="s">
        <v>4117</v>
      </c>
    </row>
    <row r="433" spans="4:41">
      <c r="D433" s="7" t="s">
        <v>478</v>
      </c>
      <c r="E433" s="7"/>
      <c r="AO433" t="s">
        <v>4122</v>
      </c>
    </row>
    <row r="434" spans="4:41">
      <c r="D434" s="7" t="s">
        <v>2219</v>
      </c>
      <c r="E434" s="7" t="s">
        <v>7015</v>
      </c>
      <c r="AO434" t="s">
        <v>4126</v>
      </c>
    </row>
    <row r="435" spans="4:41">
      <c r="D435" s="7" t="s">
        <v>2063</v>
      </c>
      <c r="E435" s="7" t="s">
        <v>7015</v>
      </c>
      <c r="AO435" t="s">
        <v>4131</v>
      </c>
    </row>
    <row r="436" spans="4:41">
      <c r="D436" s="7" t="s">
        <v>1606</v>
      </c>
      <c r="E436" s="7"/>
      <c r="AO436" t="s">
        <v>4136</v>
      </c>
    </row>
    <row r="437" spans="4:41">
      <c r="D437" s="7" t="s">
        <v>1382</v>
      </c>
      <c r="E437" s="7"/>
      <c r="AO437" t="s">
        <v>4141</v>
      </c>
    </row>
    <row r="438" spans="4:41">
      <c r="D438" s="7" t="s">
        <v>1666</v>
      </c>
      <c r="E438" s="7" t="s">
        <v>7015</v>
      </c>
      <c r="AO438" t="s">
        <v>4145</v>
      </c>
    </row>
    <row r="439" spans="4:41">
      <c r="D439" s="7" t="s">
        <v>1560</v>
      </c>
      <c r="E439" s="7" t="s">
        <v>7015</v>
      </c>
      <c r="AO439" t="s">
        <v>4150</v>
      </c>
    </row>
    <row r="440" spans="4:41">
      <c r="D440" s="7" t="s">
        <v>541</v>
      </c>
      <c r="E440" s="7"/>
      <c r="AO440" t="s">
        <v>4154</v>
      </c>
    </row>
    <row r="441" spans="4:41">
      <c r="D441" s="7" t="s">
        <v>1224</v>
      </c>
      <c r="E441" s="7"/>
      <c r="AO441" t="s">
        <v>4159</v>
      </c>
    </row>
    <row r="442" spans="4:41">
      <c r="D442" s="7" t="s">
        <v>531</v>
      </c>
      <c r="E442" s="7" t="s">
        <v>7015</v>
      </c>
      <c r="AO442" t="s">
        <v>4164</v>
      </c>
    </row>
    <row r="443" spans="4:41">
      <c r="D443" s="7" t="s">
        <v>1058</v>
      </c>
      <c r="E443" s="7"/>
      <c r="AO443" t="s">
        <v>4169</v>
      </c>
    </row>
    <row r="444" spans="4:41">
      <c r="D444" s="7" t="s">
        <v>1916</v>
      </c>
      <c r="E444" s="7"/>
      <c r="AO444" t="s">
        <v>4174</v>
      </c>
    </row>
    <row r="445" spans="4:41">
      <c r="D445" s="7" t="s">
        <v>523</v>
      </c>
      <c r="E445" s="7" t="s">
        <v>7015</v>
      </c>
      <c r="AO445" t="s">
        <v>4179</v>
      </c>
    </row>
    <row r="446" spans="4:41">
      <c r="D446" s="7" t="s">
        <v>1084</v>
      </c>
      <c r="E446" s="7"/>
      <c r="AO446" t="s">
        <v>4183</v>
      </c>
    </row>
    <row r="447" spans="4:41">
      <c r="D447" s="7" t="s">
        <v>1146</v>
      </c>
      <c r="E447" s="7"/>
      <c r="AO447" t="s">
        <v>4188</v>
      </c>
    </row>
    <row r="448" spans="4:41">
      <c r="D448" s="7" t="s">
        <v>914</v>
      </c>
      <c r="E448" s="7"/>
      <c r="AO448" t="s">
        <v>4193</v>
      </c>
    </row>
    <row r="449" spans="4:41">
      <c r="D449" s="7" t="s">
        <v>1192</v>
      </c>
      <c r="E449" s="7"/>
      <c r="AO449" t="s">
        <v>4198</v>
      </c>
    </row>
    <row r="450" spans="4:41">
      <c r="D450" s="7" t="s">
        <v>1840</v>
      </c>
      <c r="E450" s="7"/>
      <c r="AO450" t="s">
        <v>4203</v>
      </c>
    </row>
    <row r="451" spans="4:41">
      <c r="D451" s="7" t="s">
        <v>974</v>
      </c>
      <c r="E451" s="7"/>
      <c r="AO451" t="s">
        <v>4208</v>
      </c>
    </row>
    <row r="452" spans="4:41">
      <c r="D452" s="7" t="s">
        <v>1736</v>
      </c>
      <c r="E452" s="7"/>
      <c r="AO452" t="s">
        <v>4213</v>
      </c>
    </row>
    <row r="453" spans="4:41">
      <c r="D453" s="7" t="s">
        <v>1174</v>
      </c>
      <c r="E453" s="7"/>
      <c r="AO453" t="s">
        <v>4218</v>
      </c>
    </row>
    <row r="454" spans="4:41">
      <c r="D454" s="7" t="s">
        <v>1768</v>
      </c>
      <c r="E454" s="7"/>
      <c r="AO454" t="s">
        <v>4224</v>
      </c>
    </row>
    <row r="455" spans="4:41">
      <c r="D455" s="7" t="s">
        <v>1718</v>
      </c>
      <c r="E455" s="7"/>
      <c r="AO455" t="s">
        <v>4228</v>
      </c>
    </row>
    <row r="456" spans="4:41">
      <c r="D456" s="7" t="s">
        <v>1822</v>
      </c>
      <c r="E456" s="7"/>
      <c r="AO456" t="s">
        <v>4234</v>
      </c>
    </row>
    <row r="457" spans="4:41">
      <c r="D457" s="7" t="s">
        <v>1120</v>
      </c>
      <c r="E457" s="7"/>
      <c r="AO457" t="s">
        <v>4239</v>
      </c>
    </row>
    <row r="458" spans="4:41">
      <c r="D458" s="7" t="s">
        <v>1184</v>
      </c>
      <c r="E458" s="7"/>
      <c r="AO458" t="s">
        <v>4244</v>
      </c>
    </row>
    <row r="459" spans="4:41">
      <c r="D459" s="7" t="s">
        <v>952</v>
      </c>
      <c r="E459" s="7"/>
      <c r="AO459" t="s">
        <v>4249</v>
      </c>
    </row>
    <row r="460" spans="4:41">
      <c r="D460" s="7" t="s">
        <v>1700</v>
      </c>
      <c r="E460" s="7"/>
      <c r="AO460" t="s">
        <v>4254</v>
      </c>
    </row>
    <row r="461" spans="4:41">
      <c r="D461" s="7" t="s">
        <v>1754</v>
      </c>
      <c r="E461" s="7"/>
      <c r="AO461" t="s">
        <v>4258</v>
      </c>
    </row>
    <row r="462" spans="4:41">
      <c r="D462" s="7" t="s">
        <v>994</v>
      </c>
      <c r="E462" s="7"/>
      <c r="AO462" t="s">
        <v>4263</v>
      </c>
    </row>
    <row r="463" spans="4:41">
      <c r="D463" s="7" t="s">
        <v>1158</v>
      </c>
      <c r="E463" s="7"/>
      <c r="AO463" t="s">
        <v>4268</v>
      </c>
    </row>
    <row r="464" spans="4:41">
      <c r="D464" s="7" t="s">
        <v>1004</v>
      </c>
      <c r="E464" s="7"/>
      <c r="AO464" t="s">
        <v>4273</v>
      </c>
    </row>
    <row r="465" spans="4:41">
      <c r="D465" s="7" t="s">
        <v>984</v>
      </c>
      <c r="E465" s="7"/>
      <c r="AO465" t="s">
        <v>4278</v>
      </c>
    </row>
    <row r="466" spans="4:41">
      <c r="D466" s="7" t="s">
        <v>962</v>
      </c>
      <c r="E466" s="7"/>
      <c r="AO466" t="s">
        <v>4283</v>
      </c>
    </row>
    <row r="467" spans="4:41">
      <c r="D467" s="7" t="s">
        <v>1796</v>
      </c>
      <c r="E467" s="7"/>
      <c r="AO467" t="s">
        <v>4288</v>
      </c>
    </row>
    <row r="468" spans="4:41">
      <c r="D468" s="7" t="s">
        <v>1106</v>
      </c>
      <c r="E468" s="7"/>
      <c r="AO468" t="s">
        <v>4293</v>
      </c>
    </row>
    <row r="469" spans="4:41">
      <c r="D469" s="7" t="s">
        <v>940</v>
      </c>
      <c r="E469" s="7"/>
      <c r="AO469" t="s">
        <v>4298</v>
      </c>
    </row>
    <row r="470" spans="4:41">
      <c r="D470" s="7" t="s">
        <v>1168</v>
      </c>
      <c r="E470" s="7"/>
      <c r="AO470" t="s">
        <v>4303</v>
      </c>
    </row>
    <row r="471" spans="4:41">
      <c r="D471" s="7" t="s">
        <v>476</v>
      </c>
      <c r="E471" s="7" t="s">
        <v>7015</v>
      </c>
      <c r="AO471" t="s">
        <v>4308</v>
      </c>
    </row>
    <row r="472" spans="4:41">
      <c r="D472" s="7" t="s">
        <v>447</v>
      </c>
      <c r="E472" s="7"/>
      <c r="AO472" t="s">
        <v>4313</v>
      </c>
    </row>
    <row r="473" spans="4:41">
      <c r="D473" s="7" t="s">
        <v>1788</v>
      </c>
      <c r="E473" s="7"/>
      <c r="AO473" t="s">
        <v>4318</v>
      </c>
    </row>
    <row r="474" spans="4:41">
      <c r="D474" s="7" t="s">
        <v>1732</v>
      </c>
      <c r="E474" s="7"/>
      <c r="AO474" t="s">
        <v>4323</v>
      </c>
    </row>
    <row r="475" spans="4:41">
      <c r="D475" s="7" t="s">
        <v>1820</v>
      </c>
      <c r="E475" s="7"/>
      <c r="AO475" t="s">
        <v>4328</v>
      </c>
    </row>
    <row r="476" spans="4:41">
      <c r="D476" s="7" t="s">
        <v>1838</v>
      </c>
      <c r="E476" s="7"/>
      <c r="AO476" t="s">
        <v>4334</v>
      </c>
    </row>
    <row r="477" spans="4:41">
      <c r="D477" s="7" t="s">
        <v>954</v>
      </c>
      <c r="E477" s="7"/>
      <c r="AO477" t="s">
        <v>4339</v>
      </c>
    </row>
    <row r="478" spans="4:41">
      <c r="D478" s="7" t="s">
        <v>1090</v>
      </c>
      <c r="E478" s="7"/>
      <c r="AO478" t="s">
        <v>4344</v>
      </c>
    </row>
    <row r="479" spans="4:41">
      <c r="D479" s="7" t="s">
        <v>972</v>
      </c>
      <c r="E479" s="7"/>
      <c r="AO479" t="s">
        <v>4348</v>
      </c>
    </row>
    <row r="480" spans="4:41">
      <c r="D480" s="7" t="s">
        <v>1810</v>
      </c>
      <c r="E480" s="7"/>
      <c r="AO480" t="s">
        <v>4353</v>
      </c>
    </row>
    <row r="481" spans="4:41">
      <c r="D481" s="7" t="s">
        <v>928</v>
      </c>
      <c r="E481" s="7"/>
      <c r="AO481" t="s">
        <v>4359</v>
      </c>
    </row>
    <row r="482" spans="4:41">
      <c r="D482" s="7" t="s">
        <v>1140</v>
      </c>
      <c r="E482" s="7"/>
      <c r="AO482" t="s">
        <v>4364</v>
      </c>
    </row>
    <row r="483" spans="4:41">
      <c r="D483" s="7" t="s">
        <v>1164</v>
      </c>
      <c r="E483" s="7"/>
      <c r="AO483" t="s">
        <v>4368</v>
      </c>
    </row>
    <row r="484" spans="4:41">
      <c r="D484" s="7" t="s">
        <v>1008</v>
      </c>
      <c r="E484" s="7"/>
      <c r="AO484" t="s">
        <v>4373</v>
      </c>
    </row>
    <row r="485" spans="4:41">
      <c r="D485" s="7" t="s">
        <v>988</v>
      </c>
      <c r="E485" s="7"/>
      <c r="AO485" t="s">
        <v>4378</v>
      </c>
    </row>
    <row r="486" spans="4:41">
      <c r="D486" s="7" t="s">
        <v>1772</v>
      </c>
      <c r="E486" s="7"/>
      <c r="AO486" t="s">
        <v>4383</v>
      </c>
    </row>
    <row r="487" spans="4:41">
      <c r="D487" s="7" t="s">
        <v>1118</v>
      </c>
      <c r="E487" s="7"/>
      <c r="AO487" t="s">
        <v>4388</v>
      </c>
    </row>
    <row r="488" spans="4:41">
      <c r="D488" s="7" t="s">
        <v>1712</v>
      </c>
      <c r="E488" s="7"/>
      <c r="AO488" t="s">
        <v>4393</v>
      </c>
    </row>
    <row r="489" spans="4:41">
      <c r="D489" s="7" t="s">
        <v>1180</v>
      </c>
      <c r="E489" s="7"/>
      <c r="AO489" t="s">
        <v>4398</v>
      </c>
    </row>
    <row r="490" spans="4:41">
      <c r="D490" s="7" t="s">
        <v>1752</v>
      </c>
      <c r="E490" s="7"/>
      <c r="AO490" t="s">
        <v>4403</v>
      </c>
    </row>
    <row r="491" spans="4:41">
      <c r="D491" s="7" t="s">
        <v>942</v>
      </c>
      <c r="E491" s="7"/>
      <c r="AO491" t="s">
        <v>4408</v>
      </c>
    </row>
    <row r="492" spans="4:41">
      <c r="D492" s="7" t="s">
        <v>1722</v>
      </c>
      <c r="E492" s="7"/>
      <c r="AO492" t="s">
        <v>4414</v>
      </c>
    </row>
    <row r="493" spans="4:41">
      <c r="D493" s="7" t="s">
        <v>1798</v>
      </c>
      <c r="E493" s="7"/>
      <c r="AO493" t="s">
        <v>4419</v>
      </c>
    </row>
    <row r="494" spans="4:41">
      <c r="D494" s="7" t="s">
        <v>1104</v>
      </c>
      <c r="E494" s="7"/>
      <c r="AO494" t="s">
        <v>4424</v>
      </c>
    </row>
    <row r="495" spans="4:41">
      <c r="D495" s="7" t="s">
        <v>1698</v>
      </c>
      <c r="E495" s="7"/>
      <c r="AO495" t="s">
        <v>4429</v>
      </c>
    </row>
    <row r="496" spans="4:41">
      <c r="D496" s="7" t="s">
        <v>1740</v>
      </c>
      <c r="E496" s="7"/>
      <c r="AO496" t="s">
        <v>4433</v>
      </c>
    </row>
    <row r="497" spans="4:41">
      <c r="D497" s="7" t="s">
        <v>1188</v>
      </c>
      <c r="E497" s="7"/>
      <c r="AO497" t="s">
        <v>4439</v>
      </c>
    </row>
    <row r="498" spans="4:41">
      <c r="D498" s="7" t="s">
        <v>1760</v>
      </c>
      <c r="E498" s="7"/>
      <c r="AO498" t="s">
        <v>4444</v>
      </c>
    </row>
    <row r="499" spans="4:41">
      <c r="D499" s="7" t="s">
        <v>964</v>
      </c>
      <c r="E499" s="7"/>
      <c r="AO499" t="s">
        <v>4449</v>
      </c>
    </row>
    <row r="500" spans="4:41">
      <c r="D500" s="7" t="s">
        <v>1782</v>
      </c>
      <c r="E500" s="7"/>
      <c r="AO500" t="s">
        <v>4454</v>
      </c>
    </row>
    <row r="501" spans="4:41">
      <c r="D501" s="7" t="s">
        <v>1152</v>
      </c>
      <c r="E501" s="7"/>
      <c r="AO501" t="s">
        <v>4459</v>
      </c>
    </row>
    <row r="502" spans="4:41">
      <c r="D502" s="7" t="s">
        <v>998</v>
      </c>
      <c r="E502" s="7"/>
      <c r="AO502" t="s">
        <v>4465</v>
      </c>
    </row>
    <row r="503" spans="4:41">
      <c r="D503" s="7" t="s">
        <v>980</v>
      </c>
      <c r="E503" s="7"/>
      <c r="AO503" t="s">
        <v>4470</v>
      </c>
    </row>
    <row r="504" spans="4:41">
      <c r="D504" s="7" t="s">
        <v>1172</v>
      </c>
      <c r="E504" s="7"/>
      <c r="AO504" t="s">
        <v>4475</v>
      </c>
    </row>
    <row r="505" spans="4:41">
      <c r="D505" s="7" t="s">
        <v>1048</v>
      </c>
      <c r="E505" s="7" t="s">
        <v>7015</v>
      </c>
      <c r="AO505" t="s">
        <v>4480</v>
      </c>
    </row>
    <row r="506" spans="4:41">
      <c r="D506" s="7" t="s">
        <v>1898</v>
      </c>
      <c r="E506" s="7" t="s">
        <v>7015</v>
      </c>
      <c r="AO506" t="s">
        <v>4485</v>
      </c>
    </row>
    <row r="507" spans="4:41">
      <c r="D507" t="s">
        <v>6998</v>
      </c>
      <c r="AO507" t="s">
        <v>4489</v>
      </c>
    </row>
    <row r="508" spans="4:41">
      <c r="D508" s="7" t="s">
        <v>2215</v>
      </c>
      <c r="E508" s="7"/>
      <c r="AO508" t="s">
        <v>4494</v>
      </c>
    </row>
    <row r="509" spans="4:41">
      <c r="D509" s="7" t="s">
        <v>2065</v>
      </c>
      <c r="E509" s="7"/>
      <c r="AO509" t="s">
        <v>4499</v>
      </c>
    </row>
    <row r="510" spans="4:41">
      <c r="D510" s="7" t="s">
        <v>2061</v>
      </c>
      <c r="E510" s="7" t="s">
        <v>7015</v>
      </c>
      <c r="AO510" t="s">
        <v>4504</v>
      </c>
    </row>
    <row r="511" spans="4:41">
      <c r="D511" s="7" t="s">
        <v>2127</v>
      </c>
      <c r="E511" s="7" t="s">
        <v>7015</v>
      </c>
      <c r="AO511" t="s">
        <v>4509</v>
      </c>
    </row>
    <row r="512" spans="4:41">
      <c r="D512" s="7" t="s">
        <v>627</v>
      </c>
      <c r="E512" s="7"/>
      <c r="AO512" t="s">
        <v>4514</v>
      </c>
    </row>
    <row r="513" spans="4:41">
      <c r="D513" s="7" t="s">
        <v>1056</v>
      </c>
      <c r="E513" s="7"/>
      <c r="AO513" t="s">
        <v>4519</v>
      </c>
    </row>
    <row r="514" spans="4:41">
      <c r="D514" s="7" t="s">
        <v>380</v>
      </c>
      <c r="E514" s="7"/>
      <c r="AO514" t="s">
        <v>4524</v>
      </c>
    </row>
    <row r="515" spans="4:41">
      <c r="D515" s="7" t="s">
        <v>631</v>
      </c>
      <c r="E515" s="7" t="s">
        <v>7015</v>
      </c>
      <c r="AO515" t="s">
        <v>4528</v>
      </c>
    </row>
    <row r="516" spans="4:41">
      <c r="D516" s="7" t="s">
        <v>1018</v>
      </c>
      <c r="E516" s="7" t="s">
        <v>7015</v>
      </c>
      <c r="AO516" t="s">
        <v>4533</v>
      </c>
    </row>
    <row r="517" spans="4:41">
      <c r="D517" s="7" t="s">
        <v>596</v>
      </c>
      <c r="E517" s="7" t="s">
        <v>7015</v>
      </c>
      <c r="AO517" t="s">
        <v>4538</v>
      </c>
    </row>
    <row r="518" spans="4:41">
      <c r="D518" s="7" t="s">
        <v>1981</v>
      </c>
      <c r="E518" s="7" t="s">
        <v>7015</v>
      </c>
      <c r="AO518" t="s">
        <v>4543</v>
      </c>
    </row>
    <row r="519" spans="4:41">
      <c r="D519" s="7" t="s">
        <v>1932</v>
      </c>
      <c r="E519" s="7" t="s">
        <v>7015</v>
      </c>
      <c r="AO519" t="s">
        <v>4548</v>
      </c>
    </row>
    <row r="520" spans="4:41">
      <c r="D520" s="9" t="s">
        <v>435</v>
      </c>
      <c r="E520" s="7" t="s">
        <v>7015</v>
      </c>
      <c r="AO520" t="s">
        <v>4553</v>
      </c>
    </row>
    <row r="521" spans="4:41">
      <c r="D521" s="7" t="s">
        <v>2107</v>
      </c>
      <c r="E521" s="7"/>
      <c r="AO521" t="s">
        <v>4558</v>
      </c>
    </row>
    <row r="522" spans="4:41">
      <c r="D522" s="7" t="s">
        <v>491</v>
      </c>
      <c r="E522" s="7"/>
      <c r="AO522" t="s">
        <v>4563</v>
      </c>
    </row>
    <row r="523" spans="4:41">
      <c r="D523" s="7" t="s">
        <v>1070</v>
      </c>
      <c r="E523" s="7"/>
      <c r="AO523" t="s">
        <v>4568</v>
      </c>
    </row>
    <row r="524" spans="4:41">
      <c r="D524" s="7" t="s">
        <v>610</v>
      </c>
      <c r="E524" s="7"/>
      <c r="AO524" t="s">
        <v>4573</v>
      </c>
    </row>
    <row r="525" spans="4:41">
      <c r="D525" s="7" t="s">
        <v>418</v>
      </c>
      <c r="E525" s="7"/>
      <c r="AO525" t="s">
        <v>4578</v>
      </c>
    </row>
    <row r="526" spans="4:41">
      <c r="D526" s="7" t="s">
        <v>482</v>
      </c>
      <c r="E526" s="7" t="s">
        <v>7015</v>
      </c>
      <c r="AO526" t="s">
        <v>4582</v>
      </c>
    </row>
    <row r="527" spans="4:41">
      <c r="D527" s="7" t="s">
        <v>597</v>
      </c>
      <c r="E527" s="7" t="s">
        <v>7015</v>
      </c>
      <c r="AO527" t="s">
        <v>4588</v>
      </c>
    </row>
    <row r="528" spans="4:41">
      <c r="D528" s="7" t="s">
        <v>2161</v>
      </c>
      <c r="E528" s="7"/>
      <c r="AO528" t="s">
        <v>4593</v>
      </c>
    </row>
    <row r="529" spans="4:41">
      <c r="D529" s="7" t="s">
        <v>496</v>
      </c>
      <c r="E529" s="7"/>
      <c r="AO529" t="s">
        <v>4598</v>
      </c>
    </row>
    <row r="530" spans="4:41">
      <c r="D530" s="7" t="s">
        <v>1054</v>
      </c>
      <c r="E530" s="7"/>
      <c r="AO530" t="s">
        <v>4603</v>
      </c>
    </row>
    <row r="531" spans="4:41">
      <c r="D531" s="7" t="s">
        <v>2163</v>
      </c>
      <c r="E531" s="7"/>
      <c r="AO531" t="s">
        <v>4608</v>
      </c>
    </row>
    <row r="532" spans="4:41">
      <c r="D532" s="9" t="s">
        <v>509</v>
      </c>
      <c r="E532" s="9"/>
      <c r="AO532" t="s">
        <v>4613</v>
      </c>
    </row>
    <row r="533" spans="4:41">
      <c r="D533" s="7" t="s">
        <v>391</v>
      </c>
      <c r="E533" s="7"/>
      <c r="AO533" t="s">
        <v>4617</v>
      </c>
    </row>
    <row r="534" spans="4:41">
      <c r="D534" s="7" t="s">
        <v>1856</v>
      </c>
      <c r="E534" s="7"/>
      <c r="AO534" t="s">
        <v>4622</v>
      </c>
    </row>
    <row r="535" spans="4:41">
      <c r="D535" s="7" t="s">
        <v>1985</v>
      </c>
      <c r="E535" s="7" t="s">
        <v>7015</v>
      </c>
      <c r="AO535" t="s">
        <v>4627</v>
      </c>
    </row>
    <row r="536" spans="4:41">
      <c r="D536" s="7" t="s">
        <v>566</v>
      </c>
      <c r="E536" s="7" t="s">
        <v>7015</v>
      </c>
      <c r="AO536" t="s">
        <v>4632</v>
      </c>
    </row>
    <row r="537" spans="4:41">
      <c r="D537" s="7" t="s">
        <v>2047</v>
      </c>
      <c r="E537" s="7" t="s">
        <v>7015</v>
      </c>
      <c r="AO537" t="s">
        <v>4637</v>
      </c>
    </row>
    <row r="538" spans="4:41">
      <c r="D538" s="7" t="s">
        <v>2049</v>
      </c>
      <c r="E538" s="7" t="s">
        <v>7015</v>
      </c>
      <c r="AO538" t="s">
        <v>4641</v>
      </c>
    </row>
    <row r="539" spans="4:41">
      <c r="D539" t="s">
        <v>6954</v>
      </c>
      <c r="E539" s="7" t="s">
        <v>7015</v>
      </c>
      <c r="AO539" t="s">
        <v>4645</v>
      </c>
    </row>
    <row r="540" spans="4:41">
      <c r="D540" s="7" t="s">
        <v>1022</v>
      </c>
      <c r="E540" s="7" t="s">
        <v>7015</v>
      </c>
      <c r="AO540" t="s">
        <v>4650</v>
      </c>
    </row>
    <row r="541" spans="4:41">
      <c r="D541" s="7" t="s">
        <v>2137</v>
      </c>
      <c r="E541" s="7" t="s">
        <v>7015</v>
      </c>
      <c r="AO541" t="s">
        <v>4655</v>
      </c>
    </row>
    <row r="542" spans="4:41">
      <c r="D542" s="7" t="s">
        <v>1959</v>
      </c>
      <c r="E542" s="7" t="s">
        <v>7015</v>
      </c>
      <c r="AO542" t="s">
        <v>4660</v>
      </c>
    </row>
    <row r="543" spans="4:41">
      <c r="D543" s="7" t="s">
        <v>386</v>
      </c>
      <c r="E543" s="7"/>
      <c r="AO543" t="s">
        <v>4665</v>
      </c>
    </row>
    <row r="544" spans="4:41">
      <c r="D544" s="7" t="s">
        <v>1906</v>
      </c>
      <c r="E544" s="7" t="s">
        <v>7015</v>
      </c>
      <c r="AO544" t="s">
        <v>4669</v>
      </c>
    </row>
    <row r="545" spans="4:41">
      <c r="D545" s="7" t="s">
        <v>518</v>
      </c>
      <c r="E545" s="7" t="s">
        <v>7015</v>
      </c>
      <c r="AO545" t="s">
        <v>4674</v>
      </c>
    </row>
    <row r="546" spans="4:41">
      <c r="D546" s="7" t="s">
        <v>583</v>
      </c>
      <c r="E546" s="7" t="s">
        <v>7015</v>
      </c>
      <c r="AO546" t="s">
        <v>4679</v>
      </c>
    </row>
    <row r="547" spans="4:41">
      <c r="D547" s="7" t="s">
        <v>594</v>
      </c>
      <c r="E547" s="7" t="s">
        <v>7015</v>
      </c>
      <c r="AO547" t="s">
        <v>4684</v>
      </c>
    </row>
    <row r="548" spans="4:41">
      <c r="D548" s="7" t="s">
        <v>589</v>
      </c>
      <c r="E548" s="7" t="s">
        <v>7015</v>
      </c>
      <c r="AO548" t="s">
        <v>4689</v>
      </c>
    </row>
    <row r="549" spans="4:41">
      <c r="D549" s="7" t="s">
        <v>584</v>
      </c>
      <c r="E549" s="7" t="s">
        <v>7015</v>
      </c>
      <c r="AO549" t="s">
        <v>4694</v>
      </c>
    </row>
    <row r="550" spans="4:41">
      <c r="D550" s="7" t="s">
        <v>592</v>
      </c>
      <c r="E550" s="7"/>
      <c r="AO550" t="s">
        <v>4699</v>
      </c>
    </row>
    <row r="551" spans="4:41">
      <c r="D551" s="7" t="s">
        <v>591</v>
      </c>
      <c r="E551" s="7" t="s">
        <v>7015</v>
      </c>
      <c r="AO551" t="s">
        <v>4704</v>
      </c>
    </row>
    <row r="552" spans="4:41">
      <c r="D552" s="7" t="s">
        <v>593</v>
      </c>
      <c r="E552" s="7" t="s">
        <v>7015</v>
      </c>
      <c r="AO552" t="s">
        <v>4709</v>
      </c>
    </row>
    <row r="553" spans="4:41">
      <c r="D553" s="7" t="s">
        <v>595</v>
      </c>
      <c r="E553" s="7" t="s">
        <v>7015</v>
      </c>
      <c r="AO553" t="s">
        <v>4713</v>
      </c>
    </row>
    <row r="554" spans="4:41">
      <c r="D554" s="7" t="s">
        <v>2191</v>
      </c>
      <c r="E554" s="7" t="s">
        <v>7015</v>
      </c>
      <c r="AO554" t="s">
        <v>4718</v>
      </c>
    </row>
    <row r="555" spans="4:41">
      <c r="D555" s="7" t="s">
        <v>1066</v>
      </c>
      <c r="E555" s="7" t="s">
        <v>7015</v>
      </c>
      <c r="AO555" t="s">
        <v>4723</v>
      </c>
    </row>
    <row r="556" spans="4:41">
      <c r="D556" s="7" t="s">
        <v>370</v>
      </c>
      <c r="E556" s="7" t="s">
        <v>7015</v>
      </c>
      <c r="AO556" t="s">
        <v>4728</v>
      </c>
    </row>
    <row r="557" spans="4:41">
      <c r="D557" s="9" t="s">
        <v>469</v>
      </c>
      <c r="E557" s="7" t="s">
        <v>7015</v>
      </c>
      <c r="AO557" t="s">
        <v>4733</v>
      </c>
    </row>
    <row r="558" spans="4:41">
      <c r="D558" s="7" t="s">
        <v>395</v>
      </c>
      <c r="E558" s="7"/>
      <c r="AO558" t="s">
        <v>4738</v>
      </c>
    </row>
    <row r="559" spans="4:41">
      <c r="D559" s="7" t="s">
        <v>526</v>
      </c>
      <c r="E559" s="7"/>
      <c r="AO559" t="s">
        <v>4744</v>
      </c>
    </row>
    <row r="560" spans="4:41">
      <c r="D560" s="7" t="s">
        <v>1957</v>
      </c>
      <c r="E560" s="7" t="s">
        <v>7015</v>
      </c>
      <c r="AO560" t="s">
        <v>4749</v>
      </c>
    </row>
    <row r="561" spans="4:41">
      <c r="D561" s="7" t="s">
        <v>430</v>
      </c>
      <c r="E561" s="7" t="s">
        <v>7015</v>
      </c>
      <c r="AO561" t="s">
        <v>4754</v>
      </c>
    </row>
    <row r="562" spans="4:41">
      <c r="D562" s="7" t="s">
        <v>1953</v>
      </c>
      <c r="E562" s="7"/>
      <c r="AO562" t="s">
        <v>4760</v>
      </c>
    </row>
    <row r="563" spans="4:41">
      <c r="D563" s="7" t="s">
        <v>2233</v>
      </c>
      <c r="E563" s="7" t="s">
        <v>7015</v>
      </c>
      <c r="AO563" t="s">
        <v>4766</v>
      </c>
    </row>
    <row r="564" spans="4:41">
      <c r="D564" s="7" t="s">
        <v>601</v>
      </c>
      <c r="E564" s="7" t="s">
        <v>7015</v>
      </c>
      <c r="AO564" t="s">
        <v>4771</v>
      </c>
    </row>
    <row r="565" spans="4:41">
      <c r="D565" s="7" t="s">
        <v>471</v>
      </c>
      <c r="E565" s="7" t="s">
        <v>7015</v>
      </c>
      <c r="AO565" t="s">
        <v>4776</v>
      </c>
    </row>
    <row r="566" spans="4:41">
      <c r="D566" s="7" t="s">
        <v>2231</v>
      </c>
      <c r="E566" s="7" t="s">
        <v>7015</v>
      </c>
      <c r="AO566" t="s">
        <v>4781</v>
      </c>
    </row>
    <row r="567" spans="4:41">
      <c r="D567" s="7" t="s">
        <v>2125</v>
      </c>
      <c r="E567" s="7" t="s">
        <v>7015</v>
      </c>
      <c r="AO567" t="s">
        <v>4787</v>
      </c>
    </row>
    <row r="568" spans="4:41">
      <c r="D568" s="7" t="s">
        <v>2055</v>
      </c>
      <c r="E568" s="7" t="s">
        <v>7015</v>
      </c>
      <c r="AO568" t="s">
        <v>4792</v>
      </c>
    </row>
    <row r="569" spans="4:41">
      <c r="D569" s="7" t="s">
        <v>2117</v>
      </c>
      <c r="E569" s="7" t="s">
        <v>7015</v>
      </c>
      <c r="AO569" t="s">
        <v>4797</v>
      </c>
    </row>
    <row r="570" spans="4:41">
      <c r="D570" s="7" t="s">
        <v>2155</v>
      </c>
      <c r="E570" s="7"/>
      <c r="AO570" t="s">
        <v>4802</v>
      </c>
    </row>
    <row r="571" spans="4:41">
      <c r="D571" s="7" t="s">
        <v>2229</v>
      </c>
      <c r="E571" s="7"/>
      <c r="AO571" t="s">
        <v>4808</v>
      </c>
    </row>
    <row r="572" spans="4:41">
      <c r="D572" s="7" t="s">
        <v>1072</v>
      </c>
      <c r="E572" s="7" t="s">
        <v>7015</v>
      </c>
      <c r="AO572" t="s">
        <v>4813</v>
      </c>
    </row>
    <row r="573" spans="4:41">
      <c r="D573" s="7" t="s">
        <v>1892</v>
      </c>
      <c r="E573" s="7"/>
      <c r="AO573" t="s">
        <v>4818</v>
      </c>
    </row>
    <row r="574" spans="4:41">
      <c r="D574" t="s">
        <v>6978</v>
      </c>
      <c r="E574" s="7" t="s">
        <v>7015</v>
      </c>
      <c r="AO574" t="s">
        <v>4823</v>
      </c>
    </row>
    <row r="575" spans="4:41">
      <c r="D575" s="7" t="s">
        <v>2113</v>
      </c>
      <c r="E575" s="7"/>
      <c r="AO575" t="s">
        <v>4828</v>
      </c>
    </row>
    <row r="576" spans="4:41">
      <c r="D576" s="7" t="s">
        <v>392</v>
      </c>
      <c r="E576" s="7"/>
      <c r="AO576" t="s">
        <v>4833</v>
      </c>
    </row>
    <row r="577" spans="4:41">
      <c r="D577" s="7" t="s">
        <v>362</v>
      </c>
      <c r="E577" s="7" t="s">
        <v>7015</v>
      </c>
      <c r="AO577" t="s">
        <v>4838</v>
      </c>
    </row>
    <row r="578" spans="4:41">
      <c r="D578" s="7" t="s">
        <v>622</v>
      </c>
      <c r="E578" s="7"/>
      <c r="AO578" t="s">
        <v>4843</v>
      </c>
    </row>
    <row r="579" spans="4:41">
      <c r="D579" s="7" t="s">
        <v>636</v>
      </c>
      <c r="E579" s="7"/>
      <c r="AO579" t="s">
        <v>4848</v>
      </c>
    </row>
    <row r="580" spans="4:41">
      <c r="D580" s="7" t="s">
        <v>408</v>
      </c>
      <c r="E580" s="7" t="s">
        <v>7015</v>
      </c>
      <c r="AO580" t="s">
        <v>4853</v>
      </c>
    </row>
    <row r="581" spans="4:41">
      <c r="D581" s="7" t="s">
        <v>400</v>
      </c>
      <c r="E581" s="7" t="s">
        <v>7015</v>
      </c>
      <c r="AO581" t="s">
        <v>4858</v>
      </c>
    </row>
    <row r="582" spans="4:41">
      <c r="D582" s="7" t="s">
        <v>585</v>
      </c>
      <c r="E582" s="7" t="s">
        <v>7015</v>
      </c>
      <c r="AO582" t="s">
        <v>4863</v>
      </c>
    </row>
    <row r="583" spans="4:41">
      <c r="D583" s="7" t="s">
        <v>581</v>
      </c>
      <c r="E583" s="7" t="s">
        <v>7015</v>
      </c>
      <c r="AO583" t="s">
        <v>4868</v>
      </c>
    </row>
    <row r="584" spans="4:41">
      <c r="D584" s="7" t="s">
        <v>586</v>
      </c>
      <c r="E584" s="7" t="s">
        <v>7015</v>
      </c>
      <c r="AO584" t="s">
        <v>4873</v>
      </c>
    </row>
    <row r="585" spans="4:41">
      <c r="D585" s="7" t="s">
        <v>599</v>
      </c>
      <c r="E585" s="7" t="s">
        <v>7015</v>
      </c>
      <c r="AO585" t="s">
        <v>4878</v>
      </c>
    </row>
    <row r="586" spans="4:41">
      <c r="D586" s="7" t="s">
        <v>598</v>
      </c>
      <c r="E586" s="7" t="s">
        <v>7015</v>
      </c>
      <c r="AO586" t="s">
        <v>4883</v>
      </c>
    </row>
    <row r="587" spans="4:41">
      <c r="D587" s="7" t="s">
        <v>588</v>
      </c>
      <c r="E587" s="7" t="s">
        <v>7015</v>
      </c>
      <c r="AO587" t="s">
        <v>4888</v>
      </c>
    </row>
    <row r="588" spans="4:41">
      <c r="D588" s="7" t="s">
        <v>580</v>
      </c>
      <c r="E588" s="7" t="s">
        <v>7015</v>
      </c>
      <c r="AO588" t="s">
        <v>4893</v>
      </c>
    </row>
    <row r="589" spans="4:41">
      <c r="D589" s="7" t="s">
        <v>582</v>
      </c>
      <c r="E589" s="7" t="s">
        <v>7015</v>
      </c>
      <c r="AO589" t="s">
        <v>4898</v>
      </c>
    </row>
    <row r="590" spans="4:41">
      <c r="D590" s="7" t="s">
        <v>590</v>
      </c>
      <c r="E590" s="7" t="s">
        <v>7015</v>
      </c>
      <c r="AO590" t="s">
        <v>4903</v>
      </c>
    </row>
    <row r="591" spans="4:41">
      <c r="D591" s="7" t="s">
        <v>587</v>
      </c>
      <c r="E591" s="7"/>
      <c r="AO591" t="s">
        <v>4908</v>
      </c>
    </row>
    <row r="592" spans="4:41">
      <c r="D592" s="7" t="s">
        <v>1610</v>
      </c>
      <c r="E592" s="7"/>
      <c r="AO592" t="s">
        <v>4913</v>
      </c>
    </row>
    <row r="593" spans="4:41">
      <c r="D593" s="7" t="s">
        <v>1492</v>
      </c>
      <c r="E593" s="7"/>
      <c r="AO593" t="s">
        <v>4918</v>
      </c>
    </row>
    <row r="594" spans="4:41">
      <c r="D594" s="7" t="s">
        <v>1452</v>
      </c>
      <c r="E594" s="7"/>
      <c r="AO594" t="s">
        <v>4922</v>
      </c>
    </row>
    <row r="595" spans="4:41">
      <c r="D595" s="7" t="s">
        <v>1392</v>
      </c>
      <c r="E595" s="7"/>
      <c r="AO595" t="s">
        <v>4927</v>
      </c>
    </row>
    <row r="596" spans="4:41">
      <c r="D596" s="7" t="s">
        <v>1596</v>
      </c>
      <c r="E596" s="7"/>
      <c r="AO596" t="s">
        <v>4932</v>
      </c>
    </row>
    <row r="597" spans="4:41">
      <c r="D597" s="7" t="s">
        <v>1672</v>
      </c>
      <c r="E597" s="7"/>
      <c r="AO597" t="s">
        <v>4937</v>
      </c>
    </row>
    <row r="598" spans="4:41">
      <c r="D598" s="7" t="s">
        <v>440</v>
      </c>
      <c r="E598" s="7"/>
      <c r="AO598" t="s">
        <v>4942</v>
      </c>
    </row>
    <row r="599" spans="4:41">
      <c r="D599" s="7" t="s">
        <v>458</v>
      </c>
      <c r="E599" s="7"/>
      <c r="AO599" t="s">
        <v>4947</v>
      </c>
    </row>
    <row r="600" spans="4:41">
      <c r="D600" s="7" t="s">
        <v>449</v>
      </c>
      <c r="E600" s="7"/>
      <c r="AO600" t="s">
        <v>4952</v>
      </c>
    </row>
    <row r="601" spans="4:41">
      <c r="D601" s="7" t="s">
        <v>456</v>
      </c>
      <c r="E601" s="7"/>
      <c r="AO601" t="s">
        <v>4957</v>
      </c>
    </row>
    <row r="602" spans="4:41">
      <c r="D602" s="7" t="s">
        <v>445</v>
      </c>
      <c r="E602" s="7"/>
      <c r="AO602" t="s">
        <v>4962</v>
      </c>
    </row>
    <row r="603" spans="4:41">
      <c r="D603" s="7" t="s">
        <v>2175</v>
      </c>
      <c r="E603" s="7"/>
      <c r="AO603" t="s">
        <v>4967</v>
      </c>
    </row>
    <row r="604" spans="4:41">
      <c r="D604" s="7" t="s">
        <v>424</v>
      </c>
      <c r="E604" s="7"/>
      <c r="AO604" t="s">
        <v>4973</v>
      </c>
    </row>
    <row r="605" spans="4:41">
      <c r="D605" s="7" t="s">
        <v>2145</v>
      </c>
      <c r="E605" s="7"/>
      <c r="AO605" t="s">
        <v>4978</v>
      </c>
    </row>
    <row r="606" spans="4:41">
      <c r="D606" s="7" t="s">
        <v>397</v>
      </c>
      <c r="E606" s="7"/>
      <c r="AO606" t="s">
        <v>4984</v>
      </c>
    </row>
    <row r="607" spans="4:41">
      <c r="D607" s="7" t="s">
        <v>2165</v>
      </c>
      <c r="E607" s="7" t="s">
        <v>7015</v>
      </c>
      <c r="AO607" t="s">
        <v>4989</v>
      </c>
    </row>
    <row r="608" spans="4:41">
      <c r="D608" s="7" t="s">
        <v>2023</v>
      </c>
      <c r="E608" s="7" t="s">
        <v>7015</v>
      </c>
      <c r="AO608" t="s">
        <v>4994</v>
      </c>
    </row>
    <row r="609" spans="4:41">
      <c r="D609" s="7" t="s">
        <v>1947</v>
      </c>
      <c r="E609" s="7" t="s">
        <v>7015</v>
      </c>
      <c r="AO609" t="s">
        <v>4999</v>
      </c>
    </row>
    <row r="610" spans="4:41">
      <c r="D610" s="7" t="s">
        <v>1949</v>
      </c>
      <c r="E610" s="7" t="s">
        <v>7015</v>
      </c>
      <c r="AO610" t="s">
        <v>5004</v>
      </c>
    </row>
    <row r="611" spans="4:41">
      <c r="D611" s="7" t="s">
        <v>1078</v>
      </c>
      <c r="E611" s="7"/>
      <c r="AO611" t="s">
        <v>5009</v>
      </c>
    </row>
    <row r="612" spans="4:41">
      <c r="D612" s="7" t="s">
        <v>4783</v>
      </c>
      <c r="E612" s="7"/>
      <c r="AO612" t="s">
        <v>5014</v>
      </c>
    </row>
    <row r="613" spans="4:41">
      <c r="D613" s="7" t="s">
        <v>4220</v>
      </c>
      <c r="E613" s="7"/>
      <c r="AO613" t="s">
        <v>5019</v>
      </c>
    </row>
    <row r="614" spans="4:41">
      <c r="D614" s="7" t="s">
        <v>4969</v>
      </c>
      <c r="E614" s="7"/>
      <c r="AO614" t="s">
        <v>5024</v>
      </c>
    </row>
    <row r="615" spans="4:41">
      <c r="D615" s="7" t="s">
        <v>4410</v>
      </c>
      <c r="E615" s="7"/>
      <c r="AO615" t="s">
        <v>5029</v>
      </c>
    </row>
    <row r="616" spans="4:41">
      <c r="D616" s="9" t="s">
        <v>550</v>
      </c>
      <c r="E616" s="9"/>
      <c r="AO616" t="s">
        <v>5034</v>
      </c>
    </row>
    <row r="617" spans="4:41">
      <c r="D617" s="7" t="s">
        <v>1638</v>
      </c>
      <c r="E617" s="7" t="s">
        <v>7015</v>
      </c>
      <c r="AO617" t="s">
        <v>5039</v>
      </c>
    </row>
    <row r="618" spans="4:41">
      <c r="D618" s="7" t="s">
        <v>1340</v>
      </c>
      <c r="E618" s="7"/>
      <c r="AO618" t="s">
        <v>5045</v>
      </c>
    </row>
    <row r="619" spans="4:41">
      <c r="D619" s="7" t="s">
        <v>1304</v>
      </c>
      <c r="E619" s="7"/>
      <c r="AO619" t="s">
        <v>5050</v>
      </c>
    </row>
    <row r="620" spans="4:41">
      <c r="D620" s="7" t="s">
        <v>1354</v>
      </c>
      <c r="E620" s="7"/>
      <c r="AO620" t="s">
        <v>5055</v>
      </c>
    </row>
    <row r="621" spans="4:41">
      <c r="D621" s="7" t="s">
        <v>1540</v>
      </c>
      <c r="E621" s="7" t="s">
        <v>7015</v>
      </c>
      <c r="AO621" t="s">
        <v>5060</v>
      </c>
    </row>
    <row r="622" spans="4:41">
      <c r="D622" s="7" t="s">
        <v>1264</v>
      </c>
      <c r="E622" s="7" t="s">
        <v>7015</v>
      </c>
      <c r="AO622" t="s">
        <v>5065</v>
      </c>
    </row>
    <row r="623" spans="4:41">
      <c r="D623" s="7" t="s">
        <v>1684</v>
      </c>
      <c r="E623" s="7" t="s">
        <v>7015</v>
      </c>
      <c r="AO623" t="s">
        <v>5070</v>
      </c>
    </row>
    <row r="624" spans="4:41">
      <c r="D624" s="7" t="s">
        <v>1580</v>
      </c>
      <c r="E624" s="7" t="s">
        <v>7015</v>
      </c>
      <c r="AO624" t="s">
        <v>5075</v>
      </c>
    </row>
    <row r="625" spans="4:41">
      <c r="D625" s="7" t="s">
        <v>500</v>
      </c>
      <c r="E625" s="7"/>
      <c r="AO625" t="s">
        <v>5080</v>
      </c>
    </row>
    <row r="626" spans="4:41">
      <c r="D626" s="7" t="s">
        <v>2151</v>
      </c>
      <c r="E626" s="7" t="s">
        <v>7015</v>
      </c>
      <c r="AO626" t="s">
        <v>5086</v>
      </c>
    </row>
    <row r="627" spans="4:41">
      <c r="D627" s="7" t="s">
        <v>2153</v>
      </c>
      <c r="E627" s="7" t="s">
        <v>7015</v>
      </c>
      <c r="AO627" t="s">
        <v>5091</v>
      </c>
    </row>
    <row r="628" spans="4:41">
      <c r="D628" s="7" t="s">
        <v>1578</v>
      </c>
      <c r="E628" s="7" t="s">
        <v>7015</v>
      </c>
      <c r="AO628" t="s">
        <v>5096</v>
      </c>
    </row>
    <row r="629" spans="4:41">
      <c r="D629" s="7" t="s">
        <v>1692</v>
      </c>
      <c r="E629" s="7" t="s">
        <v>7015</v>
      </c>
      <c r="AO629" t="s">
        <v>5101</v>
      </c>
    </row>
    <row r="630" spans="4:41">
      <c r="D630" s="7" t="s">
        <v>1262</v>
      </c>
      <c r="E630" s="7"/>
      <c r="AO630" t="s">
        <v>5106</v>
      </c>
    </row>
    <row r="631" spans="4:41">
      <c r="D631" s="7" t="s">
        <v>549</v>
      </c>
      <c r="E631" s="7"/>
      <c r="AO631" t="s">
        <v>5111</v>
      </c>
    </row>
    <row r="632" spans="4:41">
      <c r="D632" s="7" t="s">
        <v>1532</v>
      </c>
      <c r="E632" s="7" t="s">
        <v>7015</v>
      </c>
      <c r="AO632" t="s">
        <v>5116</v>
      </c>
    </row>
    <row r="633" spans="4:41">
      <c r="D633" s="7" t="s">
        <v>1248</v>
      </c>
      <c r="E633" s="7"/>
      <c r="AO633" t="s">
        <v>5121</v>
      </c>
    </row>
    <row r="634" spans="4:41">
      <c r="D634" s="7" t="s">
        <v>1410</v>
      </c>
      <c r="E634" s="7"/>
      <c r="AO634" t="s">
        <v>5126</v>
      </c>
    </row>
    <row r="635" spans="4:41">
      <c r="D635" s="7" t="s">
        <v>1630</v>
      </c>
      <c r="E635" s="7"/>
      <c r="AO635" t="s">
        <v>5131</v>
      </c>
    </row>
    <row r="636" spans="4:41">
      <c r="D636" s="7" t="s">
        <v>1326</v>
      </c>
      <c r="E636" s="7"/>
      <c r="AO636" t="s">
        <v>5136</v>
      </c>
    </row>
    <row r="637" spans="4:41">
      <c r="D637" s="7" t="s">
        <v>1646</v>
      </c>
      <c r="E637" s="7"/>
      <c r="AO637" t="s">
        <v>5141</v>
      </c>
    </row>
    <row r="638" spans="4:41">
      <c r="D638" s="7" t="s">
        <v>1302</v>
      </c>
      <c r="E638" s="7"/>
      <c r="AO638" t="s">
        <v>5146</v>
      </c>
    </row>
    <row r="639" spans="4:41">
      <c r="D639" s="7" t="s">
        <v>1548</v>
      </c>
      <c r="E639" s="7"/>
      <c r="AO639" t="s">
        <v>5151</v>
      </c>
    </row>
    <row r="640" spans="4:41">
      <c r="D640" s="7" t="s">
        <v>1462</v>
      </c>
      <c r="E640" s="7"/>
      <c r="AO640" t="s">
        <v>5156</v>
      </c>
    </row>
    <row r="641" spans="4:41">
      <c r="D641" s="7" t="s">
        <v>1344</v>
      </c>
      <c r="E641" s="7"/>
      <c r="AO641" t="s">
        <v>5161</v>
      </c>
    </row>
    <row r="642" spans="4:41">
      <c r="D642" t="s">
        <v>6948</v>
      </c>
      <c r="AO642" t="s">
        <v>5166</v>
      </c>
    </row>
    <row r="643" spans="4:41">
      <c r="D643" s="7" t="s">
        <v>475</v>
      </c>
      <c r="E643" s="7" t="s">
        <v>7015</v>
      </c>
      <c r="AO643" t="s">
        <v>5171</v>
      </c>
    </row>
    <row r="644" spans="4:41">
      <c r="D644" s="7" t="s">
        <v>1494</v>
      </c>
      <c r="E644" s="7"/>
      <c r="AO644" t="s">
        <v>5176</v>
      </c>
    </row>
    <row r="645" spans="4:41">
      <c r="D645" s="7" t="s">
        <v>1296</v>
      </c>
      <c r="E645" s="7"/>
      <c r="AO645" t="s">
        <v>5181</v>
      </c>
    </row>
    <row r="646" spans="4:41">
      <c r="D646" s="7" t="s">
        <v>1198</v>
      </c>
      <c r="E646" s="7"/>
      <c r="AO646" t="s">
        <v>5186</v>
      </c>
    </row>
    <row r="647" spans="4:41">
      <c r="D647" s="7" t="s">
        <v>1602</v>
      </c>
      <c r="E647" s="7" t="s">
        <v>7015</v>
      </c>
      <c r="AO647" t="s">
        <v>5191</v>
      </c>
    </row>
    <row r="648" spans="4:41">
      <c r="D648" s="7" t="s">
        <v>4756</v>
      </c>
      <c r="E648" s="7"/>
      <c r="AO648" t="s">
        <v>5196</v>
      </c>
    </row>
    <row r="649" spans="4:41">
      <c r="D649" s="7" t="s">
        <v>557</v>
      </c>
      <c r="E649" s="7"/>
      <c r="AO649" t="s">
        <v>5201</v>
      </c>
    </row>
    <row r="650" spans="4:41">
      <c r="D650" s="7" t="s">
        <v>1668</v>
      </c>
      <c r="E650" s="7" t="s">
        <v>7015</v>
      </c>
      <c r="AO650" t="s">
        <v>5206</v>
      </c>
    </row>
    <row r="651" spans="4:41">
      <c r="D651" s="7" t="s">
        <v>1446</v>
      </c>
      <c r="E651" s="7"/>
      <c r="AO651" t="s">
        <v>5211</v>
      </c>
    </row>
    <row r="652" spans="4:41">
      <c r="D652" s="7" t="s">
        <v>1478</v>
      </c>
      <c r="E652" s="7"/>
      <c r="AO652" t="s">
        <v>5216</v>
      </c>
    </row>
    <row r="653" spans="4:41">
      <c r="D653" s="7" t="s">
        <v>1558</v>
      </c>
      <c r="E653" s="7"/>
      <c r="AO653" t="s">
        <v>5221</v>
      </c>
    </row>
    <row r="654" spans="4:41">
      <c r="D654" s="7" t="s">
        <v>1360</v>
      </c>
      <c r="E654" s="7" t="s">
        <v>7015</v>
      </c>
      <c r="AO654" t="s">
        <v>5226</v>
      </c>
    </row>
    <row r="655" spans="4:41">
      <c r="D655" s="7" t="s">
        <v>1222</v>
      </c>
      <c r="E655" s="7"/>
      <c r="AO655" t="s">
        <v>5231</v>
      </c>
    </row>
    <row r="656" spans="4:41">
      <c r="D656" s="7" t="s">
        <v>2077</v>
      </c>
      <c r="E656" s="7"/>
      <c r="AO656" t="s">
        <v>5236</v>
      </c>
    </row>
    <row r="657" spans="4:41">
      <c r="D657" s="7" t="s">
        <v>510</v>
      </c>
      <c r="E657" s="7" t="s">
        <v>7015</v>
      </c>
      <c r="AO657" t="s">
        <v>5241</v>
      </c>
    </row>
    <row r="658" spans="4:41">
      <c r="D658" s="9" t="s">
        <v>2187</v>
      </c>
      <c r="E658" s="9"/>
      <c r="AO658" t="s">
        <v>5246</v>
      </c>
    </row>
    <row r="659" spans="4:41">
      <c r="D659" s="7" t="s">
        <v>1912</v>
      </c>
      <c r="E659" s="7"/>
      <c r="AO659" t="s">
        <v>5251</v>
      </c>
    </row>
    <row r="660" spans="4:41">
      <c r="D660" s="7" t="s">
        <v>434</v>
      </c>
      <c r="E660" s="7"/>
      <c r="AO660" t="s">
        <v>5256</v>
      </c>
    </row>
    <row r="661" spans="4:41">
      <c r="D661" s="7" t="s">
        <v>2209</v>
      </c>
      <c r="E661" s="7" t="s">
        <v>7015</v>
      </c>
      <c r="AO661" t="s">
        <v>5261</v>
      </c>
    </row>
    <row r="662" spans="4:41">
      <c r="D662" s="7" t="s">
        <v>2189</v>
      </c>
      <c r="E662" s="7" t="s">
        <v>7015</v>
      </c>
      <c r="AO662" t="s">
        <v>5266</v>
      </c>
    </row>
    <row r="663" spans="4:41">
      <c r="D663" s="7" t="s">
        <v>2025</v>
      </c>
      <c r="E663" s="7"/>
      <c r="AO663" t="s">
        <v>5271</v>
      </c>
    </row>
    <row r="664" spans="4:41">
      <c r="D664" s="7" t="s">
        <v>2129</v>
      </c>
      <c r="E664" s="7" t="s">
        <v>7015</v>
      </c>
      <c r="AO664" t="s">
        <v>5277</v>
      </c>
    </row>
    <row r="665" spans="4:41">
      <c r="D665" s="7" t="s">
        <v>561</v>
      </c>
      <c r="E665" s="7" t="s">
        <v>7015</v>
      </c>
      <c r="AO665" t="s">
        <v>5282</v>
      </c>
    </row>
    <row r="666" spans="4:41">
      <c r="D666" s="7" t="s">
        <v>577</v>
      </c>
      <c r="E666" s="7" t="s">
        <v>7015</v>
      </c>
      <c r="AO666" t="s">
        <v>5288</v>
      </c>
    </row>
    <row r="667" spans="4:41">
      <c r="D667" s="7" t="s">
        <v>578</v>
      </c>
      <c r="E667" s="7"/>
      <c r="AO667" t="s">
        <v>5293</v>
      </c>
    </row>
    <row r="668" spans="4:41">
      <c r="D668" s="7" t="s">
        <v>2133</v>
      </c>
      <c r="E668" s="7" t="s">
        <v>7015</v>
      </c>
      <c r="AO668" t="s">
        <v>5298</v>
      </c>
    </row>
    <row r="669" spans="4:41">
      <c r="D669" t="s">
        <v>6958</v>
      </c>
      <c r="E669" s="7" t="s">
        <v>7015</v>
      </c>
      <c r="AO669" t="s">
        <v>5303</v>
      </c>
    </row>
    <row r="670" spans="4:41">
      <c r="D670" s="9" t="s">
        <v>33</v>
      </c>
      <c r="E670" s="7" t="s">
        <v>7015</v>
      </c>
      <c r="AO670" t="s">
        <v>5308</v>
      </c>
    </row>
    <row r="671" spans="4:41">
      <c r="D671" s="7" t="s">
        <v>366</v>
      </c>
      <c r="E671" s="7" t="s">
        <v>7015</v>
      </c>
      <c r="AO671" t="s">
        <v>5313</v>
      </c>
    </row>
    <row r="672" spans="4:41">
      <c r="D672" s="7" t="s">
        <v>359</v>
      </c>
      <c r="E672" s="7" t="s">
        <v>7015</v>
      </c>
      <c r="AO672" t="s">
        <v>5318</v>
      </c>
    </row>
    <row r="673" spans="4:41">
      <c r="D673" s="7" t="s">
        <v>367</v>
      </c>
      <c r="E673" s="7" t="s">
        <v>7015</v>
      </c>
      <c r="AO673" t="s">
        <v>5323</v>
      </c>
    </row>
    <row r="674" spans="4:41">
      <c r="D674" s="7" t="s">
        <v>369</v>
      </c>
      <c r="E674" s="7" t="s">
        <v>7015</v>
      </c>
      <c r="AO674" t="s">
        <v>5328</v>
      </c>
    </row>
    <row r="675" spans="4:41">
      <c r="D675" s="7" t="s">
        <v>378</v>
      </c>
      <c r="E675" s="7" t="s">
        <v>7015</v>
      </c>
      <c r="AO675" t="s">
        <v>5334</v>
      </c>
    </row>
    <row r="676" spans="4:41">
      <c r="D676" s="7" t="s">
        <v>374</v>
      </c>
      <c r="E676" s="7"/>
      <c r="AO676" t="s">
        <v>5339</v>
      </c>
    </row>
    <row r="677" spans="4:41">
      <c r="D677" s="7" t="s">
        <v>379</v>
      </c>
      <c r="E677" s="7" t="s">
        <v>7015</v>
      </c>
      <c r="AO677" t="s">
        <v>5344</v>
      </c>
    </row>
    <row r="678" spans="4:41">
      <c r="D678" s="7" t="s">
        <v>1969</v>
      </c>
      <c r="E678" s="7"/>
      <c r="AO678" t="s">
        <v>5349</v>
      </c>
    </row>
    <row r="679" spans="4:41">
      <c r="D679" s="7" t="s">
        <v>427</v>
      </c>
      <c r="E679" s="7" t="s">
        <v>7015</v>
      </c>
      <c r="AO679" t="s">
        <v>5354</v>
      </c>
    </row>
    <row r="680" spans="4:41">
      <c r="D680" s="9" t="s">
        <v>375</v>
      </c>
      <c r="E680" s="9"/>
      <c r="AO680" t="s">
        <v>5359</v>
      </c>
    </row>
    <row r="681" spans="4:41">
      <c r="D681" s="7" t="s">
        <v>2213</v>
      </c>
      <c r="E681" s="7" t="s">
        <v>7015</v>
      </c>
      <c r="AO681" t="s">
        <v>5364</v>
      </c>
    </row>
    <row r="682" spans="4:41">
      <c r="D682" s="7" t="s">
        <v>2173</v>
      </c>
      <c r="E682" s="7"/>
      <c r="AO682" t="s">
        <v>5369</v>
      </c>
    </row>
    <row r="683" spans="4:41">
      <c r="D683" t="s">
        <v>6964</v>
      </c>
      <c r="E683" s="7" t="s">
        <v>7015</v>
      </c>
      <c r="AO683" t="s">
        <v>5374</v>
      </c>
    </row>
    <row r="684" spans="4:41">
      <c r="D684" s="7" t="s">
        <v>552</v>
      </c>
      <c r="E684" s="7"/>
      <c r="AO684" t="s">
        <v>5379</v>
      </c>
    </row>
    <row r="685" spans="4:41">
      <c r="D685" s="7" t="s">
        <v>1608</v>
      </c>
      <c r="E685" s="7"/>
      <c r="AO685" t="s">
        <v>5383</v>
      </c>
    </row>
    <row r="686" spans="4:41">
      <c r="D686" t="s">
        <v>6930</v>
      </c>
      <c r="E686" s="7" t="s">
        <v>7015</v>
      </c>
      <c r="AO686" t="s">
        <v>5388</v>
      </c>
    </row>
    <row r="687" spans="4:41">
      <c r="D687" s="7" t="s">
        <v>1564</v>
      </c>
      <c r="E687" s="7"/>
      <c r="AO687" t="s">
        <v>5393</v>
      </c>
    </row>
    <row r="688" spans="4:41">
      <c r="D688" s="7" t="s">
        <v>1228</v>
      </c>
      <c r="E688" s="7"/>
      <c r="AO688" t="s">
        <v>5398</v>
      </c>
    </row>
    <row r="689" spans="4:41">
      <c r="D689" s="7" t="s">
        <v>2069</v>
      </c>
      <c r="E689" s="7" t="s">
        <v>7015</v>
      </c>
      <c r="AO689" t="s">
        <v>5403</v>
      </c>
    </row>
    <row r="690" spans="4:41">
      <c r="D690" s="7" t="s">
        <v>600</v>
      </c>
      <c r="E690" s="7" t="s">
        <v>7015</v>
      </c>
      <c r="AO690" t="s">
        <v>5408</v>
      </c>
    </row>
    <row r="691" spans="4:41">
      <c r="D691" s="7" t="s">
        <v>617</v>
      </c>
      <c r="E691" s="7" t="s">
        <v>7015</v>
      </c>
      <c r="AO691" t="s">
        <v>5413</v>
      </c>
    </row>
    <row r="692" spans="4:41">
      <c r="D692" s="7" t="s">
        <v>1678</v>
      </c>
      <c r="E692" s="7" t="s">
        <v>7015</v>
      </c>
      <c r="AO692" t="s">
        <v>5418</v>
      </c>
    </row>
    <row r="693" spans="4:41">
      <c r="D693" s="7" t="s">
        <v>1270</v>
      </c>
      <c r="E693" s="7"/>
      <c r="AO693" t="s">
        <v>5423</v>
      </c>
    </row>
    <row r="694" spans="4:41">
      <c r="D694" s="7" t="s">
        <v>543</v>
      </c>
      <c r="E694" s="7"/>
      <c r="AO694" t="s">
        <v>5428</v>
      </c>
    </row>
    <row r="695" spans="4:41">
      <c r="D695" s="7" t="s">
        <v>1374</v>
      </c>
      <c r="E695" s="7"/>
      <c r="AO695" t="s">
        <v>5433</v>
      </c>
    </row>
    <row r="696" spans="4:41">
      <c r="D696" s="7" t="s">
        <v>1586</v>
      </c>
      <c r="E696" s="7"/>
      <c r="AO696" t="s">
        <v>5438</v>
      </c>
    </row>
    <row r="697" spans="4:41">
      <c r="D697" s="7" t="s">
        <v>457</v>
      </c>
      <c r="E697" s="7" t="s">
        <v>7015</v>
      </c>
      <c r="AO697" t="s">
        <v>5443</v>
      </c>
    </row>
    <row r="698" spans="4:41">
      <c r="D698" s="7" t="s">
        <v>437</v>
      </c>
      <c r="E698" s="7" t="s">
        <v>7015</v>
      </c>
      <c r="AO698" t="s">
        <v>5448</v>
      </c>
    </row>
    <row r="699" spans="4:41">
      <c r="D699" s="7" t="s">
        <v>2121</v>
      </c>
      <c r="E699" s="7" t="s">
        <v>7015</v>
      </c>
      <c r="AO699" t="s">
        <v>5453</v>
      </c>
    </row>
    <row r="700" spans="4:41">
      <c r="D700" s="7" t="s">
        <v>404</v>
      </c>
      <c r="E700" s="7" t="s">
        <v>7015</v>
      </c>
      <c r="AO700" t="s">
        <v>5458</v>
      </c>
    </row>
    <row r="701" spans="4:41">
      <c r="D701" s="7" t="s">
        <v>502</v>
      </c>
      <c r="E701" s="7"/>
      <c r="AO701" t="s">
        <v>5463</v>
      </c>
    </row>
    <row r="702" spans="4:41">
      <c r="D702" s="7" t="s">
        <v>490</v>
      </c>
      <c r="E702" s="7"/>
      <c r="AO702" t="s">
        <v>5468</v>
      </c>
    </row>
    <row r="703" spans="4:41">
      <c r="D703" s="7" t="s">
        <v>522</v>
      </c>
      <c r="E703" s="7"/>
      <c r="AO703" t="s">
        <v>5473</v>
      </c>
    </row>
    <row r="704" spans="4:41">
      <c r="D704" t="s">
        <v>6986</v>
      </c>
      <c r="E704" s="7" t="s">
        <v>7015</v>
      </c>
      <c r="AO704" t="s">
        <v>5478</v>
      </c>
    </row>
    <row r="705" spans="4:41">
      <c r="D705" s="7" t="s">
        <v>438</v>
      </c>
      <c r="E705" s="7"/>
      <c r="AO705" t="s">
        <v>5483</v>
      </c>
    </row>
    <row r="706" spans="4:41">
      <c r="D706" s="7" t="s">
        <v>1910</v>
      </c>
      <c r="E706" s="7"/>
      <c r="AO706" t="s">
        <v>5488</v>
      </c>
    </row>
    <row r="707" spans="4:41">
      <c r="D707" t="s">
        <v>6940</v>
      </c>
      <c r="E707" s="7" t="s">
        <v>7015</v>
      </c>
      <c r="AO707" t="s">
        <v>5493</v>
      </c>
    </row>
    <row r="708" spans="4:41">
      <c r="D708" s="7" t="s">
        <v>2085</v>
      </c>
      <c r="E708" s="7" t="s">
        <v>7015</v>
      </c>
      <c r="AO708" t="s">
        <v>5498</v>
      </c>
    </row>
    <row r="709" spans="4:41">
      <c r="D709" s="7" t="s">
        <v>576</v>
      </c>
      <c r="E709" s="7" t="s">
        <v>7015</v>
      </c>
      <c r="AO709" t="s">
        <v>5503</v>
      </c>
    </row>
    <row r="710" spans="4:41">
      <c r="D710" s="7" t="s">
        <v>575</v>
      </c>
      <c r="E710" s="7" t="s">
        <v>7015</v>
      </c>
      <c r="AO710" t="s">
        <v>5508</v>
      </c>
    </row>
    <row r="711" spans="4:41">
      <c r="D711" s="7" t="s">
        <v>567</v>
      </c>
      <c r="E711" s="7"/>
      <c r="AO711" t="s">
        <v>5513</v>
      </c>
    </row>
    <row r="712" spans="4:41">
      <c r="D712" s="7" t="s">
        <v>2087</v>
      </c>
      <c r="E712" s="7" t="s">
        <v>7015</v>
      </c>
      <c r="AO712" t="s">
        <v>5517</v>
      </c>
    </row>
    <row r="713" spans="4:41">
      <c r="D713" s="7" t="s">
        <v>2159</v>
      </c>
      <c r="E713" s="7" t="s">
        <v>7015</v>
      </c>
      <c r="AO713" t="s">
        <v>5522</v>
      </c>
    </row>
    <row r="714" spans="4:41">
      <c r="D714" s="7" t="s">
        <v>504</v>
      </c>
      <c r="E714" s="7" t="s">
        <v>7015</v>
      </c>
      <c r="AO714" t="s">
        <v>5527</v>
      </c>
    </row>
    <row r="715" spans="4:41">
      <c r="D715" t="s">
        <v>6972</v>
      </c>
      <c r="E715" s="7" t="s">
        <v>7015</v>
      </c>
      <c r="AO715" t="s">
        <v>5532</v>
      </c>
    </row>
    <row r="716" spans="4:41">
      <c r="D716" s="7" t="s">
        <v>464</v>
      </c>
      <c r="E716" s="7" t="s">
        <v>7015</v>
      </c>
      <c r="AO716" t="s">
        <v>5537</v>
      </c>
    </row>
    <row r="717" spans="4:41">
      <c r="D717" s="7" t="s">
        <v>635</v>
      </c>
      <c r="E717" s="7"/>
      <c r="AO717" t="s">
        <v>5542</v>
      </c>
    </row>
    <row r="718" spans="4:41">
      <c r="D718" s="7" t="s">
        <v>182</v>
      </c>
      <c r="E718" s="7"/>
      <c r="AO718" t="s">
        <v>5547</v>
      </c>
    </row>
    <row r="719" spans="4:41">
      <c r="D719" s="9" t="s">
        <v>166</v>
      </c>
      <c r="E719" s="7" t="s">
        <v>7015</v>
      </c>
      <c r="AO719" t="s">
        <v>5552</v>
      </c>
    </row>
    <row r="720" spans="4:41">
      <c r="D720" s="7" t="s">
        <v>634</v>
      </c>
      <c r="E720" s="7" t="s">
        <v>7015</v>
      </c>
      <c r="AO720" t="s">
        <v>5557</v>
      </c>
    </row>
    <row r="721" spans="4:41">
      <c r="D721" t="s">
        <v>6956</v>
      </c>
      <c r="E721" s="7" t="s">
        <v>7015</v>
      </c>
      <c r="AO721" t="s">
        <v>5562</v>
      </c>
    </row>
    <row r="722" spans="4:41">
      <c r="D722" s="7" t="s">
        <v>371</v>
      </c>
      <c r="E722" s="7"/>
      <c r="AO722" t="s">
        <v>5567</v>
      </c>
    </row>
    <row r="723" spans="4:41">
      <c r="D723" s="7" t="s">
        <v>1124</v>
      </c>
      <c r="E723" s="7"/>
      <c r="AO723" t="s">
        <v>5572</v>
      </c>
    </row>
    <row r="724" spans="4:41">
      <c r="D724" s="7" t="s">
        <v>364</v>
      </c>
      <c r="E724" s="7" t="s">
        <v>7015</v>
      </c>
      <c r="AO724" t="s">
        <v>5577</v>
      </c>
    </row>
    <row r="725" spans="4:41">
      <c r="D725" s="7" t="s">
        <v>1112</v>
      </c>
      <c r="E725" s="7"/>
      <c r="AO725" t="s">
        <v>5582</v>
      </c>
    </row>
    <row r="726" spans="4:41">
      <c r="D726" s="7" t="s">
        <v>1092</v>
      </c>
      <c r="E726" s="7"/>
      <c r="AO726" t="s">
        <v>5587</v>
      </c>
    </row>
    <row r="727" spans="4:41">
      <c r="D727" s="7" t="s">
        <v>2179</v>
      </c>
      <c r="E727" s="7"/>
      <c r="AO727" t="s">
        <v>5592</v>
      </c>
    </row>
    <row r="728" spans="4:41">
      <c r="D728" s="7" t="s">
        <v>2181</v>
      </c>
      <c r="E728" s="7" t="s">
        <v>7015</v>
      </c>
      <c r="AO728" t="s">
        <v>5597</v>
      </c>
    </row>
    <row r="729" spans="4:41">
      <c r="D729" s="7" t="s">
        <v>417</v>
      </c>
      <c r="E729" s="7" t="s">
        <v>7015</v>
      </c>
      <c r="AO729" t="s">
        <v>5602</v>
      </c>
    </row>
    <row r="730" spans="4:41">
      <c r="D730" s="7" t="s">
        <v>1042</v>
      </c>
      <c r="E730" s="7" t="s">
        <v>7015</v>
      </c>
      <c r="AO730" t="s">
        <v>5607</v>
      </c>
    </row>
    <row r="731" spans="4:41">
      <c r="D731" s="7" t="s">
        <v>470</v>
      </c>
      <c r="E731" s="7" t="s">
        <v>7015</v>
      </c>
      <c r="AO731" t="s">
        <v>5612</v>
      </c>
    </row>
    <row r="732" spans="4:41">
      <c r="D732" s="7" t="s">
        <v>1338</v>
      </c>
      <c r="E732" s="7"/>
      <c r="AO732" t="s">
        <v>5617</v>
      </c>
    </row>
    <row r="733" spans="4:41">
      <c r="D733" s="7" t="s">
        <v>1480</v>
      </c>
      <c r="E733" s="7"/>
      <c r="AO733" t="s">
        <v>5622</v>
      </c>
    </row>
    <row r="734" spans="4:41">
      <c r="D734" s="7" t="s">
        <v>1440</v>
      </c>
      <c r="E734" s="7"/>
      <c r="AO734" t="s">
        <v>5627</v>
      </c>
    </row>
    <row r="735" spans="4:41">
      <c r="D735" s="7" t="s">
        <v>1556</v>
      </c>
      <c r="E735" s="7"/>
      <c r="AO735" t="s">
        <v>5632</v>
      </c>
    </row>
    <row r="736" spans="4:41">
      <c r="D736" s="7" t="s">
        <v>1218</v>
      </c>
      <c r="E736" s="7"/>
      <c r="AO736" t="s">
        <v>5637</v>
      </c>
    </row>
    <row r="737" spans="4:41">
      <c r="D737" s="7" t="s">
        <v>1654</v>
      </c>
      <c r="E737" s="7"/>
      <c r="AO737" t="s">
        <v>5642</v>
      </c>
    </row>
    <row r="738" spans="4:41">
      <c r="D738" s="7" t="s">
        <v>1366</v>
      </c>
      <c r="E738" s="7"/>
      <c r="AO738" t="s">
        <v>5647</v>
      </c>
    </row>
    <row r="739" spans="4:41">
      <c r="D739" t="s">
        <v>6974</v>
      </c>
      <c r="E739" s="7" t="s">
        <v>7015</v>
      </c>
      <c r="AO739" t="s">
        <v>5652</v>
      </c>
    </row>
    <row r="740" spans="4:41">
      <c r="D740" s="7" t="s">
        <v>501</v>
      </c>
      <c r="E740" s="7" t="s">
        <v>7015</v>
      </c>
      <c r="AO740" t="s">
        <v>5657</v>
      </c>
    </row>
    <row r="741" spans="4:41">
      <c r="D741" s="7" t="s">
        <v>513</v>
      </c>
      <c r="E741" s="7" t="s">
        <v>7015</v>
      </c>
      <c r="AO741" t="s">
        <v>5662</v>
      </c>
    </row>
    <row r="742" spans="4:41">
      <c r="D742" s="7" t="s">
        <v>495</v>
      </c>
      <c r="E742" s="7" t="s">
        <v>7015</v>
      </c>
      <c r="AO742" t="s">
        <v>5666</v>
      </c>
    </row>
    <row r="743" spans="4:41">
      <c r="D743" s="7" t="s">
        <v>970</v>
      </c>
      <c r="E743" s="7"/>
      <c r="AO743" t="s">
        <v>5671</v>
      </c>
    </row>
    <row r="744" spans="4:41">
      <c r="D744" s="7" t="s">
        <v>1748</v>
      </c>
      <c r="E744" s="7"/>
      <c r="AO744" t="s">
        <v>5676</v>
      </c>
    </row>
    <row r="745" spans="4:41">
      <c r="D745" s="7" t="s">
        <v>958</v>
      </c>
      <c r="E745" s="7"/>
      <c r="AO745" t="s">
        <v>5681</v>
      </c>
    </row>
    <row r="746" spans="4:41">
      <c r="D746" s="7" t="s">
        <v>1134</v>
      </c>
      <c r="E746" s="7"/>
      <c r="AO746" t="s">
        <v>5686</v>
      </c>
    </row>
    <row r="747" spans="4:41">
      <c r="D747" s="7" t="s">
        <v>1778</v>
      </c>
      <c r="E747" s="7"/>
      <c r="AO747" t="s">
        <v>5691</v>
      </c>
    </row>
    <row r="748" spans="4:41">
      <c r="D748" s="7" t="s">
        <v>1002</v>
      </c>
      <c r="E748" s="7"/>
      <c r="AO748" t="s">
        <v>5695</v>
      </c>
    </row>
    <row r="749" spans="4:41">
      <c r="D749" s="7" t="s">
        <v>1196</v>
      </c>
      <c r="E749" s="7"/>
      <c r="AO749" t="s">
        <v>5700</v>
      </c>
    </row>
    <row r="750" spans="4:41">
      <c r="D750" s="7" t="s">
        <v>1806</v>
      </c>
      <c r="E750" s="7"/>
      <c r="AO750" t="s">
        <v>5705</v>
      </c>
    </row>
    <row r="751" spans="4:41">
      <c r="D751" s="7" t="s">
        <v>938</v>
      </c>
      <c r="E751" s="7"/>
      <c r="AO751" t="s">
        <v>5710</v>
      </c>
    </row>
    <row r="752" spans="4:41">
      <c r="D752" s="7" t="s">
        <v>1100</v>
      </c>
      <c r="E752" s="7"/>
      <c r="AO752" t="s">
        <v>5715</v>
      </c>
    </row>
    <row r="753" spans="4:41">
      <c r="D753" s="7" t="s">
        <v>918</v>
      </c>
      <c r="E753" s="7"/>
      <c r="AO753" t="s">
        <v>5720</v>
      </c>
    </row>
    <row r="754" spans="4:41">
      <c r="D754" s="7" t="s">
        <v>1178</v>
      </c>
      <c r="E754" s="7"/>
      <c r="AO754" t="s">
        <v>5725</v>
      </c>
    </row>
    <row r="755" spans="4:41">
      <c r="D755" s="7" t="s">
        <v>982</v>
      </c>
      <c r="E755" s="7"/>
      <c r="AO755" t="s">
        <v>5730</v>
      </c>
    </row>
    <row r="756" spans="4:41">
      <c r="D756" s="7" t="s">
        <v>946</v>
      </c>
      <c r="E756" s="7"/>
      <c r="AO756" t="s">
        <v>5734</v>
      </c>
    </row>
    <row r="757" spans="4:41">
      <c r="D757" s="7" t="s">
        <v>1162</v>
      </c>
      <c r="E757" s="7"/>
      <c r="AO757" t="s">
        <v>5739</v>
      </c>
    </row>
    <row r="758" spans="4:41">
      <c r="D758" s="7" t="s">
        <v>1716</v>
      </c>
      <c r="E758" s="7"/>
      <c r="AO758" t="s">
        <v>5744</v>
      </c>
    </row>
    <row r="759" spans="4:41">
      <c r="D759" s="7" t="s">
        <v>619</v>
      </c>
      <c r="E759" s="7" t="s">
        <v>7015</v>
      </c>
      <c r="AO759" t="s">
        <v>5749</v>
      </c>
    </row>
    <row r="760" spans="4:41">
      <c r="D760" s="7" t="s">
        <v>607</v>
      </c>
      <c r="E760" s="7"/>
      <c r="AO760" t="s">
        <v>5754</v>
      </c>
    </row>
    <row r="761" spans="4:41">
      <c r="D761" s="7" t="s">
        <v>609</v>
      </c>
      <c r="E761" s="7"/>
      <c r="AO761" t="s">
        <v>5758</v>
      </c>
    </row>
    <row r="762" spans="4:41">
      <c r="D762" s="7" t="s">
        <v>1794</v>
      </c>
      <c r="E762" s="7"/>
      <c r="AO762" t="s">
        <v>5763</v>
      </c>
    </row>
    <row r="763" spans="4:41">
      <c r="D763" s="7" t="s">
        <v>926</v>
      </c>
      <c r="E763" s="7"/>
      <c r="AO763" t="s">
        <v>5768</v>
      </c>
    </row>
    <row r="764" spans="4:41">
      <c r="D764" s="7" t="s">
        <v>1704</v>
      </c>
      <c r="E764" s="7"/>
      <c r="AO764" t="s">
        <v>5772</v>
      </c>
    </row>
    <row r="765" spans="4:41">
      <c r="D765" s="7" t="s">
        <v>1110</v>
      </c>
      <c r="E765" s="7"/>
      <c r="AO765" t="s">
        <v>5777</v>
      </c>
    </row>
    <row r="766" spans="4:41">
      <c r="D766" s="7" t="s">
        <v>1766</v>
      </c>
      <c r="E766" s="7"/>
      <c r="AO766" t="s">
        <v>5782</v>
      </c>
    </row>
    <row r="767" spans="4:41">
      <c r="D767" s="7" t="s">
        <v>992</v>
      </c>
      <c r="E767" s="7"/>
      <c r="AO767" t="s">
        <v>5787</v>
      </c>
    </row>
    <row r="768" spans="4:41">
      <c r="D768" s="7" t="s">
        <v>1150</v>
      </c>
      <c r="E768" s="7"/>
      <c r="AO768" t="s">
        <v>5791</v>
      </c>
    </row>
    <row r="769" spans="4:41">
      <c r="D769" s="7" t="s">
        <v>612</v>
      </c>
      <c r="E769" s="7" t="s">
        <v>7015</v>
      </c>
      <c r="AO769" t="s">
        <v>5796</v>
      </c>
    </row>
    <row r="770" spans="4:41">
      <c r="D770" s="18" t="s">
        <v>36</v>
      </c>
      <c r="E770" s="7" t="s">
        <v>7015</v>
      </c>
      <c r="AO770" t="s">
        <v>5801</v>
      </c>
    </row>
    <row r="771" spans="4:41">
      <c r="D771" s="7" t="s">
        <v>1126</v>
      </c>
      <c r="E771" s="7" t="s">
        <v>7015</v>
      </c>
      <c r="AO771" t="s">
        <v>5806</v>
      </c>
    </row>
    <row r="772" spans="4:41">
      <c r="D772" s="7" t="s">
        <v>1034</v>
      </c>
      <c r="E772" s="7" t="s">
        <v>7015</v>
      </c>
      <c r="AO772" t="s">
        <v>5811</v>
      </c>
    </row>
    <row r="773" spans="4:41">
      <c r="D773" s="7" t="s">
        <v>247</v>
      </c>
      <c r="E773" s="7" t="s">
        <v>7015</v>
      </c>
      <c r="AO773" t="s">
        <v>5816</v>
      </c>
    </row>
    <row r="774" spans="4:41">
      <c r="D774" s="7" t="s">
        <v>231</v>
      </c>
      <c r="E774" s="7" t="s">
        <v>7015</v>
      </c>
      <c r="AO774" t="s">
        <v>5820</v>
      </c>
    </row>
    <row r="775" spans="4:41">
      <c r="D775" s="7" t="s">
        <v>423</v>
      </c>
      <c r="E775" s="7"/>
      <c r="AO775" t="s">
        <v>5824</v>
      </c>
    </row>
    <row r="776" spans="4:41">
      <c r="D776" s="7" t="s">
        <v>6376</v>
      </c>
      <c r="E776" s="7"/>
      <c r="AO776" t="s">
        <v>5828</v>
      </c>
    </row>
    <row r="777" spans="4:41">
      <c r="D777" s="7" t="s">
        <v>2135</v>
      </c>
      <c r="E777" s="7" t="s">
        <v>7015</v>
      </c>
      <c r="AO777" t="s">
        <v>5832</v>
      </c>
    </row>
    <row r="778" spans="4:41">
      <c r="D778" s="7" t="s">
        <v>521</v>
      </c>
      <c r="E778" s="7"/>
      <c r="AO778" t="s">
        <v>5836</v>
      </c>
    </row>
    <row r="779" spans="4:41">
      <c r="D779" s="7" t="s">
        <v>1074</v>
      </c>
      <c r="E779" s="7" t="s">
        <v>7015</v>
      </c>
      <c r="AO779" t="s">
        <v>5840</v>
      </c>
    </row>
    <row r="780" spans="4:41">
      <c r="D780" s="7" t="s">
        <v>1612</v>
      </c>
      <c r="E780" s="7" t="s">
        <v>7015</v>
      </c>
      <c r="AO780" t="s">
        <v>5845</v>
      </c>
    </row>
    <row r="781" spans="4:41">
      <c r="D781" s="7" t="s">
        <v>483</v>
      </c>
      <c r="E781" s="7"/>
      <c r="AO781" t="s">
        <v>5850</v>
      </c>
    </row>
    <row r="782" spans="4:41">
      <c r="D782" s="7" t="s">
        <v>396</v>
      </c>
      <c r="E782" s="7"/>
      <c r="AO782" t="s">
        <v>5854</v>
      </c>
    </row>
    <row r="783" spans="4:41">
      <c r="D783" s="7" t="s">
        <v>373</v>
      </c>
      <c r="E783" s="7" t="s">
        <v>7015</v>
      </c>
      <c r="AO783" t="s">
        <v>5857</v>
      </c>
    </row>
    <row r="784" spans="4:41">
      <c r="D784" s="7" t="s">
        <v>1918</v>
      </c>
      <c r="E784" s="7"/>
      <c r="AO784" t="s">
        <v>5861</v>
      </c>
    </row>
    <row r="785" spans="4:41">
      <c r="D785" s="7" t="s">
        <v>426</v>
      </c>
      <c r="E785" s="7" t="s">
        <v>7015</v>
      </c>
      <c r="AO785" t="s">
        <v>5865</v>
      </c>
    </row>
    <row r="786" spans="4:41">
      <c r="D786" s="7" t="s">
        <v>1967</v>
      </c>
      <c r="E786" s="7"/>
      <c r="AO786" t="s">
        <v>5869</v>
      </c>
    </row>
    <row r="787" spans="4:41">
      <c r="D787" s="7" t="s">
        <v>2045</v>
      </c>
      <c r="E787" s="7" t="s">
        <v>7015</v>
      </c>
      <c r="AO787" t="s">
        <v>5874</v>
      </c>
    </row>
    <row r="788" spans="4:41">
      <c r="D788" s="7" t="s">
        <v>477</v>
      </c>
      <c r="E788" s="7"/>
      <c r="AO788" t="s">
        <v>5878</v>
      </c>
    </row>
    <row r="789" spans="4:41">
      <c r="D789" s="7" t="s">
        <v>1332</v>
      </c>
      <c r="E789" s="7"/>
      <c r="AO789" t="s">
        <v>5882</v>
      </c>
    </row>
    <row r="790" spans="4:41">
      <c r="D790" s="7" t="s">
        <v>1632</v>
      </c>
      <c r="E790" s="7" t="s">
        <v>7015</v>
      </c>
      <c r="AO790" t="s">
        <v>5887</v>
      </c>
    </row>
    <row r="791" spans="4:41">
      <c r="D791" s="7" t="s">
        <v>1388</v>
      </c>
      <c r="E791" s="7"/>
      <c r="AO791" t="s">
        <v>5892</v>
      </c>
    </row>
    <row r="792" spans="4:41">
      <c r="D792" s="7" t="s">
        <v>1600</v>
      </c>
      <c r="E792" s="7"/>
      <c r="AO792" t="s">
        <v>5897</v>
      </c>
    </row>
    <row r="793" spans="4:41">
      <c r="D793" s="7" t="s">
        <v>1474</v>
      </c>
      <c r="E793" s="7"/>
      <c r="AO793" t="s">
        <v>5902</v>
      </c>
    </row>
    <row r="794" spans="4:41">
      <c r="D794" s="7" t="s">
        <v>542</v>
      </c>
      <c r="E794" s="7"/>
      <c r="AO794" t="s">
        <v>5907</v>
      </c>
    </row>
    <row r="795" spans="4:41">
      <c r="D795" s="7" t="s">
        <v>1656</v>
      </c>
      <c r="E795" s="7"/>
      <c r="AO795" t="s">
        <v>5912</v>
      </c>
    </row>
    <row r="796" spans="4:41">
      <c r="D796" s="7" t="s">
        <v>1434</v>
      </c>
      <c r="E796" s="7"/>
      <c r="AO796" t="s">
        <v>5916</v>
      </c>
    </row>
    <row r="797" spans="4:41">
      <c r="D797" s="7" t="s">
        <v>1358</v>
      </c>
      <c r="E797" s="7"/>
      <c r="AO797" t="s">
        <v>5921</v>
      </c>
    </row>
    <row r="798" spans="4:41">
      <c r="D798" s="7" t="s">
        <v>1554</v>
      </c>
      <c r="E798" s="7"/>
      <c r="AO798" t="s">
        <v>5925</v>
      </c>
    </row>
    <row r="799" spans="4:41">
      <c r="D799" s="7" t="s">
        <v>1220</v>
      </c>
      <c r="E799" s="7"/>
      <c r="AO799" t="s">
        <v>5929</v>
      </c>
    </row>
    <row r="800" spans="4:41">
      <c r="D800" s="7" t="s">
        <v>558</v>
      </c>
      <c r="E800" s="7"/>
      <c r="AO800" t="s">
        <v>5934</v>
      </c>
    </row>
    <row r="801" spans="4:41">
      <c r="D801" s="7" t="s">
        <v>569</v>
      </c>
      <c r="E801" s="7" t="s">
        <v>7015</v>
      </c>
      <c r="AO801" t="s">
        <v>5939</v>
      </c>
    </row>
    <row r="802" spans="4:41">
      <c r="D802" s="9" t="s">
        <v>385</v>
      </c>
      <c r="E802" s="9"/>
      <c r="AO802" t="s">
        <v>5944</v>
      </c>
    </row>
    <row r="803" spans="4:41">
      <c r="D803" s="7" t="s">
        <v>1082</v>
      </c>
      <c r="E803" s="7" t="s">
        <v>7015</v>
      </c>
      <c r="AO803" t="s">
        <v>5949</v>
      </c>
    </row>
    <row r="804" spans="4:41">
      <c r="D804" t="s">
        <v>6936</v>
      </c>
      <c r="E804" s="7" t="s">
        <v>7015</v>
      </c>
      <c r="AO804" t="s">
        <v>5954</v>
      </c>
    </row>
    <row r="805" spans="4:41">
      <c r="D805" s="7" t="s">
        <v>503</v>
      </c>
      <c r="E805" s="7" t="s">
        <v>7015</v>
      </c>
      <c r="AO805" t="s">
        <v>5959</v>
      </c>
    </row>
    <row r="806" spans="4:41">
      <c r="D806" s="7" t="s">
        <v>1650</v>
      </c>
      <c r="E806" s="7" t="s">
        <v>7015</v>
      </c>
      <c r="AO806" t="s">
        <v>5964</v>
      </c>
    </row>
    <row r="807" spans="4:41">
      <c r="D807" s="7" t="s">
        <v>1300</v>
      </c>
      <c r="E807" s="7" t="s">
        <v>7015</v>
      </c>
      <c r="AO807" t="s">
        <v>5969</v>
      </c>
    </row>
    <row r="808" spans="4:41">
      <c r="D808" s="7" t="s">
        <v>1420</v>
      </c>
      <c r="E808" s="7"/>
      <c r="AO808" t="s">
        <v>5974</v>
      </c>
    </row>
    <row r="809" spans="4:41">
      <c r="D809" s="7" t="s">
        <v>1528</v>
      </c>
      <c r="E809" s="7" t="s">
        <v>7015</v>
      </c>
      <c r="AO809" t="s">
        <v>5978</v>
      </c>
    </row>
    <row r="810" spans="4:41">
      <c r="D810" s="7" t="s">
        <v>1252</v>
      </c>
      <c r="E810" s="7"/>
      <c r="AO810" t="s">
        <v>5982</v>
      </c>
    </row>
    <row r="811" spans="4:41">
      <c r="D811" s="7" t="s">
        <v>1334</v>
      </c>
      <c r="E811" s="7"/>
      <c r="AO811" t="s">
        <v>5987</v>
      </c>
    </row>
    <row r="812" spans="4:41">
      <c r="D812" s="7" t="s">
        <v>1464</v>
      </c>
      <c r="E812" s="7"/>
      <c r="AO812" t="s">
        <v>5992</v>
      </c>
    </row>
    <row r="813" spans="4:41">
      <c r="D813" s="7" t="s">
        <v>1536</v>
      </c>
      <c r="E813" s="7"/>
      <c r="AO813" t="s">
        <v>5997</v>
      </c>
    </row>
    <row r="814" spans="4:41">
      <c r="D814" s="7" t="s">
        <v>4980</v>
      </c>
      <c r="E814" s="7"/>
      <c r="AO814" t="s">
        <v>6002</v>
      </c>
    </row>
    <row r="815" spans="4:41">
      <c r="D815" s="7" t="s">
        <v>4230</v>
      </c>
      <c r="E815" s="7"/>
      <c r="AO815" t="s">
        <v>6007</v>
      </c>
    </row>
    <row r="816" spans="4:41">
      <c r="D816" s="7" t="s">
        <v>4740</v>
      </c>
      <c r="E816" s="7"/>
      <c r="AO816" t="s">
        <v>6012</v>
      </c>
    </row>
    <row r="817" spans="4:41">
      <c r="D817" s="7" t="s">
        <v>4435</v>
      </c>
      <c r="E817" s="7"/>
      <c r="AO817" t="s">
        <v>6017</v>
      </c>
    </row>
    <row r="818" spans="4:41">
      <c r="D818" s="7" t="s">
        <v>1488</v>
      </c>
      <c r="E818" s="7"/>
      <c r="AO818" t="s">
        <v>6022</v>
      </c>
    </row>
    <row r="819" spans="4:41">
      <c r="D819" s="7" t="s">
        <v>1588</v>
      </c>
      <c r="E819" s="7" t="s">
        <v>7015</v>
      </c>
      <c r="AO819" t="s">
        <v>6027</v>
      </c>
    </row>
    <row r="820" spans="4:41">
      <c r="D820" s="7" t="s">
        <v>1272</v>
      </c>
      <c r="E820" s="7"/>
      <c r="AO820" t="s">
        <v>6032</v>
      </c>
    </row>
    <row r="821" spans="4:41">
      <c r="D821" s="7" t="s">
        <v>1682</v>
      </c>
      <c r="E821" s="7" t="s">
        <v>7015</v>
      </c>
      <c r="AO821" t="s">
        <v>6037</v>
      </c>
    </row>
    <row r="822" spans="4:41">
      <c r="D822" s="7" t="s">
        <v>1370</v>
      </c>
      <c r="E822" s="7"/>
      <c r="AO822" t="s">
        <v>6042</v>
      </c>
    </row>
    <row r="823" spans="4:41">
      <c r="D823" s="7" t="s">
        <v>1989</v>
      </c>
      <c r="E823" s="7" t="s">
        <v>7015</v>
      </c>
      <c r="AO823" t="s">
        <v>6047</v>
      </c>
    </row>
    <row r="824" spans="4:41">
      <c r="D824" s="7" t="s">
        <v>1858</v>
      </c>
      <c r="E824" s="7"/>
      <c r="AO824" t="s">
        <v>6052</v>
      </c>
    </row>
    <row r="825" spans="4:41">
      <c r="D825" t="s">
        <v>6984</v>
      </c>
      <c r="E825" s="7" t="s">
        <v>7015</v>
      </c>
      <c r="AO825" t="s">
        <v>6057</v>
      </c>
    </row>
    <row r="826" spans="4:41">
      <c r="D826" s="7" t="s">
        <v>1963</v>
      </c>
      <c r="E826" s="7" t="s">
        <v>7015</v>
      </c>
      <c r="AO826" t="s">
        <v>6061</v>
      </c>
    </row>
    <row r="827" spans="4:41">
      <c r="D827" s="7" t="s">
        <v>1943</v>
      </c>
      <c r="E827" s="7" t="s">
        <v>7015</v>
      </c>
      <c r="AO827" t="s">
        <v>6066</v>
      </c>
    </row>
    <row r="828" spans="4:41">
      <c r="D828" s="7" t="s">
        <v>2005</v>
      </c>
      <c r="E828" s="7"/>
      <c r="AO828" t="s">
        <v>6071</v>
      </c>
    </row>
    <row r="829" spans="4:41">
      <c r="D829" s="7" t="s">
        <v>407</v>
      </c>
      <c r="E829" s="7" t="s">
        <v>7015</v>
      </c>
      <c r="AO829" t="s">
        <v>6076</v>
      </c>
    </row>
    <row r="830" spans="4:41">
      <c r="D830" s="7" t="s">
        <v>414</v>
      </c>
      <c r="E830" s="7" t="s">
        <v>7015</v>
      </c>
      <c r="AO830" t="s">
        <v>6081</v>
      </c>
    </row>
    <row r="831" spans="4:41">
      <c r="D831" s="7" t="s">
        <v>1040</v>
      </c>
      <c r="E831" s="7"/>
      <c r="AO831" t="s">
        <v>6086</v>
      </c>
    </row>
    <row r="832" spans="4:41">
      <c r="D832" s="7" t="s">
        <v>1886</v>
      </c>
      <c r="E832" s="7" t="s">
        <v>7015</v>
      </c>
      <c r="AO832" t="s">
        <v>6091</v>
      </c>
    </row>
    <row r="833" spans="4:41">
      <c r="D833" s="7" t="s">
        <v>606</v>
      </c>
      <c r="E833" s="7"/>
      <c r="AO833" t="s">
        <v>6096</v>
      </c>
    </row>
    <row r="834" spans="4:41">
      <c r="D834" s="7" t="s">
        <v>439</v>
      </c>
      <c r="E834" s="7" t="s">
        <v>7015</v>
      </c>
      <c r="AO834" t="s">
        <v>6101</v>
      </c>
    </row>
    <row r="835" spans="4:41">
      <c r="D835" s="7" t="s">
        <v>1870</v>
      </c>
      <c r="E835" s="7"/>
      <c r="AO835" t="s">
        <v>6106</v>
      </c>
    </row>
    <row r="836" spans="4:41">
      <c r="D836" s="7" t="s">
        <v>368</v>
      </c>
      <c r="E836" s="7"/>
      <c r="AO836" t="s">
        <v>6111</v>
      </c>
    </row>
    <row r="837" spans="4:41">
      <c r="D837" s="7" t="s">
        <v>377</v>
      </c>
      <c r="E837" s="7"/>
      <c r="AO837" t="s">
        <v>6116</v>
      </c>
    </row>
    <row r="838" spans="4:41">
      <c r="D838" s="7" t="s">
        <v>360</v>
      </c>
      <c r="E838" s="7"/>
      <c r="AO838" t="s">
        <v>6121</v>
      </c>
    </row>
    <row r="839" spans="4:41">
      <c r="D839" s="7" t="s">
        <v>421</v>
      </c>
      <c r="E839" s="7" t="s">
        <v>7015</v>
      </c>
      <c r="AO839" t="s">
        <v>6126</v>
      </c>
    </row>
    <row r="840" spans="4:41">
      <c r="D840" s="7" t="s">
        <v>1902</v>
      </c>
      <c r="E840" s="7"/>
      <c r="AO840" t="s">
        <v>6131</v>
      </c>
    </row>
    <row r="841" spans="4:41">
      <c r="D841" s="7" t="s">
        <v>2201</v>
      </c>
      <c r="E841" s="7" t="s">
        <v>7015</v>
      </c>
      <c r="AO841" t="s">
        <v>6136</v>
      </c>
    </row>
    <row r="842" spans="4:41">
      <c r="D842" s="7" t="s">
        <v>1030</v>
      </c>
      <c r="E842" s="7" t="s">
        <v>7015</v>
      </c>
      <c r="AO842" t="s">
        <v>6140</v>
      </c>
    </row>
    <row r="843" spans="4:41">
      <c r="D843" s="7" t="s">
        <v>563</v>
      </c>
      <c r="E843" s="7" t="s">
        <v>7015</v>
      </c>
      <c r="AO843" t="s">
        <v>6145</v>
      </c>
    </row>
    <row r="844" spans="4:41">
      <c r="D844" s="7" t="s">
        <v>459</v>
      </c>
      <c r="E844" s="7"/>
      <c r="AO844" t="s">
        <v>6150</v>
      </c>
    </row>
    <row r="845" spans="4:41">
      <c r="D845" s="7" t="s">
        <v>69</v>
      </c>
      <c r="E845" s="7" t="s">
        <v>7015</v>
      </c>
      <c r="AO845" t="s">
        <v>6154</v>
      </c>
    </row>
    <row r="846" spans="4:41">
      <c r="D846" s="7" t="s">
        <v>2157</v>
      </c>
      <c r="E846" s="7"/>
      <c r="AO846" t="s">
        <v>6158</v>
      </c>
    </row>
    <row r="847" spans="4:41">
      <c r="D847" s="7" t="s">
        <v>1926</v>
      </c>
      <c r="E847" s="7" t="s">
        <v>7015</v>
      </c>
      <c r="AO847" t="s">
        <v>6163</v>
      </c>
    </row>
    <row r="848" spans="4:41">
      <c r="D848" s="7" t="s">
        <v>443</v>
      </c>
      <c r="E848" s="7"/>
      <c r="AO848" t="s">
        <v>6168</v>
      </c>
    </row>
    <row r="849" spans="4:41">
      <c r="D849" s="7" t="s">
        <v>473</v>
      </c>
      <c r="E849" s="7" t="s">
        <v>7015</v>
      </c>
      <c r="AO849" t="s">
        <v>6173</v>
      </c>
    </row>
    <row r="850" spans="4:41">
      <c r="D850" s="7" t="s">
        <v>1674</v>
      </c>
      <c r="E850" s="7" t="s">
        <v>7015</v>
      </c>
      <c r="AO850" t="s">
        <v>6178</v>
      </c>
    </row>
    <row r="851" spans="4:41">
      <c r="D851" s="7" t="s">
        <v>1594</v>
      </c>
      <c r="E851" s="7" t="s">
        <v>7015</v>
      </c>
      <c r="AO851" t="s">
        <v>6183</v>
      </c>
    </row>
    <row r="852" spans="4:41">
      <c r="D852" s="7" t="s">
        <v>1450</v>
      </c>
      <c r="E852" s="7"/>
      <c r="AO852" t="s">
        <v>6188</v>
      </c>
    </row>
    <row r="853" spans="4:41">
      <c r="D853" s="7" t="s">
        <v>1384</v>
      </c>
      <c r="E853" s="7"/>
      <c r="AO853" t="s">
        <v>6193</v>
      </c>
    </row>
    <row r="854" spans="4:41">
      <c r="D854" t="s">
        <v>6938</v>
      </c>
      <c r="E854" s="7" t="s">
        <v>7015</v>
      </c>
      <c r="AO854" t="s">
        <v>6198</v>
      </c>
    </row>
    <row r="855" spans="4:41">
      <c r="D855" s="7" t="s">
        <v>5082</v>
      </c>
      <c r="E855" s="7"/>
      <c r="AO855" t="s">
        <v>6203</v>
      </c>
    </row>
    <row r="856" spans="4:41">
      <c r="D856" s="7" t="s">
        <v>4461</v>
      </c>
      <c r="E856" s="7"/>
      <c r="AO856" t="s">
        <v>6208</v>
      </c>
    </row>
    <row r="857" spans="4:41">
      <c r="D857" s="7" t="s">
        <v>556</v>
      </c>
      <c r="E857" s="7"/>
      <c r="AO857" t="s">
        <v>6213</v>
      </c>
    </row>
    <row r="858" spans="4:41">
      <c r="D858" s="7" t="s">
        <v>4804</v>
      </c>
      <c r="E858" s="7"/>
      <c r="AO858" t="s">
        <v>6218</v>
      </c>
    </row>
    <row r="859" spans="4:41">
      <c r="D859" s="7" t="s">
        <v>1614</v>
      </c>
      <c r="E859" s="7" t="s">
        <v>7015</v>
      </c>
      <c r="AO859" t="s">
        <v>6223</v>
      </c>
    </row>
    <row r="860" spans="4:41">
      <c r="D860" s="7" t="s">
        <v>1330</v>
      </c>
      <c r="E860" s="7"/>
      <c r="AO860" t="s">
        <v>6228</v>
      </c>
    </row>
    <row r="861" spans="4:41">
      <c r="D861" s="7" t="s">
        <v>1496</v>
      </c>
      <c r="E861" s="7" t="s">
        <v>7015</v>
      </c>
      <c r="AO861" t="s">
        <v>6233</v>
      </c>
    </row>
    <row r="862" spans="4:41">
      <c r="D862" s="7" t="s">
        <v>1200</v>
      </c>
      <c r="E862" s="7"/>
      <c r="AO862" t="s">
        <v>6237</v>
      </c>
    </row>
    <row r="863" spans="4:41">
      <c r="D863" s="7" t="s">
        <v>1290</v>
      </c>
      <c r="E863" s="7"/>
      <c r="AO863" t="s">
        <v>6242</v>
      </c>
    </row>
    <row r="864" spans="4:41">
      <c r="D864" s="7" t="s">
        <v>544</v>
      </c>
      <c r="E864" s="7"/>
      <c r="AO864" t="s">
        <v>6247</v>
      </c>
    </row>
    <row r="865" spans="4:41">
      <c r="D865" s="7" t="s">
        <v>1244</v>
      </c>
      <c r="E865" s="7"/>
      <c r="AO865" t="s">
        <v>6252</v>
      </c>
    </row>
    <row r="866" spans="4:41">
      <c r="D866" s="7" t="s">
        <v>1346</v>
      </c>
      <c r="E866" s="7"/>
      <c r="AO866" t="s">
        <v>6256</v>
      </c>
    </row>
    <row r="867" spans="4:41">
      <c r="D867" s="7" t="s">
        <v>551</v>
      </c>
      <c r="E867" s="7"/>
      <c r="AO867" t="s">
        <v>6261</v>
      </c>
    </row>
    <row r="868" spans="4:41">
      <c r="D868" s="7" t="s">
        <v>1634</v>
      </c>
      <c r="E868" s="7" t="s">
        <v>7015</v>
      </c>
      <c r="AO868" t="s">
        <v>6266</v>
      </c>
    </row>
    <row r="869" spans="4:41">
      <c r="D869" s="7" t="s">
        <v>1422</v>
      </c>
      <c r="E869" s="7"/>
      <c r="AO869" t="s">
        <v>6271</v>
      </c>
    </row>
    <row r="870" spans="4:41">
      <c r="D870" s="7" t="s">
        <v>1318</v>
      </c>
      <c r="E870" s="7"/>
      <c r="AO870" t="s">
        <v>6275</v>
      </c>
    </row>
    <row r="871" spans="4:41">
      <c r="D871" s="7" t="s">
        <v>1320</v>
      </c>
      <c r="E871" s="7"/>
      <c r="AO871" t="s">
        <v>6280</v>
      </c>
    </row>
    <row r="872" spans="4:41">
      <c r="D872" s="7" t="s">
        <v>1454</v>
      </c>
      <c r="E872" s="7"/>
      <c r="AO872" t="s">
        <v>6285</v>
      </c>
    </row>
    <row r="873" spans="4:41">
      <c r="D873" s="7" t="s">
        <v>1514</v>
      </c>
      <c r="E873" s="7" t="s">
        <v>7015</v>
      </c>
      <c r="AO873" t="s">
        <v>6290</v>
      </c>
    </row>
    <row r="874" spans="4:41">
      <c r="D874" s="7" t="s">
        <v>1238</v>
      </c>
      <c r="E874" s="7"/>
      <c r="AO874" t="s">
        <v>6295</v>
      </c>
    </row>
    <row r="875" spans="4:41">
      <c r="D875" s="7" t="s">
        <v>1406</v>
      </c>
      <c r="E875" s="7"/>
      <c r="AO875" t="s">
        <v>6300</v>
      </c>
    </row>
    <row r="876" spans="4:41">
      <c r="D876" s="7" t="s">
        <v>1250</v>
      </c>
      <c r="E876" s="7"/>
      <c r="AO876" t="s">
        <v>6305</v>
      </c>
    </row>
    <row r="877" spans="4:41">
      <c r="D877" s="7" t="s">
        <v>1412</v>
      </c>
      <c r="E877" s="7"/>
      <c r="AO877" t="s">
        <v>6310</v>
      </c>
    </row>
    <row r="878" spans="4:41">
      <c r="D878" s="7" t="s">
        <v>1534</v>
      </c>
      <c r="E878" s="7" t="s">
        <v>7015</v>
      </c>
      <c r="AO878" t="s">
        <v>6315</v>
      </c>
    </row>
    <row r="879" spans="4:41">
      <c r="D879" s="7" t="s">
        <v>5041</v>
      </c>
      <c r="E879" s="7"/>
      <c r="AO879" t="s">
        <v>6320</v>
      </c>
    </row>
    <row r="880" spans="4:41">
      <c r="D880" s="7" t="s">
        <v>4355</v>
      </c>
      <c r="E880" s="7"/>
      <c r="AO880" t="s">
        <v>6325</v>
      </c>
    </row>
    <row r="881" spans="4:41">
      <c r="D881" s="7" t="s">
        <v>4762</v>
      </c>
      <c r="E881" s="7"/>
      <c r="AO881" t="s">
        <v>6330</v>
      </c>
    </row>
    <row r="882" spans="4:41">
      <c r="D882" s="7" t="s">
        <v>1504</v>
      </c>
      <c r="E882" s="7"/>
      <c r="AO882" t="s">
        <v>6335</v>
      </c>
    </row>
    <row r="883" spans="4:41">
      <c r="D883" s="7" t="s">
        <v>1208</v>
      </c>
      <c r="E883" s="7"/>
      <c r="AO883" t="s">
        <v>6340</v>
      </c>
    </row>
    <row r="884" spans="4:41">
      <c r="D884" s="7" t="s">
        <v>1394</v>
      </c>
      <c r="E884" s="7"/>
      <c r="AO884" t="s">
        <v>6345</v>
      </c>
    </row>
    <row r="885" spans="4:41">
      <c r="D885" s="7" t="s">
        <v>1282</v>
      </c>
      <c r="E885" s="7"/>
      <c r="AO885" t="s">
        <v>6349</v>
      </c>
    </row>
    <row r="886" spans="4:41">
      <c r="D886" s="7" t="s">
        <v>1628</v>
      </c>
      <c r="E886" s="7"/>
      <c r="AO886" t="s">
        <v>6354</v>
      </c>
    </row>
    <row r="887" spans="4:41">
      <c r="D887" s="7" t="s">
        <v>1460</v>
      </c>
      <c r="E887" s="7"/>
      <c r="AO887" t="s">
        <v>6359</v>
      </c>
    </row>
    <row r="888" spans="4:41">
      <c r="D888" s="7" t="s">
        <v>1310</v>
      </c>
      <c r="E888" s="7"/>
      <c r="AO888" t="s">
        <v>6364</v>
      </c>
    </row>
    <row r="889" spans="4:41">
      <c r="D889" s="7" t="s">
        <v>1642</v>
      </c>
      <c r="E889" s="7" t="s">
        <v>7015</v>
      </c>
      <c r="AO889" t="s">
        <v>6369</v>
      </c>
    </row>
    <row r="890" spans="4:41">
      <c r="D890" s="7" t="s">
        <v>312</v>
      </c>
      <c r="E890" s="7"/>
      <c r="AO890" t="s">
        <v>6374</v>
      </c>
    </row>
    <row r="891" spans="4:41">
      <c r="D891" s="7" t="s">
        <v>1574</v>
      </c>
      <c r="E891" s="7" t="s">
        <v>7015</v>
      </c>
      <c r="AO891" t="s">
        <v>6380</v>
      </c>
    </row>
    <row r="892" spans="4:41">
      <c r="D892" s="7" t="s">
        <v>1258</v>
      </c>
      <c r="E892" s="7" t="s">
        <v>7015</v>
      </c>
      <c r="AO892" t="s">
        <v>6385</v>
      </c>
    </row>
    <row r="893" spans="4:41">
      <c r="D893" s="7" t="s">
        <v>2235</v>
      </c>
      <c r="E893" s="7" t="s">
        <v>7015</v>
      </c>
      <c r="AO893" t="s">
        <v>6390</v>
      </c>
    </row>
    <row r="894" spans="4:41">
      <c r="D894" s="7" t="s">
        <v>1020</v>
      </c>
      <c r="E894" s="7"/>
      <c r="AO894" t="s">
        <v>6395</v>
      </c>
    </row>
    <row r="895" spans="4:41">
      <c r="D895" s="7" t="s">
        <v>633</v>
      </c>
      <c r="E895" s="7" t="s">
        <v>7015</v>
      </c>
      <c r="AO895" t="s">
        <v>6400</v>
      </c>
    </row>
    <row r="896" spans="4:41">
      <c r="D896" s="9" t="s">
        <v>530</v>
      </c>
      <c r="E896" s="7" t="s">
        <v>7015</v>
      </c>
      <c r="AO896" t="s">
        <v>6405</v>
      </c>
    </row>
    <row r="897" spans="4:41">
      <c r="D897" t="s">
        <v>6932</v>
      </c>
      <c r="E897" s="7" t="s">
        <v>7015</v>
      </c>
      <c r="AO897" t="s">
        <v>6410</v>
      </c>
    </row>
    <row r="898" spans="4:41">
      <c r="D898" s="7" t="s">
        <v>562</v>
      </c>
      <c r="E898" s="7" t="s">
        <v>7015</v>
      </c>
      <c r="AO898" t="s">
        <v>6415</v>
      </c>
    </row>
    <row r="899" spans="4:41">
      <c r="D899" s="7" t="s">
        <v>2119</v>
      </c>
      <c r="E899" s="7" t="s">
        <v>7015</v>
      </c>
      <c r="AO899" t="s">
        <v>6420</v>
      </c>
    </row>
    <row r="900" spans="4:41">
      <c r="D900" s="7" t="s">
        <v>2095</v>
      </c>
      <c r="E900" s="7" t="s">
        <v>7015</v>
      </c>
      <c r="AO900" t="s">
        <v>6425</v>
      </c>
    </row>
    <row r="901" spans="4:41">
      <c r="D901" s="7" t="s">
        <v>448</v>
      </c>
      <c r="E901" s="7"/>
      <c r="AO901" t="s">
        <v>6430</v>
      </c>
    </row>
    <row r="902" spans="4:41">
      <c r="D902" s="7" t="s">
        <v>2101</v>
      </c>
      <c r="E902" s="7" t="s">
        <v>7015</v>
      </c>
      <c r="AO902" t="s">
        <v>6435</v>
      </c>
    </row>
    <row r="903" spans="4:41">
      <c r="D903" s="7" t="s">
        <v>2071</v>
      </c>
      <c r="E903" s="7" t="s">
        <v>7015</v>
      </c>
      <c r="AO903" t="s">
        <v>6440</v>
      </c>
    </row>
    <row r="904" spans="4:41">
      <c r="D904" s="7" t="s">
        <v>2053</v>
      </c>
      <c r="E904" s="7" t="s">
        <v>7015</v>
      </c>
      <c r="AO904" t="s">
        <v>6445</v>
      </c>
    </row>
    <row r="905" spans="4:41">
      <c r="D905" s="7" t="s">
        <v>481</v>
      </c>
      <c r="E905" s="7" t="s">
        <v>7015</v>
      </c>
      <c r="AO905" t="s">
        <v>6450</v>
      </c>
    </row>
    <row r="906" spans="4:41">
      <c r="D906" s="7" t="s">
        <v>2097</v>
      </c>
      <c r="E906" s="7" t="s">
        <v>7015</v>
      </c>
      <c r="AO906" t="s">
        <v>6455</v>
      </c>
    </row>
    <row r="907" spans="4:41">
      <c r="D907" s="7" t="s">
        <v>372</v>
      </c>
      <c r="E907" s="7" t="s">
        <v>7015</v>
      </c>
      <c r="AO907" t="s">
        <v>6459</v>
      </c>
    </row>
    <row r="908" spans="4:41">
      <c r="D908" s="7" t="s">
        <v>390</v>
      </c>
      <c r="E908" s="7"/>
      <c r="AO908" t="s">
        <v>6463</v>
      </c>
    </row>
    <row r="909" spans="4:41">
      <c r="D909" s="7" t="s">
        <v>545</v>
      </c>
      <c r="E909" s="7" t="s">
        <v>7015</v>
      </c>
      <c r="AO909" t="s">
        <v>6468</v>
      </c>
    </row>
    <row r="910" spans="4:41">
      <c r="D910" s="7" t="s">
        <v>1274</v>
      </c>
      <c r="E910" s="7"/>
      <c r="AO910" t="s">
        <v>6473</v>
      </c>
    </row>
    <row r="911" spans="4:41">
      <c r="D911" s="7" t="s">
        <v>1590</v>
      </c>
      <c r="E911" s="7"/>
      <c r="AO911" t="s">
        <v>6478</v>
      </c>
    </row>
    <row r="912" spans="4:41">
      <c r="D912" s="7" t="s">
        <v>1376</v>
      </c>
      <c r="E912" s="7"/>
      <c r="AO912" t="s">
        <v>6483</v>
      </c>
    </row>
    <row r="913" spans="4:41">
      <c r="D913" s="7" t="s">
        <v>1676</v>
      </c>
      <c r="E913" s="7"/>
      <c r="AO913" t="s">
        <v>6488</v>
      </c>
    </row>
    <row r="914" spans="4:41">
      <c r="D914" s="7" t="s">
        <v>1028</v>
      </c>
      <c r="E914" s="7"/>
      <c r="AO914" t="s">
        <v>6493</v>
      </c>
    </row>
    <row r="915" spans="4:41">
      <c r="D915" s="7" t="s">
        <v>1062</v>
      </c>
      <c r="E915" s="7" t="s">
        <v>7015</v>
      </c>
      <c r="AO915" t="s">
        <v>6497</v>
      </c>
    </row>
    <row r="916" spans="4:41">
      <c r="D916" s="7" t="s">
        <v>2143</v>
      </c>
      <c r="E916" s="7" t="s">
        <v>7015</v>
      </c>
      <c r="AO916" t="s">
        <v>6501</v>
      </c>
    </row>
    <row r="917" spans="4:41">
      <c r="D917" t="s">
        <v>6942</v>
      </c>
      <c r="E917" s="7" t="s">
        <v>7015</v>
      </c>
      <c r="AO917" t="s">
        <v>6506</v>
      </c>
    </row>
    <row r="918" spans="4:41">
      <c r="D918" s="7" t="s">
        <v>2171</v>
      </c>
      <c r="E918" s="7"/>
      <c r="AO918" t="s">
        <v>6511</v>
      </c>
    </row>
    <row r="919" spans="4:41">
      <c r="D919" t="s">
        <v>6980</v>
      </c>
      <c r="E919" s="7" t="s">
        <v>7015</v>
      </c>
      <c r="AO919" t="s">
        <v>6516</v>
      </c>
    </row>
    <row r="920" spans="4:41">
      <c r="D920" s="7" t="s">
        <v>2103</v>
      </c>
      <c r="E920" s="7" t="s">
        <v>7015</v>
      </c>
      <c r="AO920" t="s">
        <v>6521</v>
      </c>
    </row>
    <row r="921" spans="4:41">
      <c r="D921" s="7" t="s">
        <v>493</v>
      </c>
      <c r="E921" s="7" t="s">
        <v>7015</v>
      </c>
      <c r="AO921" t="s">
        <v>6526</v>
      </c>
    </row>
    <row r="922" spans="4:41">
      <c r="D922" s="7" t="s">
        <v>479</v>
      </c>
      <c r="E922" s="7" t="s">
        <v>7015</v>
      </c>
      <c r="AO922" t="s">
        <v>6531</v>
      </c>
    </row>
    <row r="923" spans="4:41">
      <c r="D923" s="7" t="s">
        <v>2131</v>
      </c>
      <c r="E923" s="7" t="s">
        <v>7015</v>
      </c>
      <c r="AO923" t="s">
        <v>6536</v>
      </c>
    </row>
    <row r="924" spans="4:41">
      <c r="D924" t="s">
        <v>6970</v>
      </c>
      <c r="E924" s="7" t="s">
        <v>7015</v>
      </c>
      <c r="AO924" t="s">
        <v>6541</v>
      </c>
    </row>
    <row r="925" spans="4:41">
      <c r="D925" s="7" t="s">
        <v>1312</v>
      </c>
      <c r="E925" s="7"/>
      <c r="AO925" t="s">
        <v>6546</v>
      </c>
    </row>
    <row r="926" spans="4:41">
      <c r="D926" s="7" t="s">
        <v>2083</v>
      </c>
      <c r="E926" s="7" t="s">
        <v>7015</v>
      </c>
      <c r="AO926" t="s">
        <v>6551</v>
      </c>
    </row>
    <row r="927" spans="4:41">
      <c r="D927" s="7" t="s">
        <v>1920</v>
      </c>
      <c r="E927" s="7" t="s">
        <v>7015</v>
      </c>
      <c r="AO927" t="s">
        <v>6556</v>
      </c>
    </row>
    <row r="928" spans="4:41">
      <c r="D928" s="7" t="s">
        <v>630</v>
      </c>
      <c r="E928" s="7" t="s">
        <v>7015</v>
      </c>
      <c r="AO928" t="s">
        <v>6561</v>
      </c>
    </row>
    <row r="929" spans="4:41">
      <c r="D929" s="7" t="s">
        <v>497</v>
      </c>
      <c r="E929" s="7"/>
      <c r="AO929" t="s">
        <v>6566</v>
      </c>
    </row>
    <row r="930" spans="4:41">
      <c r="D930" s="7" t="s">
        <v>487</v>
      </c>
      <c r="E930" s="7"/>
      <c r="AO930" t="s">
        <v>6571</v>
      </c>
    </row>
    <row r="931" spans="4:41">
      <c r="D931" s="7" t="s">
        <v>485</v>
      </c>
      <c r="E931" s="7"/>
      <c r="AO931" t="s">
        <v>6576</v>
      </c>
    </row>
    <row r="932" spans="4:41">
      <c r="D932" s="7" t="s">
        <v>2017</v>
      </c>
      <c r="E932" s="7" t="s">
        <v>7015</v>
      </c>
      <c r="AO932" t="s">
        <v>6581</v>
      </c>
    </row>
    <row r="933" spans="4:41">
      <c r="D933" s="7" t="s">
        <v>436</v>
      </c>
      <c r="E933" s="7" t="s">
        <v>7015</v>
      </c>
      <c r="AO933" t="s">
        <v>6586</v>
      </c>
    </row>
    <row r="934" spans="4:41">
      <c r="D934" s="7" t="s">
        <v>405</v>
      </c>
      <c r="E934" s="7" t="s">
        <v>7015</v>
      </c>
      <c r="AO934" t="s">
        <v>6591</v>
      </c>
    </row>
    <row r="935" spans="4:41">
      <c r="D935" s="7" t="s">
        <v>295</v>
      </c>
      <c r="E935" s="7"/>
      <c r="AO935" t="s">
        <v>6596</v>
      </c>
    </row>
    <row r="936" spans="4:41">
      <c r="D936" s="7" t="s">
        <v>343</v>
      </c>
      <c r="E936" s="7" t="s">
        <v>7015</v>
      </c>
      <c r="AO936" t="s">
        <v>6601</v>
      </c>
    </row>
    <row r="937" spans="4:41">
      <c r="D937" t="s">
        <v>6992</v>
      </c>
      <c r="AO937" t="s">
        <v>6606</v>
      </c>
    </row>
    <row r="938" spans="4:41">
      <c r="D938" s="7" t="s">
        <v>199</v>
      </c>
      <c r="E938" s="7"/>
      <c r="AO938" t="s">
        <v>6611</v>
      </c>
    </row>
    <row r="939" spans="4:41">
      <c r="D939" s="7" t="s">
        <v>413</v>
      </c>
      <c r="E939" s="7" t="s">
        <v>7015</v>
      </c>
      <c r="AO939" t="s">
        <v>6616</v>
      </c>
    </row>
    <row r="940" spans="4:41">
      <c r="D940" s="7" t="s">
        <v>2043</v>
      </c>
      <c r="E940" s="7" t="s">
        <v>7015</v>
      </c>
      <c r="AO940" t="s">
        <v>6621</v>
      </c>
    </row>
    <row r="941" spans="4:41">
      <c r="D941" s="7" t="s">
        <v>2111</v>
      </c>
      <c r="E941" s="7"/>
      <c r="AO941" t="s">
        <v>6626</v>
      </c>
    </row>
    <row r="942" spans="4:41">
      <c r="D942" s="7" t="s">
        <v>2237</v>
      </c>
      <c r="E942" s="7"/>
      <c r="AO942" t="s">
        <v>6631</v>
      </c>
    </row>
    <row r="943" spans="4:41">
      <c r="D943" s="7" t="s">
        <v>524</v>
      </c>
      <c r="E943" s="7" t="s">
        <v>7015</v>
      </c>
      <c r="AO943" t="s">
        <v>6636</v>
      </c>
    </row>
    <row r="944" spans="4:41">
      <c r="D944" s="7" t="s">
        <v>2141</v>
      </c>
      <c r="E944" s="7"/>
      <c r="AO944" t="s">
        <v>6641</v>
      </c>
    </row>
    <row r="945" spans="4:41">
      <c r="D945" s="7" t="s">
        <v>387</v>
      </c>
      <c r="E945" s="7"/>
      <c r="AO945" t="s">
        <v>6646</v>
      </c>
    </row>
    <row r="946" spans="4:41">
      <c r="D946" s="7" t="s">
        <v>1014</v>
      </c>
      <c r="E946" s="7"/>
      <c r="AO946" t="s">
        <v>6651</v>
      </c>
    </row>
    <row r="947" spans="4:41">
      <c r="D947" s="7" t="s">
        <v>1484</v>
      </c>
      <c r="E947" s="7"/>
      <c r="AO947" t="s">
        <v>6656</v>
      </c>
    </row>
    <row r="948" spans="4:41">
      <c r="D948" s="7" t="s">
        <v>1442</v>
      </c>
      <c r="E948" s="7"/>
      <c r="AO948" t="s">
        <v>6661</v>
      </c>
    </row>
    <row r="949" spans="4:41">
      <c r="D949" s="7" t="s">
        <v>1568</v>
      </c>
      <c r="E949" s="7" t="s">
        <v>7015</v>
      </c>
      <c r="AO949" t="s">
        <v>6666</v>
      </c>
    </row>
    <row r="950" spans="4:41">
      <c r="D950" s="7" t="s">
        <v>1604</v>
      </c>
      <c r="E950" s="7" t="s">
        <v>7015</v>
      </c>
      <c r="AO950" t="s">
        <v>6671</v>
      </c>
    </row>
    <row r="951" spans="4:41">
      <c r="D951" s="7" t="s">
        <v>1664</v>
      </c>
      <c r="E951" s="7"/>
      <c r="AO951" t="s">
        <v>6676</v>
      </c>
    </row>
    <row r="952" spans="4:41">
      <c r="D952" s="7" t="s">
        <v>1232</v>
      </c>
      <c r="E952" s="7" t="s">
        <v>7015</v>
      </c>
      <c r="AO952" t="s">
        <v>6680</v>
      </c>
    </row>
    <row r="953" spans="4:41">
      <c r="D953" s="7" t="s">
        <v>1364</v>
      </c>
      <c r="E953" s="7" t="s">
        <v>7015</v>
      </c>
      <c r="AO953" t="s">
        <v>6685</v>
      </c>
    </row>
    <row r="954" spans="4:41">
      <c r="D954" s="7" t="s">
        <v>924</v>
      </c>
      <c r="E954" s="7"/>
      <c r="AO954" t="s">
        <v>6690</v>
      </c>
    </row>
    <row r="955" spans="4:41">
      <c r="D955" s="7" t="s">
        <v>948</v>
      </c>
      <c r="E955" s="7"/>
      <c r="AO955" t="s">
        <v>6695</v>
      </c>
    </row>
    <row r="956" spans="4:41">
      <c r="D956" s="7" t="s">
        <v>618</v>
      </c>
      <c r="E956" s="7" t="s">
        <v>7015</v>
      </c>
      <c r="AO956" t="s">
        <v>6700</v>
      </c>
    </row>
    <row r="957" spans="4:41">
      <c r="D957" s="7" t="s">
        <v>415</v>
      </c>
      <c r="E957" s="7"/>
      <c r="AO957" t="s">
        <v>6705</v>
      </c>
    </row>
    <row r="958" spans="4:41">
      <c r="D958" s="7" t="s">
        <v>85</v>
      </c>
      <c r="E958" s="7" t="s">
        <v>7015</v>
      </c>
      <c r="AO958" t="s">
        <v>6710</v>
      </c>
    </row>
    <row r="959" spans="4:41">
      <c r="D959" s="7" t="s">
        <v>2027</v>
      </c>
      <c r="E959" s="7" t="s">
        <v>7015</v>
      </c>
      <c r="AO959" t="s">
        <v>6715</v>
      </c>
    </row>
    <row r="960" spans="4:41">
      <c r="D960" s="7" t="s">
        <v>1908</v>
      </c>
      <c r="E960" s="7" t="s">
        <v>7015</v>
      </c>
      <c r="AO960" t="s">
        <v>6720</v>
      </c>
    </row>
    <row r="961" spans="4:41">
      <c r="D961" s="7" t="s">
        <v>410</v>
      </c>
      <c r="E961" s="7"/>
      <c r="AO961" t="s">
        <v>6725</v>
      </c>
    </row>
    <row r="962" spans="4:41">
      <c r="D962" s="7" t="s">
        <v>1260</v>
      </c>
      <c r="E962" s="7"/>
      <c r="AO962" t="s">
        <v>6730</v>
      </c>
    </row>
    <row r="963" spans="4:41">
      <c r="D963" s="7" t="s">
        <v>1386</v>
      </c>
      <c r="E963" s="7"/>
      <c r="AO963" t="s">
        <v>6735</v>
      </c>
    </row>
    <row r="964" spans="4:41">
      <c r="D964" s="7" t="s">
        <v>1576</v>
      </c>
      <c r="E964" s="7"/>
      <c r="AO964" t="s">
        <v>6740</v>
      </c>
    </row>
    <row r="965" spans="4:41">
      <c r="D965" s="7" t="s">
        <v>1690</v>
      </c>
      <c r="E965" s="7"/>
      <c r="AO965" t="s">
        <v>6745</v>
      </c>
    </row>
    <row r="966" spans="4:41">
      <c r="D966" s="7" t="s">
        <v>1336</v>
      </c>
      <c r="E966" s="7"/>
      <c r="AO966" t="s">
        <v>6750</v>
      </c>
    </row>
    <row r="967" spans="4:41">
      <c r="D967" s="7" t="s">
        <v>1518</v>
      </c>
      <c r="E967" s="7"/>
      <c r="AO967" t="s">
        <v>6755</v>
      </c>
    </row>
    <row r="968" spans="4:41">
      <c r="D968" s="7" t="s">
        <v>1428</v>
      </c>
      <c r="E968" s="7"/>
      <c r="AO968" t="s">
        <v>6760</v>
      </c>
    </row>
    <row r="969" spans="4:41">
      <c r="D969" s="7" t="s">
        <v>1616</v>
      </c>
      <c r="E969" s="7" t="s">
        <v>7015</v>
      </c>
      <c r="AO969" t="s">
        <v>6765</v>
      </c>
    </row>
    <row r="970" spans="4:41">
      <c r="D970" s="7" t="s">
        <v>134</v>
      </c>
      <c r="E970" s="7" t="s">
        <v>7015</v>
      </c>
      <c r="AO970" t="s">
        <v>6770</v>
      </c>
    </row>
    <row r="971" spans="4:41">
      <c r="D971" s="7" t="s">
        <v>1458</v>
      </c>
      <c r="E971" s="7"/>
      <c r="AO971" t="s">
        <v>6775</v>
      </c>
    </row>
    <row r="972" spans="4:41">
      <c r="D972" s="7" t="s">
        <v>1212</v>
      </c>
      <c r="E972" s="7"/>
      <c r="AO972" t="s">
        <v>6780</v>
      </c>
    </row>
    <row r="973" spans="4:41">
      <c r="D973" s="7" t="s">
        <v>1398</v>
      </c>
      <c r="E973" s="7" t="s">
        <v>7015</v>
      </c>
      <c r="AO973" t="s">
        <v>6784</v>
      </c>
    </row>
    <row r="974" spans="4:41">
      <c r="D974" s="7" t="s">
        <v>1508</v>
      </c>
      <c r="E974" s="7" t="s">
        <v>7015</v>
      </c>
      <c r="AO974" t="s">
        <v>6789</v>
      </c>
    </row>
    <row r="975" spans="4:41">
      <c r="D975" s="7" t="s">
        <v>1280</v>
      </c>
      <c r="E975" s="7" t="s">
        <v>7015</v>
      </c>
      <c r="AO975" t="s">
        <v>6794</v>
      </c>
    </row>
    <row r="976" spans="4:41">
      <c r="D976" s="7" t="s">
        <v>1538</v>
      </c>
      <c r="E976" s="7" t="s">
        <v>7015</v>
      </c>
      <c r="AO976" t="s">
        <v>6799</v>
      </c>
    </row>
    <row r="977" spans="4:41">
      <c r="D977" s="7" t="s">
        <v>1316</v>
      </c>
      <c r="E977" s="7"/>
      <c r="AO977" t="s">
        <v>6804</v>
      </c>
    </row>
    <row r="978" spans="4:41">
      <c r="D978" s="7" t="s">
        <v>1644</v>
      </c>
      <c r="E978" s="7" t="s">
        <v>7015</v>
      </c>
      <c r="AO978" t="s">
        <v>6809</v>
      </c>
    </row>
    <row r="979" spans="4:41">
      <c r="D979" s="7" t="s">
        <v>553</v>
      </c>
      <c r="E979" s="7" t="s">
        <v>7015</v>
      </c>
      <c r="AO979" t="s">
        <v>6814</v>
      </c>
    </row>
    <row r="980" spans="4:41">
      <c r="D980" s="7" t="s">
        <v>465</v>
      </c>
      <c r="E980" s="7" t="s">
        <v>7015</v>
      </c>
      <c r="AO980" t="s">
        <v>6819</v>
      </c>
    </row>
    <row r="981" spans="4:41">
      <c r="D981" t="s">
        <v>6968</v>
      </c>
      <c r="E981" s="7" t="s">
        <v>7015</v>
      </c>
      <c r="AO981" t="s">
        <v>6824</v>
      </c>
    </row>
    <row r="982" spans="4:41">
      <c r="D982" t="s">
        <v>6982</v>
      </c>
      <c r="E982" s="7" t="s">
        <v>7015</v>
      </c>
      <c r="AO982" t="s">
        <v>6828</v>
      </c>
    </row>
    <row r="983" spans="4:41">
      <c r="D983" s="7" t="s">
        <v>6926</v>
      </c>
      <c r="E983" s="7" t="s">
        <v>7015</v>
      </c>
      <c r="AO983" t="s">
        <v>6833</v>
      </c>
    </row>
    <row r="984" spans="4:41">
      <c r="D984" s="7" t="s">
        <v>6928</v>
      </c>
      <c r="E984" s="7" t="s">
        <v>7015</v>
      </c>
      <c r="AO984" t="s">
        <v>6838</v>
      </c>
    </row>
    <row r="985" spans="4:41">
      <c r="D985" t="s">
        <v>6960</v>
      </c>
      <c r="E985" s="7" t="s">
        <v>7015</v>
      </c>
      <c r="AO985" t="s">
        <v>6843</v>
      </c>
    </row>
    <row r="986" spans="4:41">
      <c r="D986" s="7" t="s">
        <v>1122</v>
      </c>
      <c r="E986" s="7"/>
      <c r="AO986" t="s">
        <v>6848</v>
      </c>
    </row>
    <row r="987" spans="4:41">
      <c r="D987" s="7" t="s">
        <v>1096</v>
      </c>
      <c r="E987" s="7" t="s">
        <v>7015</v>
      </c>
      <c r="AO987" t="s">
        <v>6853</v>
      </c>
    </row>
    <row r="988" spans="4:41">
      <c r="D988" s="7" t="s">
        <v>433</v>
      </c>
      <c r="E988" s="7" t="s">
        <v>7015</v>
      </c>
      <c r="AO988" t="s">
        <v>6858</v>
      </c>
    </row>
    <row r="989" spans="4:41">
      <c r="D989" s="7" t="s">
        <v>1914</v>
      </c>
      <c r="E989" s="7"/>
      <c r="AO989" t="s">
        <v>6863</v>
      </c>
    </row>
    <row r="990" spans="4:41">
      <c r="D990" s="7" t="s">
        <v>2079</v>
      </c>
      <c r="E990" s="7" t="s">
        <v>7015</v>
      </c>
      <c r="AO990" t="s">
        <v>6867</v>
      </c>
    </row>
    <row r="991" spans="4:41">
      <c r="D991" t="s">
        <v>6952</v>
      </c>
      <c r="E991" s="7" t="s">
        <v>7015</v>
      </c>
      <c r="AO991" t="s">
        <v>6872</v>
      </c>
    </row>
    <row r="992" spans="4:41">
      <c r="D992" s="7" t="s">
        <v>409</v>
      </c>
      <c r="E992" s="7" t="s">
        <v>7015</v>
      </c>
      <c r="AO992" t="s">
        <v>6877</v>
      </c>
    </row>
    <row r="993" spans="4:41">
      <c r="D993" s="7" t="s">
        <v>2147</v>
      </c>
      <c r="E993" s="7"/>
      <c r="AO993" t="s">
        <v>6882</v>
      </c>
    </row>
    <row r="994" spans="4:41">
      <c r="D994" s="7" t="s">
        <v>511</v>
      </c>
      <c r="E994" s="7"/>
      <c r="AO994" t="s">
        <v>6887</v>
      </c>
    </row>
    <row r="995" spans="4:41">
      <c r="D995" s="7" t="s">
        <v>1868</v>
      </c>
      <c r="E995" s="7"/>
      <c r="AO995" t="s">
        <v>6892</v>
      </c>
    </row>
    <row r="996" spans="4:41">
      <c r="D996" s="7" t="s">
        <v>429</v>
      </c>
      <c r="E996" s="7" t="s">
        <v>7015</v>
      </c>
      <c r="AO996" t="s">
        <v>6897</v>
      </c>
    </row>
    <row r="997" spans="4:41">
      <c r="D997" s="7" t="s">
        <v>2009</v>
      </c>
      <c r="E997" s="7"/>
      <c r="AO997" t="s">
        <v>6902</v>
      </c>
    </row>
    <row r="998" spans="4:41">
      <c r="D998" s="7" t="s">
        <v>1965</v>
      </c>
      <c r="E998" s="7" t="s">
        <v>7015</v>
      </c>
      <c r="AO998" t="s">
        <v>6907</v>
      </c>
    </row>
    <row r="999" spans="4:41">
      <c r="D999" s="7" t="s">
        <v>1872</v>
      </c>
      <c r="E999" s="7"/>
      <c r="AO999" t="s">
        <v>6911</v>
      </c>
    </row>
    <row r="1000" spans="4:41">
      <c r="D1000" s="7" t="s">
        <v>2029</v>
      </c>
      <c r="E1000" s="7"/>
      <c r="AO1000" t="s">
        <v>6916</v>
      </c>
    </row>
    <row r="1001" spans="4:41">
      <c r="D1001" s="7" t="s">
        <v>403</v>
      </c>
      <c r="E1001" s="7"/>
      <c r="AO1001" t="s">
        <v>6921</v>
      </c>
    </row>
    <row r="1002" spans="4:41">
      <c r="D1002" s="7"/>
      <c r="E1002" s="7"/>
    </row>
    <row r="1003" spans="4:41">
      <c r="D1003" s="7"/>
      <c r="E1003" s="7"/>
    </row>
    <row r="1004" spans="4:41">
      <c r="D1004" s="7"/>
      <c r="E1004" s="7"/>
    </row>
    <row r="1005" spans="4:41">
      <c r="D1005" s="7"/>
      <c r="E1005" s="7"/>
    </row>
    <row r="1006" spans="4:41">
      <c r="D1006" s="7"/>
      <c r="E1006" s="7"/>
    </row>
    <row r="1007" spans="4:41">
      <c r="D1007" s="7"/>
      <c r="E1007" s="7"/>
    </row>
    <row r="1008" spans="4:41">
      <c r="D1008" s="7"/>
      <c r="E1008" s="7"/>
    </row>
    <row r="1009" spans="4:5">
      <c r="D1009" s="7"/>
      <c r="E1009" s="7"/>
    </row>
    <row r="1010" spans="4:5">
      <c r="D1010" s="7"/>
      <c r="E1010" s="7"/>
    </row>
    <row r="1011" spans="4:5">
      <c r="D1011" s="7"/>
      <c r="E1011" s="7"/>
    </row>
    <row r="1012" spans="4:5">
      <c r="D1012" s="7"/>
      <c r="E1012" s="7"/>
    </row>
    <row r="1013" spans="4:5">
      <c r="D1013" s="7"/>
      <c r="E1013" s="7"/>
    </row>
    <row r="1014" spans="4:5">
      <c r="D1014" s="7"/>
      <c r="E1014" s="7"/>
    </row>
    <row r="1015" spans="4:5">
      <c r="D1015" s="7"/>
      <c r="E1015" s="7"/>
    </row>
    <row r="1016" spans="4:5">
      <c r="D1016" s="7"/>
      <c r="E1016" s="7"/>
    </row>
    <row r="1017" spans="4:5">
      <c r="D1017" s="7"/>
      <c r="E1017" s="7"/>
    </row>
    <row r="1018" spans="4:5">
      <c r="D1018" s="7"/>
      <c r="E1018" s="7"/>
    </row>
    <row r="1019" spans="4:5">
      <c r="D1019" s="7"/>
      <c r="E1019" s="7"/>
    </row>
    <row r="1020" spans="4:5">
      <c r="D1020" s="7"/>
      <c r="E1020" s="7"/>
    </row>
    <row r="1021" spans="4:5">
      <c r="D1021" s="7"/>
      <c r="E1021" s="7"/>
    </row>
    <row r="1022" spans="4:5">
      <c r="D1022" s="7"/>
      <c r="E1022" s="7"/>
    </row>
    <row r="1023" spans="4:5">
      <c r="D1023" s="7"/>
      <c r="E1023" s="7"/>
    </row>
    <row r="1024" spans="4:5">
      <c r="D1024" s="7"/>
      <c r="E1024" s="7"/>
    </row>
    <row r="1025" spans="4:5">
      <c r="D1025" s="7"/>
      <c r="E1025" s="7"/>
    </row>
    <row r="1026" spans="4:5">
      <c r="D1026" s="7"/>
      <c r="E1026" s="7"/>
    </row>
    <row r="1027" spans="4:5">
      <c r="D1027" s="7"/>
      <c r="E1027" s="7"/>
    </row>
    <row r="1028" spans="4:5">
      <c r="D1028" s="7"/>
      <c r="E1028" s="7"/>
    </row>
    <row r="1029" spans="4:5">
      <c r="D1029" s="7"/>
      <c r="E1029" s="7"/>
    </row>
    <row r="1030" spans="4:5">
      <c r="D1030" s="7"/>
      <c r="E1030" s="7"/>
    </row>
    <row r="1031" spans="4:5">
      <c r="D1031" s="7"/>
      <c r="E1031" s="7"/>
    </row>
    <row r="1032" spans="4:5">
      <c r="D1032" s="7"/>
      <c r="E1032" s="7"/>
    </row>
    <row r="1033" spans="4:5">
      <c r="D1033" s="7"/>
      <c r="E1033" s="7"/>
    </row>
    <row r="1034" spans="4:5">
      <c r="D1034" s="7"/>
      <c r="E1034" s="7"/>
    </row>
    <row r="1035" spans="4:5">
      <c r="D1035" s="7"/>
      <c r="E1035" s="7"/>
    </row>
    <row r="1036" spans="4:5">
      <c r="D1036" s="7"/>
      <c r="E1036" s="7"/>
    </row>
    <row r="1037" spans="4:5">
      <c r="D1037" s="7"/>
      <c r="E1037" s="7"/>
    </row>
    <row r="1038" spans="4:5">
      <c r="D1038" s="7"/>
      <c r="E1038" s="7"/>
    </row>
  </sheetData>
  <autoFilter ref="AT1:AT1038" xr:uid="{5B5B7B1C-1D56-40A3-9209-97181BA21A64}"/>
  <sortState xmlns:xlrd2="http://schemas.microsoft.com/office/spreadsheetml/2017/richdata2" ref="D2:D1048576">
    <sortCondition ref="D2:D1048576"/>
  </sortState>
  <conditionalFormatting sqref="D1:D1048576 N1:N1048576">
    <cfRule type="duplicateValues" dxfId="1" priority="2"/>
  </conditionalFormatting>
  <conditionalFormatting sqref="AO1 AZ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A325-3CE0-49F4-94EB-9BACF60D0BAE}">
  <dimension ref="B2:E102"/>
  <sheetViews>
    <sheetView workbookViewId="0">
      <selection activeCell="E74" sqref="E74"/>
    </sheetView>
  </sheetViews>
  <sheetFormatPr defaultRowHeight="14.45"/>
  <cols>
    <col min="2" max="2" width="28" customWidth="1"/>
    <col min="3" max="3" width="20.140625" customWidth="1"/>
  </cols>
  <sheetData>
    <row r="2" spans="2:5">
      <c r="B2" s="2">
        <v>123456</v>
      </c>
      <c r="C2">
        <v>123456</v>
      </c>
      <c r="E2" t="s">
        <v>8729</v>
      </c>
    </row>
    <row r="3" spans="2:5">
      <c r="B3" s="2">
        <v>12345</v>
      </c>
      <c r="C3" t="s">
        <v>8730</v>
      </c>
      <c r="E3" t="s">
        <v>8730</v>
      </c>
    </row>
    <row r="4" spans="2:5">
      <c r="B4" s="2">
        <v>123456789</v>
      </c>
      <c r="C4" t="s">
        <v>8731</v>
      </c>
    </row>
    <row r="5" spans="2:5">
      <c r="B5" s="2" t="s">
        <v>1</v>
      </c>
      <c r="C5" t="s">
        <v>8732</v>
      </c>
    </row>
    <row r="6" spans="2:5">
      <c r="B6" s="2" t="s">
        <v>641</v>
      </c>
      <c r="C6" t="s">
        <v>8733</v>
      </c>
    </row>
    <row r="7" spans="2:5">
      <c r="B7" s="2" t="s">
        <v>642</v>
      </c>
      <c r="C7" t="s">
        <v>8734</v>
      </c>
    </row>
    <row r="8" spans="2:5">
      <c r="B8" s="2">
        <v>1234567</v>
      </c>
      <c r="C8" t="s">
        <v>8735</v>
      </c>
    </row>
    <row r="9" spans="2:5">
      <c r="B9" s="2" t="s">
        <v>643</v>
      </c>
      <c r="C9" t="s">
        <v>8736</v>
      </c>
    </row>
    <row r="10" spans="2:5">
      <c r="B10" s="2">
        <v>12345678</v>
      </c>
      <c r="C10" t="s">
        <v>8737</v>
      </c>
    </row>
    <row r="11" spans="2:5">
      <c r="B11" s="2" t="s">
        <v>644</v>
      </c>
      <c r="C11" t="s">
        <v>8738</v>
      </c>
    </row>
    <row r="12" spans="2:5">
      <c r="B12" s="2" t="s">
        <v>645</v>
      </c>
      <c r="C12" t="s">
        <v>8739</v>
      </c>
    </row>
    <row r="13" spans="2:5">
      <c r="B13" s="2" t="s">
        <v>646</v>
      </c>
      <c r="C13" t="s">
        <v>8740</v>
      </c>
    </row>
    <row r="14" spans="2:5">
      <c r="B14" s="2" t="s">
        <v>647</v>
      </c>
      <c r="C14" t="s">
        <v>8741</v>
      </c>
    </row>
    <row r="15" spans="2:5">
      <c r="B15" s="2" t="s">
        <v>648</v>
      </c>
      <c r="C15" t="s">
        <v>8742</v>
      </c>
      <c r="E15" t="s">
        <v>8742</v>
      </c>
    </row>
    <row r="16" spans="2:5">
      <c r="B16" s="2" t="s">
        <v>649</v>
      </c>
      <c r="C16" t="s">
        <v>8743</v>
      </c>
    </row>
    <row r="17" spans="2:5">
      <c r="B17" s="2" t="s">
        <v>650</v>
      </c>
      <c r="C17" t="s">
        <v>8744</v>
      </c>
    </row>
    <row r="18" spans="2:5">
      <c r="B18" s="2">
        <v>654321</v>
      </c>
      <c r="C18" t="s">
        <v>8745</v>
      </c>
    </row>
    <row r="19" spans="2:5">
      <c r="B19" s="2" t="s">
        <v>651</v>
      </c>
      <c r="C19" t="s">
        <v>8746</v>
      </c>
      <c r="E19" t="s">
        <v>8746</v>
      </c>
    </row>
    <row r="20" spans="2:5">
      <c r="B20" s="2" t="s">
        <v>652</v>
      </c>
      <c r="C20" t="s">
        <v>8747</v>
      </c>
      <c r="E20" t="s">
        <v>8747</v>
      </c>
    </row>
    <row r="21" spans="2:5">
      <c r="B21" s="2" t="s">
        <v>653</v>
      </c>
      <c r="C21" t="s">
        <v>8748</v>
      </c>
    </row>
    <row r="22" spans="2:5">
      <c r="B22" s="2">
        <v>111111</v>
      </c>
      <c r="C22" t="s">
        <v>8749</v>
      </c>
      <c r="E22" t="s">
        <v>8749</v>
      </c>
    </row>
    <row r="23" spans="2:5">
      <c r="B23" s="2" t="s">
        <v>654</v>
      </c>
      <c r="C23" t="s">
        <v>8750</v>
      </c>
    </row>
    <row r="24" spans="2:5">
      <c r="B24" s="16" t="s">
        <v>655</v>
      </c>
      <c r="C24" t="s">
        <v>8751</v>
      </c>
    </row>
    <row r="25" spans="2:5">
      <c r="B25" s="2" t="s">
        <v>656</v>
      </c>
      <c r="C25" t="s">
        <v>8752</v>
      </c>
    </row>
    <row r="26" spans="2:5">
      <c r="B26" s="2" t="s">
        <v>657</v>
      </c>
      <c r="C26" t="s">
        <v>8753</v>
      </c>
    </row>
    <row r="27" spans="2:5">
      <c r="B27" s="2" t="s">
        <v>658</v>
      </c>
      <c r="C27" t="s">
        <v>8754</v>
      </c>
    </row>
    <row r="28" spans="2:5">
      <c r="B28" s="2" t="s">
        <v>659</v>
      </c>
      <c r="C28" t="s">
        <v>8755</v>
      </c>
    </row>
    <row r="29" spans="2:5">
      <c r="B29" s="2" t="s">
        <v>660</v>
      </c>
      <c r="C29" t="s">
        <v>8756</v>
      </c>
    </row>
    <row r="30" spans="2:5">
      <c r="B30" s="2" t="s">
        <v>661</v>
      </c>
      <c r="C30" t="s">
        <v>8757</v>
      </c>
      <c r="E30" t="s">
        <v>8757</v>
      </c>
    </row>
    <row r="31" spans="2:5">
      <c r="B31" s="2" t="s">
        <v>662</v>
      </c>
      <c r="C31" t="s">
        <v>8758</v>
      </c>
    </row>
    <row r="32" spans="2:5">
      <c r="B32" s="2" t="s">
        <v>663</v>
      </c>
      <c r="C32" t="s">
        <v>8759</v>
      </c>
    </row>
    <row r="33" spans="2:5">
      <c r="B33" s="2" t="s">
        <v>664</v>
      </c>
      <c r="C33" t="s">
        <v>8760</v>
      </c>
    </row>
    <row r="34" spans="2:5">
      <c r="B34" s="2" t="s">
        <v>665</v>
      </c>
      <c r="C34" t="s">
        <v>8761</v>
      </c>
    </row>
    <row r="35" spans="2:5">
      <c r="B35" s="2" t="s">
        <v>666</v>
      </c>
      <c r="C35" t="s">
        <v>8762</v>
      </c>
      <c r="E35" t="s">
        <v>8762</v>
      </c>
    </row>
    <row r="36" spans="2:5">
      <c r="B36" s="2" t="s">
        <v>667</v>
      </c>
      <c r="C36" t="s">
        <v>8763</v>
      </c>
    </row>
    <row r="37" spans="2:5">
      <c r="B37" s="2" t="s">
        <v>668</v>
      </c>
      <c r="C37" t="s">
        <v>8764</v>
      </c>
    </row>
    <row r="38" spans="2:5">
      <c r="B38" s="2" t="s">
        <v>669</v>
      </c>
      <c r="C38" t="s">
        <v>8765</v>
      </c>
    </row>
    <row r="39" spans="2:5">
      <c r="B39" s="2" t="s">
        <v>670</v>
      </c>
      <c r="C39" t="s">
        <v>8766</v>
      </c>
    </row>
    <row r="40" spans="2:5">
      <c r="B40" s="2" t="s">
        <v>671</v>
      </c>
      <c r="C40" t="s">
        <v>8767</v>
      </c>
    </row>
    <row r="41" spans="2:5">
      <c r="B41" s="2">
        <v>123123</v>
      </c>
      <c r="C41" t="s">
        <v>8768</v>
      </c>
      <c r="E41" t="s">
        <v>8768</v>
      </c>
    </row>
    <row r="42" spans="2:5">
      <c r="B42" s="2" t="s">
        <v>672</v>
      </c>
      <c r="C42" t="s">
        <v>8769</v>
      </c>
    </row>
    <row r="43" spans="2:5">
      <c r="B43" s="2" t="s">
        <v>673</v>
      </c>
      <c r="C43" t="s">
        <v>8770</v>
      </c>
      <c r="E43" t="s">
        <v>8770</v>
      </c>
    </row>
    <row r="44" spans="2:5">
      <c r="B44" s="2" t="s">
        <v>674</v>
      </c>
      <c r="C44" t="s">
        <v>8771</v>
      </c>
      <c r="E44" t="s">
        <v>8771</v>
      </c>
    </row>
    <row r="45" spans="2:5">
      <c r="B45" s="2" t="s">
        <v>675</v>
      </c>
      <c r="C45" t="s">
        <v>8772</v>
      </c>
    </row>
    <row r="46" spans="2:5">
      <c r="B46" s="2" t="s">
        <v>676</v>
      </c>
      <c r="C46" t="s">
        <v>8773</v>
      </c>
    </row>
    <row r="47" spans="2:5">
      <c r="B47" s="2" t="s">
        <v>677</v>
      </c>
      <c r="C47" t="s">
        <v>8774</v>
      </c>
    </row>
    <row r="48" spans="2:5">
      <c r="B48" s="2" t="s">
        <v>678</v>
      </c>
      <c r="C48" t="s">
        <v>8775</v>
      </c>
    </row>
    <row r="49" spans="2:5">
      <c r="B49" s="2">
        <v>1234567890</v>
      </c>
    </row>
    <row r="50" spans="2:5">
      <c r="B50" s="2" t="s">
        <v>679</v>
      </c>
      <c r="C50" t="s">
        <v>8776</v>
      </c>
    </row>
    <row r="51" spans="2:5">
      <c r="B51" s="2" t="s">
        <v>680</v>
      </c>
      <c r="C51" t="s">
        <v>8777</v>
      </c>
    </row>
    <row r="52" spans="2:5">
      <c r="B52" s="2" t="s">
        <v>681</v>
      </c>
      <c r="C52" t="s">
        <v>8778</v>
      </c>
    </row>
    <row r="53" spans="2:5">
      <c r="B53" s="2" t="s">
        <v>682</v>
      </c>
      <c r="C53" t="s">
        <v>8779</v>
      </c>
    </row>
    <row r="54" spans="2:5">
      <c r="B54" s="2" t="s">
        <v>683</v>
      </c>
      <c r="C54" t="s">
        <v>8780</v>
      </c>
    </row>
    <row r="55" spans="2:5">
      <c r="B55" s="2" t="s">
        <v>684</v>
      </c>
      <c r="C55" t="s">
        <v>8781</v>
      </c>
    </row>
    <row r="56" spans="2:5">
      <c r="B56" s="2" t="s">
        <v>685</v>
      </c>
      <c r="C56" t="s">
        <v>8782</v>
      </c>
    </row>
    <row r="57" spans="2:5">
      <c r="B57" s="2" t="s">
        <v>686</v>
      </c>
      <c r="C57" t="s">
        <v>8783</v>
      </c>
      <c r="E57" t="s">
        <v>8783</v>
      </c>
    </row>
    <row r="58" spans="2:5">
      <c r="B58" s="2" t="s">
        <v>687</v>
      </c>
      <c r="C58" t="s">
        <v>8784</v>
      </c>
    </row>
    <row r="59" spans="2:5">
      <c r="B59" s="2" t="s">
        <v>688</v>
      </c>
      <c r="C59" t="s">
        <v>8785</v>
      </c>
    </row>
    <row r="60" spans="2:5">
      <c r="B60" s="2" t="s">
        <v>689</v>
      </c>
      <c r="C60" t="s">
        <v>8786</v>
      </c>
    </row>
    <row r="61" spans="2:5">
      <c r="B61" s="2" t="s">
        <v>690</v>
      </c>
      <c r="C61" t="s">
        <v>8787</v>
      </c>
    </row>
    <row r="62" spans="2:5">
      <c r="B62" s="2" t="s">
        <v>691</v>
      </c>
    </row>
    <row r="63" spans="2:5">
      <c r="B63" s="2" t="s">
        <v>692</v>
      </c>
      <c r="C63" t="s">
        <v>8788</v>
      </c>
    </row>
    <row r="64" spans="2:5">
      <c r="B64" s="2" t="s">
        <v>693</v>
      </c>
    </row>
    <row r="65" spans="2:5">
      <c r="B65" s="2" t="s">
        <v>694</v>
      </c>
      <c r="C65" t="s">
        <v>8789</v>
      </c>
    </row>
    <row r="66" spans="2:5">
      <c r="B66" s="2" t="s">
        <v>695</v>
      </c>
      <c r="C66" t="s">
        <v>8790</v>
      </c>
      <c r="E66" t="s">
        <v>8790</v>
      </c>
    </row>
    <row r="67" spans="2:5">
      <c r="B67" s="2" t="s">
        <v>696</v>
      </c>
      <c r="C67" t="s">
        <v>8791</v>
      </c>
    </row>
    <row r="68" spans="2:5">
      <c r="B68" s="2" t="s">
        <v>697</v>
      </c>
      <c r="C68" t="s">
        <v>8792</v>
      </c>
    </row>
    <row r="69" spans="2:5">
      <c r="B69" s="2" t="s">
        <v>698</v>
      </c>
      <c r="C69" t="s">
        <v>8793</v>
      </c>
    </row>
    <row r="70" spans="2:5">
      <c r="B70" s="2" t="s">
        <v>699</v>
      </c>
      <c r="C70" t="s">
        <v>8794</v>
      </c>
    </row>
    <row r="71" spans="2:5">
      <c r="B71" s="2" t="s">
        <v>700</v>
      </c>
      <c r="C71" t="s">
        <v>8795</v>
      </c>
    </row>
    <row r="72" spans="2:5">
      <c r="B72" s="2" t="s">
        <v>701</v>
      </c>
      <c r="C72" t="s">
        <v>8796</v>
      </c>
    </row>
    <row r="73" spans="2:5">
      <c r="B73" s="2">
        <v>666666</v>
      </c>
      <c r="C73" t="s">
        <v>8797</v>
      </c>
    </row>
    <row r="74" spans="2:5">
      <c r="B74" s="2" t="s">
        <v>702</v>
      </c>
      <c r="C74" t="s">
        <v>8798</v>
      </c>
      <c r="E74" t="s">
        <v>8798</v>
      </c>
    </row>
    <row r="75" spans="2:5">
      <c r="B75" s="2" t="s">
        <v>703</v>
      </c>
      <c r="C75" t="s">
        <v>8799</v>
      </c>
    </row>
    <row r="76" spans="2:5">
      <c r="B76" s="2" t="s">
        <v>704</v>
      </c>
      <c r="C76" t="s">
        <v>8800</v>
      </c>
    </row>
    <row r="77" spans="2:5">
      <c r="B77" s="2" t="s">
        <v>705</v>
      </c>
      <c r="C77" t="s">
        <v>8801</v>
      </c>
    </row>
    <row r="78" spans="2:5">
      <c r="B78" s="2" t="s">
        <v>706</v>
      </c>
      <c r="C78" t="s">
        <v>8802</v>
      </c>
    </row>
    <row r="79" spans="2:5">
      <c r="B79" s="2" t="s">
        <v>707</v>
      </c>
      <c r="C79" t="s">
        <v>8803</v>
      </c>
    </row>
    <row r="80" spans="2:5">
      <c r="B80" s="2" t="s">
        <v>708</v>
      </c>
      <c r="C80" t="s">
        <v>8804</v>
      </c>
    </row>
    <row r="81" spans="2:3">
      <c r="B81" s="2" t="s">
        <v>709</v>
      </c>
      <c r="C81" t="s">
        <v>8805</v>
      </c>
    </row>
    <row r="82" spans="2:3">
      <c r="B82" s="2" t="s">
        <v>710</v>
      </c>
      <c r="C82" t="s">
        <v>8806</v>
      </c>
    </row>
    <row r="83" spans="2:3">
      <c r="B83" s="2">
        <v>987654321</v>
      </c>
    </row>
    <row r="84" spans="2:3">
      <c r="B84" s="2" t="s">
        <v>711</v>
      </c>
      <c r="C84" t="s">
        <v>8807</v>
      </c>
    </row>
    <row r="85" spans="2:3">
      <c r="B85" s="2" t="s">
        <v>712</v>
      </c>
    </row>
    <row r="86" spans="2:3">
      <c r="B86" s="2" t="s">
        <v>713</v>
      </c>
      <c r="C86" t="s">
        <v>8808</v>
      </c>
    </row>
    <row r="87" spans="2:3">
      <c r="B87" s="2" t="s">
        <v>714</v>
      </c>
    </row>
    <row r="88" spans="2:3">
      <c r="B88" s="2" t="s">
        <v>715</v>
      </c>
      <c r="C88" t="s">
        <v>8809</v>
      </c>
    </row>
    <row r="89" spans="2:3">
      <c r="B89" s="2" t="s">
        <v>716</v>
      </c>
      <c r="C89" t="s">
        <v>8810</v>
      </c>
    </row>
    <row r="90" spans="2:3">
      <c r="B90" s="2" t="s">
        <v>717</v>
      </c>
      <c r="C90" t="s">
        <v>8811</v>
      </c>
    </row>
    <row r="91" spans="2:3">
      <c r="B91" s="2" t="s">
        <v>718</v>
      </c>
      <c r="C91" t="s">
        <v>8812</v>
      </c>
    </row>
    <row r="92" spans="2:3">
      <c r="B92" s="2" t="s">
        <v>719</v>
      </c>
      <c r="C92" t="s">
        <v>8813</v>
      </c>
    </row>
    <row r="93" spans="2:3">
      <c r="B93" s="2" t="s">
        <v>720</v>
      </c>
      <c r="C93" t="s">
        <v>8814</v>
      </c>
    </row>
    <row r="94" spans="2:3">
      <c r="B94" s="2" t="s">
        <v>721</v>
      </c>
      <c r="C94" t="s">
        <v>8815</v>
      </c>
    </row>
    <row r="95" spans="2:3">
      <c r="B95" s="2" t="s">
        <v>722</v>
      </c>
      <c r="C95" t="s">
        <v>8816</v>
      </c>
    </row>
    <row r="96" spans="2:3">
      <c r="B96" s="2" t="s">
        <v>723</v>
      </c>
      <c r="C96" t="s">
        <v>8817</v>
      </c>
    </row>
    <row r="97" spans="2:5">
      <c r="B97" s="2" t="s">
        <v>724</v>
      </c>
      <c r="C97" t="s">
        <v>8818</v>
      </c>
    </row>
    <row r="98" spans="2:5">
      <c r="B98" s="2" t="s">
        <v>725</v>
      </c>
      <c r="C98" t="s">
        <v>8819</v>
      </c>
    </row>
    <row r="99" spans="2:5">
      <c r="B99" s="2" t="s">
        <v>726</v>
      </c>
      <c r="C99" t="s">
        <v>8820</v>
      </c>
    </row>
    <row r="100" spans="2:5">
      <c r="B100" s="2" t="s">
        <v>727</v>
      </c>
      <c r="C100" t="s">
        <v>8821</v>
      </c>
      <c r="E100" t="s">
        <v>8821</v>
      </c>
    </row>
    <row r="101" spans="2:5">
      <c r="B101" s="2" t="s">
        <v>728</v>
      </c>
      <c r="C101" t="s">
        <v>8822</v>
      </c>
    </row>
    <row r="102" spans="2:5">
      <c r="B102" s="2" t="s">
        <v>729</v>
      </c>
      <c r="C102" t="s">
        <v>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SIRAPAT SILSAWANG</dc:creator>
  <cp:keywords/>
  <dc:description/>
  <cp:lastModifiedBy/>
  <cp:revision/>
  <dcterms:created xsi:type="dcterms:W3CDTF">2025-11-10T06:28:03Z</dcterms:created>
  <dcterms:modified xsi:type="dcterms:W3CDTF">2026-04-17T09:06:51Z</dcterms:modified>
  <cp:category/>
  <cp:contentStatus/>
</cp:coreProperties>
</file>